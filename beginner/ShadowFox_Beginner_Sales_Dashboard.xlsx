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Raw_Data" sheetId="3" state="visible" r:id="rId5"/>
    <sheet name="Cleaning_Log" sheetId="4" state="visible" r:id="rId6"/>
    <sheet name="Clean_Data" sheetId="5" state="visible" r:id="rId7"/>
    <sheet name="Analysis" sheetId="6" state="visible" r:id="rId8"/>
    <sheet name="Insights" sheetId="7" state="visible" r:id="rId9"/>
  </sheets>
  <definedNames>
    <definedName function="false" hidden="true" localSheetId="4" name="_xlnm._FilterDatabase" vbProcedure="false">Clean_Data!$A$1:$L$685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<sst xmlns="http://schemas.openxmlformats.org/spreadsheetml/2006/main" count="5708" uniqueCount="809">
  <si>
    <t xml:space="preserve">Retail Sales Dashboard - 2025 (Sample Data)</t>
  </si>
  <si>
    <t xml:space="preserve">Total Revenue (INR)</t>
  </si>
  <si>
    <t xml:space="preserve">Total Profit (INR)</t>
  </si>
  <si>
    <t xml:space="preserve">Profit Margin</t>
  </si>
  <si>
    <t xml:space="preserve">Total Orders</t>
  </si>
  <si>
    <t xml:space="preserve">Avg Order Value (INR)</t>
  </si>
  <si>
    <t xml:space="preserve">Units Sold</t>
  </si>
  <si>
    <t xml:space="preserve">Top Product (revenue)</t>
  </si>
  <si>
    <t xml:space="preserve">Top Category</t>
  </si>
  <si>
    <t xml:space="preserve">Top Region</t>
  </si>
  <si>
    <t xml:space="preserve">Best Month</t>
  </si>
  <si>
    <t xml:space="preserve">Weakest Month</t>
  </si>
  <si>
    <t xml:space="preserve">Lowest-margin Product</t>
  </si>
  <si>
    <t xml:space="preserve">ShadowFox Data Analyst Internship - Beginner Level</t>
  </si>
  <si>
    <t xml:space="preserve">Intern: Rudra Kumar | SF-PID: SF-PID-2026-W6251 | Amrita Vishwa Vidyapeetham, Nagercoil</t>
  </si>
  <si>
    <t xml:space="preserve">Project: Retail Sales Performance Dashboard (Jan-Dec 2025)</t>
  </si>
  <si>
    <t xml:space="preserve">DATA NOTE: This is a SAMPLE retail dataset created for this exercise. It is not real company data.</t>
  </si>
  <si>
    <t xml:space="preserve">Currency is Indian Rupees (INR).</t>
  </si>
  <si>
    <t xml:space="preserve">Sheets in this workbook</t>
  </si>
  <si>
    <t xml:space="preserve">Raw_Data - the data before cleaning</t>
  </si>
  <si>
    <t xml:space="preserve">Cleaning_Log - every cleaning step and how many rows it affected</t>
  </si>
  <si>
    <t xml:space="preserve">Clean_Data - the cleaned dataset. Revenue and Profit are formulas.</t>
  </si>
  <si>
    <t xml:space="preserve">Analysis - summary tables built with SUMIFS and COUNTIFS</t>
  </si>
  <si>
    <t xml:space="preserve">Dashboard - KPIs and charts</t>
  </si>
  <si>
    <t xml:space="preserve">Insights - findings and recommendations</t>
  </si>
  <si>
    <t xml:space="preserve">Formulas</t>
  </si>
  <si>
    <t xml:space="preserve">Revenue = Qty x UnitPrice x (1 - Discount)</t>
  </si>
  <si>
    <t xml:space="preserve">Profit = Revenue - (Qty x UnitCost)</t>
  </si>
  <si>
    <t xml:space="preserve">Margin = Profit / Revenue</t>
  </si>
  <si>
    <t xml:space="preserve">OrderID</t>
  </si>
  <si>
    <t xml:space="preserve">Date</t>
  </si>
  <si>
    <t xml:space="preserve">Region</t>
  </si>
  <si>
    <t xml:space="preserve">Category</t>
  </si>
  <si>
    <t xml:space="preserve">Product</t>
  </si>
  <si>
    <t xml:space="preserve">Qty</t>
  </si>
  <si>
    <t xml:space="preserve">UnitPrice</t>
  </si>
  <si>
    <t xml:space="preserve">Discount</t>
  </si>
  <si>
    <t xml:space="preserve">UnitCost</t>
  </si>
  <si>
    <t xml:space="preserve">ORD1001</t>
  </si>
  <si>
    <t xml:space="preserve">North</t>
  </si>
  <si>
    <t xml:space="preserve">Stationery</t>
  </si>
  <si>
    <t xml:space="preserve">Planner</t>
  </si>
  <si>
    <t xml:space="preserve">ORD1002</t>
  </si>
  <si>
    <t xml:space="preserve">East</t>
  </si>
  <si>
    <t xml:space="preserve">Electronics</t>
  </si>
  <si>
    <t xml:space="preserve">Power Bank</t>
  </si>
  <si>
    <t xml:space="preserve">ORD1003</t>
  </si>
  <si>
    <t xml:space="preserve">South</t>
  </si>
  <si>
    <t xml:space="preserve">Smart Watch</t>
  </si>
  <si>
    <t xml:space="preserve">ORD1004</t>
  </si>
  <si>
    <t xml:space="preserve">Bluetooth Speaker</t>
  </si>
  <si>
    <t xml:space="preserve">ORD1005</t>
  </si>
  <si>
    <t xml:space="preserve">ORD1006</t>
  </si>
  <si>
    <t xml:space="preserve">ORD1007</t>
  </si>
  <si>
    <t xml:space="preserve">ORD1008</t>
  </si>
  <si>
    <t xml:space="preserve">West</t>
  </si>
  <si>
    <t xml:space="preserve">ORD1009</t>
  </si>
  <si>
    <t xml:space="preserve">Furniture</t>
  </si>
  <si>
    <t xml:space="preserve">Bookshelf</t>
  </si>
  <si>
    <t xml:space="preserve">ORD1010</t>
  </si>
  <si>
    <t xml:space="preserve">Headphones</t>
  </si>
  <si>
    <t xml:space="preserve">ORD1011</t>
  </si>
  <si>
    <t xml:space="preserve">ORD1012</t>
  </si>
  <si>
    <t xml:space="preserve">Study Desk</t>
  </si>
  <si>
    <t xml:space="preserve">ORD1013</t>
  </si>
  <si>
    <t xml:space="preserve">ORD1014</t>
  </si>
  <si>
    <t xml:space="preserve">ORD1015</t>
  </si>
  <si>
    <t xml:space="preserve">ORD1016</t>
  </si>
  <si>
    <t xml:space="preserve">ORD1017</t>
  </si>
  <si>
    <t xml:space="preserve">ORD1018</t>
  </si>
  <si>
    <t xml:space="preserve">ORD1019</t>
  </si>
  <si>
    <t xml:space="preserve">Marker Set</t>
  </si>
  <si>
    <t xml:space="preserve">ORD1020</t>
  </si>
  <si>
    <t xml:space="preserve">ORD1021</t>
  </si>
  <si>
    <t xml:space="preserve">ORD1022</t>
  </si>
  <si>
    <t xml:space="preserve">ORD1023</t>
  </si>
  <si>
    <t xml:space="preserve">ORD1024</t>
  </si>
  <si>
    <t xml:space="preserve">Notebook Set</t>
  </si>
  <si>
    <t xml:space="preserve">ORD1025</t>
  </si>
  <si>
    <t xml:space="preserve">ORD1026</t>
  </si>
  <si>
    <t xml:space="preserve">ORD1027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</si>
  <si>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</si>
  <si>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</si>
  <si>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</si>
  <si>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</si>
  <si>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</si>
  <si>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Desk Lamp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</si>
  <si>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</si>
  <si>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</si>
  <si>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</si>
  <si>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</si>
  <si>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</si>
  <si>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</si>
  <si>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</si>
  <si>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</si>
  <si>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</si>
  <si>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</si>
  <si>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</si>
  <si>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</si>
  <si>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</si>
  <si>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</si>
  <si>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ORD1047</t>
  </si>
  <si>
    <t xml:space="preserve">ORD1048</t>
  </si>
  <si>
    <t xml:space="preserve">ORD1049</t>
  </si>
  <si>
    <t xml:space="preserve">Pen Pack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</si>
  <si>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</si>
  <si>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</si>
  <si>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</si>
  <si>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</si>
  <si>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</si>
  <si>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</si>
  <si>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Office Chair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</si>
  <si>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</si>
  <si>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</si>
  <si>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</si>
  <si>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</si>
  <si>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</si>
  <si>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</si>
  <si>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EAST </t>
  </si>
  <si>
    <t xml:space="preserve">ORD1062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</si>
  <si>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</si>
  <si>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</si>
  <si>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</si>
  <si>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</si>
  <si>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</si>
  <si>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</si>
  <si>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</si>
  <si>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</si>
  <si>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</si>
  <si>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</si>
  <si>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</si>
  <si>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</si>
  <si>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</si>
  <si>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</si>
  <si>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</si>
  <si>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</si>
  <si>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</si>
  <si>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</si>
  <si>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</si>
  <si>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</si>
  <si>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</si>
  <si>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</si>
  <si>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</si>
  <si>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</si>
  <si>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</si>
  <si>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</si>
  <si>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</si>
  <si>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</si>
  <si>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</si>
  <si>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</si>
  <si>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</si>
  <si>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</si>
  <si>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</si>
  <si>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</si>
  <si>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</si>
  <si>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</si>
  <si>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west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</si>
  <si>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</si>
  <si>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</si>
  <si>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</si>
  <si>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</si>
  <si>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</si>
  <si>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</si>
  <si>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</si>
  <si>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</si>
  <si>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</si>
  <si>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</si>
  <si>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</si>
  <si>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</si>
  <si>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</si>
  <si>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</si>
  <si>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</si>
  <si>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</si>
  <si>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</si>
  <si>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</si>
  <si>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</si>
  <si>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</si>
  <si>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</si>
  <si>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</si>
  <si>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</si>
  <si>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ORD1122</t>
  </si>
  <si>
    <t xml:space="preserve">ORD1123</t>
  </si>
  <si>
    <t xml:space="preserve">ORD1124</t>
  </si>
  <si>
    <t xml:space="preserve">ORD1125</t>
  </si>
  <si>
    <t xml:space="preserve">ORD1126</t>
  </si>
  <si>
    <t xml:space="preserve">ORD1127</t>
  </si>
  <si>
    <t xml:space="preserve">ORD1128</t>
  </si>
  <si>
    <t xml:space="preserve">ORD1129</t>
  </si>
  <si>
    <t xml:space="preserve">ORD1130</t>
  </si>
  <si>
    <t xml:space="preserve">ORD1131</t>
  </si>
  <si>
    <t xml:space="preserve">ORD1132</t>
  </si>
  <si>
    <t xml:space="preserve">ORD1133</t>
  </si>
  <si>
    <t xml:space="preserve">ORD1134</t>
  </si>
  <si>
    <t xml:space="preserve">ORD1135</t>
  </si>
  <si>
    <t xml:space="preserve">ORD1136</t>
  </si>
  <si>
    <t xml:space="preserve">north</t>
  </si>
  <si>
    <t xml:space="preserve">ORD1137</t>
  </si>
  <si>
    <t xml:space="preserve">ORD1138</t>
  </si>
  <si>
    <t xml:space="preserve">ORD1139</t>
  </si>
  <si>
    <t xml:space="preserve">ORD1140</t>
  </si>
  <si>
    <t xml:space="preserve">ORD1141</t>
  </si>
  <si>
    <t xml:space="preserve">ORD1142</t>
  </si>
  <si>
    <t xml:space="preserve">ORD1143</t>
  </si>
  <si>
    <t xml:space="preserve">ORD1144</t>
  </si>
  <si>
    <t xml:space="preserve">ORD1145</t>
  </si>
  <si>
    <t xml:space="preserve">ORD1146</t>
  </si>
  <si>
    <t xml:space="preserve">ORD1147</t>
  </si>
  <si>
    <t xml:space="preserve">ORD1148</t>
  </si>
  <si>
    <t xml:space="preserve">ORD1149</t>
  </si>
  <si>
    <t xml:space="preserve">ORD1150</t>
  </si>
  <si>
    <t xml:space="preserve">ORD1151</t>
  </si>
  <si>
    <t xml:space="preserve">ORD1152</t>
  </si>
  <si>
    <t xml:space="preserve">ORD1153</t>
  </si>
  <si>
    <t xml:space="preserve">ORD1154</t>
  </si>
  <si>
    <t xml:space="preserve">ORD1155</t>
  </si>
  <si>
    <t xml:space="preserve">ORD1156</t>
  </si>
  <si>
    <t xml:space="preserve">ORD1157</t>
  </si>
  <si>
    <t xml:space="preserve">ORD1158</t>
  </si>
  <si>
    <t xml:space="preserve">ORD1159</t>
  </si>
  <si>
    <t xml:space="preserve">ORD1160</t>
  </si>
  <si>
    <t xml:space="preserve">ORD1161</t>
  </si>
  <si>
    <t xml:space="preserve">ORD1162</t>
  </si>
  <si>
    <t xml:space="preserve">ORD1163</t>
  </si>
  <si>
    <t xml:space="preserve">ORD1164</t>
  </si>
  <si>
    <t xml:space="preserve">ORD1165</t>
  </si>
  <si>
    <t xml:space="preserve">ORD1166</t>
  </si>
  <si>
    <t xml:space="preserve">ORD1167</t>
  </si>
  <si>
    <t xml:space="preserve">ORD1168</t>
  </si>
  <si>
    <t xml:space="preserve">ORD1169</t>
  </si>
  <si>
    <t xml:space="preserve">ORD1170</t>
  </si>
  <si>
    <t xml:space="preserve">ORD1171</t>
  </si>
  <si>
    <t xml:space="preserve">ORD1172</t>
  </si>
  <si>
    <t xml:space="preserve">ORD1173</t>
  </si>
  <si>
    <t xml:space="preserve">ORD1174</t>
  </si>
  <si>
    <t xml:space="preserve">ORD1175</t>
  </si>
  <si>
    <t xml:space="preserve">ORD1176</t>
  </si>
  <si>
    <t xml:space="preserve">ORD1177</t>
  </si>
  <si>
    <t xml:space="preserve">ORD1178</t>
  </si>
  <si>
    <t xml:space="preserve">ORD1179</t>
  </si>
  <si>
    <t xml:space="preserve">ORD1180</t>
  </si>
  <si>
    <t xml:space="preserve">ORD1181</t>
  </si>
  <si>
    <t xml:space="preserve">ORD1182</t>
  </si>
  <si>
    <t xml:space="preserve">ORD1183</t>
  </si>
  <si>
    <t xml:space="preserve">ORD1184</t>
  </si>
  <si>
    <t xml:space="preserve">ORD1185</t>
  </si>
  <si>
    <t xml:space="preserve">ORD1186</t>
  </si>
  <si>
    <t xml:space="preserve">ORD1187</t>
  </si>
  <si>
    <t xml:space="preserve">ORD1188</t>
  </si>
  <si>
    <t xml:space="preserve">ORD1189</t>
  </si>
  <si>
    <t xml:space="preserve">ORD1190</t>
  </si>
  <si>
    <t xml:space="preserve">ORD1191</t>
  </si>
  <si>
    <t xml:space="preserve">ORD1192</t>
  </si>
  <si>
    <t xml:space="preserve">ORD1193</t>
  </si>
  <si>
    <t xml:space="preserve">ORD1194</t>
  </si>
  <si>
    <t xml:space="preserve">ORD1195</t>
  </si>
  <si>
    <t xml:space="preserve">ORD1196</t>
  </si>
  <si>
    <t xml:space="preserve">ORD1197</t>
  </si>
  <si>
    <t xml:space="preserve">ORD1198</t>
  </si>
  <si>
    <t xml:space="preserve">ORD1199</t>
  </si>
  <si>
    <t xml:space="preserve">ORD1200</t>
  </si>
  <si>
    <t xml:space="preserve">ORD1201</t>
  </si>
  <si>
    <t xml:space="preserve">ORD1202</t>
  </si>
  <si>
    <t xml:space="preserve">ORD1203</t>
  </si>
  <si>
    <t xml:space="preserve">ORD1204</t>
  </si>
  <si>
    <t xml:space="preserve">ORD1205</t>
  </si>
  <si>
    <t xml:space="preserve">ORD1206</t>
  </si>
  <si>
    <t xml:space="preserve">ORD1207</t>
  </si>
  <si>
    <t xml:space="preserve">ORD1208</t>
  </si>
  <si>
    <t xml:space="preserve">ORD1209</t>
  </si>
  <si>
    <t xml:space="preserve">ORD1210</t>
  </si>
  <si>
    <t xml:space="preserve">ORD1211</t>
  </si>
  <si>
    <t xml:space="preserve">ORD1212</t>
  </si>
  <si>
    <t xml:space="preserve">ORD1213</t>
  </si>
  <si>
    <t xml:space="preserve">ORD1214</t>
  </si>
  <si>
    <t xml:space="preserve">ORD1215</t>
  </si>
  <si>
    <t xml:space="preserve">ORD1216</t>
  </si>
  <si>
    <t xml:space="preserve">ORD1217</t>
  </si>
  <si>
    <t xml:space="preserve">ORD1218</t>
  </si>
  <si>
    <t xml:space="preserve">ORD1219</t>
  </si>
  <si>
    <t xml:space="preserve">ORD1220</t>
  </si>
  <si>
    <t xml:space="preserve">ORD1221</t>
  </si>
  <si>
    <t xml:space="preserve">ORD1222</t>
  </si>
  <si>
    <t xml:space="preserve">ORD1223</t>
  </si>
  <si>
    <t xml:space="preserve">ORD1224</t>
  </si>
  <si>
    <t xml:space="preserve">ORD1225</t>
  </si>
  <si>
    <t xml:space="preserve">ORD1226</t>
  </si>
  <si>
    <t xml:space="preserve">ORD1227</t>
  </si>
  <si>
    <t xml:space="preserve">ORD1228</t>
  </si>
  <si>
    <t xml:space="preserve">ORD1229</t>
  </si>
  <si>
    <t xml:space="preserve">ORD1230</t>
  </si>
  <si>
    <t xml:space="preserve">ORD1231</t>
  </si>
  <si>
    <t xml:space="preserve">ORD1232</t>
  </si>
  <si>
    <t xml:space="preserve">ORD1233</t>
  </si>
  <si>
    <t xml:space="preserve">ORD1234</t>
  </si>
  <si>
    <t xml:space="preserve">ORD1235</t>
  </si>
  <si>
    <t xml:space="preserve">ORD1236</t>
  </si>
  <si>
    <t xml:space="preserve">ORD1237</t>
  </si>
  <si>
    <t xml:space="preserve">ORD1238</t>
  </si>
  <si>
    <t xml:space="preserve">ORD1239</t>
  </si>
  <si>
    <t xml:space="preserve">ORD1240</t>
  </si>
  <si>
    <t xml:space="preserve">ORD1241</t>
  </si>
  <si>
    <t xml:space="preserve">ORD1242</t>
  </si>
  <si>
    <t xml:space="preserve">ORD1243</t>
  </si>
  <si>
    <t xml:space="preserve">ORD1244</t>
  </si>
  <si>
    <t xml:space="preserve">ORD1245</t>
  </si>
  <si>
    <t xml:space="preserve">ORD1246</t>
  </si>
  <si>
    <t xml:space="preserve">ORD1247</t>
  </si>
  <si>
    <t xml:space="preserve">ORD1248</t>
  </si>
  <si>
    <t xml:space="preserve">ORD1249</t>
  </si>
  <si>
    <t xml:space="preserve">ORD1250</t>
  </si>
  <si>
    <t xml:space="preserve">ORD1251</t>
  </si>
  <si>
    <t xml:space="preserve">ORD1252</t>
  </si>
  <si>
    <t xml:space="preserve">ORD1253</t>
  </si>
  <si>
    <t xml:space="preserve">ORD1254</t>
  </si>
  <si>
    <t xml:space="preserve">ORD1255</t>
  </si>
  <si>
    <t xml:space="preserve">ORD1256</t>
  </si>
  <si>
    <t xml:space="preserve">ORD1257</t>
  </si>
  <si>
    <t xml:space="preserve">ORD1258</t>
  </si>
  <si>
    <t xml:space="preserve">ORD1259</t>
  </si>
  <si>
    <t xml:space="preserve">ORD1260</t>
  </si>
  <si>
    <t xml:space="preserve">ORD1261</t>
  </si>
  <si>
    <t xml:space="preserve">ORD1262</t>
  </si>
  <si>
    <t xml:space="preserve">ORD1263</t>
  </si>
  <si>
    <t xml:space="preserve">ORD1264</t>
  </si>
  <si>
    <t xml:space="preserve">ORD1265</t>
  </si>
  <si>
    <t xml:space="preserve">ORD1266</t>
  </si>
  <si>
    <t xml:space="preserve">ORD1267</t>
  </si>
  <si>
    <t xml:space="preserve">ORD1268</t>
  </si>
  <si>
    <t xml:space="preserve">ORD1269</t>
  </si>
  <si>
    <t xml:space="preserve">ORD1270</t>
  </si>
  <si>
    <t xml:space="preserve">ORD1271</t>
  </si>
  <si>
    <t xml:space="preserve">ORD1272</t>
  </si>
  <si>
    <t xml:space="preserve">ORD1273</t>
  </si>
  <si>
    <t xml:space="preserve">ORD1274</t>
  </si>
  <si>
    <t xml:space="preserve">ORD1275</t>
  </si>
  <si>
    <t xml:space="preserve">ORD1276</t>
  </si>
  <si>
    <t xml:space="preserve">ORD1277</t>
  </si>
  <si>
    <t xml:space="preserve">ORD1278</t>
  </si>
  <si>
    <t xml:space="preserve">ORD1279</t>
  </si>
  <si>
    <t xml:space="preserve">ORD1280</t>
  </si>
  <si>
    <t xml:space="preserve">ORD1281</t>
  </si>
  <si>
    <t xml:space="preserve">ORD1282</t>
  </si>
  <si>
    <t xml:space="preserve">ORD1283</t>
  </si>
  <si>
    <t xml:space="preserve">ORD1284</t>
  </si>
  <si>
    <t xml:space="preserve">ORD1285</t>
  </si>
  <si>
    <t xml:space="preserve">ORD1286</t>
  </si>
  <si>
    <t xml:space="preserve">ORD1287</t>
  </si>
  <si>
    <t xml:space="preserve">ORD1288</t>
  </si>
  <si>
    <t xml:space="preserve">ORD1289</t>
  </si>
  <si>
    <t xml:space="preserve">ORD1290</t>
  </si>
  <si>
    <t xml:space="preserve">ORD1291</t>
  </si>
  <si>
    <t xml:space="preserve">ORD1292</t>
  </si>
  <si>
    <t xml:space="preserve">ORD1293</t>
  </si>
  <si>
    <t xml:space="preserve">ORD1294</t>
  </si>
  <si>
    <t xml:space="preserve">ORD1295</t>
  </si>
  <si>
    <t xml:space="preserve">ORD1296</t>
  </si>
  <si>
    <t xml:space="preserve">ORD1297</t>
  </si>
  <si>
    <t xml:space="preserve">ORD1298</t>
  </si>
  <si>
    <t xml:space="preserve">ORD1299</t>
  </si>
  <si>
    <t xml:space="preserve">ORD1300</t>
  </si>
  <si>
    <t xml:space="preserve">ORD1301</t>
  </si>
  <si>
    <t xml:space="preserve">ORD1302</t>
  </si>
  <si>
    <t xml:space="preserve">ORD1303</t>
  </si>
  <si>
    <t xml:space="preserve">ORD1304</t>
  </si>
  <si>
    <t xml:space="preserve">ORD1305</t>
  </si>
  <si>
    <t xml:space="preserve">ORD1306</t>
  </si>
  <si>
    <t xml:space="preserve">ORD1307</t>
  </si>
  <si>
    <t xml:space="preserve">ORD1308</t>
  </si>
  <si>
    <t xml:space="preserve">ORD1309</t>
  </si>
  <si>
    <t xml:space="preserve">ORD1310</t>
  </si>
  <si>
    <t xml:space="preserve">ORD1311</t>
  </si>
  <si>
    <t xml:space="preserve">ORD1312</t>
  </si>
  <si>
    <t xml:space="preserve">ORD1313</t>
  </si>
  <si>
    <t xml:space="preserve">ORD1314</t>
  </si>
  <si>
    <t xml:space="preserve">ORD1315</t>
  </si>
  <si>
    <t xml:space="preserve">ORD1316</t>
  </si>
  <si>
    <t xml:space="preserve">ORD1317</t>
  </si>
  <si>
    <t xml:space="preserve">ORD1318</t>
  </si>
  <si>
    <t xml:space="preserve">ORD1319</t>
  </si>
  <si>
    <t xml:space="preserve">ORD1320</t>
  </si>
  <si>
    <t xml:space="preserve">ORD1321</t>
  </si>
  <si>
    <t xml:space="preserve">ORD1322</t>
  </si>
  <si>
    <t xml:space="preserve">ORD1323</t>
  </si>
  <si>
    <t xml:space="preserve">ORD1324</t>
  </si>
  <si>
    <t xml:space="preserve">ORD1325</t>
  </si>
  <si>
    <t xml:space="preserve">ORD1326</t>
  </si>
  <si>
    <t xml:space="preserve">ORD1327</t>
  </si>
  <si>
    <t xml:space="preserve">ORD1328</t>
  </si>
  <si>
    <t xml:space="preserve">ORD1329</t>
  </si>
  <si>
    <t xml:space="preserve">ORD1330</t>
  </si>
  <si>
    <t xml:space="preserve">ORD1331</t>
  </si>
  <si>
    <t xml:space="preserve">ORD1332</t>
  </si>
  <si>
    <t xml:space="preserve">ORD1333</t>
  </si>
  <si>
    <t xml:space="preserve">ORD1334</t>
  </si>
  <si>
    <t xml:space="preserve">ORD1335</t>
  </si>
  <si>
    <t xml:space="preserve">ORD1336</t>
  </si>
  <si>
    <t xml:space="preserve">ORD1337</t>
  </si>
  <si>
    <t xml:space="preserve">ORD1338</t>
  </si>
  <si>
    <t xml:space="preserve">ORD1339</t>
  </si>
  <si>
    <t xml:space="preserve">ORD1340</t>
  </si>
  <si>
    <t xml:space="preserve">ORD1341</t>
  </si>
  <si>
    <t xml:space="preserve">ORD1342</t>
  </si>
  <si>
    <t xml:space="preserve">ORD1343</t>
  </si>
  <si>
    <t xml:space="preserve">ORD1344</t>
  </si>
  <si>
    <t xml:space="preserve">ORD1345</t>
  </si>
  <si>
    <t xml:space="preserve">ORD1346</t>
  </si>
  <si>
    <t xml:space="preserve">ORD1347</t>
  </si>
  <si>
    <t xml:space="preserve">ORD1348</t>
  </si>
  <si>
    <t xml:space="preserve">ORD1349</t>
  </si>
  <si>
    <t xml:space="preserve">ORD1350</t>
  </si>
  <si>
    <t xml:space="preserve">ORD1351</t>
  </si>
  <si>
    <t xml:space="preserve">ORD1352</t>
  </si>
  <si>
    <t xml:space="preserve">ORD1353</t>
  </si>
  <si>
    <t xml:space="preserve">ORD1354</t>
  </si>
  <si>
    <t xml:space="preserve">ORD1355</t>
  </si>
  <si>
    <t xml:space="preserve">ORD1356</t>
  </si>
  <si>
    <t xml:space="preserve">ORD1357</t>
  </si>
  <si>
    <t xml:space="preserve">ORD1358</t>
  </si>
  <si>
    <t xml:space="preserve">ORD1359</t>
  </si>
  <si>
    <t xml:space="preserve">ORD1360</t>
  </si>
  <si>
    <t xml:space="preserve">ORD1361</t>
  </si>
  <si>
    <t xml:space="preserve">ORD1362</t>
  </si>
  <si>
    <t xml:space="preserve">ORD1363</t>
  </si>
  <si>
    <t xml:space="preserve">ORD1364</t>
  </si>
  <si>
    <t xml:space="preserve">ORD1365</t>
  </si>
  <si>
    <t xml:space="preserve">ORD1366</t>
  </si>
  <si>
    <t xml:space="preserve">ORD1367</t>
  </si>
  <si>
    <t xml:space="preserve">ORD1368</t>
  </si>
  <si>
    <t xml:space="preserve">ORD1369</t>
  </si>
  <si>
    <t xml:space="preserve">ORD1370</t>
  </si>
  <si>
    <t xml:space="preserve">ORD1371</t>
  </si>
  <si>
    <t xml:space="preserve">ORD1372</t>
  </si>
  <si>
    <t xml:space="preserve">ORD1373</t>
  </si>
  <si>
    <t xml:space="preserve">ORD1374</t>
  </si>
  <si>
    <t xml:space="preserve">ORD1375</t>
  </si>
  <si>
    <t xml:space="preserve">ORD1376</t>
  </si>
  <si>
    <t xml:space="preserve">ORD1377</t>
  </si>
  <si>
    <t xml:space="preserve">ORD1378</t>
  </si>
  <si>
    <t xml:space="preserve">ORD1379</t>
  </si>
  <si>
    <t xml:space="preserve">ORD1380</t>
  </si>
  <si>
    <t xml:space="preserve">ORD1381</t>
  </si>
  <si>
    <t xml:space="preserve">ORD1382</t>
  </si>
  <si>
    <t xml:space="preserve">ORD1383</t>
  </si>
  <si>
    <t xml:space="preserve">ORD1384</t>
  </si>
  <si>
    <t xml:space="preserve">ORD1385</t>
  </si>
  <si>
    <t xml:space="preserve">ORD1386</t>
  </si>
  <si>
    <t xml:space="preserve">ORD1387</t>
  </si>
  <si>
    <t xml:space="preserve">ORD1388</t>
  </si>
  <si>
    <t xml:space="preserve">ORD1389</t>
  </si>
  <si>
    <t xml:space="preserve">ORD1390</t>
  </si>
  <si>
    <t xml:space="preserve">ORD1391</t>
  </si>
  <si>
    <t xml:space="preserve">ORD1392</t>
  </si>
  <si>
    <t xml:space="preserve">ORD1393</t>
  </si>
  <si>
    <t xml:space="preserve">ORD1394</t>
  </si>
  <si>
    <t xml:space="preserve">ORD1395</t>
  </si>
  <si>
    <t xml:space="preserve">ORD1396</t>
  </si>
  <si>
    <t xml:space="preserve">ORD1397</t>
  </si>
  <si>
    <t xml:space="preserve">ORD1398</t>
  </si>
  <si>
    <t xml:space="preserve">ORD1399</t>
  </si>
  <si>
    <t xml:space="preserve">ORD1400</t>
  </si>
  <si>
    <t xml:space="preserve">ORD1401</t>
  </si>
  <si>
    <t xml:space="preserve">ORD1402</t>
  </si>
  <si>
    <t xml:space="preserve">ORD1403</t>
  </si>
  <si>
    <t xml:space="preserve">ORD1404</t>
  </si>
  <si>
    <t xml:space="preserve">ORD1405</t>
  </si>
  <si>
    <t xml:space="preserve">ORD1406</t>
  </si>
  <si>
    <t xml:space="preserve">ORD1407</t>
  </si>
  <si>
    <t xml:space="preserve">ORD1408</t>
  </si>
  <si>
    <t xml:space="preserve">ORD1409</t>
  </si>
  <si>
    <t xml:space="preserve">ORD1410</t>
  </si>
  <si>
    <t xml:space="preserve">ORD1411</t>
  </si>
  <si>
    <t xml:space="preserve">ORD1412</t>
  </si>
  <si>
    <t xml:space="preserve">ORD1413</t>
  </si>
  <si>
    <t xml:space="preserve">ORD1414</t>
  </si>
  <si>
    <t xml:space="preserve">ORD1415</t>
  </si>
  <si>
    <t xml:space="preserve">ORD1416</t>
  </si>
  <si>
    <t xml:space="preserve">ORD1417</t>
  </si>
  <si>
    <t xml:space="preserve">ORD1418</t>
  </si>
  <si>
    <t xml:space="preserve">ORD1419</t>
  </si>
  <si>
    <t xml:space="preserve">ORD1420</t>
  </si>
  <si>
    <t xml:space="preserve">ORD1421</t>
  </si>
  <si>
    <t xml:space="preserve">ORD1422</t>
  </si>
  <si>
    <t xml:space="preserve"> South</t>
  </si>
  <si>
    <t xml:space="preserve">ORD1423</t>
  </si>
  <si>
    <t xml:space="preserve">ORD1424</t>
  </si>
  <si>
    <t xml:space="preserve">ORD1425</t>
  </si>
  <si>
    <t xml:space="preserve">ORD1426</t>
  </si>
  <si>
    <t xml:space="preserve">ORD1427</t>
  </si>
  <si>
    <t xml:space="preserve">ORD1428</t>
  </si>
  <si>
    <t xml:space="preserve">ORD1429</t>
  </si>
  <si>
    <t xml:space="preserve">ORD1430</t>
  </si>
  <si>
    <t xml:space="preserve">ORD1431</t>
  </si>
  <si>
    <t xml:space="preserve">ORD1432</t>
  </si>
  <si>
    <t xml:space="preserve">ORD1433</t>
  </si>
  <si>
    <t xml:space="preserve">ORD1434</t>
  </si>
  <si>
    <t xml:space="preserve">ORD1435</t>
  </si>
  <si>
    <t xml:space="preserve">ORD1436</t>
  </si>
  <si>
    <t xml:space="preserve">ORD1437</t>
  </si>
  <si>
    <t xml:space="preserve">ORD1438</t>
  </si>
  <si>
    <t xml:space="preserve">ORD1439</t>
  </si>
  <si>
    <t xml:space="preserve">ORD1440</t>
  </si>
  <si>
    <t xml:space="preserve">ORD1441</t>
  </si>
  <si>
    <t xml:space="preserve">ORD1442</t>
  </si>
  <si>
    <t xml:space="preserve">ORD1443</t>
  </si>
  <si>
    <t xml:space="preserve">ORD1444</t>
  </si>
  <si>
    <t xml:space="preserve">ORD1445</t>
  </si>
  <si>
    <t xml:space="preserve">ORD1446</t>
  </si>
  <si>
    <t xml:space="preserve">ORD1447</t>
  </si>
  <si>
    <t xml:space="preserve">ORD1448</t>
  </si>
  <si>
    <t xml:space="preserve">ORD1449</t>
  </si>
  <si>
    <t xml:space="preserve">ORD1450</t>
  </si>
  <si>
    <t xml:space="preserve">ORD1451</t>
  </si>
  <si>
    <t xml:space="preserve">ORD1452</t>
  </si>
  <si>
    <t xml:space="preserve">ORD1453</t>
  </si>
  <si>
    <t xml:space="preserve">ORD1454</t>
  </si>
  <si>
    <t xml:space="preserve">ORD1455</t>
  </si>
  <si>
    <t xml:space="preserve">ORD1456</t>
  </si>
  <si>
    <t xml:space="preserve">ORD1457</t>
  </si>
  <si>
    <t xml:space="preserve">ORD1458</t>
  </si>
  <si>
    <t xml:space="preserve">ORD1459</t>
  </si>
  <si>
    <t xml:space="preserve">ORD1460</t>
  </si>
  <si>
    <t xml:space="preserve">ORD1461</t>
  </si>
  <si>
    <t xml:space="preserve">ORD1462</t>
  </si>
  <si>
    <t xml:space="preserve">ORD1463</t>
  </si>
  <si>
    <t xml:space="preserve">ORD1464</t>
  </si>
  <si>
    <t xml:space="preserve">ORD1465</t>
  </si>
  <si>
    <t xml:space="preserve">ORD1466</t>
  </si>
  <si>
    <t xml:space="preserve">ORD1467</t>
  </si>
  <si>
    <t xml:space="preserve">ORD1468</t>
  </si>
  <si>
    <t xml:space="preserve">ORD1469</t>
  </si>
  <si>
    <t xml:space="preserve">ORD1470</t>
  </si>
  <si>
    <t xml:space="preserve">ORD1471</t>
  </si>
  <si>
    <t xml:space="preserve">ORD1472</t>
  </si>
  <si>
    <t xml:space="preserve">ORD1473</t>
  </si>
  <si>
    <t xml:space="preserve">ORD1474</t>
  </si>
  <si>
    <t xml:space="preserve">ORD1475</t>
  </si>
  <si>
    <t xml:space="preserve">ORD1476</t>
  </si>
  <si>
    <t xml:space="preserve">ORD1477</t>
  </si>
  <si>
    <t xml:space="preserve">ORD1478</t>
  </si>
  <si>
    <t xml:space="preserve">ORD1479</t>
  </si>
  <si>
    <t xml:space="preserve">ORD1480</t>
  </si>
  <si>
    <t xml:space="preserve">ORD1481</t>
  </si>
  <si>
    <t xml:space="preserve">ORD1482</t>
  </si>
  <si>
    <t xml:space="preserve">ORD1483</t>
  </si>
  <si>
    <t xml:space="preserve">ORD1484</t>
  </si>
  <si>
    <t xml:space="preserve">ORD1485</t>
  </si>
  <si>
    <t xml:space="preserve">ORD1486</t>
  </si>
  <si>
    <t xml:space="preserve">ORD1487</t>
  </si>
  <si>
    <t xml:space="preserve">ORD1488</t>
  </si>
  <si>
    <t xml:space="preserve">ORD1489</t>
  </si>
  <si>
    <t xml:space="preserve">ORD1490</t>
  </si>
  <si>
    <t xml:space="preserve">ORD1491</t>
  </si>
  <si>
    <t xml:space="preserve">ORD1492</t>
  </si>
  <si>
    <t xml:space="preserve">ORD1493</t>
  </si>
  <si>
    <t xml:space="preserve">ORD1494</t>
  </si>
  <si>
    <t xml:space="preserve">ORD1495</t>
  </si>
  <si>
    <t xml:space="preserve">ORD1496</t>
  </si>
  <si>
    <t xml:space="preserve">ORD1497</t>
  </si>
  <si>
    <t xml:space="preserve">ORD1498</t>
  </si>
  <si>
    <t xml:space="preserve">ORD1499</t>
  </si>
  <si>
    <t xml:space="preserve">ORD1500</t>
  </si>
  <si>
    <t xml:space="preserve">ORD1501</t>
  </si>
  <si>
    <t xml:space="preserve">ORD1502</t>
  </si>
  <si>
    <t xml:space="preserve">ORD1503</t>
  </si>
  <si>
    <t xml:space="preserve">ORD1504</t>
  </si>
  <si>
    <t xml:space="preserve">ORD1505</t>
  </si>
  <si>
    <t xml:space="preserve">ORD1506</t>
  </si>
  <si>
    <t xml:space="preserve">ORD1507</t>
  </si>
  <si>
    <t xml:space="preserve">ORD1508</t>
  </si>
  <si>
    <t xml:space="preserve">ORD1509</t>
  </si>
  <si>
    <t xml:space="preserve">ORD1510</t>
  </si>
  <si>
    <t xml:space="preserve">ORD1511</t>
  </si>
  <si>
    <t xml:space="preserve">ORD1512</t>
  </si>
  <si>
    <t xml:space="preserve">ORD1513</t>
  </si>
  <si>
    <t xml:space="preserve">ORD1514</t>
  </si>
  <si>
    <t xml:space="preserve">ORD1515</t>
  </si>
  <si>
    <t xml:space="preserve">ORD1516</t>
  </si>
  <si>
    <t xml:space="preserve">ORD1517</t>
  </si>
  <si>
    <t xml:space="preserve">ORD1518</t>
  </si>
  <si>
    <t xml:space="preserve">ORD1519</t>
  </si>
  <si>
    <t xml:space="preserve">ORD1520</t>
  </si>
  <si>
    <t xml:space="preserve">ORD1521</t>
  </si>
  <si>
    <t xml:space="preserve">ORD1522</t>
  </si>
  <si>
    <t xml:space="preserve">ORD1523</t>
  </si>
  <si>
    <t xml:space="preserve">ORD1524</t>
  </si>
  <si>
    <t xml:space="preserve">ORD1525</t>
  </si>
  <si>
    <t xml:space="preserve">ORD1526</t>
  </si>
  <si>
    <t xml:space="preserve">ORD1527</t>
  </si>
  <si>
    <t xml:space="preserve">ORD1528</t>
  </si>
  <si>
    <t xml:space="preserve">ORD1529</t>
  </si>
  <si>
    <t xml:space="preserve">ORD1530</t>
  </si>
  <si>
    <t xml:space="preserve">ORD1531</t>
  </si>
  <si>
    <t xml:space="preserve">ORD1532</t>
  </si>
  <si>
    <t xml:space="preserve">ORD1533</t>
  </si>
  <si>
    <t xml:space="preserve">ORD1534</t>
  </si>
  <si>
    <t xml:space="preserve">ORD1535</t>
  </si>
  <si>
    <t xml:space="preserve">ORD1536</t>
  </si>
  <si>
    <t xml:space="preserve">ORD1537</t>
  </si>
  <si>
    <t xml:space="preserve">ORD1538</t>
  </si>
  <si>
    <t xml:space="preserve">ORD1539</t>
  </si>
  <si>
    <t xml:space="preserve">ORD1540</t>
  </si>
  <si>
    <t xml:space="preserve">ORD1541</t>
  </si>
  <si>
    <t xml:space="preserve">ORD1542</t>
  </si>
  <si>
    <t xml:space="preserve">ORD1543</t>
  </si>
  <si>
    <t xml:space="preserve">ORD1544</t>
  </si>
  <si>
    <t xml:space="preserve">ORD1545</t>
  </si>
  <si>
    <t xml:space="preserve">ORD1546</t>
  </si>
  <si>
    <t xml:space="preserve">ORD1547</t>
  </si>
  <si>
    <t xml:space="preserve">ORD1548</t>
  </si>
  <si>
    <t xml:space="preserve">ORD1549</t>
  </si>
  <si>
    <t xml:space="preserve">ORD1550</t>
  </si>
  <si>
    <t xml:space="preserve">ORD1551</t>
  </si>
  <si>
    <t xml:space="preserve">ORD1552</t>
  </si>
  <si>
    <t xml:space="preserve">ORD1553</t>
  </si>
  <si>
    <t xml:space="preserve">ORD1554</t>
  </si>
  <si>
    <t xml:space="preserve">ORD1555</t>
  </si>
  <si>
    <t xml:space="preserve">ORD1556</t>
  </si>
  <si>
    <t xml:space="preserve">ORD1557</t>
  </si>
  <si>
    <t xml:space="preserve">ORD1558</t>
  </si>
  <si>
    <t xml:space="preserve">ORD1559</t>
  </si>
  <si>
    <t xml:space="preserve">ORD1560</t>
  </si>
  <si>
    <t xml:space="preserve">ORD1561</t>
  </si>
  <si>
    <t xml:space="preserve">ORD1562</t>
  </si>
  <si>
    <t xml:space="preserve">ORD1563</t>
  </si>
  <si>
    <t xml:space="preserve">ORD1564</t>
  </si>
  <si>
    <t xml:space="preserve">ORD1565</t>
  </si>
  <si>
    <t xml:space="preserve">ORD1566</t>
  </si>
  <si>
    <t xml:space="preserve">ORD1567</t>
  </si>
  <si>
    <t xml:space="preserve">ORD1568</t>
  </si>
  <si>
    <t xml:space="preserve">ORD1569</t>
  </si>
  <si>
    <t xml:space="preserve">ORD1570</t>
  </si>
  <si>
    <t xml:space="preserve">ORD1571</t>
  </si>
  <si>
    <t xml:space="preserve">ORD1572</t>
  </si>
  <si>
    <t xml:space="preserve">ORD1573</t>
  </si>
  <si>
    <t xml:space="preserve">ORD1574</t>
  </si>
  <si>
    <t xml:space="preserve">ORD1575</t>
  </si>
  <si>
    <t xml:space="preserve">ORD1576</t>
  </si>
  <si>
    <t xml:space="preserve">ORD1577</t>
  </si>
  <si>
    <t xml:space="preserve">ORD1578</t>
  </si>
  <si>
    <t xml:space="preserve">ORD1579</t>
  </si>
  <si>
    <t xml:space="preserve">ORD1580</t>
  </si>
  <si>
    <t xml:space="preserve">ORD1581</t>
  </si>
  <si>
    <t xml:space="preserve">ORD1582</t>
  </si>
  <si>
    <t xml:space="preserve">ORD1583</t>
  </si>
  <si>
    <t xml:space="preserve">ORD1584</t>
  </si>
  <si>
    <t xml:space="preserve">ORD1585</t>
  </si>
  <si>
    <t xml:space="preserve">ORD1586</t>
  </si>
  <si>
    <t xml:space="preserve">ORD1587</t>
  </si>
  <si>
    <t xml:space="preserve">ORD1588</t>
  </si>
  <si>
    <t xml:space="preserve">ORD1589</t>
  </si>
  <si>
    <t xml:space="preserve">ORD1590</t>
  </si>
  <si>
    <t xml:space="preserve">ORD1591</t>
  </si>
  <si>
    <t xml:space="preserve">ORD1592</t>
  </si>
  <si>
    <t xml:space="preserve">ORD1593</t>
  </si>
  <si>
    <t xml:space="preserve">ORD1594</t>
  </si>
  <si>
    <t xml:space="preserve">ORD1595</t>
  </si>
  <si>
    <t xml:space="preserve">ORD1596</t>
  </si>
  <si>
    <t xml:space="preserve">ORD1597</t>
  </si>
  <si>
    <t xml:space="preserve">ORD1598</t>
  </si>
  <si>
    <t xml:space="preserve">ORD1599</t>
  </si>
  <si>
    <t xml:space="preserve">ORD1600</t>
  </si>
  <si>
    <t xml:space="preserve">ORD1601</t>
  </si>
  <si>
    <t xml:space="preserve">ORD1602</t>
  </si>
  <si>
    <t xml:space="preserve">ORD1603</t>
  </si>
  <si>
    <t xml:space="preserve">ORD1604</t>
  </si>
  <si>
    <t xml:space="preserve">ORD1605</t>
  </si>
  <si>
    <t xml:space="preserve">ORD1606</t>
  </si>
  <si>
    <t xml:space="preserve">ORD1607</t>
  </si>
  <si>
    <t xml:space="preserve">ORD1608</t>
  </si>
  <si>
    <t xml:space="preserve">ORD1609</t>
  </si>
  <si>
    <t xml:space="preserve">ORD1610</t>
  </si>
  <si>
    <t xml:space="preserve">ORD1611</t>
  </si>
  <si>
    <t xml:space="preserve">ORD1612</t>
  </si>
  <si>
    <t xml:space="preserve">ORD1613</t>
  </si>
  <si>
    <t xml:space="preserve">ORD1614</t>
  </si>
  <si>
    <t xml:space="preserve">ORD1615</t>
  </si>
  <si>
    <t xml:space="preserve">ORD1616</t>
  </si>
  <si>
    <t xml:space="preserve">ORD1617</t>
  </si>
  <si>
    <t xml:space="preserve">ORD1618</t>
  </si>
  <si>
    <t xml:space="preserve">ORD1619</t>
  </si>
  <si>
    <t xml:space="preserve">ORD1620</t>
  </si>
  <si>
    <t xml:space="preserve">ORD1621</t>
  </si>
  <si>
    <t xml:space="preserve">ORD1622</t>
  </si>
  <si>
    <t xml:space="preserve">ORD1623</t>
  </si>
  <si>
    <t xml:space="preserve">ORD1624</t>
  </si>
  <si>
    <t xml:space="preserve">ORD1625</t>
  </si>
  <si>
    <t xml:space="preserve">ORD1626</t>
  </si>
  <si>
    <t xml:space="preserve">ORD1627</t>
  </si>
  <si>
    <t xml:space="preserve">ORD1628</t>
  </si>
  <si>
    <t xml:space="preserve">ORD1629</t>
  </si>
  <si>
    <t xml:space="preserve">ORD1630</t>
  </si>
  <si>
    <t xml:space="preserve">ORD1631</t>
  </si>
  <si>
    <t xml:space="preserve">ORD1632</t>
  </si>
  <si>
    <t xml:space="preserve">ORD1633</t>
  </si>
  <si>
    <t xml:space="preserve">ORD1634</t>
  </si>
  <si>
    <t xml:space="preserve">ORD1635</t>
  </si>
  <si>
    <t xml:space="preserve">ORD1636</t>
  </si>
  <si>
    <t xml:space="preserve">ORD1637</t>
  </si>
  <si>
    <t xml:space="preserve">ORD1638</t>
  </si>
  <si>
    <t xml:space="preserve">ORD1639</t>
  </si>
  <si>
    <t xml:space="preserve">ORD1640</t>
  </si>
  <si>
    <t xml:space="preserve">ORD1641</t>
  </si>
  <si>
    <t xml:space="preserve">ORD1642</t>
  </si>
  <si>
    <t xml:space="preserve">ORD1643</t>
  </si>
  <si>
    <t xml:space="preserve">ORD1644</t>
  </si>
  <si>
    <t xml:space="preserve">ORD1645</t>
  </si>
  <si>
    <t xml:space="preserve">ORD1646</t>
  </si>
  <si>
    <t xml:space="preserve">ORD1647</t>
  </si>
  <si>
    <t xml:space="preserve">ORD1648</t>
  </si>
  <si>
    <t xml:space="preserve">ORD1649</t>
  </si>
  <si>
    <t xml:space="preserve">ORD1650</t>
  </si>
  <si>
    <t xml:space="preserve">ORD1651</t>
  </si>
  <si>
    <t xml:space="preserve">ORD1652</t>
  </si>
  <si>
    <t xml:space="preserve">ORD1653</t>
  </si>
  <si>
    <t xml:space="preserve">ORD1654</t>
  </si>
  <si>
    <t xml:space="preserve">ORD1655</t>
  </si>
  <si>
    <t xml:space="preserve">ORD1656</t>
  </si>
  <si>
    <t xml:space="preserve">ORD1657</t>
  </si>
  <si>
    <t xml:space="preserve">ORD1658</t>
  </si>
  <si>
    <t xml:space="preserve">ORD1659</t>
  </si>
  <si>
    <t xml:space="preserve">ORD1660</t>
  </si>
  <si>
    <t xml:space="preserve">ORD1661</t>
  </si>
  <si>
    <t xml:space="preserve">ORD1662</t>
  </si>
  <si>
    <t xml:space="preserve">ORD1663</t>
  </si>
  <si>
    <t xml:space="preserve">ORD1664</t>
  </si>
  <si>
    <t xml:space="preserve">ORD1665</t>
  </si>
  <si>
    <t xml:space="preserve">ORD1666</t>
  </si>
  <si>
    <t xml:space="preserve">ORD1667</t>
  </si>
  <si>
    <t xml:space="preserve">ORD1668</t>
  </si>
  <si>
    <t xml:space="preserve">ORD1669</t>
  </si>
  <si>
    <t xml:space="preserve">ORD1670</t>
  </si>
  <si>
    <t xml:space="preserve">ORD1671</t>
  </si>
  <si>
    <t xml:space="preserve">ORD1672</t>
  </si>
  <si>
    <t xml:space="preserve">ORD1673</t>
  </si>
  <si>
    <t xml:space="preserve">ORD1674</t>
  </si>
  <si>
    <t xml:space="preserve">ORD1675</t>
  </si>
  <si>
    <t xml:space="preserve">ORD1676</t>
  </si>
  <si>
    <t xml:space="preserve">ORD1677</t>
  </si>
  <si>
    <t xml:space="preserve">ORD1678</t>
  </si>
  <si>
    <t xml:space="preserve">ORD1679</t>
  </si>
  <si>
    <t xml:space="preserve">ORD1680</t>
  </si>
  <si>
    <t xml:space="preserve">ORD1681</t>
  </si>
  <si>
    <t xml:space="preserve">ORD1682</t>
  </si>
  <si>
    <t xml:space="preserve">ORD1683</t>
  </si>
  <si>
    <t xml:space="preserve">ORD1684</t>
  </si>
  <si>
    <t xml:space="preserve">ORD1685</t>
  </si>
  <si>
    <t xml:space="preserve">ORD1686</t>
  </si>
  <si>
    <t xml:space="preserve">ORD1687</t>
  </si>
  <si>
    <t xml:space="preserve">ORD1688</t>
  </si>
  <si>
    <t xml:space="preserve">ORD1689</t>
  </si>
  <si>
    <t xml:space="preserve">ORD1690</t>
  </si>
  <si>
    <t xml:space="preserve">ORD1691</t>
  </si>
  <si>
    <t xml:space="preserve">ORD1692</t>
  </si>
  <si>
    <t xml:space="preserve">Step</t>
  </si>
  <si>
    <t xml:space="preserve">Action</t>
  </si>
  <si>
    <t xml:space="preserve">Rows affected</t>
  </si>
  <si>
    <t xml:space="preserve">Start</t>
  </si>
  <si>
    <t xml:space="preserve">Rows in raw data</t>
  </si>
  <si>
    <t xml:space="preserve">1</t>
  </si>
  <si>
    <t xml:space="preserve">Removed exact duplicate rows</t>
  </si>
  <si>
    <t xml:space="preserve">2</t>
  </si>
  <si>
    <t xml:space="preserve">Trimmed spaces and fixed text case in Region (e.g. north, " South", "EAST ")</t>
  </si>
  <si>
    <t xml:space="preserve">3</t>
  </si>
  <si>
    <t xml:space="preserve">Missing Region labelled "Unspecified" (rows kept, as sales data is still valid)</t>
  </si>
  <si>
    <t xml:space="preserve">4</t>
  </si>
  <si>
    <t xml:space="preserve">Removed rows with missing Qty (revenue cannot be calculated)</t>
  </si>
  <si>
    <t xml:space="preserve">End</t>
  </si>
  <si>
    <t xml:space="preserve">Rows in clean data</t>
  </si>
  <si>
    <t xml:space="preserve">Month</t>
  </si>
  <si>
    <t xml:space="preserve">Revenue</t>
  </si>
  <si>
    <t xml:space="preserve">Profit</t>
  </si>
  <si>
    <t xml:space="preserve">Unspecified</t>
  </si>
  <si>
    <t xml:space="preserve">Summary tables (all values calculated from Clean_Data)</t>
  </si>
  <si>
    <t xml:space="preserve">Month No</t>
  </si>
  <si>
    <t xml:space="preserve">Orders</t>
  </si>
  <si>
    <t xml:space="preserve">Units</t>
  </si>
  <si>
    <t xml:space="preserve">MoM Growth</t>
  </si>
  <si>
    <t xml:space="preserve">Margin</t>
  </si>
  <si>
    <t xml:space="preserve">Share of Revenue</t>
  </si>
  <si>
    <t xml:space="preserve">Jan</t>
  </si>
  <si>
    <t xml:space="preserve">Feb</t>
  </si>
  <si>
    <t xml:space="preserve">Mar</t>
  </si>
  <si>
    <t xml:space="preserve">Apr</t>
  </si>
  <si>
    <t xml:space="preserve">Total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</si>
  <si>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</si>
  <si>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</si>
  <si>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</si>
  <si>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</si>
  <si>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</si>
  <si>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</si>
  <si>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</si>
  <si>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</si>
  <si>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Key Insights and Recommendations (based on the sample dataset)</t>
  </si>
  <si>
    <t xml:space="preserve">What the data shows</t>
  </si>
  <si>
    <t xml:space="preserve">1. Total revenue is INR 44.6 lakh from 684 orders. Profit is INR 14.7 lakh, a margin of 32.9%.</t>
  </si>
  <si>
    <t xml:space="preserve">2. Sales peak in the last quarter. Oct to Dec bring 32.3% of yearly revenue. November is the best month (INR 5.30 lakh).</t>
  </si>
  <si>
    <t xml:space="preserve">3. February is the weakest month (INR 2.62 lakh). November is about twice as high.</t>
  </si>
  <si>
    <t xml:space="preserve">4. Furniture earns 55.6% of revenue. Study Desk is the top product at INR 10.7 lakh.</t>
  </si>
  <si>
    <t xml:space="preserve">5. Stationery gives only 14.8% of revenue but has the best margin at 49.2%.</t>
  </si>
  <si>
    <t xml:space="preserve">6. Smart Watch has the lowest margin (24.0%) even though it is the third best product by revenue.</t>
  </si>
  <si>
    <t xml:space="preserve">7. South is the top region with 35.5% of revenue. East and West are each near 19.5% to 19.9%.</t>
  </si>
  <si>
    <t xml:space="preserve">Recommendations</t>
  </si>
  <si>
    <t xml:space="preserve">1. Stock up and run campaigns before October, because demand rises sharply in Q4.</t>
  </si>
  <si>
    <t xml:space="preserve">2. Plan a small offer in February to lift the low month.</t>
  </si>
  <si>
    <t xml:space="preserve">3. Review the Smart Watch price or cost, as the margin is low.</t>
  </si>
  <si>
    <t xml:space="preserve">4. Bundle Stationery items with Furniture orders to raise profit per order.</t>
  </si>
  <si>
    <t xml:space="preserve">5. Study why East and West trail South, and test local promotions there.</t>
  </si>
  <si>
    <t xml:space="preserve">Notes</t>
  </si>
  <si>
    <t xml:space="preserve">Percentages and totals come from the Analysis sheet. The data is a sample, so the figures are for practice, not real business decisions.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</si>
</sst>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dd\-mmm\-yyyy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Analysis!$C$4:$C$15</c:f>
              <c:numCache>
                <c:formatCode>#,##0</c:formatCode>
                <c:ptCount val="12"/>
                <c:pt idx="0">
                  <c:v>311505</c:v>
                </c:pt>
                <c:pt idx="1">
                  <c:v>262205</c:v>
                </c:pt>
                <c:pt idx="2">
                  <c:v>295690</c:v>
                </c:pt>
                <c:pt idx="3">
                  <c:v>349867.5</c:v>
                </c:pt>
                <c:pt idx="4">
                  <c:v>286295</c:v>
                </c:pt>
                <c:pt idx="5">
                  <c:v>366485</c:v>
                </c:pt>
                <c:pt idx="6">
                  <c:v>372415</c:v>
                </c:pt>
                <c:pt idx="7">
                  <c:v>416837.5</c:v>
                </c:pt>
                <c:pt idx="8">
                  <c:v>360757.5</c:v>
                </c:pt>
                <c:pt idx="9">
                  <c:v>422425</c:v>
                </c:pt>
                <c:pt idx="10">
                  <c:v>530357.5</c:v>
                </c:pt>
                <c:pt idx="11">
                  <c:v>486427.5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2058"/>
        <c:axId val="95172943"/>
      </c:lineChart>
      <c:catAx>
        <c:axId val="1620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72943"/>
        <c:crosses val="autoZero"/>
        <c:auto val="1"/>
        <c:lblAlgn val="ctr"/>
        <c:lblOffset val="100"/>
        <c:noMultiLvlLbl val="0"/>
      </c:catAx>
      <c:valAx>
        <c:axId val="951729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0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Analysis!J3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Analysis!$I$4:$I$6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Analysis!$J$4:$J$6</c:f>
              <c:numCache>
                <c:formatCode>#,##0</c:formatCode>
                <c:ptCount val="3"/>
                <c:pt idx="0">
                  <c:v>1319700</c:v>
                </c:pt>
                <c:pt idx="1">
                  <c:v>2480740</c:v>
                </c:pt>
                <c:pt idx="2">
                  <c:v>660827.5</c:v>
                </c:pt>
              </c:numCache>
            </c:numRef>
          </c:val>
        </c:ser>
        <c:gapWidth val="150"/>
        <c:overlap val="0"/>
        <c:axId val="58429520"/>
        <c:axId val="96750219"/>
      </c:barChart>
      <c:catAx>
        <c:axId val="5842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50219"/>
        <c:crosses val="autoZero"/>
        <c:auto val="1"/>
        <c:lblAlgn val="ctr"/>
        <c:lblOffset val="100"/>
        <c:noMultiLvlLbl val="0"/>
      </c:catAx>
      <c:valAx>
        <c:axId val="96750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295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Analysis!J9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Analysis!$I$10:$I$14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Unspecified</c:v>
                </c:pt>
              </c:strCache>
            </c:strRef>
          </c:cat>
          <c:val>
            <c:numRef>
              <c:f>Analysis!$J$10:$J$14</c:f>
              <c:numCache>
                <c:formatCode>#,##0</c:formatCode>
                <c:ptCount val="5"/>
                <c:pt idx="0">
                  <c:v>1066397.5</c:v>
                </c:pt>
                <c:pt idx="1">
                  <c:v>1583167.5</c:v>
                </c:pt>
                <c:pt idx="2">
                  <c:v>888127.5</c:v>
                </c:pt>
                <c:pt idx="3">
                  <c:v>870945</c:v>
                </c:pt>
                <c:pt idx="4">
                  <c:v>52630</c:v>
                </c:pt>
              </c:numCache>
            </c:numRef>
          </c:val>
        </c:ser>
        <c:gapWidth val="150"/>
        <c:overlap val="0"/>
        <c:axId val="15813113"/>
        <c:axId val="44656963"/>
      </c:barChart>
      <c:catAx>
        <c:axId val="158131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56963"/>
        <c:crosses val="autoZero"/>
        <c:auto val="1"/>
        <c:lblAlgn val="ctr"/>
        <c:lblOffset val="100"/>
        <c:noMultiLvlLbl val="0"/>
      </c:catAx>
      <c:valAx>
        <c:axId val="446569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31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Analysis!C19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Analysis!$A$20:$A$31</c:f>
              <c:strCache>
                <c:ptCount val="12"/>
                <c:pt idx="0">
                  <c:v>Headphones</c:v>
                </c:pt>
                <c:pt idx="1">
                  <c:v>Smart Watch</c:v>
                </c:pt>
                <c:pt idx="2">
                  <c:v>Power Bank</c:v>
                </c:pt>
                <c:pt idx="3">
                  <c:v>Bluetooth Speaker</c:v>
                </c:pt>
                <c:pt idx="4">
                  <c:v>Office Chair</c:v>
                </c:pt>
                <c:pt idx="5">
                  <c:v>Study Desk</c:v>
                </c:pt>
                <c:pt idx="6">
                  <c:v>Bookshelf</c:v>
                </c:pt>
                <c:pt idx="7">
                  <c:v>Desk Lamp</c:v>
                </c:pt>
                <c:pt idx="8">
                  <c:v>Notebook Set</c:v>
                </c:pt>
                <c:pt idx="9">
                  <c:v>Pen Pack</c:v>
                </c:pt>
                <c:pt idx="10">
                  <c:v>Planner</c:v>
                </c:pt>
                <c:pt idx="11">
                  <c:v>Marker Set</c:v>
                </c:pt>
              </c:strCache>
            </c:strRef>
          </c:cat>
          <c:val>
            <c:numRef>
              <c:f>Analysis!$C$20:$C$31</c:f>
              <c:numCache>
                <c:formatCode>#,##0</c:formatCode>
                <c:ptCount val="12"/>
                <c:pt idx="0">
                  <c:v>230250</c:v>
                </c:pt>
                <c:pt idx="1">
                  <c:v>590850</c:v>
                </c:pt>
                <c:pt idx="2">
                  <c:v>168450</c:v>
                </c:pt>
                <c:pt idx="3">
                  <c:v>330150</c:v>
                </c:pt>
                <c:pt idx="4">
                  <c:v>702800</c:v>
                </c:pt>
                <c:pt idx="5">
                  <c:v>1066950</c:v>
                </c:pt>
                <c:pt idx="6">
                  <c:v>550550</c:v>
                </c:pt>
                <c:pt idx="7">
                  <c:v>160440</c:v>
                </c:pt>
                <c:pt idx="8">
                  <c:v>134780</c:v>
                </c:pt>
                <c:pt idx="9">
                  <c:v>65687.5</c:v>
                </c:pt>
                <c:pt idx="10">
                  <c:v>318810</c:v>
                </c:pt>
                <c:pt idx="11">
                  <c:v>141550</c:v>
                </c:pt>
              </c:numCache>
            </c:numRef>
          </c:val>
        </c:ser>
        <c:gapWidth val="150"/>
        <c:overlap val="0"/>
        <c:axId val="10890279"/>
        <c:axId val="68363286"/>
      </c:barChart>
      <c:catAx>
        <c:axId val="10890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63286"/>
        <c:crosses val="autoZero"/>
        <c:auto val="1"/>
        <c:lblAlgn val="ctr"/>
        <c:lblOffset val="100"/>
        <c:noMultiLvlLbl val="0"/>
      </c:catAx>
      <c:valAx>
        <c:axId val="683632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902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130680</xdr:rowOff>
    </xdr:from>
    <xdr:to>
      <xdr:col>6</xdr:col>
      <xdr:colOff>684720</xdr:colOff>
      <xdr:row>21</xdr:row>
      <xdr:rowOff>163440</xdr:rowOff>
    </xdr:to>
    <xdr:graphicFrame>
      <xdr:nvGraphicFramePr>
        <xdr:cNvPr id="0" name="Chart 1"/>
        <xdr:cNvGraphicFramePr/>
      </xdr:nvGraphicFramePr>
      <xdr:xfrm>
        <a:off x="0" y="1876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130680</xdr:rowOff>
    </xdr:from>
    <xdr:to>
      <xdr:col>14</xdr:col>
      <xdr:colOff>307800</xdr:colOff>
      <xdr:row>21</xdr:row>
      <xdr:rowOff>163440</xdr:rowOff>
    </xdr:to>
    <xdr:graphicFrame>
      <xdr:nvGraphicFramePr>
        <xdr:cNvPr id="1" name="Chart 2"/>
        <xdr:cNvGraphicFramePr/>
      </xdr:nvGraphicFramePr>
      <xdr:xfrm>
        <a:off x="5920920" y="18763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130680</xdr:rowOff>
    </xdr:from>
    <xdr:to>
      <xdr:col>6</xdr:col>
      <xdr:colOff>684720</xdr:colOff>
      <xdr:row>37</xdr:row>
      <xdr:rowOff>163440</xdr:rowOff>
    </xdr:to>
    <xdr:graphicFrame>
      <xdr:nvGraphicFramePr>
        <xdr:cNvPr id="2" name="Chart 3"/>
        <xdr:cNvGraphicFramePr/>
      </xdr:nvGraphicFramePr>
      <xdr:xfrm>
        <a:off x="0" y="4924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23</xdr:row>
      <xdr:rowOff>130680</xdr:rowOff>
    </xdr:from>
    <xdr:to>
      <xdr:col>14</xdr:col>
      <xdr:colOff>307800</xdr:colOff>
      <xdr:row>37</xdr:row>
      <xdr:rowOff>163440</xdr:rowOff>
    </xdr:to>
    <xdr:graphicFrame>
      <xdr:nvGraphicFramePr>
        <xdr:cNvPr id="3" name="Chart 4"/>
        <xdr:cNvGraphicFramePr/>
      </xdr:nvGraphicFramePr>
      <xdr:xfrm>
        <a:off x="5920920" y="4924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2"/>
  </cols>
  <sheetData>
    <row r="1" customFormat="false" ht="19.7" hidden="false" customHeight="false" outlineLevel="0" collapsed="false">
      <c r="A1" s="1" t="s">
        <v>0</v>
      </c>
    </row>
    <row r="3" customFormat="false" ht="27.75" hidden="false" customHeight="true" outlineLevel="0" collapsed="false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  <c r="I3" s="2" t="s">
        <v>5</v>
      </c>
      <c r="J3" s="2"/>
      <c r="K3" s="2" t="s">
        <v>6</v>
      </c>
      <c r="L3" s="2"/>
    </row>
    <row r="4" customFormat="false" ht="30" hidden="false" customHeight="true" outlineLevel="0" collapsed="false">
      <c r="A4" s="3" t="n">
        <f aca="false">Analysis!C16</f>
        <v>4461267.5</v>
      </c>
      <c r="B4" s="3"/>
      <c r="C4" s="3" t="n">
        <f aca="false">Analysis!D16</f>
        <v>1466317.5</v>
      </c>
      <c r="D4" s="3"/>
      <c r="E4" s="4" t="n">
        <f aca="false">Analysis!D16/Analysis!C16</f>
        <v>0.328677332170734</v>
      </c>
      <c r="F4" s="4"/>
      <c r="G4" s="3" t="n">
        <f aca="false">Analysis!E16</f>
        <v>684</v>
      </c>
      <c r="H4" s="3"/>
      <c r="I4" s="3" t="n">
        <f aca="false">Analysis!C16/Analysis!E16</f>
        <v>6522.32090643275</v>
      </c>
      <c r="J4" s="3"/>
      <c r="K4" s="3" t="n">
        <f aca="false">Analysis!F16</f>
        <v>2396</v>
      </c>
      <c r="L4" s="3"/>
    </row>
    <row r="6" customFormat="false" ht="15" hidden="false" customHeight="false" outlineLevel="0" collapsed="false">
      <c r="A6" s="5" t="s">
        <v>7</v>
      </c>
      <c r="B6" s="5"/>
      <c r="C6" s="5" t="s">
        <v>8</v>
      </c>
      <c r="D6" s="5"/>
      <c r="E6" s="5" t="s">
        <v>9</v>
      </c>
      <c r="F6" s="5"/>
      <c r="G6" s="5" t="s">
        <v>10</v>
      </c>
      <c r="H6" s="5"/>
      <c r="I6" s="5" t="s">
        <v>11</v>
      </c>
      <c r="J6" s="5"/>
      <c r="K6" s="5" t="s">
        <v>12</v>
      </c>
      <c r="L6" s="5"/>
    </row>
    <row r="7" customFormat="false" ht="15" hidden="false" customHeight="false" outlineLevel="0" collapsed="false">
      <c r="A7" s="6" t="str">
        <f aca="false">INDEX(Analysis!A20:A31,MATCH(MAX(Analysis!C20:C31),Analysis!C20:C31,0))</f>
        <v>Study Desk</v>
      </c>
      <c r="B7" s="6"/>
      <c r="C7" s="6" t="str">
        <f aca="false">INDEX(Analysis!I4:I6,MATCH(MAX(Analysis!J4:J6),Analysis!J4:J6,0))</f>
        <v>Furniture</v>
      </c>
      <c r="D7" s="6"/>
      <c r="E7" s="6" t="str">
        <f aca="false">INDEX(Analysis!I10:I13,MATCH(MAX(Analysis!J10:J13),Analysis!J10:J13,0))</f>
        <v>South</v>
      </c>
      <c r="F7" s="6"/>
      <c r="G7" s="6" t="str">
        <f aca="false">INDEX(Analysis!B4:B15,MATCH(MAX(Analysis!C4:C15),Analysis!C4:C15,0))</f>
        <v>Nov</v>
      </c>
      <c r="H7" s="6"/>
      <c r="I7" s="6" t="str">
        <f aca="false">INDEX(Analysis!B4:B15,MATCH(MIN(Analysis!C4:C15),Analysis!C4:C15,0))</f>
        <v>Feb</v>
      </c>
      <c r="J7" s="6"/>
      <c r="K7" s="6" t="str">
        <f aca="false">INDEX(Analysis!A20:A31,MATCH(MIN(Analysis!F20:F31),Analysis!F20:F31,0))</f>
        <v>Smart Watch</v>
      </c>
      <c r="L7" s="6"/>
    </row>
  </sheetData>
  <mergeCells count="24"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7" t="s">
        <v>13</v>
      </c>
    </row>
    <row r="2" customFormat="false" ht="15" hidden="false" customHeight="false" outlineLevel="0" collapsed="false">
      <c r="A2" s="8" t="s">
        <v>14</v>
      </c>
    </row>
    <row r="3" customFormat="false" ht="15" hidden="false" customHeight="false" outlineLevel="0" collapsed="false">
      <c r="A3" s="8"/>
    </row>
    <row r="4" customFormat="false" ht="15" hidden="false" customHeight="false" outlineLevel="0" collapsed="false">
      <c r="A4" s="9" t="s">
        <v>15</v>
      </c>
    </row>
    <row r="5" customFormat="false" ht="15" hidden="false" customHeight="false" outlineLevel="0" collapsed="false">
      <c r="A5" s="9" t="s">
        <v>16</v>
      </c>
    </row>
    <row r="6" customFormat="false" ht="15" hidden="false" customHeight="false" outlineLevel="0" collapsed="false">
      <c r="A6" s="8" t="s">
        <v>17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9" t="s">
        <v>18</v>
      </c>
    </row>
    <row r="9" customFormat="false" ht="15" hidden="false" customHeight="false" outlineLevel="0" collapsed="false">
      <c r="A9" s="8" t="s">
        <v>19</v>
      </c>
    </row>
    <row r="10" customFormat="false" ht="15" hidden="false" customHeight="false" outlineLevel="0" collapsed="false">
      <c r="A10" s="8" t="s">
        <v>20</v>
      </c>
    </row>
    <row r="11" customFormat="false" ht="15" hidden="false" customHeight="false" outlineLevel="0" collapsed="false">
      <c r="A11" s="8" t="s">
        <v>21</v>
      </c>
    </row>
    <row r="12" customFormat="false" ht="15" hidden="false" customHeight="false" outlineLevel="0" collapsed="false">
      <c r="A12" s="8" t="s">
        <v>22</v>
      </c>
    </row>
    <row r="13" customFormat="false" ht="15" hidden="false" customHeight="false" outlineLevel="0" collapsed="false">
      <c r="A13" s="8" t="s">
        <v>23</v>
      </c>
    </row>
    <row r="14" customFormat="false" ht="15" hidden="false" customHeight="false" outlineLevel="0" collapsed="false">
      <c r="A14" s="8" t="s">
        <v>24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9" t="s">
        <v>25</v>
      </c>
    </row>
    <row r="17" customFormat="false" ht="15" hidden="false" customHeight="false" outlineLevel="0" collapsed="false">
      <c r="A17" s="8" t="s">
        <v>26</v>
      </c>
    </row>
    <row r="18" customFormat="false" ht="15" hidden="false" customHeight="false" outlineLevel="0" collapsed="false">
      <c r="A18" s="8" t="s">
        <v>27</v>
      </c>
    </row>
    <row r="19" customFormat="false" ht="15" hidden="false" customHeight="false" outlineLevel="0" collapsed="false">
      <c r="A19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3"/>
    <col collapsed="false" customWidth="true" hidden="false" outlineLevel="0" max="5" min="5" style="0" width="19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</row>
    <row r="2" customFormat="false" ht="15" hidden="false" customHeight="false" outlineLevel="0" collapsed="false">
      <c r="A2" s="8" t="s">
        <v>38</v>
      </c>
      <c r="B2" s="11" t="n">
        <v>45665</v>
      </c>
      <c r="C2" s="8" t="s">
        <v>39</v>
      </c>
      <c r="D2" s="8" t="s">
        <v>40</v>
      </c>
      <c r="E2" s="8" t="s">
        <v>41</v>
      </c>
      <c r="F2" s="8" t="n">
        <v>6</v>
      </c>
      <c r="G2" s="8" t="n">
        <v>600</v>
      </c>
      <c r="H2" s="8" t="n">
        <v>0</v>
      </c>
      <c r="I2" s="8" t="n">
        <v>300</v>
      </c>
    </row>
    <row r="3" customFormat="false" ht="15" hidden="false" customHeight="false" outlineLevel="0" collapsed="false">
      <c r="A3" s="8" t="s">
        <v>42</v>
      </c>
      <c r="B3" s="11" t="n">
        <v>45675</v>
      </c>
      <c r="C3" s="8" t="s">
        <v>43</v>
      </c>
      <c r="D3" s="8" t="s">
        <v>44</v>
      </c>
      <c r="E3" s="8" t="s">
        <v>45</v>
      </c>
      <c r="F3" s="8" t="n">
        <v>3</v>
      </c>
      <c r="G3" s="8" t="n">
        <v>1500</v>
      </c>
      <c r="H3" s="8" t="n">
        <v>0.1</v>
      </c>
      <c r="I3" s="8" t="n">
        <v>900</v>
      </c>
    </row>
    <row r="4" customFormat="false" ht="15" hidden="false" customHeight="false" outlineLevel="0" collapsed="false">
      <c r="A4" s="8" t="s">
        <v>46</v>
      </c>
      <c r="B4" s="11" t="n">
        <v>45660</v>
      </c>
      <c r="C4" s="8" t="s">
        <v>47</v>
      </c>
      <c r="D4" s="8" t="s">
        <v>44</v>
      </c>
      <c r="E4" s="8" t="s">
        <v>48</v>
      </c>
      <c r="F4" s="8"/>
      <c r="G4" s="8" t="n">
        <v>4500</v>
      </c>
      <c r="H4" s="8" t="n">
        <v>0</v>
      </c>
      <c r="I4" s="8" t="n">
        <v>3300</v>
      </c>
    </row>
    <row r="5" customFormat="false" ht="15" hidden="false" customHeight="false" outlineLevel="0" collapsed="false">
      <c r="A5" s="8" t="s">
        <v>49</v>
      </c>
      <c r="B5" s="11" t="n">
        <v>45675</v>
      </c>
      <c r="C5" s="8" t="s">
        <v>39</v>
      </c>
      <c r="D5" s="8" t="s">
        <v>44</v>
      </c>
      <c r="E5" s="8" t="s">
        <v>50</v>
      </c>
      <c r="F5" s="8" t="n">
        <v>3</v>
      </c>
      <c r="G5" s="8" t="n">
        <v>3000</v>
      </c>
      <c r="H5" s="8" t="n">
        <v>0</v>
      </c>
      <c r="I5" s="8" t="n">
        <v>2000</v>
      </c>
    </row>
    <row r="6" customFormat="false" ht="15" hidden="false" customHeight="false" outlineLevel="0" collapsed="false">
      <c r="A6" s="8" t="s">
        <v>51</v>
      </c>
      <c r="B6" s="11" t="n">
        <v>45671</v>
      </c>
      <c r="C6" s="8" t="s">
        <v>43</v>
      </c>
      <c r="D6" s="8" t="s">
        <v>44</v>
      </c>
      <c r="E6" s="8" t="s">
        <v>50</v>
      </c>
      <c r="F6" s="8" t="n">
        <v>3</v>
      </c>
      <c r="G6" s="8" t="n">
        <v>3000</v>
      </c>
      <c r="H6" s="8" t="n">
        <v>0.05</v>
      </c>
      <c r="I6" s="8" t="n">
        <v>2000</v>
      </c>
    </row>
    <row r="7" customFormat="false" ht="15" hidden="false" customHeight="false" outlineLevel="0" collapsed="false">
      <c r="A7" s="8" t="s">
        <v>52</v>
      </c>
      <c r="B7" s="11" t="n">
        <v>45682</v>
      </c>
      <c r="C7" s="8" t="s">
        <v>47</v>
      </c>
      <c r="D7" s="8" t="s">
        <v>44</v>
      </c>
      <c r="E7" s="8" t="s">
        <v>50</v>
      </c>
      <c r="F7" s="8" t="n">
        <v>2</v>
      </c>
      <c r="G7" s="8" t="n">
        <v>3000</v>
      </c>
      <c r="H7" s="8" t="n">
        <v>0</v>
      </c>
      <c r="I7" s="8" t="n">
        <v>2000</v>
      </c>
    </row>
    <row r="8" customFormat="false" ht="15" hidden="false" customHeight="false" outlineLevel="0" collapsed="false">
      <c r="A8" s="8" t="s">
        <v>53</v>
      </c>
      <c r="B8" s="11" t="n">
        <v>45662</v>
      </c>
      <c r="C8" s="8" t="s">
        <v>43</v>
      </c>
      <c r="D8" s="8" t="s">
        <v>44</v>
      </c>
      <c r="E8" s="8" t="s">
        <v>45</v>
      </c>
      <c r="F8" s="8" t="n">
        <v>2</v>
      </c>
      <c r="G8" s="8" t="n">
        <v>1500</v>
      </c>
      <c r="H8" s="8" t="n">
        <v>0</v>
      </c>
      <c r="I8" s="8" t="n">
        <v>900</v>
      </c>
    </row>
    <row r="9" customFormat="false" ht="15" hidden="false" customHeight="false" outlineLevel="0" collapsed="false">
      <c r="A9" s="8" t="s">
        <v>54</v>
      </c>
      <c r="B9" s="11" t="n">
        <v>45660</v>
      </c>
      <c r="C9" s="8" t="s">
        <v>55</v>
      </c>
      <c r="D9" s="8" t="s">
        <v>44</v>
      </c>
      <c r="E9" s="8" t="s">
        <v>50</v>
      </c>
      <c r="F9" s="8" t="n">
        <v>2</v>
      </c>
      <c r="G9" s="8" t="n">
        <v>3000</v>
      </c>
      <c r="H9" s="8" t="n">
        <v>0</v>
      </c>
      <c r="I9" s="8" t="n">
        <v>2000</v>
      </c>
    </row>
    <row r="10" customFormat="false" ht="15" hidden="false" customHeight="false" outlineLevel="0" collapsed="false">
      <c r="A10" s="8" t="s">
        <v>56</v>
      </c>
      <c r="B10" s="11" t="n">
        <v>45666</v>
      </c>
      <c r="C10" s="8" t="s">
        <v>39</v>
      </c>
      <c r="D10" s="8" t="s">
        <v>57</v>
      </c>
      <c r="E10" s="8" t="s">
        <v>58</v>
      </c>
      <c r="F10" s="8" t="n">
        <v>2</v>
      </c>
      <c r="G10" s="8" t="n">
        <v>5500</v>
      </c>
      <c r="H10" s="8" t="n">
        <v>0.05</v>
      </c>
      <c r="I10" s="8" t="n">
        <v>3600</v>
      </c>
    </row>
    <row r="11" customFormat="false" ht="15" hidden="false" customHeight="false" outlineLevel="0" collapsed="false">
      <c r="A11" s="8" t="s">
        <v>59</v>
      </c>
      <c r="B11" s="11" t="n">
        <v>45670</v>
      </c>
      <c r="C11" s="8" t="s">
        <v>43</v>
      </c>
      <c r="D11" s="8" t="s">
        <v>44</v>
      </c>
      <c r="E11" s="8" t="s">
        <v>60</v>
      </c>
      <c r="F11" s="8" t="n">
        <v>3</v>
      </c>
      <c r="G11" s="8" t="n">
        <v>2500</v>
      </c>
      <c r="H11" s="8" t="n">
        <v>0</v>
      </c>
      <c r="I11" s="8" t="n">
        <v>1600</v>
      </c>
    </row>
    <row r="12" customFormat="false" ht="15" hidden="false" customHeight="false" outlineLevel="0" collapsed="false">
      <c r="A12" s="8" t="s">
        <v>61</v>
      </c>
      <c r="B12" s="11" t="n">
        <v>45685</v>
      </c>
      <c r="C12" s="8" t="s">
        <v>47</v>
      </c>
      <c r="D12" s="8" t="s">
        <v>44</v>
      </c>
      <c r="E12" s="8" t="s">
        <v>48</v>
      </c>
      <c r="F12" s="8" t="n">
        <v>3</v>
      </c>
      <c r="G12" s="8" t="n">
        <v>4500</v>
      </c>
      <c r="H12" s="8" t="n">
        <v>0.05</v>
      </c>
      <c r="I12" s="8" t="n">
        <v>3300</v>
      </c>
    </row>
    <row r="13" customFormat="false" ht="15" hidden="false" customHeight="false" outlineLevel="0" collapsed="false">
      <c r="A13" s="8" t="s">
        <v>62</v>
      </c>
      <c r="B13" s="11" t="n">
        <v>45659</v>
      </c>
      <c r="C13" s="8" t="s">
        <v>47</v>
      </c>
      <c r="D13" s="8" t="s">
        <v>57</v>
      </c>
      <c r="E13" s="8" t="s">
        <v>63</v>
      </c>
      <c r="F13" s="8" t="n">
        <v>3</v>
      </c>
      <c r="G13" s="8" t="n">
        <v>9000</v>
      </c>
      <c r="H13" s="8" t="n">
        <v>0</v>
      </c>
      <c r="I13" s="8" t="n">
        <v>6200</v>
      </c>
    </row>
    <row r="14" customFormat="false" ht="15" hidden="false" customHeight="false" outlineLevel="0" collapsed="false">
      <c r="A14" s="8" t="s">
        <v>64</v>
      </c>
      <c r="B14" s="11" t="n">
        <v>45685</v>
      </c>
      <c r="C14" s="8" t="s">
        <v>39</v>
      </c>
      <c r="D14" s="8" t="s">
        <v>40</v>
      </c>
      <c r="E14" s="8" t="s">
        <v>41</v>
      </c>
      <c r="F14" s="8" t="n">
        <v>6</v>
      </c>
      <c r="G14" s="8" t="n">
        <v>600</v>
      </c>
      <c r="H14" s="8" t="n">
        <v>0</v>
      </c>
      <c r="I14" s="8" t="n">
        <v>300</v>
      </c>
    </row>
    <row r="15" customFormat="false" ht="15" hidden="false" customHeight="false" outlineLevel="0" collapsed="false">
      <c r="A15" s="8" t="s">
        <v>65</v>
      </c>
      <c r="B15" s="11" t="n">
        <v>45672</v>
      </c>
      <c r="C15" s="8" t="s">
        <v>55</v>
      </c>
      <c r="D15" s="8" t="s">
        <v>44</v>
      </c>
      <c r="E15" s="8" t="s">
        <v>50</v>
      </c>
      <c r="F15" s="8" t="n">
        <v>2</v>
      </c>
      <c r="G15" s="8" t="n">
        <v>3000</v>
      </c>
      <c r="H15" s="8" t="n">
        <v>0</v>
      </c>
      <c r="I15" s="8" t="n">
        <v>2000</v>
      </c>
    </row>
    <row r="16" customFormat="false" ht="15" hidden="false" customHeight="false" outlineLevel="0" collapsed="false">
      <c r="A16" s="8" t="s">
        <v>66</v>
      </c>
      <c r="B16" s="11" t="n">
        <v>45669</v>
      </c>
      <c r="C16" s="8" t="s">
        <v>55</v>
      </c>
      <c r="D16" s="8" t="s">
        <v>40</v>
      </c>
      <c r="E16" s="8" t="s">
        <v>41</v>
      </c>
      <c r="F16" s="8" t="n">
        <v>4</v>
      </c>
      <c r="G16" s="8" t="n">
        <v>600</v>
      </c>
      <c r="H16" s="8" t="n">
        <v>0</v>
      </c>
      <c r="I16" s="8" t="n">
        <v>300</v>
      </c>
    </row>
    <row r="17" customFormat="false" ht="15" hidden="false" customHeight="false" outlineLevel="0" collapsed="false">
      <c r="A17" s="8" t="s">
        <v>67</v>
      </c>
      <c r="B17" s="11" t="n">
        <v>45678</v>
      </c>
      <c r="C17" s="8" t="s">
        <v>43</v>
      </c>
      <c r="D17" s="8" t="s">
        <v>44</v>
      </c>
      <c r="E17" s="8" t="s">
        <v>50</v>
      </c>
      <c r="F17" s="8" t="n">
        <v>3</v>
      </c>
      <c r="G17" s="8" t="n">
        <v>3000</v>
      </c>
      <c r="H17" s="8" t="n">
        <v>0.1</v>
      </c>
      <c r="I17" s="8" t="n">
        <v>2000</v>
      </c>
    </row>
    <row r="18" customFormat="false" ht="15" hidden="false" customHeight="false" outlineLevel="0" collapsed="false">
      <c r="A18" s="8" t="s">
        <v>68</v>
      </c>
      <c r="B18" s="11" t="n">
        <v>45681</v>
      </c>
      <c r="C18" s="8" t="s">
        <v>43</v>
      </c>
      <c r="D18" s="8" t="s">
        <v>44</v>
      </c>
      <c r="E18" s="8" t="s">
        <v>48</v>
      </c>
      <c r="F18" s="8" t="n">
        <v>1</v>
      </c>
      <c r="G18" s="8" t="n">
        <v>4500</v>
      </c>
      <c r="H18" s="8" t="n">
        <v>0.05</v>
      </c>
      <c r="I18" s="8" t="n">
        <v>3300</v>
      </c>
    </row>
    <row r="19" customFormat="false" ht="15" hidden="false" customHeight="false" outlineLevel="0" collapsed="false">
      <c r="A19" s="8" t="s">
        <v>69</v>
      </c>
      <c r="B19" s="11" t="n">
        <v>45678</v>
      </c>
      <c r="C19" s="8" t="s">
        <v>39</v>
      </c>
      <c r="D19" s="8" t="s">
        <v>44</v>
      </c>
      <c r="E19" s="8" t="s">
        <v>50</v>
      </c>
      <c r="F19" s="8" t="n">
        <v>2</v>
      </c>
      <c r="G19" s="8" t="n">
        <v>3000</v>
      </c>
      <c r="H19" s="8" t="n">
        <v>0</v>
      </c>
      <c r="I19" s="8" t="n">
        <v>2000</v>
      </c>
    </row>
    <row r="20" customFormat="false" ht="15" hidden="false" customHeight="false" outlineLevel="0" collapsed="false">
      <c r="A20" s="8" t="s">
        <v>70</v>
      </c>
      <c r="B20" s="11" t="n">
        <v>45665</v>
      </c>
      <c r="C20" s="8" t="s">
        <v>47</v>
      </c>
      <c r="D20" s="8" t="s">
        <v>40</v>
      </c>
      <c r="E20" s="8" t="s">
        <v>71</v>
      </c>
      <c r="F20" s="8" t="n">
        <v>7</v>
      </c>
      <c r="G20" s="8" t="n">
        <v>500</v>
      </c>
      <c r="H20" s="8" t="n">
        <v>0</v>
      </c>
      <c r="I20" s="8" t="n">
        <v>250</v>
      </c>
    </row>
    <row r="21" customFormat="false" ht="15" hidden="false" customHeight="false" outlineLevel="0" collapsed="false">
      <c r="A21" s="8" t="s">
        <v>72</v>
      </c>
      <c r="B21" s="11" t="n">
        <v>45660</v>
      </c>
      <c r="C21" s="8" t="s">
        <v>55</v>
      </c>
      <c r="D21" s="8" t="s">
        <v>44</v>
      </c>
      <c r="E21" s="8" t="s">
        <v>60</v>
      </c>
      <c r="F21" s="8" t="n">
        <v>2</v>
      </c>
      <c r="G21" s="8" t="n">
        <v>2500</v>
      </c>
      <c r="H21" s="8" t="n">
        <v>0</v>
      </c>
      <c r="I21" s="8" t="n">
        <v>1600</v>
      </c>
    </row>
    <row r="22" customFormat="false" ht="15" hidden="false" customHeight="false" outlineLevel="0" collapsed="false">
      <c r="A22" s="8" t="s">
        <v>73</v>
      </c>
      <c r="B22" s="11" t="n">
        <v>45668</v>
      </c>
      <c r="C22" s="8" t="s">
        <v>55</v>
      </c>
      <c r="D22" s="8" t="s">
        <v>44</v>
      </c>
      <c r="E22" s="8" t="s">
        <v>50</v>
      </c>
      <c r="F22" s="8" t="n">
        <v>3</v>
      </c>
      <c r="G22" s="8" t="n">
        <v>3000</v>
      </c>
      <c r="H22" s="8" t="n">
        <v>0.1</v>
      </c>
      <c r="I22" s="8" t="n">
        <v>2000</v>
      </c>
    </row>
    <row r="23" customFormat="false" ht="15" hidden="false" customHeight="false" outlineLevel="0" collapsed="false">
      <c r="A23" s="8" t="s">
        <v>74</v>
      </c>
      <c r="B23" s="11" t="n">
        <v>45672</v>
      </c>
      <c r="C23" s="8" t="s">
        <v>43</v>
      </c>
      <c r="D23" s="8" t="s">
        <v>44</v>
      </c>
      <c r="E23" s="8" t="s">
        <v>50</v>
      </c>
      <c r="F23" s="8" t="n">
        <v>2</v>
      </c>
      <c r="G23" s="8" t="n">
        <v>3000</v>
      </c>
      <c r="H23" s="8" t="n">
        <v>0.1</v>
      </c>
      <c r="I23" s="8" t="n">
        <v>2000</v>
      </c>
    </row>
    <row r="24" customFormat="false" ht="15" hidden="false" customHeight="false" outlineLevel="0" collapsed="false">
      <c r="A24" s="8" t="s">
        <v>75</v>
      </c>
      <c r="B24" s="11" t="n">
        <v>45675</v>
      </c>
      <c r="C24" s="8" t="s">
        <v>47</v>
      </c>
      <c r="D24" s="8" t="s">
        <v>44</v>
      </c>
      <c r="E24" s="8" t="s">
        <v>45</v>
      </c>
      <c r="F24" s="8" t="n">
        <v>1</v>
      </c>
      <c r="G24" s="8" t="n">
        <v>1500</v>
      </c>
      <c r="H24" s="8" t="n">
        <v>0.1</v>
      </c>
      <c r="I24" s="8" t="n">
        <v>900</v>
      </c>
    </row>
    <row r="25" customFormat="false" ht="15" hidden="false" customHeight="false" outlineLevel="0" collapsed="false">
      <c r="A25" s="8" t="s">
        <v>76</v>
      </c>
      <c r="B25" s="11" t="n">
        <v>45670</v>
      </c>
      <c r="C25" s="8" t="s">
        <v>47</v>
      </c>
      <c r="D25" s="8" t="s">
        <v>40</v>
      </c>
      <c r="E25" s="8" t="s">
        <v>77</v>
      </c>
      <c r="F25" s="8" t="n">
        <v>8</v>
      </c>
      <c r="G25" s="8" t="n">
        <v>400</v>
      </c>
      <c r="H25" s="8" t="n">
        <v>0.05</v>
      </c>
      <c r="I25" s="8" t="n">
        <v>200</v>
      </c>
    </row>
    <row r="26" customFormat="false" ht="15" hidden="false" customHeight="false" outlineLevel="0" collapsed="false">
      <c r="A26" s="8" t="s">
        <v>78</v>
      </c>
      <c r="B26" s="11" t="n">
        <v>45673</v>
      </c>
      <c r="C26" s="8" t="s">
        <v>39</v>
      </c>
      <c r="D26" s="8" t="s">
        <v>57</v>
      </c>
      <c r="E26" s="8" t="s">
        <v>63</v>
      </c>
      <c r="F26" s="8" t="n">
        <v>1</v>
      </c>
      <c r="G26" s="8" t="n">
        <v>9000</v>
      </c>
      <c r="H26" s="8" t="n">
        <v>0.05</v>
      </c>
      <c r="I26" s="8" t="n">
        <v>6200</v>
      </c>
    </row>
    <row r="27" customFormat="false" ht="15" hidden="false" customHeight="false" outlineLevel="0" collapsed="false">
      <c r="A27" s="8" t="s">
        <v>79</v>
      </c>
      <c r="B27" s="11" t="n">
        <v>45678</v>
      </c>
      <c r="C27" s="8" t="s">
        <v>43</v>
      </c>
      <c r="D27" s="8" t="s">
        <v>44</v>
      </c>
      <c r="E27" s="8" t="s">
        <v>48</v>
      </c>
      <c r="F27" s="8" t="n">
        <v>1</v>
      </c>
      <c r="G27" s="8" t="n">
        <v>4500</v>
      </c>
      <c r="H27" s="8" t="n">
        <v>0</v>
      </c>
      <c r="I27" s="8" t="n">
        <v>3300</v>
      </c>
    </row>
    <row r="28" customFormat="false" ht="15" hidden="false" customHeight="false" outlineLevel="0" collapsed="false">
      <c r="A28" s="8" t="s">
        <v>80</v>
      </c>
      <c r="B28" s="11" t="n">
        <v>45660</v>
      </c>
      <c r="C28" s="8" t="s">
        <v>43</v>
      </c>
      <c r="D28" s="8" t="s">
        <v>44</v>
      </c>
      <c r="E28" s="8" t="s">
        <v>45</v>
      </c>
      <c r="F28" s="8" t="n">
        <v>2</v>
      </c>
      <c r="G28" s="8" t="n">
        <v>1500</v>
      </c>
      <c r="H28" s="8" t="n">
        <v>0.05</v>
      </c>
      <c r="I28" s="8" t="n">
        <v>900</v>
      </c>
    </row>
    <row r="29" customFormat="false" ht="15" hidden="false" customHeight="false" outlineLevel="0" collapsed="false">
      <c r="A29" s="8" t="s">
        <v>81</v>
      </c>
      <c r="B29" s="11" t="n">
        <v>45666</v>
      </c>
      <c r="C29" s="8" t="s">
        <v>47</v>
      </c>
      <c r="D29" s="8" t="s">
        <v>57</v>
      </c>
      <c r="E29" s="8" t="s">
        <v>58</v>
      </c>
      <c r="F29" s="8" t="n">
        <v>2</v>
      </c>
      <c r="G29" s="8" t="n">
        <v>5500</v>
      </c>
      <c r="H29" s="8" t="n">
        <v>0.05</v>
      </c>
      <c r="I29" s="8" t="n">
        <v>3600</v>
      </c>
    </row>
    <row r="30" customFormat="false" ht="15" hidden="false" customHeight="false" outlineLevel="0" collapsed="false">
      <c r="A30" s="8" t="s">
        <v>82</v>
      </c>
      <c r="B30" s="11" t="n">
        <v>45681</v>
      </c>
      <c r="C30" s="8" t="s">
        <v>55</v>
      </c>
      <c r="D30" s="8" t="s">
        <v>40</v>
      </c>
      <c r="E30" s="8" t="s">
        <v>77</v>
      </c>
      <c r="F30" s="8" t="n">
        <v>2</v>
      </c>
      <c r="G30" s="8" t="n">
        <v>400</v>
      </c>
      <c r="H30" s="8" t="n">
        <v>0.1</v>
      </c>
      <c r="I30" s="8" t="n">
        <v>200</v>
      </c>
    </row>
    <row r="31" customFormat="false" ht="15" hidden="false" customHeight="false" outlineLevel="0" collapsed="false">
      <c r="A31" s="8" t="s">
        <v>83</v>
      </c>
      <c r="B31" s="11" t="n">
        <v>45682</v>
      </c>
      <c r="C31" s="8" t="s">
        <v>43</v>
      </c>
      <c r="D31" s="8" t="s">
        <v>44</v>
      </c>
      <c r="E31" s="8" t="s">
        <v>48</v>
      </c>
      <c r="F31" s="8" t="n">
        <v>3</v>
      </c>
      <c r="G31" s="8" t="n">
        <v>4500</v>
      </c>
      <c r="H31" s="8" t="n">
        <v>0</v>
      </c>
      <c r="I31" s="8" t="n">
        <v>3300</v>
      </c>
    </row>
    <row r="32" customFormat="false" ht="15" hidden="false" customHeight="false" outlineLevel="0" collapsed="false">
      <c r="A32" s="8" t="s">
        <v>84</v>
      </c>
      <c r="B32" s="11" t="n">
        <v>45663</v>
      </c>
      <c r="C32" s="8" t="s">
        <v>47</v>
      </c>
      <c r="D32" s="8" t="s">
        <v>40</v>
      </c>
      <c r="E32" s="8" t="s">
        <v>41</v>
      </c>
      <c r="F32" s="8" t="n">
        <v>6</v>
      </c>
      <c r="G32" s="8" t="n">
        <v>600</v>
      </c>
      <c r="H32" s="8" t="n">
        <v>0</v>
      </c>
      <c r="I32" s="8" t="n">
        <v>300</v>
      </c>
    </row>
    <row r="33" customFormat="false" ht="15" hidden="false" customHeight="false" outlineLevel="0" collapsed="false">
      <c r="A33" s="8" t="s">
        <v>85</v>
      </c>
      <c r="B33" s="11" t="n">
        <v>45666</v>
      </c>
      <c r="C33" s="8" t="s">
        <v>39</v>
      </c>
      <c r="D33" s="8" t="s">
        <v>57</v>
      </c>
      <c r="E33" s="8" t="s">
        <v>86</v>
      </c>
      <c r="F33" s="8" t="n">
        <v>3</v>
      </c>
      <c r="G33" s="8" t="n">
        <v>1200</v>
      </c>
      <c r="H33" s="8" t="n">
        <v>0.1</v>
      </c>
      <c r="I33" s="8" t="n">
        <v>600</v>
      </c>
    </row>
    <row r="34" customFormat="false" ht="15" hidden="false" customHeight="false" outlineLevel="0" collapsed="false">
      <c r="A34" s="8" t="s">
        <v>87</v>
      </c>
      <c r="B34" s="11" t="n">
        <v>45685</v>
      </c>
      <c r="C34" s="8" t="s">
        <v>43</v>
      </c>
      <c r="D34" s="8" t="s">
        <v>40</v>
      </c>
      <c r="E34" s="8" t="s">
        <v>77</v>
      </c>
      <c r="F34" s="8" t="n">
        <v>10</v>
      </c>
      <c r="G34" s="8" t="n">
        <v>400</v>
      </c>
      <c r="H34" s="8" t="n">
        <v>0</v>
      </c>
      <c r="I34" s="8" t="n">
        <v>200</v>
      </c>
    </row>
    <row r="35" customFormat="false" ht="15" hidden="false" customHeight="false" outlineLevel="0" collapsed="false">
      <c r="A35" s="8" t="s">
        <v>88</v>
      </c>
      <c r="B35" s="11" t="n">
        <v>45664</v>
      </c>
      <c r="C35" s="8" t="s">
        <v>47</v>
      </c>
      <c r="D35" s="8" t="s">
        <v>40</v>
      </c>
      <c r="E35" s="8" t="s">
        <v>41</v>
      </c>
      <c r="F35" s="8" t="n">
        <v>10</v>
      </c>
      <c r="G35" s="8" t="n">
        <v>600</v>
      </c>
      <c r="H35" s="8" t="n">
        <v>0.05</v>
      </c>
      <c r="I35" s="8" t="n">
        <v>300</v>
      </c>
    </row>
    <row r="36" customFormat="false" ht="15" hidden="false" customHeight="false" outlineLevel="0" collapsed="false">
      <c r="A36" s="8" t="s">
        <v>89</v>
      </c>
      <c r="B36" s="11" t="n">
        <v>45682</v>
      </c>
      <c r="C36" s="8" t="s">
        <v>47</v>
      </c>
      <c r="D36" s="8" t="s">
        <v>44</v>
      </c>
      <c r="E36" s="8" t="s">
        <v>45</v>
      </c>
      <c r="F36" s="8" t="n">
        <v>1</v>
      </c>
      <c r="G36" s="8" t="n">
        <v>1500</v>
      </c>
      <c r="H36" s="8" t="n">
        <v>0.05</v>
      </c>
      <c r="I36" s="8" t="n">
        <v>900</v>
      </c>
    </row>
    <row r="37" customFormat="false" ht="15" hidden="false" customHeight="false" outlineLevel="0" collapsed="false">
      <c r="A37" s="8" t="s">
        <v>90</v>
      </c>
      <c r="B37" s="11" t="n">
        <v>45658</v>
      </c>
      <c r="C37" s="8" t="s">
        <v>55</v>
      </c>
      <c r="D37" s="8" t="s">
        <v>40</v>
      </c>
      <c r="E37" s="8" t="s">
        <v>77</v>
      </c>
      <c r="F37" s="8" t="n">
        <v>7</v>
      </c>
      <c r="G37" s="8" t="n">
        <v>400</v>
      </c>
      <c r="H37" s="8" t="n">
        <v>0</v>
      </c>
      <c r="I37" s="8" t="n">
        <v>200</v>
      </c>
    </row>
    <row r="38" customFormat="false" ht="15" hidden="false" customHeight="false" outlineLevel="0" collapsed="false">
      <c r="A38" s="8" t="s">
        <v>91</v>
      </c>
      <c r="B38" s="11" t="n">
        <v>45659</v>
      </c>
      <c r="C38" s="8" t="s">
        <v>55</v>
      </c>
      <c r="D38" s="8" t="s">
        <v>44</v>
      </c>
      <c r="E38" s="8" t="s">
        <v>48</v>
      </c>
      <c r="F38" s="8" t="n">
        <v>2</v>
      </c>
      <c r="G38" s="8" t="n">
        <v>4500</v>
      </c>
      <c r="H38" s="8" t="n">
        <v>0</v>
      </c>
      <c r="I38" s="8" t="n">
        <v>3300</v>
      </c>
    </row>
    <row r="39" customFormat="false" ht="15" hidden="false" customHeight="false" outlineLevel="0" collapsed="false">
      <c r="A39" s="8" t="s">
        <v>92</v>
      </c>
      <c r="B39" s="11" t="n">
        <v>45681</v>
      </c>
      <c r="C39" s="8" t="s">
        <v>55</v>
      </c>
      <c r="D39" s="8" t="s">
        <v>44</v>
      </c>
      <c r="E39" s="8" t="s">
        <v>50</v>
      </c>
      <c r="F39" s="8" t="n">
        <v>1</v>
      </c>
      <c r="G39" s="8" t="n">
        <v>3000</v>
      </c>
      <c r="H39" s="8" t="n">
        <v>0</v>
      </c>
      <c r="I39" s="8" t="n">
        <v>2000</v>
      </c>
    </row>
    <row r="40" customFormat="false" ht="15" hidden="false" customHeight="false" outlineLevel="0" collapsed="false">
      <c r="A40" s="8" t="s">
        <v>93</v>
      </c>
      <c r="B40" s="11" t="n">
        <v>45662</v>
      </c>
      <c r="C40" s="8" t="s">
        <v>55</v>
      </c>
      <c r="D40" s="8" t="s">
        <v>57</v>
      </c>
      <c r="E40" s="8" t="s">
        <v>86</v>
      </c>
      <c r="F40" s="8" t="n">
        <v>3</v>
      </c>
      <c r="G40" s="8" t="n">
        <v>1200</v>
      </c>
      <c r="H40" s="8" t="n">
        <v>0</v>
      </c>
      <c r="I40" s="8" t="n">
        <v>600</v>
      </c>
    </row>
    <row r="41" customFormat="false" ht="15" hidden="false" customHeight="false" outlineLevel="0" collapsed="false">
      <c r="A41" s="8" t="s">
        <v>94</v>
      </c>
      <c r="B41" s="11" t="n">
        <v>45666</v>
      </c>
      <c r="C41" s="8" t="s">
        <v>47</v>
      </c>
      <c r="D41" s="8" t="s">
        <v>40</v>
      </c>
      <c r="E41" s="8" t="s">
        <v>41</v>
      </c>
      <c r="F41" s="8" t="n">
        <v>10</v>
      </c>
      <c r="G41" s="8" t="n">
        <v>600</v>
      </c>
      <c r="H41" s="8" t="n">
        <v>0</v>
      </c>
      <c r="I41" s="8" t="n">
        <v>300</v>
      </c>
    </row>
    <row r="42" customFormat="false" ht="15" hidden="false" customHeight="false" outlineLevel="0" collapsed="false">
      <c r="A42" s="8" t="s">
        <v>95</v>
      </c>
      <c r="B42" s="11" t="n">
        <v>45675</v>
      </c>
      <c r="C42" s="8" t="s">
        <v>55</v>
      </c>
      <c r="D42" s="8" t="s">
        <v>40</v>
      </c>
      <c r="E42" s="8" t="s">
        <v>77</v>
      </c>
      <c r="F42" s="8" t="n">
        <v>8</v>
      </c>
      <c r="G42" s="8" t="n">
        <v>400</v>
      </c>
      <c r="H42" s="8" t="n">
        <v>0</v>
      </c>
      <c r="I42" s="8" t="n">
        <v>200</v>
      </c>
    </row>
    <row r="43" customFormat="false" ht="15" hidden="false" customHeight="false" outlineLevel="0" collapsed="false">
      <c r="A43" s="8" t="s">
        <v>96</v>
      </c>
      <c r="B43" s="11" t="n">
        <v>45679</v>
      </c>
      <c r="C43" s="8" t="s">
        <v>43</v>
      </c>
      <c r="D43" s="8" t="s">
        <v>40</v>
      </c>
      <c r="E43" s="8" t="s">
        <v>71</v>
      </c>
      <c r="F43" s="8" t="n">
        <v>6</v>
      </c>
      <c r="G43" s="8" t="n">
        <v>500</v>
      </c>
      <c r="H43" s="8" t="n">
        <v>0</v>
      </c>
      <c r="I43" s="8" t="n">
        <v>250</v>
      </c>
    </row>
    <row r="44" customFormat="false" ht="15" hidden="false" customHeight="false" outlineLevel="0" collapsed="false">
      <c r="A44" s="8" t="s">
        <v>97</v>
      </c>
      <c r="B44" s="11" t="n">
        <v>45661</v>
      </c>
      <c r="C44" s="8" t="s">
        <v>47</v>
      </c>
      <c r="D44" s="8" t="s">
        <v>40</v>
      </c>
      <c r="E44" s="8" t="s">
        <v>41</v>
      </c>
      <c r="F44" s="8" t="n">
        <v>10</v>
      </c>
      <c r="G44" s="8" t="n">
        <v>600</v>
      </c>
      <c r="H44" s="8" t="n">
        <v>0</v>
      </c>
      <c r="I44" s="8" t="n">
        <v>300</v>
      </c>
    </row>
    <row r="45" customFormat="false" ht="15" hidden="false" customHeight="false" outlineLevel="0" collapsed="false">
      <c r="A45" s="8" t="s">
        <v>98</v>
      </c>
      <c r="B45" s="11" t="n">
        <v>45676</v>
      </c>
      <c r="C45" s="8" t="s">
        <v>39</v>
      </c>
      <c r="D45" s="8" t="s">
        <v>44</v>
      </c>
      <c r="E45" s="8" t="s">
        <v>50</v>
      </c>
      <c r="F45" s="8" t="n">
        <v>2</v>
      </c>
      <c r="G45" s="8" t="n">
        <v>3000</v>
      </c>
      <c r="H45" s="8" t="n">
        <v>0</v>
      </c>
      <c r="I45" s="8" t="n">
        <v>2000</v>
      </c>
    </row>
    <row r="46" customFormat="false" ht="15" hidden="false" customHeight="false" outlineLevel="0" collapsed="false">
      <c r="A46" s="8" t="s">
        <v>99</v>
      </c>
      <c r="B46" s="11" t="n">
        <v>45660</v>
      </c>
      <c r="C46" s="8" t="s">
        <v>39</v>
      </c>
      <c r="D46" s="8" t="s">
        <v>40</v>
      </c>
      <c r="E46" s="8" t="s">
        <v>77</v>
      </c>
      <c r="F46" s="8" t="n">
        <v>5</v>
      </c>
      <c r="G46" s="8" t="n">
        <v>400</v>
      </c>
      <c r="H46" s="8" t="n">
        <v>0</v>
      </c>
      <c r="I46" s="8" t="n">
        <v>200</v>
      </c>
    </row>
    <row r="47" customFormat="false" ht="15" hidden="false" customHeight="false" outlineLevel="0" collapsed="false">
      <c r="A47" s="8" t="s">
        <v>100</v>
      </c>
      <c r="B47" s="11" t="n">
        <v>45659</v>
      </c>
      <c r="C47" s="8" t="s">
        <v>43</v>
      </c>
      <c r="D47" s="8" t="s">
        <v>40</v>
      </c>
      <c r="E47" s="8" t="s">
        <v>71</v>
      </c>
      <c r="F47" s="8" t="n">
        <v>5</v>
      </c>
      <c r="G47" s="8" t="n">
        <v>500</v>
      </c>
      <c r="H47" s="8" t="n">
        <v>0</v>
      </c>
      <c r="I47" s="8" t="n">
        <v>250</v>
      </c>
    </row>
    <row r="48" customFormat="false" ht="15" hidden="false" customHeight="false" outlineLevel="0" collapsed="false">
      <c r="A48" s="8" t="s">
        <v>101</v>
      </c>
      <c r="B48" s="11" t="n">
        <v>45679</v>
      </c>
      <c r="C48" s="8" t="s">
        <v>39</v>
      </c>
      <c r="D48" s="8" t="s">
        <v>57</v>
      </c>
      <c r="E48" s="8" t="s">
        <v>63</v>
      </c>
      <c r="F48" s="8" t="n">
        <v>1</v>
      </c>
      <c r="G48" s="8" t="n">
        <v>9000</v>
      </c>
      <c r="H48" s="8" t="n">
        <v>0</v>
      </c>
      <c r="I48" s="8" t="n">
        <v>6200</v>
      </c>
    </row>
    <row r="49" customFormat="false" ht="15" hidden="false" customHeight="false" outlineLevel="0" collapsed="false">
      <c r="A49" s="8" t="s">
        <v>102</v>
      </c>
      <c r="B49" s="11" t="n">
        <v>45676</v>
      </c>
      <c r="C49" s="8" t="s">
        <v>39</v>
      </c>
      <c r="D49" s="8" t="s">
        <v>57</v>
      </c>
      <c r="E49" s="8" t="s">
        <v>86</v>
      </c>
      <c r="F49" s="8" t="n">
        <v>1</v>
      </c>
      <c r="G49" s="8" t="n">
        <v>1200</v>
      </c>
      <c r="H49" s="8" t="n">
        <v>0.1</v>
      </c>
      <c r="I49" s="8" t="n">
        <v>600</v>
      </c>
    </row>
    <row r="50" customFormat="false" ht="15" hidden="false" customHeight="false" outlineLevel="0" collapsed="false">
      <c r="A50" s="8" t="s">
        <v>103</v>
      </c>
      <c r="B50" s="11" t="n">
        <v>45664</v>
      </c>
      <c r="C50" s="8" t="s">
        <v>47</v>
      </c>
      <c r="D50" s="8" t="s">
        <v>40</v>
      </c>
      <c r="E50" s="8" t="s">
        <v>104</v>
      </c>
      <c r="F50" s="8" t="n">
        <v>9</v>
      </c>
      <c r="G50" s="8" t="n">
        <v>250</v>
      </c>
      <c r="H50" s="8" t="n">
        <v>0</v>
      </c>
      <c r="I50" s="8" t="n">
        <v>100</v>
      </c>
    </row>
    <row r="51" customFormat="false" ht="15" hidden="false" customHeight="false" outlineLevel="0" collapsed="false">
      <c r="A51" s="8" t="s">
        <v>105</v>
      </c>
      <c r="B51" s="11" t="n">
        <v>45671</v>
      </c>
      <c r="C51" s="8" t="s">
        <v>39</v>
      </c>
      <c r="D51" s="8" t="s">
        <v>44</v>
      </c>
      <c r="E51" s="8" t="s">
        <v>48</v>
      </c>
      <c r="F51" s="8" t="n">
        <v>2</v>
      </c>
      <c r="G51" s="8" t="n">
        <v>4500</v>
      </c>
      <c r="H51" s="8" t="n">
        <v>0</v>
      </c>
      <c r="I51" s="8" t="n">
        <v>3300</v>
      </c>
    </row>
    <row r="52" customFormat="false" ht="15" hidden="false" customHeight="false" outlineLevel="0" collapsed="false">
      <c r="A52" s="8" t="s">
        <v>106</v>
      </c>
      <c r="B52" s="11" t="n">
        <v>45679</v>
      </c>
      <c r="C52" s="8" t="s">
        <v>47</v>
      </c>
      <c r="D52" s="8" t="s">
        <v>57</v>
      </c>
      <c r="E52" s="8" t="s">
        <v>58</v>
      </c>
      <c r="F52" s="8" t="n">
        <v>3</v>
      </c>
      <c r="G52" s="8" t="n">
        <v>5500</v>
      </c>
      <c r="H52" s="8" t="n">
        <v>0</v>
      </c>
      <c r="I52" s="8" t="n">
        <v>3600</v>
      </c>
    </row>
    <row r="53" customFormat="false" ht="15" hidden="false" customHeight="false" outlineLevel="0" collapsed="false">
      <c r="A53" s="8" t="s">
        <v>107</v>
      </c>
      <c r="B53" s="11" t="n">
        <v>45670</v>
      </c>
      <c r="C53" s="8" t="s">
        <v>55</v>
      </c>
      <c r="D53" s="8" t="s">
        <v>40</v>
      </c>
      <c r="E53" s="8" t="s">
        <v>41</v>
      </c>
      <c r="F53" s="8" t="n">
        <v>3</v>
      </c>
      <c r="G53" s="8" t="n">
        <v>600</v>
      </c>
      <c r="H53" s="8" t="n">
        <v>0</v>
      </c>
      <c r="I53" s="8" t="n">
        <v>300</v>
      </c>
    </row>
    <row r="54" customFormat="false" ht="15" hidden="false" customHeight="false" outlineLevel="0" collapsed="false">
      <c r="A54" s="8" t="s">
        <v>108</v>
      </c>
      <c r="B54" s="11" t="n">
        <v>45664</v>
      </c>
      <c r="C54" s="8" t="s">
        <v>47</v>
      </c>
      <c r="D54" s="8" t="s">
        <v>40</v>
      </c>
      <c r="E54" s="8" t="s">
        <v>71</v>
      </c>
      <c r="F54" s="8" t="n">
        <v>3</v>
      </c>
      <c r="G54" s="8" t="n">
        <v>500</v>
      </c>
      <c r="H54" s="8" t="n">
        <v>0</v>
      </c>
      <c r="I54" s="8" t="n">
        <v>250</v>
      </c>
    </row>
    <row r="55" customFormat="false" ht="15" hidden="false" customHeight="false" outlineLevel="0" collapsed="false">
      <c r="A55" s="8" t="s">
        <v>109</v>
      </c>
      <c r="B55" s="11" t="n">
        <v>45663</v>
      </c>
      <c r="C55" s="8" t="s">
        <v>47</v>
      </c>
      <c r="D55" s="8" t="s">
        <v>44</v>
      </c>
      <c r="E55" s="8" t="s">
        <v>50</v>
      </c>
      <c r="F55" s="8" t="n">
        <v>1</v>
      </c>
      <c r="G55" s="8" t="n">
        <v>3000</v>
      </c>
      <c r="H55" s="8" t="n">
        <v>0</v>
      </c>
      <c r="I55" s="8" t="n">
        <v>2000</v>
      </c>
    </row>
    <row r="56" customFormat="false" ht="15" hidden="false" customHeight="false" outlineLevel="0" collapsed="false">
      <c r="A56" s="8" t="s">
        <v>110</v>
      </c>
      <c r="B56" s="11" t="n">
        <v>45683</v>
      </c>
      <c r="C56" s="8" t="s">
        <v>47</v>
      </c>
      <c r="D56" s="8" t="s">
        <v>57</v>
      </c>
      <c r="E56" s="8" t="s">
        <v>111</v>
      </c>
      <c r="F56" s="8" t="n">
        <v>1</v>
      </c>
      <c r="G56" s="8" t="n">
        <v>7000</v>
      </c>
      <c r="H56" s="8" t="n">
        <v>0</v>
      </c>
      <c r="I56" s="8" t="n">
        <v>4800</v>
      </c>
    </row>
    <row r="57" customFormat="false" ht="15" hidden="false" customHeight="false" outlineLevel="0" collapsed="false">
      <c r="A57" s="8" t="s">
        <v>112</v>
      </c>
      <c r="B57" s="11" t="n">
        <v>45691</v>
      </c>
      <c r="C57" s="8" t="s">
        <v>39</v>
      </c>
      <c r="D57" s="8" t="s">
        <v>40</v>
      </c>
      <c r="E57" s="8" t="s">
        <v>77</v>
      </c>
      <c r="F57" s="8" t="n">
        <v>10</v>
      </c>
      <c r="G57" s="8" t="n">
        <v>400</v>
      </c>
      <c r="H57" s="8" t="n">
        <v>0</v>
      </c>
      <c r="I57" s="8" t="n">
        <v>200</v>
      </c>
    </row>
    <row r="58" customFormat="false" ht="15" hidden="false" customHeight="false" outlineLevel="0" collapsed="false">
      <c r="A58" s="8" t="s">
        <v>113</v>
      </c>
      <c r="B58" s="11" t="n">
        <v>45695</v>
      </c>
      <c r="C58" s="8" t="s">
        <v>39</v>
      </c>
      <c r="D58" s="8" t="s">
        <v>44</v>
      </c>
      <c r="E58" s="8" t="s">
        <v>50</v>
      </c>
      <c r="F58" s="8" t="n">
        <v>2</v>
      </c>
      <c r="G58" s="8" t="n">
        <v>3000</v>
      </c>
      <c r="H58" s="8" t="n">
        <v>0</v>
      </c>
      <c r="I58" s="8" t="n">
        <v>2000</v>
      </c>
    </row>
    <row r="59" customFormat="false" ht="15" hidden="false" customHeight="false" outlineLevel="0" collapsed="false">
      <c r="A59" s="8" t="s">
        <v>114</v>
      </c>
      <c r="B59" s="11" t="n">
        <v>45689</v>
      </c>
      <c r="C59" s="8" t="s">
        <v>55</v>
      </c>
      <c r="D59" s="8" t="s">
        <v>57</v>
      </c>
      <c r="E59" s="8" t="s">
        <v>58</v>
      </c>
      <c r="F59" s="8" t="n">
        <v>1</v>
      </c>
      <c r="G59" s="8" t="n">
        <v>5500</v>
      </c>
      <c r="H59" s="8" t="n">
        <v>0</v>
      </c>
      <c r="I59" s="8" t="n">
        <v>3600</v>
      </c>
    </row>
    <row r="60" customFormat="false" ht="15" hidden="false" customHeight="false" outlineLevel="0" collapsed="false">
      <c r="A60" s="8" t="s">
        <v>115</v>
      </c>
      <c r="B60" s="11" t="n">
        <v>45702</v>
      </c>
      <c r="C60" s="8" t="s">
        <v>47</v>
      </c>
      <c r="D60" s="8" t="s">
        <v>57</v>
      </c>
      <c r="E60" s="8" t="s">
        <v>58</v>
      </c>
      <c r="F60" s="8" t="n">
        <v>2</v>
      </c>
      <c r="G60" s="8" t="n">
        <v>5500</v>
      </c>
      <c r="H60" s="8" t="n">
        <v>0</v>
      </c>
      <c r="I60" s="8" t="n">
        <v>3600</v>
      </c>
    </row>
    <row r="61" customFormat="false" ht="15" hidden="false" customHeight="false" outlineLevel="0" collapsed="false">
      <c r="A61" s="8" t="s">
        <v>116</v>
      </c>
      <c r="B61" s="11" t="n">
        <v>45711</v>
      </c>
      <c r="C61" s="8" t="s">
        <v>55</v>
      </c>
      <c r="D61" s="8" t="s">
        <v>40</v>
      </c>
      <c r="E61" s="8" t="s">
        <v>71</v>
      </c>
      <c r="F61" s="8" t="n">
        <v>10</v>
      </c>
      <c r="G61" s="8" t="n">
        <v>500</v>
      </c>
      <c r="H61" s="8" t="n">
        <v>0.1</v>
      </c>
      <c r="I61" s="8" t="n">
        <v>250</v>
      </c>
    </row>
    <row r="62" customFormat="false" ht="15" hidden="false" customHeight="false" outlineLevel="0" collapsed="false">
      <c r="A62" s="8" t="s">
        <v>117</v>
      </c>
      <c r="B62" s="11" t="n">
        <v>45690</v>
      </c>
      <c r="C62" s="8" t="s">
        <v>118</v>
      </c>
      <c r="D62" s="8" t="s">
        <v>57</v>
      </c>
      <c r="E62" s="8" t="s">
        <v>86</v>
      </c>
      <c r="F62" s="8" t="n">
        <v>2</v>
      </c>
      <c r="G62" s="8" t="n">
        <v>1200</v>
      </c>
      <c r="H62" s="8" t="n">
        <v>0</v>
      </c>
      <c r="I62" s="8" t="n">
        <v>600</v>
      </c>
    </row>
    <row r="63" customFormat="false" ht="15" hidden="false" customHeight="false" outlineLevel="0" collapsed="false">
      <c r="A63" s="8" t="s">
        <v>119</v>
      </c>
      <c r="B63" s="11" t="n">
        <v>45699</v>
      </c>
      <c r="C63" s="8" t="s">
        <v>43</v>
      </c>
      <c r="D63" s="8" t="s">
        <v>40</v>
      </c>
      <c r="E63" s="8" t="s">
        <v>104</v>
      </c>
      <c r="F63" s="8" t="n">
        <v>2</v>
      </c>
      <c r="G63" s="8" t="n">
        <v>250</v>
      </c>
      <c r="H63" s="8" t="n">
        <v>0.1</v>
      </c>
      <c r="I63" s="8" t="n">
        <v>100</v>
      </c>
    </row>
    <row r="64" customFormat="false" ht="15" hidden="false" customHeight="false" outlineLevel="0" collapsed="false">
      <c r="A64" s="8" t="s">
        <v>120</v>
      </c>
      <c r="B64" s="11" t="n">
        <v>45716</v>
      </c>
      <c r="C64" s="8" t="s">
        <v>39</v>
      </c>
      <c r="D64" s="8" t="s">
        <v>44</v>
      </c>
      <c r="E64" s="8" t="s">
        <v>60</v>
      </c>
      <c r="F64" s="8" t="n">
        <v>2</v>
      </c>
      <c r="G64" s="8" t="n">
        <v>2500</v>
      </c>
      <c r="H64" s="8" t="n">
        <v>0.05</v>
      </c>
      <c r="I64" s="8" t="n">
        <v>1600</v>
      </c>
    </row>
    <row r="65" customFormat="false" ht="15" hidden="false" customHeight="false" outlineLevel="0" collapsed="false">
      <c r="A65" s="8" t="s">
        <v>121</v>
      </c>
      <c r="B65" s="11" t="n">
        <v>45716</v>
      </c>
      <c r="C65" s="8" t="s">
        <v>39</v>
      </c>
      <c r="D65" s="8" t="s">
        <v>40</v>
      </c>
      <c r="E65" s="8" t="s">
        <v>77</v>
      </c>
      <c r="F65" s="8" t="n">
        <v>10</v>
      </c>
      <c r="G65" s="8" t="n">
        <v>400</v>
      </c>
      <c r="H65" s="8" t="n">
        <v>0</v>
      </c>
      <c r="I65" s="8" t="n">
        <v>200</v>
      </c>
    </row>
    <row r="66" customFormat="false" ht="15" hidden="false" customHeight="false" outlineLevel="0" collapsed="false">
      <c r="A66" s="8" t="s">
        <v>122</v>
      </c>
      <c r="B66" s="11" t="n">
        <v>45716</v>
      </c>
      <c r="C66" s="8"/>
      <c r="D66" s="8" t="s">
        <v>44</v>
      </c>
      <c r="E66" s="8" t="s">
        <v>45</v>
      </c>
      <c r="F66" s="8" t="n">
        <v>1</v>
      </c>
      <c r="G66" s="8" t="n">
        <v>1500</v>
      </c>
      <c r="H66" s="8" t="n">
        <v>0.1</v>
      </c>
      <c r="I66" s="8" t="n">
        <v>900</v>
      </c>
    </row>
    <row r="67" customFormat="false" ht="15" hidden="false" customHeight="false" outlineLevel="0" collapsed="false">
      <c r="A67" s="8" t="s">
        <v>123</v>
      </c>
      <c r="B67" s="11" t="n">
        <v>45707</v>
      </c>
      <c r="C67" s="8" t="s">
        <v>47</v>
      </c>
      <c r="D67" s="8" t="s">
        <v>44</v>
      </c>
      <c r="E67" s="8" t="s">
        <v>50</v>
      </c>
      <c r="F67" s="8" t="n">
        <v>3</v>
      </c>
      <c r="G67" s="8" t="n">
        <v>3000</v>
      </c>
      <c r="H67" s="8" t="n">
        <v>0</v>
      </c>
      <c r="I67" s="8" t="n">
        <v>2000</v>
      </c>
    </row>
    <row r="68" customFormat="false" ht="15" hidden="false" customHeight="false" outlineLevel="0" collapsed="false">
      <c r="A68" s="8" t="s">
        <v>124</v>
      </c>
      <c r="B68" s="11" t="n">
        <v>45710</v>
      </c>
      <c r="C68" s="8" t="s">
        <v>39</v>
      </c>
      <c r="D68" s="8" t="s">
        <v>40</v>
      </c>
      <c r="E68" s="8" t="s">
        <v>104</v>
      </c>
      <c r="F68" s="8" t="n">
        <v>3</v>
      </c>
      <c r="G68" s="8" t="n">
        <v>250</v>
      </c>
      <c r="H68" s="8" t="n">
        <v>0</v>
      </c>
      <c r="I68" s="8" t="n">
        <v>100</v>
      </c>
    </row>
    <row r="69" customFormat="false" ht="15" hidden="false" customHeight="false" outlineLevel="0" collapsed="false">
      <c r="A69" s="8" t="s">
        <v>125</v>
      </c>
      <c r="B69" s="11" t="n">
        <v>45695</v>
      </c>
      <c r="C69" s="8" t="s">
        <v>47</v>
      </c>
      <c r="D69" s="8" t="s">
        <v>40</v>
      </c>
      <c r="E69" s="8" t="s">
        <v>104</v>
      </c>
      <c r="F69" s="8" t="n">
        <v>7</v>
      </c>
      <c r="G69" s="8" t="n">
        <v>250</v>
      </c>
      <c r="H69" s="8" t="n">
        <v>0</v>
      </c>
      <c r="I69" s="8" t="n">
        <v>100</v>
      </c>
    </row>
    <row r="70" customFormat="false" ht="15" hidden="false" customHeight="false" outlineLevel="0" collapsed="false">
      <c r="A70" s="8" t="s">
        <v>126</v>
      </c>
      <c r="B70" s="11" t="n">
        <v>45701</v>
      </c>
      <c r="C70" s="8" t="s">
        <v>43</v>
      </c>
      <c r="D70" s="8" t="s">
        <v>40</v>
      </c>
      <c r="E70" s="8" t="s">
        <v>41</v>
      </c>
      <c r="F70" s="8" t="n">
        <v>5</v>
      </c>
      <c r="G70" s="8" t="n">
        <v>600</v>
      </c>
      <c r="H70" s="8" t="n">
        <v>0</v>
      </c>
      <c r="I70" s="8" t="n">
        <v>300</v>
      </c>
    </row>
    <row r="71" customFormat="false" ht="15" hidden="false" customHeight="false" outlineLevel="0" collapsed="false">
      <c r="A71" s="8" t="s">
        <v>127</v>
      </c>
      <c r="B71" s="11" t="n">
        <v>45699</v>
      </c>
      <c r="C71" s="8" t="s">
        <v>43</v>
      </c>
      <c r="D71" s="8" t="s">
        <v>44</v>
      </c>
      <c r="E71" s="8" t="s">
        <v>45</v>
      </c>
      <c r="F71" s="8" t="n">
        <v>2</v>
      </c>
      <c r="G71" s="8" t="n">
        <v>1500</v>
      </c>
      <c r="H71" s="8" t="n">
        <v>0</v>
      </c>
      <c r="I71" s="8" t="n">
        <v>900</v>
      </c>
    </row>
    <row r="72" customFormat="false" ht="15" hidden="false" customHeight="false" outlineLevel="0" collapsed="false">
      <c r="A72" s="8" t="s">
        <v>128</v>
      </c>
      <c r="B72" s="11" t="n">
        <v>45692</v>
      </c>
      <c r="C72" s="8" t="s">
        <v>39</v>
      </c>
      <c r="D72" s="8" t="s">
        <v>44</v>
      </c>
      <c r="E72" s="8" t="s">
        <v>48</v>
      </c>
      <c r="F72" s="8" t="n">
        <v>3</v>
      </c>
      <c r="G72" s="8" t="n">
        <v>4500</v>
      </c>
      <c r="H72" s="8" t="n">
        <v>0.05</v>
      </c>
      <c r="I72" s="8" t="n">
        <v>3300</v>
      </c>
    </row>
    <row r="73" customFormat="false" ht="15" hidden="false" customHeight="false" outlineLevel="0" collapsed="false">
      <c r="A73" s="8" t="s">
        <v>129</v>
      </c>
      <c r="B73" s="11" t="n">
        <v>45693</v>
      </c>
      <c r="C73" s="8" t="s">
        <v>47</v>
      </c>
      <c r="D73" s="8" t="s">
        <v>44</v>
      </c>
      <c r="E73" s="8" t="s">
        <v>48</v>
      </c>
      <c r="F73" s="8" t="n">
        <v>3</v>
      </c>
      <c r="G73" s="8" t="n">
        <v>4500</v>
      </c>
      <c r="H73" s="8" t="n">
        <v>0</v>
      </c>
      <c r="I73" s="8" t="n">
        <v>3300</v>
      </c>
    </row>
    <row r="74" customFormat="false" ht="15" hidden="false" customHeight="false" outlineLevel="0" collapsed="false">
      <c r="A74" s="8" t="s">
        <v>130</v>
      </c>
      <c r="B74" s="11" t="n">
        <v>45698</v>
      </c>
      <c r="C74" s="8" t="s">
        <v>55</v>
      </c>
      <c r="D74" s="8" t="s">
        <v>57</v>
      </c>
      <c r="E74" s="8" t="s">
        <v>63</v>
      </c>
      <c r="F74" s="8" t="n">
        <v>1</v>
      </c>
      <c r="G74" s="8" t="n">
        <v>9000</v>
      </c>
      <c r="H74" s="8" t="n">
        <v>0</v>
      </c>
      <c r="I74" s="8" t="n">
        <v>6200</v>
      </c>
    </row>
    <row r="75" customFormat="false" ht="15" hidden="false" customHeight="false" outlineLevel="0" collapsed="false">
      <c r="A75" s="8" t="s">
        <v>131</v>
      </c>
      <c r="B75" s="11" t="n">
        <v>45698</v>
      </c>
      <c r="C75" s="8" t="s">
        <v>47</v>
      </c>
      <c r="D75" s="8" t="s">
        <v>44</v>
      </c>
      <c r="E75" s="8" t="s">
        <v>45</v>
      </c>
      <c r="F75" s="8" t="n">
        <v>3</v>
      </c>
      <c r="G75" s="8" t="n">
        <v>1500</v>
      </c>
      <c r="H75" s="8" t="n">
        <v>0.1</v>
      </c>
      <c r="I75" s="8" t="n">
        <v>900</v>
      </c>
    </row>
    <row r="76" customFormat="false" ht="15" hidden="false" customHeight="false" outlineLevel="0" collapsed="false">
      <c r="A76" s="8" t="s">
        <v>132</v>
      </c>
      <c r="B76" s="11" t="n">
        <v>45710</v>
      </c>
      <c r="C76" s="8" t="s">
        <v>55</v>
      </c>
      <c r="D76" s="8" t="s">
        <v>40</v>
      </c>
      <c r="E76" s="8" t="s">
        <v>104</v>
      </c>
      <c r="F76" s="8" t="n">
        <v>10</v>
      </c>
      <c r="G76" s="8" t="n">
        <v>250</v>
      </c>
      <c r="H76" s="8" t="n">
        <v>0</v>
      </c>
      <c r="I76" s="8" t="n">
        <v>100</v>
      </c>
    </row>
    <row r="77" customFormat="false" ht="15" hidden="false" customHeight="false" outlineLevel="0" collapsed="false">
      <c r="A77" s="8" t="s">
        <v>133</v>
      </c>
      <c r="B77" s="11" t="n">
        <v>45697</v>
      </c>
      <c r="C77" s="8" t="s">
        <v>47</v>
      </c>
      <c r="D77" s="8" t="s">
        <v>40</v>
      </c>
      <c r="E77" s="8" t="s">
        <v>77</v>
      </c>
      <c r="F77" s="8" t="n">
        <v>3</v>
      </c>
      <c r="G77" s="8" t="n">
        <v>400</v>
      </c>
      <c r="H77" s="8" t="n">
        <v>0</v>
      </c>
      <c r="I77" s="8" t="n">
        <v>200</v>
      </c>
    </row>
    <row r="78" customFormat="false" ht="15" hidden="false" customHeight="false" outlineLevel="0" collapsed="false">
      <c r="A78" s="8" t="s">
        <v>134</v>
      </c>
      <c r="B78" s="11" t="n">
        <v>45693</v>
      </c>
      <c r="C78" s="8" t="s">
        <v>55</v>
      </c>
      <c r="D78" s="8" t="s">
        <v>44</v>
      </c>
      <c r="E78" s="8" t="s">
        <v>48</v>
      </c>
      <c r="F78" s="8" t="n">
        <v>3</v>
      </c>
      <c r="G78" s="8" t="n">
        <v>4500</v>
      </c>
      <c r="H78" s="8" t="n">
        <v>0.05</v>
      </c>
      <c r="I78" s="8" t="n">
        <v>3300</v>
      </c>
    </row>
    <row r="79" customFormat="false" ht="15" hidden="false" customHeight="false" outlineLevel="0" collapsed="false">
      <c r="A79" s="8" t="s">
        <v>135</v>
      </c>
      <c r="B79" s="11" t="n">
        <v>45699</v>
      </c>
      <c r="C79" s="8" t="s">
        <v>47</v>
      </c>
      <c r="D79" s="8" t="s">
        <v>57</v>
      </c>
      <c r="E79" s="8" t="s">
        <v>111</v>
      </c>
      <c r="F79" s="8" t="n">
        <v>1</v>
      </c>
      <c r="G79" s="8" t="n">
        <v>7000</v>
      </c>
      <c r="H79" s="8" t="n">
        <v>0.1</v>
      </c>
      <c r="I79" s="8" t="n">
        <v>4800</v>
      </c>
    </row>
    <row r="80" customFormat="false" ht="15" hidden="false" customHeight="false" outlineLevel="0" collapsed="false">
      <c r="A80" s="8" t="s">
        <v>136</v>
      </c>
      <c r="B80" s="11" t="n">
        <v>45704</v>
      </c>
      <c r="C80" s="8" t="s">
        <v>43</v>
      </c>
      <c r="D80" s="8" t="s">
        <v>44</v>
      </c>
      <c r="E80" s="8" t="s">
        <v>50</v>
      </c>
      <c r="F80" s="8" t="n">
        <v>2</v>
      </c>
      <c r="G80" s="8" t="n">
        <v>3000</v>
      </c>
      <c r="H80" s="8" t="n">
        <v>0.05</v>
      </c>
      <c r="I80" s="8" t="n">
        <v>2000</v>
      </c>
    </row>
    <row r="81" customFormat="false" ht="15" hidden="false" customHeight="false" outlineLevel="0" collapsed="false">
      <c r="A81" s="8" t="s">
        <v>137</v>
      </c>
      <c r="B81" s="11" t="n">
        <v>45709</v>
      </c>
      <c r="C81" s="8" t="s">
        <v>55</v>
      </c>
      <c r="D81" s="8" t="s">
        <v>57</v>
      </c>
      <c r="E81" s="8" t="s">
        <v>111</v>
      </c>
      <c r="F81" s="8" t="n">
        <v>1</v>
      </c>
      <c r="G81" s="8" t="n">
        <v>7000</v>
      </c>
      <c r="H81" s="8" t="n">
        <v>0</v>
      </c>
      <c r="I81" s="8" t="n">
        <v>4800</v>
      </c>
    </row>
    <row r="82" customFormat="false" ht="15" hidden="false" customHeight="false" outlineLevel="0" collapsed="false">
      <c r="A82" s="8" t="s">
        <v>138</v>
      </c>
      <c r="B82" s="11" t="n">
        <v>45699</v>
      </c>
      <c r="C82" s="8" t="s">
        <v>55</v>
      </c>
      <c r="D82" s="8" t="s">
        <v>57</v>
      </c>
      <c r="E82" s="8" t="s">
        <v>58</v>
      </c>
      <c r="F82" s="8" t="n">
        <v>1</v>
      </c>
      <c r="G82" s="8" t="n">
        <v>5500</v>
      </c>
      <c r="H82" s="8" t="n">
        <v>0</v>
      </c>
      <c r="I82" s="8" t="n">
        <v>3600</v>
      </c>
    </row>
    <row r="83" customFormat="false" ht="15" hidden="false" customHeight="false" outlineLevel="0" collapsed="false">
      <c r="A83" s="8" t="s">
        <v>139</v>
      </c>
      <c r="B83" s="11" t="n">
        <v>45712</v>
      </c>
      <c r="C83" s="8" t="s">
        <v>43</v>
      </c>
      <c r="D83" s="8" t="s">
        <v>44</v>
      </c>
      <c r="E83" s="8" t="s">
        <v>45</v>
      </c>
      <c r="F83" s="8" t="n">
        <v>2</v>
      </c>
      <c r="G83" s="8" t="n">
        <v>1500</v>
      </c>
      <c r="H83" s="8" t="n">
        <v>0</v>
      </c>
      <c r="I83" s="8" t="n">
        <v>900</v>
      </c>
    </row>
    <row r="84" customFormat="false" ht="15" hidden="false" customHeight="false" outlineLevel="0" collapsed="false">
      <c r="A84" s="8" t="s">
        <v>140</v>
      </c>
      <c r="B84" s="11" t="n">
        <v>45689</v>
      </c>
      <c r="C84" s="8" t="s">
        <v>47</v>
      </c>
      <c r="D84" s="8" t="s">
        <v>57</v>
      </c>
      <c r="E84" s="8" t="s">
        <v>86</v>
      </c>
      <c r="F84" s="8" t="n">
        <v>2</v>
      </c>
      <c r="G84" s="8" t="n">
        <v>1200</v>
      </c>
      <c r="H84" s="8" t="n">
        <v>0.05</v>
      </c>
      <c r="I84" s="8" t="n">
        <v>600</v>
      </c>
    </row>
    <row r="85" customFormat="false" ht="15" hidden="false" customHeight="false" outlineLevel="0" collapsed="false">
      <c r="A85" s="8" t="s">
        <v>141</v>
      </c>
      <c r="B85" s="11" t="n">
        <v>45706</v>
      </c>
      <c r="C85" s="8" t="s">
        <v>39</v>
      </c>
      <c r="D85" s="8" t="s">
        <v>44</v>
      </c>
      <c r="E85" s="8" t="s">
        <v>48</v>
      </c>
      <c r="F85" s="8" t="n">
        <v>3</v>
      </c>
      <c r="G85" s="8" t="n">
        <v>4500</v>
      </c>
      <c r="H85" s="8" t="n">
        <v>0</v>
      </c>
      <c r="I85" s="8" t="n">
        <v>3300</v>
      </c>
    </row>
    <row r="86" customFormat="false" ht="15" hidden="false" customHeight="false" outlineLevel="0" collapsed="false">
      <c r="A86" s="8" t="s">
        <v>142</v>
      </c>
      <c r="B86" s="11" t="n">
        <v>45693</v>
      </c>
      <c r="C86" s="8" t="s">
        <v>55</v>
      </c>
      <c r="D86" s="8" t="s">
        <v>44</v>
      </c>
      <c r="E86" s="8" t="s">
        <v>60</v>
      </c>
      <c r="F86" s="8" t="n">
        <v>3</v>
      </c>
      <c r="G86" s="8" t="n">
        <v>2500</v>
      </c>
      <c r="H86" s="8" t="n">
        <v>0.05</v>
      </c>
      <c r="I86" s="8" t="n">
        <v>1600</v>
      </c>
    </row>
    <row r="87" customFormat="false" ht="15" hidden="false" customHeight="false" outlineLevel="0" collapsed="false">
      <c r="A87" s="8" t="s">
        <v>143</v>
      </c>
      <c r="B87" s="11" t="n">
        <v>45714</v>
      </c>
      <c r="C87" s="8" t="s">
        <v>39</v>
      </c>
      <c r="D87" s="8" t="s">
        <v>57</v>
      </c>
      <c r="E87" s="8" t="s">
        <v>58</v>
      </c>
      <c r="F87" s="8" t="n">
        <v>2</v>
      </c>
      <c r="G87" s="8" t="n">
        <v>5500</v>
      </c>
      <c r="H87" s="8" t="n">
        <v>0</v>
      </c>
      <c r="I87" s="8" t="n">
        <v>3600</v>
      </c>
    </row>
    <row r="88" customFormat="false" ht="15" hidden="false" customHeight="false" outlineLevel="0" collapsed="false">
      <c r="A88" s="8" t="s">
        <v>144</v>
      </c>
      <c r="B88" s="11" t="n">
        <v>45696</v>
      </c>
      <c r="C88" s="8" t="s">
        <v>55</v>
      </c>
      <c r="D88" s="8" t="s">
        <v>44</v>
      </c>
      <c r="E88" s="8" t="s">
        <v>60</v>
      </c>
      <c r="F88" s="8" t="n">
        <v>1</v>
      </c>
      <c r="G88" s="8" t="n">
        <v>2500</v>
      </c>
      <c r="H88" s="8" t="n">
        <v>0.1</v>
      </c>
      <c r="I88" s="8" t="n">
        <v>1600</v>
      </c>
    </row>
    <row r="89" customFormat="false" ht="15" hidden="false" customHeight="false" outlineLevel="0" collapsed="false">
      <c r="A89" s="8" t="s">
        <v>145</v>
      </c>
      <c r="B89" s="11" t="n">
        <v>45708</v>
      </c>
      <c r="C89" s="8" t="s">
        <v>39</v>
      </c>
      <c r="D89" s="8" t="s">
        <v>40</v>
      </c>
      <c r="E89" s="8" t="s">
        <v>41</v>
      </c>
      <c r="F89" s="8" t="n">
        <v>10</v>
      </c>
      <c r="G89" s="8" t="n">
        <v>600</v>
      </c>
      <c r="H89" s="8" t="n">
        <v>0</v>
      </c>
      <c r="I89" s="8" t="n">
        <v>300</v>
      </c>
    </row>
    <row r="90" customFormat="false" ht="15" hidden="false" customHeight="false" outlineLevel="0" collapsed="false">
      <c r="A90" s="8" t="s">
        <v>146</v>
      </c>
      <c r="B90" s="11" t="n">
        <v>45714</v>
      </c>
      <c r="C90" s="8" t="s">
        <v>39</v>
      </c>
      <c r="D90" s="8" t="s">
        <v>40</v>
      </c>
      <c r="E90" s="8" t="s">
        <v>71</v>
      </c>
      <c r="F90" s="8" t="n">
        <v>5</v>
      </c>
      <c r="G90" s="8" t="n">
        <v>500</v>
      </c>
      <c r="H90" s="8" t="n">
        <v>0</v>
      </c>
      <c r="I90" s="8" t="n">
        <v>250</v>
      </c>
    </row>
    <row r="91" customFormat="false" ht="15" hidden="false" customHeight="false" outlineLevel="0" collapsed="false">
      <c r="A91" s="8" t="s">
        <v>147</v>
      </c>
      <c r="B91" s="11" t="n">
        <v>45712</v>
      </c>
      <c r="C91" s="8" t="s">
        <v>55</v>
      </c>
      <c r="D91" s="8" t="s">
        <v>44</v>
      </c>
      <c r="E91" s="8" t="s">
        <v>45</v>
      </c>
      <c r="F91" s="8" t="n">
        <v>1</v>
      </c>
      <c r="G91" s="8" t="n">
        <v>1500</v>
      </c>
      <c r="H91" s="8" t="n">
        <v>0</v>
      </c>
      <c r="I91" s="8" t="n">
        <v>900</v>
      </c>
    </row>
    <row r="92" customFormat="false" ht="15" hidden="false" customHeight="false" outlineLevel="0" collapsed="false">
      <c r="A92" s="8" t="s">
        <v>148</v>
      </c>
      <c r="B92" s="11" t="n">
        <v>45716</v>
      </c>
      <c r="C92" s="8" t="s">
        <v>43</v>
      </c>
      <c r="D92" s="8" t="s">
        <v>57</v>
      </c>
      <c r="E92" s="8" t="s">
        <v>63</v>
      </c>
      <c r="F92" s="8" t="n">
        <v>2</v>
      </c>
      <c r="G92" s="8" t="n">
        <v>9000</v>
      </c>
      <c r="H92" s="8" t="n">
        <v>0.1</v>
      </c>
      <c r="I92" s="8" t="n">
        <v>6200</v>
      </c>
    </row>
    <row r="93" customFormat="false" ht="15" hidden="false" customHeight="false" outlineLevel="0" collapsed="false">
      <c r="A93" s="8" t="s">
        <v>149</v>
      </c>
      <c r="B93" s="11" t="n">
        <v>45714</v>
      </c>
      <c r="C93" s="8" t="s">
        <v>55</v>
      </c>
      <c r="D93" s="8" t="s">
        <v>40</v>
      </c>
      <c r="E93" s="8" t="s">
        <v>71</v>
      </c>
      <c r="F93" s="8" t="n">
        <v>6</v>
      </c>
      <c r="G93" s="8" t="n">
        <v>500</v>
      </c>
      <c r="H93" s="8" t="n">
        <v>0</v>
      </c>
      <c r="I93" s="8" t="n">
        <v>250</v>
      </c>
    </row>
    <row r="94" customFormat="false" ht="15" hidden="false" customHeight="false" outlineLevel="0" collapsed="false">
      <c r="A94" s="8" t="s">
        <v>150</v>
      </c>
      <c r="B94" s="11" t="n">
        <v>45696</v>
      </c>
      <c r="C94" s="8" t="s">
        <v>39</v>
      </c>
      <c r="D94" s="8" t="s">
        <v>40</v>
      </c>
      <c r="E94" s="8" t="s">
        <v>71</v>
      </c>
      <c r="F94" s="8" t="n">
        <v>2</v>
      </c>
      <c r="G94" s="8" t="n">
        <v>500</v>
      </c>
      <c r="H94" s="8" t="n">
        <v>0</v>
      </c>
      <c r="I94" s="8" t="n">
        <v>250</v>
      </c>
    </row>
    <row r="95" customFormat="false" ht="15" hidden="false" customHeight="false" outlineLevel="0" collapsed="false">
      <c r="A95" s="8" t="s">
        <v>151</v>
      </c>
      <c r="B95" s="11" t="n">
        <v>45698</v>
      </c>
      <c r="C95" s="8" t="s">
        <v>55</v>
      </c>
      <c r="D95" s="8" t="s">
        <v>44</v>
      </c>
      <c r="E95" s="8" t="s">
        <v>50</v>
      </c>
      <c r="F95" s="8" t="n">
        <v>2</v>
      </c>
      <c r="G95" s="8" t="n">
        <v>3000</v>
      </c>
      <c r="H95" s="8" t="n">
        <v>0</v>
      </c>
      <c r="I95" s="8" t="n">
        <v>2000</v>
      </c>
    </row>
    <row r="96" customFormat="false" ht="15" hidden="false" customHeight="false" outlineLevel="0" collapsed="false">
      <c r="A96" s="8" t="s">
        <v>152</v>
      </c>
      <c r="B96" s="11" t="n">
        <v>45701</v>
      </c>
      <c r="C96" s="8" t="s">
        <v>39</v>
      </c>
      <c r="D96" s="8" t="s">
        <v>44</v>
      </c>
      <c r="E96" s="8" t="s">
        <v>50</v>
      </c>
      <c r="F96" s="8" t="n">
        <v>3</v>
      </c>
      <c r="G96" s="8" t="n">
        <v>3000</v>
      </c>
      <c r="H96" s="8" t="n">
        <v>0</v>
      </c>
      <c r="I96" s="8" t="n">
        <v>2000</v>
      </c>
    </row>
    <row r="97" customFormat="false" ht="15" hidden="false" customHeight="false" outlineLevel="0" collapsed="false">
      <c r="A97" s="8" t="s">
        <v>153</v>
      </c>
      <c r="B97" s="11" t="n">
        <v>45700</v>
      </c>
      <c r="C97" s="8" t="s">
        <v>47</v>
      </c>
      <c r="D97" s="8" t="s">
        <v>57</v>
      </c>
      <c r="E97" s="8" t="s">
        <v>63</v>
      </c>
      <c r="F97" s="8"/>
      <c r="G97" s="8" t="n">
        <v>9000</v>
      </c>
      <c r="H97" s="8" t="n">
        <v>0</v>
      </c>
      <c r="I97" s="8" t="n">
        <v>6200</v>
      </c>
    </row>
    <row r="98" customFormat="false" ht="15" hidden="false" customHeight="false" outlineLevel="0" collapsed="false">
      <c r="A98" s="8" t="s">
        <v>154</v>
      </c>
      <c r="B98" s="11" t="n">
        <v>45689</v>
      </c>
      <c r="C98" s="8" t="s">
        <v>47</v>
      </c>
      <c r="D98" s="8" t="s">
        <v>40</v>
      </c>
      <c r="E98" s="8" t="s">
        <v>41</v>
      </c>
      <c r="F98" s="8" t="n">
        <v>10</v>
      </c>
      <c r="G98" s="8" t="n">
        <v>600</v>
      </c>
      <c r="H98" s="8" t="n">
        <v>0</v>
      </c>
      <c r="I98" s="8" t="n">
        <v>300</v>
      </c>
    </row>
    <row r="99" customFormat="false" ht="15" hidden="false" customHeight="false" outlineLevel="0" collapsed="false">
      <c r="A99" s="8" t="s">
        <v>155</v>
      </c>
      <c r="B99" s="11" t="n">
        <v>45707</v>
      </c>
      <c r="C99" s="8" t="s">
        <v>156</v>
      </c>
      <c r="D99" s="8" t="s">
        <v>44</v>
      </c>
      <c r="E99" s="8" t="s">
        <v>48</v>
      </c>
      <c r="F99" s="8" t="n">
        <v>2</v>
      </c>
      <c r="G99" s="8" t="n">
        <v>4500</v>
      </c>
      <c r="H99" s="8" t="n">
        <v>0</v>
      </c>
      <c r="I99" s="8" t="n">
        <v>3300</v>
      </c>
    </row>
    <row r="100" customFormat="false" ht="15" hidden="false" customHeight="false" outlineLevel="0" collapsed="false">
      <c r="A100" s="8" t="s">
        <v>157</v>
      </c>
      <c r="B100" s="11" t="n">
        <v>45700</v>
      </c>
      <c r="C100" s="8" t="s">
        <v>39</v>
      </c>
      <c r="D100" s="8" t="s">
        <v>57</v>
      </c>
      <c r="E100" s="8" t="s">
        <v>111</v>
      </c>
      <c r="F100" s="8" t="n">
        <v>3</v>
      </c>
      <c r="G100" s="8" t="n">
        <v>7000</v>
      </c>
      <c r="H100" s="8" t="n">
        <v>0</v>
      </c>
      <c r="I100" s="8" t="n">
        <v>4800</v>
      </c>
    </row>
    <row r="101" customFormat="false" ht="15" hidden="false" customHeight="false" outlineLevel="0" collapsed="false">
      <c r="A101" s="8" t="s">
        <v>158</v>
      </c>
      <c r="B101" s="11" t="n">
        <v>45733</v>
      </c>
      <c r="C101" s="8" t="s">
        <v>43</v>
      </c>
      <c r="D101" s="8" t="s">
        <v>40</v>
      </c>
      <c r="E101" s="8" t="s">
        <v>71</v>
      </c>
      <c r="F101" s="8" t="n">
        <v>8</v>
      </c>
      <c r="G101" s="8" t="n">
        <v>500</v>
      </c>
      <c r="H101" s="8" t="n">
        <v>0.05</v>
      </c>
      <c r="I101" s="8" t="n">
        <v>250</v>
      </c>
    </row>
    <row r="102" customFormat="false" ht="15" hidden="false" customHeight="false" outlineLevel="0" collapsed="false">
      <c r="A102" s="8" t="s">
        <v>159</v>
      </c>
      <c r="B102" s="11" t="n">
        <v>45725</v>
      </c>
      <c r="C102" s="8" t="s">
        <v>47</v>
      </c>
      <c r="D102" s="8" t="s">
        <v>44</v>
      </c>
      <c r="E102" s="8" t="s">
        <v>48</v>
      </c>
      <c r="F102" s="8" t="n">
        <v>3</v>
      </c>
      <c r="G102" s="8" t="n">
        <v>4500</v>
      </c>
      <c r="H102" s="8" t="n">
        <v>0</v>
      </c>
      <c r="I102" s="8" t="n">
        <v>3300</v>
      </c>
    </row>
    <row r="103" customFormat="false" ht="15" hidden="false" customHeight="false" outlineLevel="0" collapsed="false">
      <c r="A103" s="8" t="s">
        <v>160</v>
      </c>
      <c r="B103" s="11" t="n">
        <v>45742</v>
      </c>
      <c r="C103" s="8" t="s">
        <v>43</v>
      </c>
      <c r="D103" s="8" t="s">
        <v>44</v>
      </c>
      <c r="E103" s="8" t="s">
        <v>60</v>
      </c>
      <c r="F103" s="8" t="n">
        <v>1</v>
      </c>
      <c r="G103" s="8" t="n">
        <v>2500</v>
      </c>
      <c r="H103" s="8" t="n">
        <v>0.05</v>
      </c>
      <c r="I103" s="8" t="n">
        <v>1600</v>
      </c>
    </row>
    <row r="104" customFormat="false" ht="15" hidden="false" customHeight="false" outlineLevel="0" collapsed="false">
      <c r="A104" s="8" t="s">
        <v>161</v>
      </c>
      <c r="B104" s="11" t="n">
        <v>45730</v>
      </c>
      <c r="C104" s="8" t="s">
        <v>43</v>
      </c>
      <c r="D104" s="8" t="s">
        <v>40</v>
      </c>
      <c r="E104" s="8" t="s">
        <v>77</v>
      </c>
      <c r="F104" s="8" t="n">
        <v>5</v>
      </c>
      <c r="G104" s="8" t="n">
        <v>400</v>
      </c>
      <c r="H104" s="8" t="n">
        <v>0</v>
      </c>
      <c r="I104" s="8" t="n">
        <v>200</v>
      </c>
    </row>
    <row r="105" customFormat="false" ht="15" hidden="false" customHeight="false" outlineLevel="0" collapsed="false">
      <c r="A105" s="8" t="s">
        <v>162</v>
      </c>
      <c r="B105" s="11" t="n">
        <v>45727</v>
      </c>
      <c r="C105" s="8" t="s">
        <v>55</v>
      </c>
      <c r="D105" s="8" t="s">
        <v>44</v>
      </c>
      <c r="E105" s="8" t="s">
        <v>48</v>
      </c>
      <c r="F105" s="8" t="n">
        <v>2</v>
      </c>
      <c r="G105" s="8" t="n">
        <v>4500</v>
      </c>
      <c r="H105" s="8" t="n">
        <v>0.05</v>
      </c>
      <c r="I105" s="8" t="n">
        <v>3300</v>
      </c>
    </row>
    <row r="106" customFormat="false" ht="15" hidden="false" customHeight="false" outlineLevel="0" collapsed="false">
      <c r="A106" s="8" t="s">
        <v>163</v>
      </c>
      <c r="B106" s="11" t="n">
        <v>45726</v>
      </c>
      <c r="C106" s="8" t="s">
        <v>55</v>
      </c>
      <c r="D106" s="8" t="s">
        <v>40</v>
      </c>
      <c r="E106" s="8" t="s">
        <v>41</v>
      </c>
      <c r="F106" s="8" t="n">
        <v>6</v>
      </c>
      <c r="G106" s="8" t="n">
        <v>600</v>
      </c>
      <c r="H106" s="8" t="n">
        <v>0.05</v>
      </c>
      <c r="I106" s="8" t="n">
        <v>300</v>
      </c>
    </row>
    <row r="107" customFormat="false" ht="15" hidden="false" customHeight="false" outlineLevel="0" collapsed="false">
      <c r="A107" s="8" t="s">
        <v>164</v>
      </c>
      <c r="B107" s="11" t="n">
        <v>45726</v>
      </c>
      <c r="C107" s="8" t="s">
        <v>47</v>
      </c>
      <c r="D107" s="8" t="s">
        <v>40</v>
      </c>
      <c r="E107" s="8" t="s">
        <v>41</v>
      </c>
      <c r="F107" s="8" t="n">
        <v>8</v>
      </c>
      <c r="G107" s="8" t="n">
        <v>600</v>
      </c>
      <c r="H107" s="8" t="n">
        <v>0.1</v>
      </c>
      <c r="I107" s="8" t="n">
        <v>300</v>
      </c>
    </row>
    <row r="108" customFormat="false" ht="15" hidden="false" customHeight="false" outlineLevel="0" collapsed="false">
      <c r="A108" s="8" t="s">
        <v>165</v>
      </c>
      <c r="B108" s="11" t="n">
        <v>45729</v>
      </c>
      <c r="C108" s="8" t="s">
        <v>39</v>
      </c>
      <c r="D108" s="8" t="s">
        <v>40</v>
      </c>
      <c r="E108" s="8" t="s">
        <v>77</v>
      </c>
      <c r="F108" s="8" t="n">
        <v>8</v>
      </c>
      <c r="G108" s="8" t="n">
        <v>400</v>
      </c>
      <c r="H108" s="8" t="n">
        <v>0.1</v>
      </c>
      <c r="I108" s="8" t="n">
        <v>200</v>
      </c>
    </row>
    <row r="109" customFormat="false" ht="15" hidden="false" customHeight="false" outlineLevel="0" collapsed="false">
      <c r="A109" s="8" t="s">
        <v>166</v>
      </c>
      <c r="B109" s="11" t="n">
        <v>45735</v>
      </c>
      <c r="C109" s="8" t="s">
        <v>43</v>
      </c>
      <c r="D109" s="8" t="s">
        <v>40</v>
      </c>
      <c r="E109" s="8" t="s">
        <v>41</v>
      </c>
      <c r="F109" s="8" t="n">
        <v>4</v>
      </c>
      <c r="G109" s="8" t="n">
        <v>600</v>
      </c>
      <c r="H109" s="8" t="n">
        <v>0.05</v>
      </c>
      <c r="I109" s="8" t="n">
        <v>300</v>
      </c>
    </row>
    <row r="110" customFormat="false" ht="15" hidden="false" customHeight="false" outlineLevel="0" collapsed="false">
      <c r="A110" s="8" t="s">
        <v>167</v>
      </c>
      <c r="B110" s="11" t="n">
        <v>45726</v>
      </c>
      <c r="C110" s="8" t="s">
        <v>47</v>
      </c>
      <c r="D110" s="8" t="s">
        <v>57</v>
      </c>
      <c r="E110" s="8" t="s">
        <v>111</v>
      </c>
      <c r="F110" s="8" t="n">
        <v>1</v>
      </c>
      <c r="G110" s="8" t="n">
        <v>7000</v>
      </c>
      <c r="H110" s="8" t="n">
        <v>0</v>
      </c>
      <c r="I110" s="8" t="n">
        <v>4800</v>
      </c>
    </row>
    <row r="111" customFormat="false" ht="15" hidden="false" customHeight="false" outlineLevel="0" collapsed="false">
      <c r="A111" s="8" t="s">
        <v>168</v>
      </c>
      <c r="B111" s="11" t="n">
        <v>45737</v>
      </c>
      <c r="C111" s="8" t="s">
        <v>47</v>
      </c>
      <c r="D111" s="8" t="s">
        <v>44</v>
      </c>
      <c r="E111" s="8" t="s">
        <v>50</v>
      </c>
      <c r="F111" s="8" t="n">
        <v>3</v>
      </c>
      <c r="G111" s="8" t="n">
        <v>3000</v>
      </c>
      <c r="H111" s="8" t="n">
        <v>0.05</v>
      </c>
      <c r="I111" s="8" t="n">
        <v>2000</v>
      </c>
    </row>
    <row r="112" customFormat="false" ht="15" hidden="false" customHeight="false" outlineLevel="0" collapsed="false">
      <c r="A112" s="8" t="s">
        <v>169</v>
      </c>
      <c r="B112" s="11" t="n">
        <v>45723</v>
      </c>
      <c r="C112" s="8" t="s">
        <v>47</v>
      </c>
      <c r="D112" s="8" t="s">
        <v>57</v>
      </c>
      <c r="E112" s="8" t="s">
        <v>63</v>
      </c>
      <c r="F112" s="8" t="n">
        <v>2</v>
      </c>
      <c r="G112" s="8" t="n">
        <v>9000</v>
      </c>
      <c r="H112" s="8" t="n">
        <v>0.1</v>
      </c>
      <c r="I112" s="8" t="n">
        <v>6200</v>
      </c>
    </row>
    <row r="113" customFormat="false" ht="15" hidden="false" customHeight="false" outlineLevel="0" collapsed="false">
      <c r="A113" s="8" t="s">
        <v>170</v>
      </c>
      <c r="B113" s="11" t="n">
        <v>45719</v>
      </c>
      <c r="C113" s="8" t="s">
        <v>47</v>
      </c>
      <c r="D113" s="8" t="s">
        <v>40</v>
      </c>
      <c r="E113" s="8" t="s">
        <v>77</v>
      </c>
      <c r="F113" s="8" t="n">
        <v>4</v>
      </c>
      <c r="G113" s="8" t="n">
        <v>400</v>
      </c>
      <c r="H113" s="8" t="n">
        <v>0.1</v>
      </c>
      <c r="I113" s="8" t="n">
        <v>200</v>
      </c>
    </row>
    <row r="114" customFormat="false" ht="15" hidden="false" customHeight="false" outlineLevel="0" collapsed="false">
      <c r="A114" s="8" t="s">
        <v>171</v>
      </c>
      <c r="B114" s="11" t="n">
        <v>45727</v>
      </c>
      <c r="C114" s="8" t="s">
        <v>47</v>
      </c>
      <c r="D114" s="8" t="s">
        <v>57</v>
      </c>
      <c r="E114" s="8" t="s">
        <v>111</v>
      </c>
      <c r="F114" s="8" t="n">
        <v>3</v>
      </c>
      <c r="G114" s="8" t="n">
        <v>7000</v>
      </c>
      <c r="H114" s="8" t="n">
        <v>0.05</v>
      </c>
      <c r="I114" s="8" t="n">
        <v>4800</v>
      </c>
    </row>
    <row r="115" customFormat="false" ht="15" hidden="false" customHeight="false" outlineLevel="0" collapsed="false">
      <c r="A115" s="8" t="s">
        <v>172</v>
      </c>
      <c r="B115" s="11" t="n">
        <v>45726</v>
      </c>
      <c r="C115" s="8" t="s">
        <v>55</v>
      </c>
      <c r="D115" s="8" t="s">
        <v>44</v>
      </c>
      <c r="E115" s="8" t="s">
        <v>48</v>
      </c>
      <c r="F115" s="8" t="n">
        <v>1</v>
      </c>
      <c r="G115" s="8" t="n">
        <v>4500</v>
      </c>
      <c r="H115" s="8" t="n">
        <v>0.1</v>
      </c>
      <c r="I115" s="8" t="n">
        <v>3300</v>
      </c>
    </row>
    <row r="116" customFormat="false" ht="15" hidden="false" customHeight="false" outlineLevel="0" collapsed="false">
      <c r="A116" s="8" t="s">
        <v>173</v>
      </c>
      <c r="B116" s="11" t="n">
        <v>45718</v>
      </c>
      <c r="C116" s="8" t="s">
        <v>55</v>
      </c>
      <c r="D116" s="8" t="s">
        <v>44</v>
      </c>
      <c r="E116" s="8" t="s">
        <v>50</v>
      </c>
      <c r="F116" s="8" t="n">
        <v>1</v>
      </c>
      <c r="G116" s="8" t="n">
        <v>3000</v>
      </c>
      <c r="H116" s="8" t="n">
        <v>0</v>
      </c>
      <c r="I116" s="8" t="n">
        <v>2000</v>
      </c>
    </row>
    <row r="117" customFormat="false" ht="15" hidden="false" customHeight="false" outlineLevel="0" collapsed="false">
      <c r="A117" s="8" t="s">
        <v>174</v>
      </c>
      <c r="B117" s="11" t="n">
        <v>45731</v>
      </c>
      <c r="C117" s="8" t="s">
        <v>55</v>
      </c>
      <c r="D117" s="8" t="s">
        <v>44</v>
      </c>
      <c r="E117" s="8" t="s">
        <v>50</v>
      </c>
      <c r="F117" s="8" t="n">
        <v>3</v>
      </c>
      <c r="G117" s="8" t="n">
        <v>3000</v>
      </c>
      <c r="H117" s="8" t="n">
        <v>0</v>
      </c>
      <c r="I117" s="8" t="n">
        <v>2000</v>
      </c>
    </row>
    <row r="118" customFormat="false" ht="15" hidden="false" customHeight="false" outlineLevel="0" collapsed="false">
      <c r="A118" s="8" t="s">
        <v>175</v>
      </c>
      <c r="B118" s="11" t="n">
        <v>45739</v>
      </c>
      <c r="C118" s="8" t="s">
        <v>55</v>
      </c>
      <c r="D118" s="8" t="s">
        <v>57</v>
      </c>
      <c r="E118" s="8" t="s">
        <v>58</v>
      </c>
      <c r="F118" s="8" t="n">
        <v>3</v>
      </c>
      <c r="G118" s="8" t="n">
        <v>5500</v>
      </c>
      <c r="H118" s="8" t="n">
        <v>0</v>
      </c>
      <c r="I118" s="8" t="n">
        <v>3600</v>
      </c>
    </row>
    <row r="119" customFormat="false" ht="15" hidden="false" customHeight="false" outlineLevel="0" collapsed="false">
      <c r="A119" s="8" t="s">
        <v>176</v>
      </c>
      <c r="B119" s="11" t="n">
        <v>45721</v>
      </c>
      <c r="C119" s="8" t="s">
        <v>47</v>
      </c>
      <c r="D119" s="8" t="s">
        <v>40</v>
      </c>
      <c r="E119" s="8" t="s">
        <v>71</v>
      </c>
      <c r="F119" s="8" t="n">
        <v>8</v>
      </c>
      <c r="G119" s="8" t="n">
        <v>500</v>
      </c>
      <c r="H119" s="8" t="n">
        <v>0</v>
      </c>
      <c r="I119" s="8" t="n">
        <v>250</v>
      </c>
    </row>
    <row r="120" customFormat="false" ht="15" hidden="false" customHeight="false" outlineLevel="0" collapsed="false">
      <c r="A120" s="8" t="s">
        <v>177</v>
      </c>
      <c r="B120" s="11" t="n">
        <v>45724</v>
      </c>
      <c r="C120" s="8" t="s">
        <v>43</v>
      </c>
      <c r="D120" s="8" t="s">
        <v>40</v>
      </c>
      <c r="E120" s="8" t="s">
        <v>41</v>
      </c>
      <c r="F120" s="8" t="n">
        <v>3</v>
      </c>
      <c r="G120" s="8" t="n">
        <v>600</v>
      </c>
      <c r="H120" s="8" t="n">
        <v>0</v>
      </c>
      <c r="I120" s="8" t="n">
        <v>300</v>
      </c>
    </row>
    <row r="121" customFormat="false" ht="15" hidden="false" customHeight="false" outlineLevel="0" collapsed="false">
      <c r="A121" s="8" t="s">
        <v>178</v>
      </c>
      <c r="B121" s="11" t="n">
        <v>45731</v>
      </c>
      <c r="C121" s="8" t="s">
        <v>55</v>
      </c>
      <c r="D121" s="8" t="s">
        <v>44</v>
      </c>
      <c r="E121" s="8" t="s">
        <v>45</v>
      </c>
      <c r="F121" s="8" t="n">
        <v>3</v>
      </c>
      <c r="G121" s="8" t="n">
        <v>1500</v>
      </c>
      <c r="H121" s="8" t="n">
        <v>0.05</v>
      </c>
      <c r="I121" s="8" t="n">
        <v>900</v>
      </c>
    </row>
    <row r="122" customFormat="false" ht="15" hidden="false" customHeight="false" outlineLevel="0" collapsed="false">
      <c r="A122" s="8" t="s">
        <v>179</v>
      </c>
      <c r="B122" s="11" t="n">
        <v>45721</v>
      </c>
      <c r="C122" s="8" t="s">
        <v>47</v>
      </c>
      <c r="D122" s="8" t="s">
        <v>44</v>
      </c>
      <c r="E122" s="8" t="s">
        <v>60</v>
      </c>
      <c r="F122" s="8" t="n">
        <v>1</v>
      </c>
      <c r="G122" s="8" t="n">
        <v>2500</v>
      </c>
      <c r="H122" s="8" t="n">
        <v>0</v>
      </c>
      <c r="I122" s="8" t="n">
        <v>1600</v>
      </c>
    </row>
    <row r="123" customFormat="false" ht="15" hidden="false" customHeight="false" outlineLevel="0" collapsed="false">
      <c r="A123" s="8" t="s">
        <v>180</v>
      </c>
      <c r="B123" s="11" t="n">
        <v>45727</v>
      </c>
      <c r="C123" s="8" t="s">
        <v>43</v>
      </c>
      <c r="D123" s="8" t="s">
        <v>57</v>
      </c>
      <c r="E123" s="8" t="s">
        <v>86</v>
      </c>
      <c r="F123" s="8" t="n">
        <v>3</v>
      </c>
      <c r="G123" s="8" t="n">
        <v>1200</v>
      </c>
      <c r="H123" s="8" t="n">
        <v>0.05</v>
      </c>
      <c r="I123" s="8" t="n">
        <v>600</v>
      </c>
    </row>
    <row r="124" customFormat="false" ht="15" hidden="false" customHeight="false" outlineLevel="0" collapsed="false">
      <c r="A124" s="8" t="s">
        <v>181</v>
      </c>
      <c r="B124" s="11" t="n">
        <v>45730</v>
      </c>
      <c r="C124" s="8" t="s">
        <v>43</v>
      </c>
      <c r="D124" s="8" t="s">
        <v>57</v>
      </c>
      <c r="E124" s="8" t="s">
        <v>86</v>
      </c>
      <c r="F124" s="8" t="n">
        <v>3</v>
      </c>
      <c r="G124" s="8" t="n">
        <v>1200</v>
      </c>
      <c r="H124" s="8" t="n">
        <v>0.05</v>
      </c>
      <c r="I124" s="8" t="n">
        <v>600</v>
      </c>
    </row>
    <row r="125" customFormat="false" ht="15" hidden="false" customHeight="false" outlineLevel="0" collapsed="false">
      <c r="A125" s="8" t="s">
        <v>182</v>
      </c>
      <c r="B125" s="11" t="n">
        <v>45744</v>
      </c>
      <c r="C125" s="8" t="s">
        <v>47</v>
      </c>
      <c r="D125" s="8" t="s">
        <v>40</v>
      </c>
      <c r="E125" s="8" t="s">
        <v>77</v>
      </c>
      <c r="F125" s="8" t="n">
        <v>4</v>
      </c>
      <c r="G125" s="8" t="n">
        <v>400</v>
      </c>
      <c r="H125" s="8" t="n">
        <v>0.1</v>
      </c>
      <c r="I125" s="8" t="n">
        <v>200</v>
      </c>
    </row>
    <row r="126" customFormat="false" ht="15" hidden="false" customHeight="false" outlineLevel="0" collapsed="false">
      <c r="A126" s="8" t="s">
        <v>183</v>
      </c>
      <c r="B126" s="11" t="n">
        <v>45725</v>
      </c>
      <c r="C126" s="8" t="s">
        <v>47</v>
      </c>
      <c r="D126" s="8" t="s">
        <v>57</v>
      </c>
      <c r="E126" s="8" t="s">
        <v>86</v>
      </c>
      <c r="F126" s="8" t="n">
        <v>1</v>
      </c>
      <c r="G126" s="8" t="n">
        <v>1200</v>
      </c>
      <c r="H126" s="8" t="n">
        <v>0.1</v>
      </c>
      <c r="I126" s="8" t="n">
        <v>600</v>
      </c>
    </row>
    <row r="127" customFormat="false" ht="15" hidden="false" customHeight="false" outlineLevel="0" collapsed="false">
      <c r="A127" s="8" t="s">
        <v>184</v>
      </c>
      <c r="B127" s="11" t="n">
        <v>45731</v>
      </c>
      <c r="C127" s="8" t="s">
        <v>47</v>
      </c>
      <c r="D127" s="8" t="s">
        <v>40</v>
      </c>
      <c r="E127" s="8" t="s">
        <v>77</v>
      </c>
      <c r="F127" s="8" t="n">
        <v>5</v>
      </c>
      <c r="G127" s="8" t="n">
        <v>400</v>
      </c>
      <c r="H127" s="8" t="n">
        <v>0</v>
      </c>
      <c r="I127" s="8" t="n">
        <v>200</v>
      </c>
    </row>
    <row r="128" customFormat="false" ht="15" hidden="false" customHeight="false" outlineLevel="0" collapsed="false">
      <c r="A128" s="8" t="s">
        <v>185</v>
      </c>
      <c r="B128" s="11" t="n">
        <v>45727</v>
      </c>
      <c r="C128" s="8" t="s">
        <v>43</v>
      </c>
      <c r="D128" s="8" t="s">
        <v>44</v>
      </c>
      <c r="E128" s="8" t="s">
        <v>48</v>
      </c>
      <c r="F128" s="8" t="n">
        <v>1</v>
      </c>
      <c r="G128" s="8" t="n">
        <v>4500</v>
      </c>
      <c r="H128" s="8" t="n">
        <v>0</v>
      </c>
      <c r="I128" s="8" t="n">
        <v>3300</v>
      </c>
    </row>
    <row r="129" customFormat="false" ht="15" hidden="false" customHeight="false" outlineLevel="0" collapsed="false">
      <c r="A129" s="8" t="s">
        <v>186</v>
      </c>
      <c r="B129" s="11" t="n">
        <v>45721</v>
      </c>
      <c r="C129" s="8" t="s">
        <v>55</v>
      </c>
      <c r="D129" s="8" t="s">
        <v>57</v>
      </c>
      <c r="E129" s="8" t="s">
        <v>63</v>
      </c>
      <c r="F129" s="8" t="n">
        <v>1</v>
      </c>
      <c r="G129" s="8" t="n">
        <v>9000</v>
      </c>
      <c r="H129" s="8" t="n">
        <v>0</v>
      </c>
      <c r="I129" s="8" t="n">
        <v>6200</v>
      </c>
    </row>
    <row r="130" customFormat="false" ht="15" hidden="false" customHeight="false" outlineLevel="0" collapsed="false">
      <c r="A130" s="8" t="s">
        <v>187</v>
      </c>
      <c r="B130" s="11" t="n">
        <v>45723</v>
      </c>
      <c r="C130" s="8" t="s">
        <v>47</v>
      </c>
      <c r="D130" s="8" t="s">
        <v>44</v>
      </c>
      <c r="E130" s="8" t="s">
        <v>50</v>
      </c>
      <c r="F130" s="8" t="n">
        <v>1</v>
      </c>
      <c r="G130" s="8" t="n">
        <v>3000</v>
      </c>
      <c r="H130" s="8" t="n">
        <v>0.1</v>
      </c>
      <c r="I130" s="8" t="n">
        <v>2000</v>
      </c>
    </row>
    <row r="131" customFormat="false" ht="15" hidden="false" customHeight="false" outlineLevel="0" collapsed="false">
      <c r="A131" s="8" t="s">
        <v>188</v>
      </c>
      <c r="B131" s="11" t="n">
        <v>45731</v>
      </c>
      <c r="C131" s="8" t="s">
        <v>156</v>
      </c>
      <c r="D131" s="8" t="s">
        <v>44</v>
      </c>
      <c r="E131" s="8" t="s">
        <v>48</v>
      </c>
      <c r="F131" s="8" t="n">
        <v>2</v>
      </c>
      <c r="G131" s="8" t="n">
        <v>4500</v>
      </c>
      <c r="H131" s="8" t="n">
        <v>0.05</v>
      </c>
      <c r="I131" s="8" t="n">
        <v>3300</v>
      </c>
    </row>
    <row r="132" customFormat="false" ht="15" hidden="false" customHeight="false" outlineLevel="0" collapsed="false">
      <c r="A132" s="8" t="s">
        <v>189</v>
      </c>
      <c r="B132" s="11" t="n">
        <v>45741</v>
      </c>
      <c r="C132" s="8" t="s">
        <v>39</v>
      </c>
      <c r="D132" s="8" t="s">
        <v>57</v>
      </c>
      <c r="E132" s="8" t="s">
        <v>58</v>
      </c>
      <c r="F132" s="8" t="n">
        <v>2</v>
      </c>
      <c r="G132" s="8" t="n">
        <v>5500</v>
      </c>
      <c r="H132" s="8" t="n">
        <v>0</v>
      </c>
      <c r="I132" s="8" t="n">
        <v>3600</v>
      </c>
    </row>
    <row r="133" customFormat="false" ht="15" hidden="false" customHeight="false" outlineLevel="0" collapsed="false">
      <c r="A133" s="8" t="s">
        <v>190</v>
      </c>
      <c r="B133" s="11" t="n">
        <v>45729</v>
      </c>
      <c r="C133" s="8" t="s">
        <v>55</v>
      </c>
      <c r="D133" s="8" t="s">
        <v>40</v>
      </c>
      <c r="E133" s="8" t="s">
        <v>104</v>
      </c>
      <c r="F133" s="8" t="n">
        <v>2</v>
      </c>
      <c r="G133" s="8" t="n">
        <v>250</v>
      </c>
      <c r="H133" s="8" t="n">
        <v>0.05</v>
      </c>
      <c r="I133" s="8" t="n">
        <v>100</v>
      </c>
    </row>
    <row r="134" customFormat="false" ht="15" hidden="false" customHeight="false" outlineLevel="0" collapsed="false">
      <c r="A134" s="8" t="s">
        <v>191</v>
      </c>
      <c r="B134" s="11" t="n">
        <v>45741</v>
      </c>
      <c r="C134" s="8" t="s">
        <v>39</v>
      </c>
      <c r="D134" s="8" t="s">
        <v>57</v>
      </c>
      <c r="E134" s="8" t="s">
        <v>86</v>
      </c>
      <c r="F134" s="8" t="n">
        <v>2</v>
      </c>
      <c r="G134" s="8" t="n">
        <v>1200</v>
      </c>
      <c r="H134" s="8" t="n">
        <v>0</v>
      </c>
      <c r="I134" s="8" t="n">
        <v>600</v>
      </c>
    </row>
    <row r="135" customFormat="false" ht="15" hidden="false" customHeight="false" outlineLevel="0" collapsed="false">
      <c r="A135" s="8" t="s">
        <v>192</v>
      </c>
      <c r="B135" s="11" t="n">
        <v>45740</v>
      </c>
      <c r="C135" s="8" t="s">
        <v>55</v>
      </c>
      <c r="D135" s="8" t="s">
        <v>57</v>
      </c>
      <c r="E135" s="8" t="s">
        <v>58</v>
      </c>
      <c r="F135" s="8" t="n">
        <v>2</v>
      </c>
      <c r="G135" s="8" t="n">
        <v>5500</v>
      </c>
      <c r="H135" s="8" t="n">
        <v>0.05</v>
      </c>
      <c r="I135" s="8" t="n">
        <v>3600</v>
      </c>
    </row>
    <row r="136" customFormat="false" ht="15" hidden="false" customHeight="false" outlineLevel="0" collapsed="false">
      <c r="A136" s="8" t="s">
        <v>193</v>
      </c>
      <c r="B136" s="11" t="n">
        <v>45724</v>
      </c>
      <c r="C136" s="8" t="s">
        <v>47</v>
      </c>
      <c r="D136" s="8" t="s">
        <v>40</v>
      </c>
      <c r="E136" s="8" t="s">
        <v>71</v>
      </c>
      <c r="F136" s="8" t="n">
        <v>5</v>
      </c>
      <c r="G136" s="8" t="n">
        <v>500</v>
      </c>
      <c r="H136" s="8" t="n">
        <v>0</v>
      </c>
      <c r="I136" s="8" t="n">
        <v>250</v>
      </c>
    </row>
    <row r="137" customFormat="false" ht="15" hidden="false" customHeight="false" outlineLevel="0" collapsed="false">
      <c r="A137" s="8" t="s">
        <v>194</v>
      </c>
      <c r="B137" s="11" t="n">
        <v>45727</v>
      </c>
      <c r="C137" s="8" t="s">
        <v>195</v>
      </c>
      <c r="D137" s="8" t="s">
        <v>57</v>
      </c>
      <c r="E137" s="8" t="s">
        <v>111</v>
      </c>
      <c r="F137" s="8" t="n">
        <v>1</v>
      </c>
      <c r="G137" s="8" t="n">
        <v>7000</v>
      </c>
      <c r="H137" s="8" t="n">
        <v>0</v>
      </c>
      <c r="I137" s="8" t="n">
        <v>4800</v>
      </c>
    </row>
    <row r="138" customFormat="false" ht="15" hidden="false" customHeight="false" outlineLevel="0" collapsed="false">
      <c r="A138" s="8" t="s">
        <v>196</v>
      </c>
      <c r="B138" s="11" t="n">
        <v>45722</v>
      </c>
      <c r="C138" s="8" t="s">
        <v>43</v>
      </c>
      <c r="D138" s="8" t="s">
        <v>40</v>
      </c>
      <c r="E138" s="8" t="s">
        <v>41</v>
      </c>
      <c r="F138" s="8" t="n">
        <v>8</v>
      </c>
      <c r="G138" s="8" t="n">
        <v>600</v>
      </c>
      <c r="H138" s="8" t="n">
        <v>0.1</v>
      </c>
      <c r="I138" s="8" t="n">
        <v>300</v>
      </c>
    </row>
    <row r="139" customFormat="false" ht="15" hidden="false" customHeight="false" outlineLevel="0" collapsed="false">
      <c r="A139" s="8" t="s">
        <v>197</v>
      </c>
      <c r="B139" s="11" t="n">
        <v>45717</v>
      </c>
      <c r="C139" s="8" t="s">
        <v>55</v>
      </c>
      <c r="D139" s="8" t="s">
        <v>57</v>
      </c>
      <c r="E139" s="8" t="s">
        <v>86</v>
      </c>
      <c r="F139" s="8" t="n">
        <v>3</v>
      </c>
      <c r="G139" s="8" t="n">
        <v>1200</v>
      </c>
      <c r="H139" s="8" t="n">
        <v>0.05</v>
      </c>
      <c r="I139" s="8" t="n">
        <v>600</v>
      </c>
    </row>
    <row r="140" customFormat="false" ht="15" hidden="false" customHeight="false" outlineLevel="0" collapsed="false">
      <c r="A140" s="8" t="s">
        <v>198</v>
      </c>
      <c r="B140" s="11" t="n">
        <v>45719</v>
      </c>
      <c r="C140" s="8" t="s">
        <v>156</v>
      </c>
      <c r="D140" s="8" t="s">
        <v>57</v>
      </c>
      <c r="E140" s="8" t="s">
        <v>58</v>
      </c>
      <c r="F140" s="8" t="n">
        <v>3</v>
      </c>
      <c r="G140" s="8" t="n">
        <v>5500</v>
      </c>
      <c r="H140" s="8" t="n">
        <v>0</v>
      </c>
      <c r="I140" s="8" t="n">
        <v>3600</v>
      </c>
    </row>
    <row r="141" customFormat="false" ht="15" hidden="false" customHeight="false" outlineLevel="0" collapsed="false">
      <c r="A141" s="8" t="s">
        <v>199</v>
      </c>
      <c r="B141" s="11" t="n">
        <v>45718</v>
      </c>
      <c r="C141" s="8" t="s">
        <v>47</v>
      </c>
      <c r="D141" s="8" t="s">
        <v>40</v>
      </c>
      <c r="E141" s="8" t="s">
        <v>41</v>
      </c>
      <c r="F141" s="8" t="n">
        <v>9</v>
      </c>
      <c r="G141" s="8" t="n">
        <v>600</v>
      </c>
      <c r="H141" s="8" t="n">
        <v>0</v>
      </c>
      <c r="I141" s="8" t="n">
        <v>300</v>
      </c>
    </row>
    <row r="142" customFormat="false" ht="15" hidden="false" customHeight="false" outlineLevel="0" collapsed="false">
      <c r="A142" s="8" t="s">
        <v>200</v>
      </c>
      <c r="B142" s="11" t="n">
        <v>45727</v>
      </c>
      <c r="C142" s="8" t="s">
        <v>47</v>
      </c>
      <c r="D142" s="8" t="s">
        <v>57</v>
      </c>
      <c r="E142" s="8" t="s">
        <v>111</v>
      </c>
      <c r="F142" s="8" t="n">
        <v>1</v>
      </c>
      <c r="G142" s="8" t="n">
        <v>7000</v>
      </c>
      <c r="H142" s="8" t="n">
        <v>0</v>
      </c>
      <c r="I142" s="8" t="n">
        <v>4800</v>
      </c>
    </row>
    <row r="143" customFormat="false" ht="15" hidden="false" customHeight="false" outlineLevel="0" collapsed="false">
      <c r="A143" s="8" t="s">
        <v>201</v>
      </c>
      <c r="B143" s="11" t="n">
        <v>45741</v>
      </c>
      <c r="C143" s="8" t="s">
        <v>43</v>
      </c>
      <c r="D143" s="8" t="s">
        <v>57</v>
      </c>
      <c r="E143" s="8" t="s">
        <v>63</v>
      </c>
      <c r="F143" s="8" t="n">
        <v>2</v>
      </c>
      <c r="G143" s="8" t="n">
        <v>9000</v>
      </c>
      <c r="H143" s="8" t="n">
        <v>0</v>
      </c>
      <c r="I143" s="8" t="n">
        <v>6200</v>
      </c>
    </row>
    <row r="144" customFormat="false" ht="15" hidden="false" customHeight="false" outlineLevel="0" collapsed="false">
      <c r="A144" s="8" t="s">
        <v>202</v>
      </c>
      <c r="B144" s="11" t="n">
        <v>45717</v>
      </c>
      <c r="C144" s="8" t="s">
        <v>47</v>
      </c>
      <c r="D144" s="8" t="s">
        <v>57</v>
      </c>
      <c r="E144" s="8" t="s">
        <v>58</v>
      </c>
      <c r="F144" s="8" t="n">
        <v>1</v>
      </c>
      <c r="G144" s="8" t="n">
        <v>5500</v>
      </c>
      <c r="H144" s="8" t="n">
        <v>0</v>
      </c>
      <c r="I144" s="8" t="n">
        <v>3600</v>
      </c>
    </row>
    <row r="145" customFormat="false" ht="15" hidden="false" customHeight="false" outlineLevel="0" collapsed="false">
      <c r="A145" s="8" t="s">
        <v>203</v>
      </c>
      <c r="B145" s="11" t="n">
        <v>45737</v>
      </c>
      <c r="C145" s="8" t="s">
        <v>47</v>
      </c>
      <c r="D145" s="8" t="s">
        <v>40</v>
      </c>
      <c r="E145" s="8" t="s">
        <v>71</v>
      </c>
      <c r="F145" s="8" t="n">
        <v>7</v>
      </c>
      <c r="G145" s="8" t="n">
        <v>500</v>
      </c>
      <c r="H145" s="8" t="n">
        <v>0</v>
      </c>
      <c r="I145" s="8" t="n">
        <v>250</v>
      </c>
    </row>
    <row r="146" customFormat="false" ht="15" hidden="false" customHeight="false" outlineLevel="0" collapsed="false">
      <c r="A146" s="8" t="s">
        <v>204</v>
      </c>
      <c r="B146" s="11" t="n">
        <v>45741</v>
      </c>
      <c r="C146" s="8" t="s">
        <v>43</v>
      </c>
      <c r="D146" s="8" t="s">
        <v>44</v>
      </c>
      <c r="E146" s="8" t="s">
        <v>48</v>
      </c>
      <c r="F146" s="8" t="n">
        <v>3</v>
      </c>
      <c r="G146" s="8" t="n">
        <v>4500</v>
      </c>
      <c r="H146" s="8" t="n">
        <v>0</v>
      </c>
      <c r="I146" s="8" t="n">
        <v>3300</v>
      </c>
    </row>
    <row r="147" customFormat="false" ht="15" hidden="false" customHeight="false" outlineLevel="0" collapsed="false">
      <c r="A147" s="8" t="s">
        <v>205</v>
      </c>
      <c r="B147" s="11" t="n">
        <v>45736</v>
      </c>
      <c r="C147" s="8" t="s">
        <v>55</v>
      </c>
      <c r="D147" s="8" t="s">
        <v>44</v>
      </c>
      <c r="E147" s="8" t="s">
        <v>60</v>
      </c>
      <c r="F147" s="8" t="n">
        <v>1</v>
      </c>
      <c r="G147" s="8" t="n">
        <v>2500</v>
      </c>
      <c r="H147" s="8" t="n">
        <v>0</v>
      </c>
      <c r="I147" s="8" t="n">
        <v>1600</v>
      </c>
    </row>
    <row r="148" customFormat="false" ht="15" hidden="false" customHeight="false" outlineLevel="0" collapsed="false">
      <c r="A148" s="8" t="s">
        <v>206</v>
      </c>
      <c r="B148" s="11" t="n">
        <v>45720</v>
      </c>
      <c r="C148" s="8" t="s">
        <v>39</v>
      </c>
      <c r="D148" s="8" t="s">
        <v>44</v>
      </c>
      <c r="E148" s="8" t="s">
        <v>45</v>
      </c>
      <c r="F148" s="8" t="n">
        <v>2</v>
      </c>
      <c r="G148" s="8" t="n">
        <v>1500</v>
      </c>
      <c r="H148" s="8" t="n">
        <v>0.1</v>
      </c>
      <c r="I148" s="8" t="n">
        <v>900</v>
      </c>
    </row>
    <row r="149" customFormat="false" ht="15" hidden="false" customHeight="false" outlineLevel="0" collapsed="false">
      <c r="A149" s="8" t="s">
        <v>207</v>
      </c>
      <c r="B149" s="11" t="n">
        <v>45725</v>
      </c>
      <c r="C149" s="8" t="s">
        <v>55</v>
      </c>
      <c r="D149" s="8" t="s">
        <v>40</v>
      </c>
      <c r="E149" s="8" t="s">
        <v>104</v>
      </c>
      <c r="F149" s="8" t="n">
        <v>9</v>
      </c>
      <c r="G149" s="8" t="n">
        <v>250</v>
      </c>
      <c r="H149" s="8" t="n">
        <v>0.1</v>
      </c>
      <c r="I149" s="8" t="n">
        <v>100</v>
      </c>
    </row>
    <row r="150" customFormat="false" ht="15" hidden="false" customHeight="false" outlineLevel="0" collapsed="false">
      <c r="A150" s="8" t="s">
        <v>208</v>
      </c>
      <c r="B150" s="11" t="n">
        <v>45770</v>
      </c>
      <c r="C150" s="8" t="s">
        <v>39</v>
      </c>
      <c r="D150" s="8" t="s">
        <v>57</v>
      </c>
      <c r="E150" s="8" t="s">
        <v>63</v>
      </c>
      <c r="F150" s="8" t="n">
        <v>3</v>
      </c>
      <c r="G150" s="8" t="n">
        <v>9000</v>
      </c>
      <c r="H150" s="8" t="n">
        <v>0.1</v>
      </c>
      <c r="I150" s="8" t="n">
        <v>6200</v>
      </c>
    </row>
    <row r="151" customFormat="false" ht="15" hidden="false" customHeight="false" outlineLevel="0" collapsed="false">
      <c r="A151" s="8" t="s">
        <v>209</v>
      </c>
      <c r="B151" s="11" t="n">
        <v>45751</v>
      </c>
      <c r="C151" s="8" t="s">
        <v>156</v>
      </c>
      <c r="D151" s="8" t="s">
        <v>44</v>
      </c>
      <c r="E151" s="8" t="s">
        <v>48</v>
      </c>
      <c r="F151" s="8" t="n">
        <v>1</v>
      </c>
      <c r="G151" s="8" t="n">
        <v>4500</v>
      </c>
      <c r="H151" s="8" t="n">
        <v>0</v>
      </c>
      <c r="I151" s="8" t="n">
        <v>3300</v>
      </c>
    </row>
    <row r="152" customFormat="false" ht="15" hidden="false" customHeight="false" outlineLevel="0" collapsed="false">
      <c r="A152" s="8" t="s">
        <v>210</v>
      </c>
      <c r="B152" s="11" t="n">
        <v>45769</v>
      </c>
      <c r="C152" s="8" t="s">
        <v>39</v>
      </c>
      <c r="D152" s="8" t="s">
        <v>40</v>
      </c>
      <c r="E152" s="8" t="s">
        <v>104</v>
      </c>
      <c r="F152" s="8" t="n">
        <v>6</v>
      </c>
      <c r="G152" s="8" t="n">
        <v>250</v>
      </c>
      <c r="H152" s="8" t="n">
        <v>0.05</v>
      </c>
      <c r="I152" s="8" t="n">
        <v>100</v>
      </c>
    </row>
    <row r="153" customFormat="false" ht="15" hidden="false" customHeight="false" outlineLevel="0" collapsed="false">
      <c r="A153" s="8" t="s">
        <v>211</v>
      </c>
      <c r="B153" s="11" t="n">
        <v>45750</v>
      </c>
      <c r="C153" s="8" t="s">
        <v>47</v>
      </c>
      <c r="D153" s="8" t="s">
        <v>57</v>
      </c>
      <c r="E153" s="8" t="s">
        <v>58</v>
      </c>
      <c r="F153" s="8" t="n">
        <v>3</v>
      </c>
      <c r="G153" s="8" t="n">
        <v>5500</v>
      </c>
      <c r="H153" s="8" t="n">
        <v>0</v>
      </c>
      <c r="I153" s="8" t="n">
        <v>3600</v>
      </c>
    </row>
    <row r="154" customFormat="false" ht="15" hidden="false" customHeight="false" outlineLevel="0" collapsed="false">
      <c r="A154" s="8" t="s">
        <v>212</v>
      </c>
      <c r="B154" s="11" t="n">
        <v>45770</v>
      </c>
      <c r="C154" s="8" t="s">
        <v>43</v>
      </c>
      <c r="D154" s="8" t="s">
        <v>40</v>
      </c>
      <c r="E154" s="8" t="s">
        <v>104</v>
      </c>
      <c r="F154" s="8" t="n">
        <v>5</v>
      </c>
      <c r="G154" s="8" t="n">
        <v>250</v>
      </c>
      <c r="H154" s="8" t="n">
        <v>0</v>
      </c>
      <c r="I154" s="8" t="n">
        <v>100</v>
      </c>
    </row>
    <row r="155" customFormat="false" ht="15" hidden="false" customHeight="false" outlineLevel="0" collapsed="false">
      <c r="A155" s="8" t="s">
        <v>213</v>
      </c>
      <c r="B155" s="11" t="n">
        <v>45773</v>
      </c>
      <c r="C155" s="8" t="s">
        <v>55</v>
      </c>
      <c r="D155" s="8" t="s">
        <v>57</v>
      </c>
      <c r="E155" s="8" t="s">
        <v>111</v>
      </c>
      <c r="F155" s="8" t="n">
        <v>3</v>
      </c>
      <c r="G155" s="8" t="n">
        <v>7000</v>
      </c>
      <c r="H155" s="8" t="n">
        <v>0</v>
      </c>
      <c r="I155" s="8" t="n">
        <v>4800</v>
      </c>
    </row>
    <row r="156" customFormat="false" ht="15" hidden="false" customHeight="false" outlineLevel="0" collapsed="false">
      <c r="A156" s="8" t="s">
        <v>214</v>
      </c>
      <c r="B156" s="11" t="n">
        <v>45761</v>
      </c>
      <c r="C156" s="8" t="s">
        <v>43</v>
      </c>
      <c r="D156" s="8" t="s">
        <v>40</v>
      </c>
      <c r="E156" s="8" t="s">
        <v>104</v>
      </c>
      <c r="F156" s="8" t="n">
        <v>7</v>
      </c>
      <c r="G156" s="8" t="n">
        <v>250</v>
      </c>
      <c r="H156" s="8" t="n">
        <v>0.05</v>
      </c>
      <c r="I156" s="8" t="n">
        <v>100</v>
      </c>
    </row>
    <row r="157" customFormat="false" ht="15" hidden="false" customHeight="false" outlineLevel="0" collapsed="false">
      <c r="A157" s="8" t="s">
        <v>215</v>
      </c>
      <c r="B157" s="11" t="n">
        <v>45758</v>
      </c>
      <c r="C157" s="8" t="s">
        <v>47</v>
      </c>
      <c r="D157" s="8" t="s">
        <v>40</v>
      </c>
      <c r="E157" s="8" t="s">
        <v>41</v>
      </c>
      <c r="F157" s="8" t="n">
        <v>10</v>
      </c>
      <c r="G157" s="8" t="n">
        <v>600</v>
      </c>
      <c r="H157" s="8" t="n">
        <v>0.1</v>
      </c>
      <c r="I157" s="8" t="n">
        <v>300</v>
      </c>
    </row>
    <row r="158" customFormat="false" ht="15" hidden="false" customHeight="false" outlineLevel="0" collapsed="false">
      <c r="A158" s="8" t="s">
        <v>216</v>
      </c>
      <c r="B158" s="11" t="n">
        <v>45761</v>
      </c>
      <c r="C158" s="8" t="s">
        <v>55</v>
      </c>
      <c r="D158" s="8" t="s">
        <v>44</v>
      </c>
      <c r="E158" s="8" t="s">
        <v>60</v>
      </c>
      <c r="F158" s="8" t="n">
        <v>2</v>
      </c>
      <c r="G158" s="8" t="n">
        <v>2500</v>
      </c>
      <c r="H158" s="8" t="n">
        <v>0</v>
      </c>
      <c r="I158" s="8" t="n">
        <v>1600</v>
      </c>
    </row>
    <row r="159" customFormat="false" ht="15" hidden="false" customHeight="false" outlineLevel="0" collapsed="false">
      <c r="A159" s="8" t="s">
        <v>217</v>
      </c>
      <c r="B159" s="11" t="n">
        <v>45752</v>
      </c>
      <c r="C159" s="8" t="s">
        <v>43</v>
      </c>
      <c r="D159" s="8" t="s">
        <v>57</v>
      </c>
      <c r="E159" s="8" t="s">
        <v>63</v>
      </c>
      <c r="F159" s="8" t="n">
        <v>2</v>
      </c>
      <c r="G159" s="8" t="n">
        <v>9000</v>
      </c>
      <c r="H159" s="8" t="n">
        <v>0.1</v>
      </c>
      <c r="I159" s="8" t="n">
        <v>6200</v>
      </c>
    </row>
    <row r="160" customFormat="false" ht="15" hidden="false" customHeight="false" outlineLevel="0" collapsed="false">
      <c r="A160" s="8" t="s">
        <v>218</v>
      </c>
      <c r="B160" s="11" t="n">
        <v>45756</v>
      </c>
      <c r="C160" s="8" t="s">
        <v>39</v>
      </c>
      <c r="D160" s="8" t="s">
        <v>57</v>
      </c>
      <c r="E160" s="8" t="s">
        <v>58</v>
      </c>
      <c r="F160" s="8" t="n">
        <v>3</v>
      </c>
      <c r="G160" s="8" t="n">
        <v>5500</v>
      </c>
      <c r="H160" s="8" t="n">
        <v>0.1</v>
      </c>
      <c r="I160" s="8" t="n">
        <v>3600</v>
      </c>
    </row>
    <row r="161" customFormat="false" ht="15" hidden="false" customHeight="false" outlineLevel="0" collapsed="false">
      <c r="A161" s="8" t="s">
        <v>219</v>
      </c>
      <c r="B161" s="11" t="n">
        <v>45762</v>
      </c>
      <c r="C161" s="8" t="s">
        <v>55</v>
      </c>
      <c r="D161" s="8" t="s">
        <v>40</v>
      </c>
      <c r="E161" s="8" t="s">
        <v>104</v>
      </c>
      <c r="F161" s="8" t="n">
        <v>10</v>
      </c>
      <c r="G161" s="8" t="n">
        <v>250</v>
      </c>
      <c r="H161" s="8" t="n">
        <v>0</v>
      </c>
      <c r="I161" s="8" t="n">
        <v>100</v>
      </c>
    </row>
    <row r="162" customFormat="false" ht="15" hidden="false" customHeight="false" outlineLevel="0" collapsed="false">
      <c r="A162" s="8" t="s">
        <v>220</v>
      </c>
      <c r="B162" s="11" t="n">
        <v>45758</v>
      </c>
      <c r="C162" s="8" t="s">
        <v>55</v>
      </c>
      <c r="D162" s="8" t="s">
        <v>57</v>
      </c>
      <c r="E162" s="8" t="s">
        <v>58</v>
      </c>
      <c r="F162" s="8" t="n">
        <v>3</v>
      </c>
      <c r="G162" s="8" t="n">
        <v>5500</v>
      </c>
      <c r="H162" s="8" t="n">
        <v>0</v>
      </c>
      <c r="I162" s="8" t="n">
        <v>3600</v>
      </c>
    </row>
    <row r="163" customFormat="false" ht="15" hidden="false" customHeight="false" outlineLevel="0" collapsed="false">
      <c r="A163" s="8" t="s">
        <v>221</v>
      </c>
      <c r="B163" s="11" t="n">
        <v>45762</v>
      </c>
      <c r="C163" s="8" t="s">
        <v>55</v>
      </c>
      <c r="D163" s="8" t="s">
        <v>44</v>
      </c>
      <c r="E163" s="8" t="s">
        <v>50</v>
      </c>
      <c r="F163" s="8" t="n">
        <v>1</v>
      </c>
      <c r="G163" s="8" t="n">
        <v>3000</v>
      </c>
      <c r="H163" s="8" t="n">
        <v>0</v>
      </c>
      <c r="I163" s="8" t="n">
        <v>2000</v>
      </c>
    </row>
    <row r="164" customFormat="false" ht="15" hidden="false" customHeight="false" outlineLevel="0" collapsed="false">
      <c r="A164" s="8" t="s">
        <v>222</v>
      </c>
      <c r="B164" s="11" t="n">
        <v>45769</v>
      </c>
      <c r="C164" s="8" t="s">
        <v>43</v>
      </c>
      <c r="D164" s="8" t="s">
        <v>44</v>
      </c>
      <c r="E164" s="8" t="s">
        <v>50</v>
      </c>
      <c r="F164" s="8" t="n">
        <v>3</v>
      </c>
      <c r="G164" s="8" t="n">
        <v>3000</v>
      </c>
      <c r="H164" s="8" t="n">
        <v>0.05</v>
      </c>
      <c r="I164" s="8" t="n">
        <v>2000</v>
      </c>
    </row>
    <row r="165" customFormat="false" ht="15" hidden="false" customHeight="false" outlineLevel="0" collapsed="false">
      <c r="A165" s="8" t="s">
        <v>223</v>
      </c>
      <c r="B165" s="11" t="n">
        <v>45753</v>
      </c>
      <c r="C165" s="8" t="s">
        <v>47</v>
      </c>
      <c r="D165" s="8" t="s">
        <v>57</v>
      </c>
      <c r="E165" s="8" t="s">
        <v>58</v>
      </c>
      <c r="F165" s="8" t="n">
        <v>2</v>
      </c>
      <c r="G165" s="8" t="n">
        <v>5500</v>
      </c>
      <c r="H165" s="8" t="n">
        <v>0</v>
      </c>
      <c r="I165" s="8" t="n">
        <v>3600</v>
      </c>
    </row>
    <row r="166" customFormat="false" ht="15" hidden="false" customHeight="false" outlineLevel="0" collapsed="false">
      <c r="A166" s="8" t="s">
        <v>224</v>
      </c>
      <c r="B166" s="11" t="n">
        <v>45756</v>
      </c>
      <c r="C166" s="8" t="s">
        <v>39</v>
      </c>
      <c r="D166" s="8" t="s">
        <v>57</v>
      </c>
      <c r="E166" s="8" t="s">
        <v>86</v>
      </c>
      <c r="F166" s="8" t="n">
        <v>2</v>
      </c>
      <c r="G166" s="8" t="n">
        <v>1200</v>
      </c>
      <c r="H166" s="8" t="n">
        <v>0</v>
      </c>
      <c r="I166" s="8" t="n">
        <v>600</v>
      </c>
    </row>
    <row r="167" customFormat="false" ht="15" hidden="false" customHeight="false" outlineLevel="0" collapsed="false">
      <c r="A167" s="8" t="s">
        <v>225</v>
      </c>
      <c r="B167" s="11" t="n">
        <v>45748</v>
      </c>
      <c r="C167" s="8" t="s">
        <v>43</v>
      </c>
      <c r="D167" s="8" t="s">
        <v>40</v>
      </c>
      <c r="E167" s="8" t="s">
        <v>104</v>
      </c>
      <c r="F167" s="8" t="n">
        <v>6</v>
      </c>
      <c r="G167" s="8" t="n">
        <v>250</v>
      </c>
      <c r="H167" s="8" t="n">
        <v>0.05</v>
      </c>
      <c r="I167" s="8" t="n">
        <v>100</v>
      </c>
    </row>
    <row r="168" customFormat="false" ht="15" hidden="false" customHeight="false" outlineLevel="0" collapsed="false">
      <c r="A168" s="8" t="s">
        <v>226</v>
      </c>
      <c r="B168" s="11" t="n">
        <v>45771</v>
      </c>
      <c r="C168" s="8" t="s">
        <v>55</v>
      </c>
      <c r="D168" s="8" t="s">
        <v>40</v>
      </c>
      <c r="E168" s="8" t="s">
        <v>77</v>
      </c>
      <c r="F168" s="8" t="n">
        <v>3</v>
      </c>
      <c r="G168" s="8" t="n">
        <v>400</v>
      </c>
      <c r="H168" s="8" t="n">
        <v>0</v>
      </c>
      <c r="I168" s="8" t="n">
        <v>200</v>
      </c>
    </row>
    <row r="169" customFormat="false" ht="15" hidden="false" customHeight="false" outlineLevel="0" collapsed="false">
      <c r="A169" s="8" t="s">
        <v>227</v>
      </c>
      <c r="B169" s="11" t="n">
        <v>45763</v>
      </c>
      <c r="C169" s="8" t="s">
        <v>47</v>
      </c>
      <c r="D169" s="8" t="s">
        <v>57</v>
      </c>
      <c r="E169" s="8" t="s">
        <v>58</v>
      </c>
      <c r="F169" s="8" t="n">
        <v>1</v>
      </c>
      <c r="G169" s="8" t="n">
        <v>5500</v>
      </c>
      <c r="H169" s="8" t="n">
        <v>0.1</v>
      </c>
      <c r="I169" s="8" t="n">
        <v>3600</v>
      </c>
    </row>
    <row r="170" customFormat="false" ht="15" hidden="false" customHeight="false" outlineLevel="0" collapsed="false">
      <c r="A170" s="8" t="s">
        <v>228</v>
      </c>
      <c r="B170" s="11" t="n">
        <v>45750</v>
      </c>
      <c r="C170" s="8" t="s">
        <v>43</v>
      </c>
      <c r="D170" s="8" t="s">
        <v>40</v>
      </c>
      <c r="E170" s="8" t="s">
        <v>41</v>
      </c>
      <c r="F170" s="8" t="n">
        <v>9</v>
      </c>
      <c r="G170" s="8" t="n">
        <v>600</v>
      </c>
      <c r="H170" s="8" t="n">
        <v>0</v>
      </c>
      <c r="I170" s="8" t="n">
        <v>300</v>
      </c>
    </row>
    <row r="171" customFormat="false" ht="15" hidden="false" customHeight="false" outlineLevel="0" collapsed="false">
      <c r="A171" s="8" t="s">
        <v>229</v>
      </c>
      <c r="B171" s="11" t="n">
        <v>45757</v>
      </c>
      <c r="C171" s="8" t="s">
        <v>39</v>
      </c>
      <c r="D171" s="8" t="s">
        <v>57</v>
      </c>
      <c r="E171" s="8" t="s">
        <v>111</v>
      </c>
      <c r="F171" s="8" t="n">
        <v>3</v>
      </c>
      <c r="G171" s="8" t="n">
        <v>7000</v>
      </c>
      <c r="H171" s="8" t="n">
        <v>0</v>
      </c>
      <c r="I171" s="8" t="n">
        <v>4800</v>
      </c>
    </row>
    <row r="172" customFormat="false" ht="15" hidden="false" customHeight="false" outlineLevel="0" collapsed="false">
      <c r="A172" s="8" t="s">
        <v>230</v>
      </c>
      <c r="B172" s="11" t="n">
        <v>45764</v>
      </c>
      <c r="C172" s="8" t="s">
        <v>47</v>
      </c>
      <c r="D172" s="8" t="s">
        <v>40</v>
      </c>
      <c r="E172" s="8" t="s">
        <v>41</v>
      </c>
      <c r="F172" s="8" t="n">
        <v>9</v>
      </c>
      <c r="G172" s="8" t="n">
        <v>600</v>
      </c>
      <c r="H172" s="8" t="n">
        <v>0.05</v>
      </c>
      <c r="I172" s="8" t="n">
        <v>300</v>
      </c>
    </row>
    <row r="173" customFormat="false" ht="15" hidden="false" customHeight="false" outlineLevel="0" collapsed="false">
      <c r="A173" s="8" t="s">
        <v>231</v>
      </c>
      <c r="B173" s="11" t="n">
        <v>45758</v>
      </c>
      <c r="C173" s="8" t="s">
        <v>47</v>
      </c>
      <c r="D173" s="8" t="s">
        <v>57</v>
      </c>
      <c r="E173" s="8" t="s">
        <v>63</v>
      </c>
      <c r="F173" s="8" t="n">
        <v>3</v>
      </c>
      <c r="G173" s="8" t="n">
        <v>9000</v>
      </c>
      <c r="H173" s="8" t="n">
        <v>0.05</v>
      </c>
      <c r="I173" s="8" t="n">
        <v>6200</v>
      </c>
    </row>
    <row r="174" customFormat="false" ht="15" hidden="false" customHeight="false" outlineLevel="0" collapsed="false">
      <c r="A174" s="8" t="s">
        <v>232</v>
      </c>
      <c r="B174" s="11" t="n">
        <v>45756</v>
      </c>
      <c r="C174" s="8" t="s">
        <v>43</v>
      </c>
      <c r="D174" s="8" t="s">
        <v>57</v>
      </c>
      <c r="E174" s="8" t="s">
        <v>63</v>
      </c>
      <c r="F174" s="8" t="n">
        <v>2</v>
      </c>
      <c r="G174" s="8" t="n">
        <v>9000</v>
      </c>
      <c r="H174" s="8" t="n">
        <v>0</v>
      </c>
      <c r="I174" s="8" t="n">
        <v>6200</v>
      </c>
    </row>
    <row r="175" customFormat="false" ht="15" hidden="false" customHeight="false" outlineLevel="0" collapsed="false">
      <c r="A175" s="8" t="s">
        <v>233</v>
      </c>
      <c r="B175" s="11" t="n">
        <v>45751</v>
      </c>
      <c r="C175" s="8" t="s">
        <v>39</v>
      </c>
      <c r="D175" s="8" t="s">
        <v>44</v>
      </c>
      <c r="E175" s="8" t="s">
        <v>50</v>
      </c>
      <c r="F175" s="8" t="n">
        <v>1</v>
      </c>
      <c r="G175" s="8" t="n">
        <v>3000</v>
      </c>
      <c r="H175" s="8" t="n">
        <v>0</v>
      </c>
      <c r="I175" s="8" t="n">
        <v>2000</v>
      </c>
    </row>
    <row r="176" customFormat="false" ht="15" hidden="false" customHeight="false" outlineLevel="0" collapsed="false">
      <c r="A176" s="8" t="s">
        <v>234</v>
      </c>
      <c r="B176" s="11" t="n">
        <v>45754</v>
      </c>
      <c r="C176" s="8" t="s">
        <v>47</v>
      </c>
      <c r="D176" s="8" t="s">
        <v>40</v>
      </c>
      <c r="E176" s="8" t="s">
        <v>71</v>
      </c>
      <c r="F176" s="8" t="n">
        <v>4</v>
      </c>
      <c r="G176" s="8" t="n">
        <v>500</v>
      </c>
      <c r="H176" s="8" t="n">
        <v>0</v>
      </c>
      <c r="I176" s="8" t="n">
        <v>250</v>
      </c>
    </row>
    <row r="177" customFormat="false" ht="15" hidden="false" customHeight="false" outlineLevel="0" collapsed="false">
      <c r="A177" s="8" t="s">
        <v>235</v>
      </c>
      <c r="B177" s="11" t="n">
        <v>45757</v>
      </c>
      <c r="C177" s="8" t="s">
        <v>47</v>
      </c>
      <c r="D177" s="8" t="s">
        <v>40</v>
      </c>
      <c r="E177" s="8" t="s">
        <v>71</v>
      </c>
      <c r="F177" s="8" t="n">
        <v>10</v>
      </c>
      <c r="G177" s="8" t="n">
        <v>500</v>
      </c>
      <c r="H177" s="8" t="n">
        <v>0.05</v>
      </c>
      <c r="I177" s="8" t="n">
        <v>250</v>
      </c>
    </row>
    <row r="178" customFormat="false" ht="15" hidden="false" customHeight="false" outlineLevel="0" collapsed="false">
      <c r="A178" s="8" t="s">
        <v>236</v>
      </c>
      <c r="B178" s="11" t="n">
        <v>45759</v>
      </c>
      <c r="C178" s="8" t="s">
        <v>55</v>
      </c>
      <c r="D178" s="8" t="s">
        <v>44</v>
      </c>
      <c r="E178" s="8" t="s">
        <v>48</v>
      </c>
      <c r="F178" s="8" t="n">
        <v>2</v>
      </c>
      <c r="G178" s="8" t="n">
        <v>4500</v>
      </c>
      <c r="H178" s="8" t="n">
        <v>0</v>
      </c>
      <c r="I178" s="8" t="n">
        <v>3300</v>
      </c>
    </row>
    <row r="179" customFormat="false" ht="15" hidden="false" customHeight="false" outlineLevel="0" collapsed="false">
      <c r="A179" s="8" t="s">
        <v>237</v>
      </c>
      <c r="B179" s="11" t="n">
        <v>45752</v>
      </c>
      <c r="C179" s="8" t="s">
        <v>47</v>
      </c>
      <c r="D179" s="8" t="s">
        <v>44</v>
      </c>
      <c r="E179" s="8" t="s">
        <v>45</v>
      </c>
      <c r="F179" s="8" t="n">
        <v>3</v>
      </c>
      <c r="G179" s="8" t="n">
        <v>1500</v>
      </c>
      <c r="H179" s="8" t="n">
        <v>0.05</v>
      </c>
      <c r="I179" s="8" t="n">
        <v>900</v>
      </c>
    </row>
    <row r="180" customFormat="false" ht="15" hidden="false" customHeight="false" outlineLevel="0" collapsed="false">
      <c r="A180" s="8" t="s">
        <v>238</v>
      </c>
      <c r="B180" s="11" t="n">
        <v>45757</v>
      </c>
      <c r="C180" s="8" t="s">
        <v>39</v>
      </c>
      <c r="D180" s="8" t="s">
        <v>57</v>
      </c>
      <c r="E180" s="8" t="s">
        <v>111</v>
      </c>
      <c r="F180" s="8" t="n">
        <v>1</v>
      </c>
      <c r="G180" s="8" t="n">
        <v>7000</v>
      </c>
      <c r="H180" s="8" t="n">
        <v>0.05</v>
      </c>
      <c r="I180" s="8" t="n">
        <v>4800</v>
      </c>
    </row>
    <row r="181" customFormat="false" ht="15" hidden="false" customHeight="false" outlineLevel="0" collapsed="false">
      <c r="A181" s="8" t="s">
        <v>239</v>
      </c>
      <c r="B181" s="11" t="n">
        <v>45775</v>
      </c>
      <c r="C181" s="8" t="s">
        <v>55</v>
      </c>
      <c r="D181" s="8" t="s">
        <v>40</v>
      </c>
      <c r="E181" s="8" t="s">
        <v>71</v>
      </c>
      <c r="F181" s="8" t="n">
        <v>9</v>
      </c>
      <c r="G181" s="8" t="n">
        <v>500</v>
      </c>
      <c r="H181" s="8" t="n">
        <v>0</v>
      </c>
      <c r="I181" s="8" t="n">
        <v>250</v>
      </c>
    </row>
    <row r="182" customFormat="false" ht="15" hidden="false" customHeight="false" outlineLevel="0" collapsed="false">
      <c r="A182" s="8" t="s">
        <v>240</v>
      </c>
      <c r="B182" s="11" t="n">
        <v>45762</v>
      </c>
      <c r="C182" s="8" t="s">
        <v>47</v>
      </c>
      <c r="D182" s="8" t="s">
        <v>44</v>
      </c>
      <c r="E182" s="8" t="s">
        <v>60</v>
      </c>
      <c r="F182" s="8" t="n">
        <v>2</v>
      </c>
      <c r="G182" s="8" t="n">
        <v>2500</v>
      </c>
      <c r="H182" s="8" t="n">
        <v>0</v>
      </c>
      <c r="I182" s="8" t="n">
        <v>1600</v>
      </c>
    </row>
    <row r="183" customFormat="false" ht="15" hidden="false" customHeight="false" outlineLevel="0" collapsed="false">
      <c r="A183" s="8" t="s">
        <v>241</v>
      </c>
      <c r="B183" s="11" t="n">
        <v>45775</v>
      </c>
      <c r="C183" s="8" t="s">
        <v>39</v>
      </c>
      <c r="D183" s="8" t="s">
        <v>57</v>
      </c>
      <c r="E183" s="8" t="s">
        <v>63</v>
      </c>
      <c r="F183" s="8" t="n">
        <v>1</v>
      </c>
      <c r="G183" s="8" t="n">
        <v>9000</v>
      </c>
      <c r="H183" s="8" t="n">
        <v>0</v>
      </c>
      <c r="I183" s="8" t="n">
        <v>6200</v>
      </c>
    </row>
    <row r="184" customFormat="false" ht="15" hidden="false" customHeight="false" outlineLevel="0" collapsed="false">
      <c r="A184" s="8" t="s">
        <v>242</v>
      </c>
      <c r="B184" s="11" t="n">
        <v>45763</v>
      </c>
      <c r="C184" s="8" t="s">
        <v>39</v>
      </c>
      <c r="D184" s="8" t="s">
        <v>57</v>
      </c>
      <c r="E184" s="8" t="s">
        <v>86</v>
      </c>
      <c r="F184" s="8" t="n">
        <v>1</v>
      </c>
      <c r="G184" s="8" t="n">
        <v>1200</v>
      </c>
      <c r="H184" s="8" t="n">
        <v>0</v>
      </c>
      <c r="I184" s="8" t="n">
        <v>600</v>
      </c>
    </row>
    <row r="185" customFormat="false" ht="15" hidden="false" customHeight="false" outlineLevel="0" collapsed="false">
      <c r="A185" s="8" t="s">
        <v>243</v>
      </c>
      <c r="B185" s="11" t="n">
        <v>45752</v>
      </c>
      <c r="C185" s="8" t="s">
        <v>47</v>
      </c>
      <c r="D185" s="8" t="s">
        <v>44</v>
      </c>
      <c r="E185" s="8" t="s">
        <v>48</v>
      </c>
      <c r="F185" s="8" t="n">
        <v>3</v>
      </c>
      <c r="G185" s="8" t="n">
        <v>4500</v>
      </c>
      <c r="H185" s="8" t="n">
        <v>0</v>
      </c>
      <c r="I185" s="8" t="n">
        <v>3300</v>
      </c>
    </row>
    <row r="186" customFormat="false" ht="15" hidden="false" customHeight="false" outlineLevel="0" collapsed="false">
      <c r="A186" s="8" t="s">
        <v>244</v>
      </c>
      <c r="B186" s="11" t="n">
        <v>45755</v>
      </c>
      <c r="C186" s="8" t="s">
        <v>55</v>
      </c>
      <c r="D186" s="8" t="s">
        <v>44</v>
      </c>
      <c r="E186" s="8" t="s">
        <v>45</v>
      </c>
      <c r="F186" s="8" t="n">
        <v>2</v>
      </c>
      <c r="G186" s="8" t="n">
        <v>1500</v>
      </c>
      <c r="H186" s="8" t="n">
        <v>0</v>
      </c>
      <c r="I186" s="8" t="n">
        <v>900</v>
      </c>
    </row>
    <row r="187" customFormat="false" ht="15" hidden="false" customHeight="false" outlineLevel="0" collapsed="false">
      <c r="A187" s="8" t="s">
        <v>245</v>
      </c>
      <c r="B187" s="11" t="n">
        <v>45767</v>
      </c>
      <c r="C187" s="8" t="s">
        <v>47</v>
      </c>
      <c r="D187" s="8" t="s">
        <v>44</v>
      </c>
      <c r="E187" s="8" t="s">
        <v>48</v>
      </c>
      <c r="F187" s="8" t="n">
        <v>2</v>
      </c>
      <c r="G187" s="8" t="n">
        <v>4500</v>
      </c>
      <c r="H187" s="8" t="n">
        <v>0.05</v>
      </c>
      <c r="I187" s="8" t="n">
        <v>3300</v>
      </c>
    </row>
    <row r="188" customFormat="false" ht="15" hidden="false" customHeight="false" outlineLevel="0" collapsed="false">
      <c r="A188" s="8" t="s">
        <v>246</v>
      </c>
      <c r="B188" s="11" t="n">
        <v>45762</v>
      </c>
      <c r="C188" s="8" t="s">
        <v>39</v>
      </c>
      <c r="D188" s="8" t="s">
        <v>40</v>
      </c>
      <c r="E188" s="8" t="s">
        <v>104</v>
      </c>
      <c r="F188" s="8" t="n">
        <v>10</v>
      </c>
      <c r="G188" s="8" t="n">
        <v>250</v>
      </c>
      <c r="H188" s="8" t="n">
        <v>0</v>
      </c>
      <c r="I188" s="8" t="n">
        <v>100</v>
      </c>
    </row>
    <row r="189" customFormat="false" ht="15" hidden="false" customHeight="false" outlineLevel="0" collapsed="false">
      <c r="A189" s="8" t="s">
        <v>247</v>
      </c>
      <c r="B189" s="11" t="n">
        <v>45757</v>
      </c>
      <c r="C189" s="8" t="s">
        <v>47</v>
      </c>
      <c r="D189" s="8" t="s">
        <v>57</v>
      </c>
      <c r="E189" s="8" t="s">
        <v>86</v>
      </c>
      <c r="F189" s="8" t="n">
        <v>3</v>
      </c>
      <c r="G189" s="8" t="n">
        <v>1200</v>
      </c>
      <c r="H189" s="8" t="n">
        <v>0</v>
      </c>
      <c r="I189" s="8" t="n">
        <v>600</v>
      </c>
    </row>
    <row r="190" customFormat="false" ht="15" hidden="false" customHeight="false" outlineLevel="0" collapsed="false">
      <c r="A190" s="8" t="s">
        <v>248</v>
      </c>
      <c r="B190" s="11" t="n">
        <v>45768</v>
      </c>
      <c r="C190" s="8" t="s">
        <v>43</v>
      </c>
      <c r="D190" s="8" t="s">
        <v>40</v>
      </c>
      <c r="E190" s="8" t="s">
        <v>104</v>
      </c>
      <c r="F190" s="8" t="n">
        <v>3</v>
      </c>
      <c r="G190" s="8" t="n">
        <v>250</v>
      </c>
      <c r="H190" s="8" t="n">
        <v>0</v>
      </c>
      <c r="I190" s="8" t="n">
        <v>100</v>
      </c>
    </row>
    <row r="191" customFormat="false" ht="15" hidden="false" customHeight="false" outlineLevel="0" collapsed="false">
      <c r="A191" s="8" t="s">
        <v>249</v>
      </c>
      <c r="B191" s="11" t="n">
        <v>45755</v>
      </c>
      <c r="C191" s="8" t="s">
        <v>47</v>
      </c>
      <c r="D191" s="8" t="s">
        <v>44</v>
      </c>
      <c r="E191" s="8" t="s">
        <v>50</v>
      </c>
      <c r="F191" s="8" t="n">
        <v>1</v>
      </c>
      <c r="G191" s="8" t="n">
        <v>3000</v>
      </c>
      <c r="H191" s="8" t="n">
        <v>0</v>
      </c>
      <c r="I191" s="8" t="n">
        <v>2000</v>
      </c>
    </row>
    <row r="192" customFormat="false" ht="15" hidden="false" customHeight="false" outlineLevel="0" collapsed="false">
      <c r="A192" s="8" t="s">
        <v>250</v>
      </c>
      <c r="B192" s="11" t="n">
        <v>45761</v>
      </c>
      <c r="C192" s="8" t="s">
        <v>47</v>
      </c>
      <c r="D192" s="8" t="s">
        <v>44</v>
      </c>
      <c r="E192" s="8" t="s">
        <v>45</v>
      </c>
      <c r="F192" s="8" t="n">
        <v>1</v>
      </c>
      <c r="G192" s="8" t="n">
        <v>1500</v>
      </c>
      <c r="H192" s="8" t="n">
        <v>0</v>
      </c>
      <c r="I192" s="8" t="n">
        <v>900</v>
      </c>
    </row>
    <row r="193" customFormat="false" ht="15" hidden="false" customHeight="false" outlineLevel="0" collapsed="false">
      <c r="A193" s="8" t="s">
        <v>251</v>
      </c>
      <c r="B193" s="11" t="n">
        <v>45749</v>
      </c>
      <c r="C193" s="8" t="s">
        <v>43</v>
      </c>
      <c r="D193" s="8" t="s">
        <v>57</v>
      </c>
      <c r="E193" s="8" t="s">
        <v>86</v>
      </c>
      <c r="F193" s="8" t="n">
        <v>2</v>
      </c>
      <c r="G193" s="8" t="n">
        <v>1200</v>
      </c>
      <c r="H193" s="8" t="n">
        <v>0</v>
      </c>
      <c r="I193" s="8" t="n">
        <v>600</v>
      </c>
    </row>
    <row r="194" customFormat="false" ht="15" hidden="false" customHeight="false" outlineLevel="0" collapsed="false">
      <c r="A194" s="8" t="s">
        <v>252</v>
      </c>
      <c r="B194" s="11" t="n">
        <v>45775</v>
      </c>
      <c r="C194" s="8" t="s">
        <v>47</v>
      </c>
      <c r="D194" s="8" t="s">
        <v>44</v>
      </c>
      <c r="E194" s="8" t="s">
        <v>50</v>
      </c>
      <c r="F194" s="8" t="n">
        <v>2</v>
      </c>
      <c r="G194" s="8" t="n">
        <v>3000</v>
      </c>
      <c r="H194" s="8" t="n">
        <v>0.1</v>
      </c>
      <c r="I194" s="8" t="n">
        <v>2000</v>
      </c>
    </row>
    <row r="195" customFormat="false" ht="15" hidden="false" customHeight="false" outlineLevel="0" collapsed="false">
      <c r="A195" s="8" t="s">
        <v>253</v>
      </c>
      <c r="B195" s="11" t="n">
        <v>45773</v>
      </c>
      <c r="C195" s="8" t="s">
        <v>39</v>
      </c>
      <c r="D195" s="8" t="s">
        <v>57</v>
      </c>
      <c r="E195" s="8" t="s">
        <v>86</v>
      </c>
      <c r="F195" s="8" t="n">
        <v>1</v>
      </c>
      <c r="G195" s="8" t="n">
        <v>1200</v>
      </c>
      <c r="H195" s="8" t="n">
        <v>0</v>
      </c>
      <c r="I195" s="8" t="n">
        <v>600</v>
      </c>
    </row>
    <row r="196" customFormat="false" ht="15" hidden="false" customHeight="false" outlineLevel="0" collapsed="false">
      <c r="A196" s="8" t="s">
        <v>254</v>
      </c>
      <c r="B196" s="11" t="n">
        <v>45751</v>
      </c>
      <c r="C196" s="8" t="s">
        <v>47</v>
      </c>
      <c r="D196" s="8" t="s">
        <v>40</v>
      </c>
      <c r="E196" s="8" t="s">
        <v>41</v>
      </c>
      <c r="F196" s="8" t="n">
        <v>5</v>
      </c>
      <c r="G196" s="8" t="n">
        <v>600</v>
      </c>
      <c r="H196" s="8" t="n">
        <v>0</v>
      </c>
      <c r="I196" s="8" t="n">
        <v>300</v>
      </c>
    </row>
    <row r="197" customFormat="false" ht="15" hidden="false" customHeight="false" outlineLevel="0" collapsed="false">
      <c r="A197" s="8" t="s">
        <v>255</v>
      </c>
      <c r="B197" s="11" t="n">
        <v>45774</v>
      </c>
      <c r="C197" s="8" t="s">
        <v>39</v>
      </c>
      <c r="D197" s="8" t="s">
        <v>40</v>
      </c>
      <c r="E197" s="8" t="s">
        <v>77</v>
      </c>
      <c r="F197" s="8" t="n">
        <v>4</v>
      </c>
      <c r="G197" s="8" t="n">
        <v>400</v>
      </c>
      <c r="H197" s="8" t="n">
        <v>0</v>
      </c>
      <c r="I197" s="8" t="n">
        <v>200</v>
      </c>
    </row>
    <row r="198" customFormat="false" ht="15" hidden="false" customHeight="false" outlineLevel="0" collapsed="false">
      <c r="A198" s="8" t="s">
        <v>256</v>
      </c>
      <c r="B198" s="11" t="n">
        <v>45767</v>
      </c>
      <c r="C198" s="8" t="s">
        <v>39</v>
      </c>
      <c r="D198" s="8" t="s">
        <v>44</v>
      </c>
      <c r="E198" s="8" t="s">
        <v>45</v>
      </c>
      <c r="F198" s="8" t="n">
        <v>1</v>
      </c>
      <c r="G198" s="8" t="n">
        <v>1500</v>
      </c>
      <c r="H198" s="8" t="n">
        <v>0</v>
      </c>
      <c r="I198" s="8" t="n">
        <v>900</v>
      </c>
    </row>
    <row r="199" customFormat="false" ht="15" hidden="false" customHeight="false" outlineLevel="0" collapsed="false">
      <c r="A199" s="8" t="s">
        <v>257</v>
      </c>
      <c r="B199" s="11" t="n">
        <v>45751</v>
      </c>
      <c r="C199" s="8" t="s">
        <v>55</v>
      </c>
      <c r="D199" s="8" t="s">
        <v>40</v>
      </c>
      <c r="E199" s="8" t="s">
        <v>71</v>
      </c>
      <c r="F199" s="8" t="n">
        <v>6</v>
      </c>
      <c r="G199" s="8" t="n">
        <v>500</v>
      </c>
      <c r="H199" s="8" t="n">
        <v>0</v>
      </c>
      <c r="I199" s="8" t="n">
        <v>250</v>
      </c>
    </row>
    <row r="200" customFormat="false" ht="15" hidden="false" customHeight="false" outlineLevel="0" collapsed="false">
      <c r="A200" s="8" t="s">
        <v>258</v>
      </c>
      <c r="B200" s="11" t="n">
        <v>45756</v>
      </c>
      <c r="C200" s="8" t="s">
        <v>43</v>
      </c>
      <c r="D200" s="8" t="s">
        <v>57</v>
      </c>
      <c r="E200" s="8" t="s">
        <v>86</v>
      </c>
      <c r="F200" s="8" t="n">
        <v>3</v>
      </c>
      <c r="G200" s="8" t="n">
        <v>1200</v>
      </c>
      <c r="H200" s="8" t="n">
        <v>0</v>
      </c>
      <c r="I200" s="8" t="n">
        <v>600</v>
      </c>
    </row>
    <row r="201" customFormat="false" ht="15" hidden="false" customHeight="false" outlineLevel="0" collapsed="false">
      <c r="A201" s="8" t="s">
        <v>259</v>
      </c>
      <c r="B201" s="11" t="n">
        <v>45767</v>
      </c>
      <c r="C201" s="8" t="s">
        <v>47</v>
      </c>
      <c r="D201" s="8" t="s">
        <v>40</v>
      </c>
      <c r="E201" s="8" t="s">
        <v>77</v>
      </c>
      <c r="F201" s="8" t="n">
        <v>9</v>
      </c>
      <c r="G201" s="8" t="n">
        <v>400</v>
      </c>
      <c r="H201" s="8" t="n">
        <v>0</v>
      </c>
      <c r="I201" s="8" t="n">
        <v>200</v>
      </c>
    </row>
    <row r="202" customFormat="false" ht="15" hidden="false" customHeight="false" outlineLevel="0" collapsed="false">
      <c r="A202" s="8" t="s">
        <v>260</v>
      </c>
      <c r="B202" s="11" t="n">
        <v>45797</v>
      </c>
      <c r="C202" s="8" t="s">
        <v>55</v>
      </c>
      <c r="D202" s="8" t="s">
        <v>44</v>
      </c>
      <c r="E202" s="8" t="s">
        <v>60</v>
      </c>
      <c r="F202" s="8" t="n">
        <v>3</v>
      </c>
      <c r="G202" s="8" t="n">
        <v>2500</v>
      </c>
      <c r="H202" s="8" t="n">
        <v>0</v>
      </c>
      <c r="I202" s="8" t="n">
        <v>1600</v>
      </c>
    </row>
    <row r="203" customFormat="false" ht="15" hidden="false" customHeight="false" outlineLevel="0" collapsed="false">
      <c r="A203" s="8" t="s">
        <v>261</v>
      </c>
      <c r="B203" s="11" t="n">
        <v>45804</v>
      </c>
      <c r="C203" s="8" t="s">
        <v>39</v>
      </c>
      <c r="D203" s="8" t="s">
        <v>57</v>
      </c>
      <c r="E203" s="8" t="s">
        <v>111</v>
      </c>
      <c r="F203" s="8" t="n">
        <v>1</v>
      </c>
      <c r="G203" s="8" t="n">
        <v>7000</v>
      </c>
      <c r="H203" s="8" t="n">
        <v>0.1</v>
      </c>
      <c r="I203" s="8" t="n">
        <v>4800</v>
      </c>
    </row>
    <row r="204" customFormat="false" ht="15" hidden="false" customHeight="false" outlineLevel="0" collapsed="false">
      <c r="A204" s="8" t="s">
        <v>262</v>
      </c>
      <c r="B204" s="11" t="n">
        <v>45804</v>
      </c>
      <c r="C204" s="8" t="s">
        <v>47</v>
      </c>
      <c r="D204" s="8" t="s">
        <v>40</v>
      </c>
      <c r="E204" s="8" t="s">
        <v>104</v>
      </c>
      <c r="F204" s="8" t="n">
        <v>2</v>
      </c>
      <c r="G204" s="8" t="n">
        <v>250</v>
      </c>
      <c r="H204" s="8" t="n">
        <v>0.1</v>
      </c>
      <c r="I204" s="8" t="n">
        <v>100</v>
      </c>
    </row>
    <row r="205" customFormat="false" ht="15" hidden="false" customHeight="false" outlineLevel="0" collapsed="false">
      <c r="A205" s="8" t="s">
        <v>263</v>
      </c>
      <c r="B205" s="11" t="n">
        <v>45794</v>
      </c>
      <c r="C205" s="8" t="s">
        <v>47</v>
      </c>
      <c r="D205" s="8" t="s">
        <v>57</v>
      </c>
      <c r="E205" s="8" t="s">
        <v>111</v>
      </c>
      <c r="F205" s="8" t="n">
        <v>1</v>
      </c>
      <c r="G205" s="8" t="n">
        <v>7000</v>
      </c>
      <c r="H205" s="8" t="n">
        <v>0</v>
      </c>
      <c r="I205" s="8" t="n">
        <v>4800</v>
      </c>
    </row>
    <row r="206" customFormat="false" ht="15" hidden="false" customHeight="false" outlineLevel="0" collapsed="false">
      <c r="A206" s="8" t="s">
        <v>264</v>
      </c>
      <c r="B206" s="11" t="n">
        <v>45796</v>
      </c>
      <c r="C206" s="8" t="s">
        <v>47</v>
      </c>
      <c r="D206" s="8" t="s">
        <v>40</v>
      </c>
      <c r="E206" s="8" t="s">
        <v>41</v>
      </c>
      <c r="F206" s="8" t="n">
        <v>6</v>
      </c>
      <c r="G206" s="8" t="n">
        <v>600</v>
      </c>
      <c r="H206" s="8" t="n">
        <v>0</v>
      </c>
      <c r="I206" s="8" t="n">
        <v>300</v>
      </c>
    </row>
    <row r="207" customFormat="false" ht="15" hidden="false" customHeight="false" outlineLevel="0" collapsed="false">
      <c r="A207" s="8" t="s">
        <v>265</v>
      </c>
      <c r="B207" s="11" t="n">
        <v>45793</v>
      </c>
      <c r="C207" s="8" t="s">
        <v>43</v>
      </c>
      <c r="D207" s="8" t="s">
        <v>57</v>
      </c>
      <c r="E207" s="8" t="s">
        <v>58</v>
      </c>
      <c r="F207" s="8" t="n">
        <v>2</v>
      </c>
      <c r="G207" s="8" t="n">
        <v>5500</v>
      </c>
      <c r="H207" s="8" t="n">
        <v>0</v>
      </c>
      <c r="I207" s="8" t="n">
        <v>3600</v>
      </c>
    </row>
    <row r="208" customFormat="false" ht="15" hidden="false" customHeight="false" outlineLevel="0" collapsed="false">
      <c r="A208" s="8" t="s">
        <v>266</v>
      </c>
      <c r="B208" s="11" t="n">
        <v>45781</v>
      </c>
      <c r="C208" s="8" t="s">
        <v>47</v>
      </c>
      <c r="D208" s="8" t="s">
        <v>57</v>
      </c>
      <c r="E208" s="8" t="s">
        <v>63</v>
      </c>
      <c r="F208" s="8" t="n">
        <v>2</v>
      </c>
      <c r="G208" s="8" t="n">
        <v>9000</v>
      </c>
      <c r="H208" s="8" t="n">
        <v>0.1</v>
      </c>
      <c r="I208" s="8" t="n">
        <v>6200</v>
      </c>
    </row>
    <row r="209" customFormat="false" ht="15" hidden="false" customHeight="false" outlineLevel="0" collapsed="false">
      <c r="A209" s="8" t="s">
        <v>267</v>
      </c>
      <c r="B209" s="11" t="n">
        <v>45787</v>
      </c>
      <c r="C209" s="8" t="s">
        <v>47</v>
      </c>
      <c r="D209" s="8" t="s">
        <v>44</v>
      </c>
      <c r="E209" s="8" t="s">
        <v>45</v>
      </c>
      <c r="F209" s="8" t="n">
        <v>3</v>
      </c>
      <c r="G209" s="8" t="n">
        <v>1500</v>
      </c>
      <c r="H209" s="8" t="n">
        <v>0</v>
      </c>
      <c r="I209" s="8" t="n">
        <v>900</v>
      </c>
    </row>
    <row r="210" customFormat="false" ht="15" hidden="false" customHeight="false" outlineLevel="0" collapsed="false">
      <c r="A210" s="8" t="s">
        <v>268</v>
      </c>
      <c r="B210" s="11" t="n">
        <v>45792</v>
      </c>
      <c r="C210" s="8" t="s">
        <v>55</v>
      </c>
      <c r="D210" s="8" t="s">
        <v>40</v>
      </c>
      <c r="E210" s="8" t="s">
        <v>41</v>
      </c>
      <c r="F210" s="8" t="n">
        <v>10</v>
      </c>
      <c r="G210" s="8" t="n">
        <v>600</v>
      </c>
      <c r="H210" s="8" t="n">
        <v>0</v>
      </c>
      <c r="I210" s="8" t="n">
        <v>300</v>
      </c>
    </row>
    <row r="211" customFormat="false" ht="15" hidden="false" customHeight="false" outlineLevel="0" collapsed="false">
      <c r="A211" s="8" t="s">
        <v>269</v>
      </c>
      <c r="B211" s="11" t="n">
        <v>45802</v>
      </c>
      <c r="C211" s="8" t="s">
        <v>47</v>
      </c>
      <c r="D211" s="8" t="s">
        <v>44</v>
      </c>
      <c r="E211" s="8" t="s">
        <v>48</v>
      </c>
      <c r="F211" s="8" t="n">
        <v>2</v>
      </c>
      <c r="G211" s="8" t="n">
        <v>4500</v>
      </c>
      <c r="H211" s="8" t="n">
        <v>0</v>
      </c>
      <c r="I211" s="8" t="n">
        <v>3300</v>
      </c>
    </row>
    <row r="212" customFormat="false" ht="15" hidden="false" customHeight="false" outlineLevel="0" collapsed="false">
      <c r="A212" s="8" t="s">
        <v>270</v>
      </c>
      <c r="B212" s="11" t="n">
        <v>45805</v>
      </c>
      <c r="C212" s="8" t="s">
        <v>55</v>
      </c>
      <c r="D212" s="8" t="s">
        <v>57</v>
      </c>
      <c r="E212" s="8" t="s">
        <v>58</v>
      </c>
      <c r="F212" s="8" t="n">
        <v>1</v>
      </c>
      <c r="G212" s="8" t="n">
        <v>5500</v>
      </c>
      <c r="H212" s="8" t="n">
        <v>0.1</v>
      </c>
      <c r="I212" s="8" t="n">
        <v>3600</v>
      </c>
    </row>
    <row r="213" customFormat="false" ht="15" hidden="false" customHeight="false" outlineLevel="0" collapsed="false">
      <c r="A213" s="8" t="s">
        <v>271</v>
      </c>
      <c r="B213" s="11" t="n">
        <v>45794</v>
      </c>
      <c r="C213" s="8" t="s">
        <v>47</v>
      </c>
      <c r="D213" s="8" t="s">
        <v>40</v>
      </c>
      <c r="E213" s="8" t="s">
        <v>77</v>
      </c>
      <c r="F213" s="8" t="n">
        <v>2</v>
      </c>
      <c r="G213" s="8" t="n">
        <v>400</v>
      </c>
      <c r="H213" s="8" t="n">
        <v>0</v>
      </c>
      <c r="I213" s="8" t="n">
        <v>200</v>
      </c>
    </row>
    <row r="214" customFormat="false" ht="15" hidden="false" customHeight="false" outlineLevel="0" collapsed="false">
      <c r="A214" s="8" t="s">
        <v>272</v>
      </c>
      <c r="B214" s="11" t="n">
        <v>45792</v>
      </c>
      <c r="C214" s="8" t="s">
        <v>43</v>
      </c>
      <c r="D214" s="8" t="s">
        <v>57</v>
      </c>
      <c r="E214" s="8" t="s">
        <v>63</v>
      </c>
      <c r="F214" s="8" t="n">
        <v>2</v>
      </c>
      <c r="G214" s="8" t="n">
        <v>9000</v>
      </c>
      <c r="H214" s="8" t="n">
        <v>0.1</v>
      </c>
      <c r="I214" s="8" t="n">
        <v>6200</v>
      </c>
    </row>
    <row r="215" customFormat="false" ht="15" hidden="false" customHeight="false" outlineLevel="0" collapsed="false">
      <c r="A215" s="8" t="s">
        <v>273</v>
      </c>
      <c r="B215" s="11" t="n">
        <v>45787</v>
      </c>
      <c r="C215" s="8" t="s">
        <v>39</v>
      </c>
      <c r="D215" s="8" t="s">
        <v>44</v>
      </c>
      <c r="E215" s="8" t="s">
        <v>60</v>
      </c>
      <c r="F215" s="8" t="n">
        <v>3</v>
      </c>
      <c r="G215" s="8" t="n">
        <v>2500</v>
      </c>
      <c r="H215" s="8" t="n">
        <v>0</v>
      </c>
      <c r="I215" s="8" t="n">
        <v>1600</v>
      </c>
    </row>
    <row r="216" customFormat="false" ht="15" hidden="false" customHeight="false" outlineLevel="0" collapsed="false">
      <c r="A216" s="8" t="s">
        <v>274</v>
      </c>
      <c r="B216" s="11" t="n">
        <v>45778</v>
      </c>
      <c r="C216" s="8" t="s">
        <v>55</v>
      </c>
      <c r="D216" s="8" t="s">
        <v>57</v>
      </c>
      <c r="E216" s="8" t="s">
        <v>86</v>
      </c>
      <c r="F216" s="8" t="n">
        <v>2</v>
      </c>
      <c r="G216" s="8" t="n">
        <v>1200</v>
      </c>
      <c r="H216" s="8" t="n">
        <v>0</v>
      </c>
      <c r="I216" s="8" t="n">
        <v>600</v>
      </c>
    </row>
    <row r="217" customFormat="false" ht="15" hidden="false" customHeight="false" outlineLevel="0" collapsed="false">
      <c r="A217" s="8" t="s">
        <v>275</v>
      </c>
      <c r="B217" s="11" t="n">
        <v>45783</v>
      </c>
      <c r="C217" s="8" t="s">
        <v>43</v>
      </c>
      <c r="D217" s="8" t="s">
        <v>40</v>
      </c>
      <c r="E217" s="8" t="s">
        <v>41</v>
      </c>
      <c r="F217" s="8" t="n">
        <v>5</v>
      </c>
      <c r="G217" s="8" t="n">
        <v>600</v>
      </c>
      <c r="H217" s="8" t="n">
        <v>0.1</v>
      </c>
      <c r="I217" s="8" t="n">
        <v>300</v>
      </c>
    </row>
    <row r="218" customFormat="false" ht="15" hidden="false" customHeight="false" outlineLevel="0" collapsed="false">
      <c r="A218" s="8" t="s">
        <v>276</v>
      </c>
      <c r="B218" s="11" t="n">
        <v>45780</v>
      </c>
      <c r="C218" s="8"/>
      <c r="D218" s="8" t="s">
        <v>57</v>
      </c>
      <c r="E218" s="8" t="s">
        <v>111</v>
      </c>
      <c r="F218" s="8" t="n">
        <v>3</v>
      </c>
      <c r="G218" s="8" t="n">
        <v>7000</v>
      </c>
      <c r="H218" s="8" t="n">
        <v>0</v>
      </c>
      <c r="I218" s="8" t="n">
        <v>4800</v>
      </c>
    </row>
    <row r="219" customFormat="false" ht="15" hidden="false" customHeight="false" outlineLevel="0" collapsed="false">
      <c r="A219" s="8" t="s">
        <v>277</v>
      </c>
      <c r="B219" s="11" t="n">
        <v>45781</v>
      </c>
      <c r="C219" s="8" t="s">
        <v>55</v>
      </c>
      <c r="D219" s="8" t="s">
        <v>44</v>
      </c>
      <c r="E219" s="8" t="s">
        <v>50</v>
      </c>
      <c r="F219" s="8" t="n">
        <v>1</v>
      </c>
      <c r="G219" s="8" t="n">
        <v>3000</v>
      </c>
      <c r="H219" s="8" t="n">
        <v>0</v>
      </c>
      <c r="I219" s="8" t="n">
        <v>2000</v>
      </c>
    </row>
    <row r="220" customFormat="false" ht="15" hidden="false" customHeight="false" outlineLevel="0" collapsed="false">
      <c r="A220" s="8" t="s">
        <v>278</v>
      </c>
      <c r="B220" s="11" t="n">
        <v>45787</v>
      </c>
      <c r="C220" s="8" t="s">
        <v>55</v>
      </c>
      <c r="D220" s="8" t="s">
        <v>40</v>
      </c>
      <c r="E220" s="8" t="s">
        <v>41</v>
      </c>
      <c r="F220" s="8" t="n">
        <v>9</v>
      </c>
      <c r="G220" s="8" t="n">
        <v>600</v>
      </c>
      <c r="H220" s="8" t="n">
        <v>0.1</v>
      </c>
      <c r="I220" s="8" t="n">
        <v>300</v>
      </c>
    </row>
    <row r="221" customFormat="false" ht="15" hidden="false" customHeight="false" outlineLevel="0" collapsed="false">
      <c r="A221" s="8" t="s">
        <v>279</v>
      </c>
      <c r="B221" s="11" t="n">
        <v>45793</v>
      </c>
      <c r="C221" s="8" t="s">
        <v>43</v>
      </c>
      <c r="D221" s="8" t="s">
        <v>40</v>
      </c>
      <c r="E221" s="8" t="s">
        <v>77</v>
      </c>
      <c r="F221" s="8" t="n">
        <v>8</v>
      </c>
      <c r="G221" s="8" t="n">
        <v>400</v>
      </c>
      <c r="H221" s="8" t="n">
        <v>0</v>
      </c>
      <c r="I221" s="8" t="n">
        <v>200</v>
      </c>
    </row>
    <row r="222" customFormat="false" ht="15" hidden="false" customHeight="false" outlineLevel="0" collapsed="false">
      <c r="A222" s="8" t="s">
        <v>280</v>
      </c>
      <c r="B222" s="11" t="n">
        <v>45784</v>
      </c>
      <c r="C222" s="8" t="s">
        <v>47</v>
      </c>
      <c r="D222" s="8" t="s">
        <v>44</v>
      </c>
      <c r="E222" s="8" t="s">
        <v>50</v>
      </c>
      <c r="F222" s="8" t="n">
        <v>1</v>
      </c>
      <c r="G222" s="8" t="n">
        <v>3000</v>
      </c>
      <c r="H222" s="8" t="n">
        <v>0</v>
      </c>
      <c r="I222" s="8" t="n">
        <v>2000</v>
      </c>
    </row>
    <row r="223" customFormat="false" ht="15" hidden="false" customHeight="false" outlineLevel="0" collapsed="false">
      <c r="A223" s="8" t="s">
        <v>281</v>
      </c>
      <c r="B223" s="11" t="n">
        <v>45786</v>
      </c>
      <c r="C223" s="8" t="s">
        <v>47</v>
      </c>
      <c r="D223" s="8" t="s">
        <v>40</v>
      </c>
      <c r="E223" s="8" t="s">
        <v>104</v>
      </c>
      <c r="F223" s="8" t="n">
        <v>4</v>
      </c>
      <c r="G223" s="8" t="n">
        <v>250</v>
      </c>
      <c r="H223" s="8" t="n">
        <v>0</v>
      </c>
      <c r="I223" s="8" t="n">
        <v>100</v>
      </c>
    </row>
    <row r="224" customFormat="false" ht="15" hidden="false" customHeight="false" outlineLevel="0" collapsed="false">
      <c r="A224" s="8" t="s">
        <v>282</v>
      </c>
      <c r="B224" s="11" t="n">
        <v>45804</v>
      </c>
      <c r="C224" s="8" t="s">
        <v>47</v>
      </c>
      <c r="D224" s="8" t="s">
        <v>57</v>
      </c>
      <c r="E224" s="8" t="s">
        <v>58</v>
      </c>
      <c r="F224" s="8" t="n">
        <v>3</v>
      </c>
      <c r="G224" s="8" t="n">
        <v>5500</v>
      </c>
      <c r="H224" s="8" t="n">
        <v>0</v>
      </c>
      <c r="I224" s="8" t="n">
        <v>3600</v>
      </c>
    </row>
    <row r="225" customFormat="false" ht="15" hidden="false" customHeight="false" outlineLevel="0" collapsed="false">
      <c r="A225" s="8" t="s">
        <v>283</v>
      </c>
      <c r="B225" s="11" t="n">
        <v>45796</v>
      </c>
      <c r="C225" s="8"/>
      <c r="D225" s="8" t="s">
        <v>44</v>
      </c>
      <c r="E225" s="8" t="s">
        <v>60</v>
      </c>
      <c r="F225" s="8" t="n">
        <v>2</v>
      </c>
      <c r="G225" s="8" t="n">
        <v>2500</v>
      </c>
      <c r="H225" s="8" t="n">
        <v>0.05</v>
      </c>
      <c r="I225" s="8" t="n">
        <v>1600</v>
      </c>
    </row>
    <row r="226" customFormat="false" ht="15" hidden="false" customHeight="false" outlineLevel="0" collapsed="false">
      <c r="A226" s="8" t="s">
        <v>284</v>
      </c>
      <c r="B226" s="11" t="n">
        <v>45795</v>
      </c>
      <c r="C226" s="8" t="s">
        <v>47</v>
      </c>
      <c r="D226" s="8" t="s">
        <v>40</v>
      </c>
      <c r="E226" s="8" t="s">
        <v>41</v>
      </c>
      <c r="F226" s="8" t="n">
        <v>4</v>
      </c>
      <c r="G226" s="8" t="n">
        <v>600</v>
      </c>
      <c r="H226" s="8" t="n">
        <v>0</v>
      </c>
      <c r="I226" s="8" t="n">
        <v>300</v>
      </c>
    </row>
    <row r="227" customFormat="false" ht="15" hidden="false" customHeight="false" outlineLevel="0" collapsed="false">
      <c r="A227" s="8" t="s">
        <v>285</v>
      </c>
      <c r="B227" s="11" t="n">
        <v>45790</v>
      </c>
      <c r="C227" s="8" t="s">
        <v>47</v>
      </c>
      <c r="D227" s="8" t="s">
        <v>57</v>
      </c>
      <c r="E227" s="8" t="s">
        <v>86</v>
      </c>
      <c r="F227" s="8" t="n">
        <v>3</v>
      </c>
      <c r="G227" s="8" t="n">
        <v>1200</v>
      </c>
      <c r="H227" s="8" t="n">
        <v>0.05</v>
      </c>
      <c r="I227" s="8" t="n">
        <v>600</v>
      </c>
    </row>
    <row r="228" customFormat="false" ht="15" hidden="false" customHeight="false" outlineLevel="0" collapsed="false">
      <c r="A228" s="8" t="s">
        <v>286</v>
      </c>
      <c r="B228" s="11" t="n">
        <v>45785</v>
      </c>
      <c r="C228" s="8" t="s">
        <v>55</v>
      </c>
      <c r="D228" s="8" t="s">
        <v>57</v>
      </c>
      <c r="E228" s="8" t="s">
        <v>86</v>
      </c>
      <c r="F228" s="8" t="n">
        <v>1</v>
      </c>
      <c r="G228" s="8" t="n">
        <v>1200</v>
      </c>
      <c r="H228" s="8" t="n">
        <v>0.1</v>
      </c>
      <c r="I228" s="8" t="n">
        <v>600</v>
      </c>
    </row>
    <row r="229" customFormat="false" ht="15" hidden="false" customHeight="false" outlineLevel="0" collapsed="false">
      <c r="A229" s="8" t="s">
        <v>287</v>
      </c>
      <c r="B229" s="11" t="n">
        <v>45788</v>
      </c>
      <c r="C229" s="8" t="s">
        <v>47</v>
      </c>
      <c r="D229" s="8" t="s">
        <v>40</v>
      </c>
      <c r="E229" s="8" t="s">
        <v>104</v>
      </c>
      <c r="F229" s="8" t="n">
        <v>8</v>
      </c>
      <c r="G229" s="8" t="n">
        <v>250</v>
      </c>
      <c r="H229" s="8" t="n">
        <v>0</v>
      </c>
      <c r="I229" s="8" t="n">
        <v>100</v>
      </c>
    </row>
    <row r="230" customFormat="false" ht="15" hidden="false" customHeight="false" outlineLevel="0" collapsed="false">
      <c r="A230" s="8" t="s">
        <v>288</v>
      </c>
      <c r="B230" s="11" t="n">
        <v>45799</v>
      </c>
      <c r="C230" s="8" t="s">
        <v>47</v>
      </c>
      <c r="D230" s="8" t="s">
        <v>40</v>
      </c>
      <c r="E230" s="8" t="s">
        <v>71</v>
      </c>
      <c r="F230" s="8" t="n">
        <v>8</v>
      </c>
      <c r="G230" s="8" t="n">
        <v>500</v>
      </c>
      <c r="H230" s="8" t="n">
        <v>0</v>
      </c>
      <c r="I230" s="8" t="n">
        <v>250</v>
      </c>
    </row>
    <row r="231" customFormat="false" ht="15" hidden="false" customHeight="false" outlineLevel="0" collapsed="false">
      <c r="A231" s="8" t="s">
        <v>289</v>
      </c>
      <c r="B231" s="11" t="n">
        <v>45782</v>
      </c>
      <c r="C231" s="8" t="s">
        <v>55</v>
      </c>
      <c r="D231" s="8" t="s">
        <v>40</v>
      </c>
      <c r="E231" s="8" t="s">
        <v>41</v>
      </c>
      <c r="F231" s="8" t="n">
        <v>9</v>
      </c>
      <c r="G231" s="8" t="n">
        <v>600</v>
      </c>
      <c r="H231" s="8" t="n">
        <v>0</v>
      </c>
      <c r="I231" s="8" t="n">
        <v>300</v>
      </c>
    </row>
    <row r="232" customFormat="false" ht="15" hidden="false" customHeight="false" outlineLevel="0" collapsed="false">
      <c r="A232" s="8" t="s">
        <v>290</v>
      </c>
      <c r="B232" s="11" t="n">
        <v>45805</v>
      </c>
      <c r="C232" s="8" t="s">
        <v>55</v>
      </c>
      <c r="D232" s="8" t="s">
        <v>40</v>
      </c>
      <c r="E232" s="8" t="s">
        <v>77</v>
      </c>
      <c r="F232" s="8" t="n">
        <v>7</v>
      </c>
      <c r="G232" s="8" t="n">
        <v>400</v>
      </c>
      <c r="H232" s="8" t="n">
        <v>0</v>
      </c>
      <c r="I232" s="8" t="n">
        <v>200</v>
      </c>
    </row>
    <row r="233" customFormat="false" ht="15" hidden="false" customHeight="false" outlineLevel="0" collapsed="false">
      <c r="A233" s="8" t="s">
        <v>291</v>
      </c>
      <c r="B233" s="11" t="n">
        <v>45801</v>
      </c>
      <c r="C233" s="8" t="s">
        <v>39</v>
      </c>
      <c r="D233" s="8" t="s">
        <v>57</v>
      </c>
      <c r="E233" s="8" t="s">
        <v>86</v>
      </c>
      <c r="F233" s="8" t="n">
        <v>2</v>
      </c>
      <c r="G233" s="8" t="n">
        <v>1200</v>
      </c>
      <c r="H233" s="8" t="n">
        <v>0</v>
      </c>
      <c r="I233" s="8" t="n">
        <v>600</v>
      </c>
    </row>
    <row r="234" customFormat="false" ht="15" hidden="false" customHeight="false" outlineLevel="0" collapsed="false">
      <c r="A234" s="8" t="s">
        <v>292</v>
      </c>
      <c r="B234" s="11" t="n">
        <v>45780</v>
      </c>
      <c r="C234" s="8" t="s">
        <v>47</v>
      </c>
      <c r="D234" s="8" t="s">
        <v>44</v>
      </c>
      <c r="E234" s="8" t="s">
        <v>45</v>
      </c>
      <c r="F234" s="8" t="n">
        <v>3</v>
      </c>
      <c r="G234" s="8" t="n">
        <v>1500</v>
      </c>
      <c r="H234" s="8" t="n">
        <v>0</v>
      </c>
      <c r="I234" s="8" t="n">
        <v>900</v>
      </c>
    </row>
    <row r="235" customFormat="false" ht="15" hidden="false" customHeight="false" outlineLevel="0" collapsed="false">
      <c r="A235" s="8" t="s">
        <v>293</v>
      </c>
      <c r="B235" s="11" t="n">
        <v>45797</v>
      </c>
      <c r="C235" s="8" t="s">
        <v>43</v>
      </c>
      <c r="D235" s="8" t="s">
        <v>57</v>
      </c>
      <c r="E235" s="8" t="s">
        <v>86</v>
      </c>
      <c r="F235" s="8" t="n">
        <v>2</v>
      </c>
      <c r="G235" s="8" t="n">
        <v>1200</v>
      </c>
      <c r="H235" s="8" t="n">
        <v>0</v>
      </c>
      <c r="I235" s="8" t="n">
        <v>600</v>
      </c>
    </row>
    <row r="236" customFormat="false" ht="15" hidden="false" customHeight="false" outlineLevel="0" collapsed="false">
      <c r="A236" s="8" t="s">
        <v>294</v>
      </c>
      <c r="B236" s="11" t="n">
        <v>45805</v>
      </c>
      <c r="C236" s="8" t="s">
        <v>47</v>
      </c>
      <c r="D236" s="8" t="s">
        <v>40</v>
      </c>
      <c r="E236" s="8" t="s">
        <v>71</v>
      </c>
      <c r="F236" s="8" t="n">
        <v>3</v>
      </c>
      <c r="G236" s="8" t="n">
        <v>500</v>
      </c>
      <c r="H236" s="8" t="n">
        <v>0</v>
      </c>
      <c r="I236" s="8" t="n">
        <v>250</v>
      </c>
    </row>
    <row r="237" customFormat="false" ht="15" hidden="false" customHeight="false" outlineLevel="0" collapsed="false">
      <c r="A237" s="8" t="s">
        <v>295</v>
      </c>
      <c r="B237" s="11" t="n">
        <v>45798</v>
      </c>
      <c r="C237" s="8" t="s">
        <v>55</v>
      </c>
      <c r="D237" s="8" t="s">
        <v>40</v>
      </c>
      <c r="E237" s="8" t="s">
        <v>41</v>
      </c>
      <c r="F237" s="8" t="n">
        <v>8</v>
      </c>
      <c r="G237" s="8" t="n">
        <v>600</v>
      </c>
      <c r="H237" s="8" t="n">
        <v>0</v>
      </c>
      <c r="I237" s="8" t="n">
        <v>300</v>
      </c>
    </row>
    <row r="238" customFormat="false" ht="15" hidden="false" customHeight="false" outlineLevel="0" collapsed="false">
      <c r="A238" s="8" t="s">
        <v>296</v>
      </c>
      <c r="B238" s="11" t="n">
        <v>45779</v>
      </c>
      <c r="C238" s="8" t="s">
        <v>55</v>
      </c>
      <c r="D238" s="8" t="s">
        <v>40</v>
      </c>
      <c r="E238" s="8" t="s">
        <v>71</v>
      </c>
      <c r="F238" s="8" t="n">
        <v>9</v>
      </c>
      <c r="G238" s="8" t="n">
        <v>500</v>
      </c>
      <c r="H238" s="8" t="n">
        <v>0.05</v>
      </c>
      <c r="I238" s="8" t="n">
        <v>250</v>
      </c>
    </row>
    <row r="239" customFormat="false" ht="15" hidden="false" customHeight="false" outlineLevel="0" collapsed="false">
      <c r="A239" s="8" t="s">
        <v>297</v>
      </c>
      <c r="B239" s="11" t="n">
        <v>45801</v>
      </c>
      <c r="C239" s="8" t="s">
        <v>39</v>
      </c>
      <c r="D239" s="8" t="s">
        <v>40</v>
      </c>
      <c r="E239" s="8" t="s">
        <v>104</v>
      </c>
      <c r="F239" s="8" t="n">
        <v>6</v>
      </c>
      <c r="G239" s="8" t="n">
        <v>250</v>
      </c>
      <c r="H239" s="8" t="n">
        <v>0</v>
      </c>
      <c r="I239" s="8" t="n">
        <v>100</v>
      </c>
    </row>
    <row r="240" customFormat="false" ht="15" hidden="false" customHeight="false" outlineLevel="0" collapsed="false">
      <c r="A240" s="8" t="s">
        <v>298</v>
      </c>
      <c r="B240" s="11" t="n">
        <v>45800</v>
      </c>
      <c r="C240" s="8" t="s">
        <v>47</v>
      </c>
      <c r="D240" s="8" t="s">
        <v>44</v>
      </c>
      <c r="E240" s="8" t="s">
        <v>48</v>
      </c>
      <c r="F240" s="8" t="n">
        <v>1</v>
      </c>
      <c r="G240" s="8" t="n">
        <v>4500</v>
      </c>
      <c r="H240" s="8" t="n">
        <v>0.1</v>
      </c>
      <c r="I240" s="8" t="n">
        <v>3300</v>
      </c>
    </row>
    <row r="241" customFormat="false" ht="15" hidden="false" customHeight="false" outlineLevel="0" collapsed="false">
      <c r="A241" s="8" t="s">
        <v>299</v>
      </c>
      <c r="B241" s="11" t="n">
        <v>45778</v>
      </c>
      <c r="C241" s="8" t="s">
        <v>47</v>
      </c>
      <c r="D241" s="8" t="s">
        <v>44</v>
      </c>
      <c r="E241" s="8" t="s">
        <v>48</v>
      </c>
      <c r="F241" s="8" t="n">
        <v>3</v>
      </c>
      <c r="G241" s="8" t="n">
        <v>4500</v>
      </c>
      <c r="H241" s="8" t="n">
        <v>0</v>
      </c>
      <c r="I241" s="8" t="n">
        <v>3300</v>
      </c>
    </row>
    <row r="242" customFormat="false" ht="15" hidden="false" customHeight="false" outlineLevel="0" collapsed="false">
      <c r="A242" s="8" t="s">
        <v>300</v>
      </c>
      <c r="B242" s="11" t="n">
        <v>45789</v>
      </c>
      <c r="C242" s="8" t="s">
        <v>47</v>
      </c>
      <c r="D242" s="8" t="s">
        <v>44</v>
      </c>
      <c r="E242" s="8" t="s">
        <v>60</v>
      </c>
      <c r="F242" s="8" t="n">
        <v>1</v>
      </c>
      <c r="G242" s="8" t="n">
        <v>2500</v>
      </c>
      <c r="H242" s="8" t="n">
        <v>0</v>
      </c>
      <c r="I242" s="8" t="n">
        <v>1600</v>
      </c>
    </row>
    <row r="243" customFormat="false" ht="15" hidden="false" customHeight="false" outlineLevel="0" collapsed="false">
      <c r="A243" s="8" t="s">
        <v>301</v>
      </c>
      <c r="B243" s="11" t="n">
        <v>45791</v>
      </c>
      <c r="C243" s="8" t="s">
        <v>47</v>
      </c>
      <c r="D243" s="8" t="s">
        <v>57</v>
      </c>
      <c r="E243" s="8" t="s">
        <v>63</v>
      </c>
      <c r="F243" s="8" t="n">
        <v>1</v>
      </c>
      <c r="G243" s="8" t="n">
        <v>9000</v>
      </c>
      <c r="H243" s="8" t="n">
        <v>0.05</v>
      </c>
      <c r="I243" s="8" t="n">
        <v>6200</v>
      </c>
    </row>
    <row r="244" customFormat="false" ht="15" hidden="false" customHeight="false" outlineLevel="0" collapsed="false">
      <c r="A244" s="8" t="s">
        <v>302</v>
      </c>
      <c r="B244" s="11" t="n">
        <v>45783</v>
      </c>
      <c r="C244" s="8" t="s">
        <v>43</v>
      </c>
      <c r="D244" s="8" t="s">
        <v>40</v>
      </c>
      <c r="E244" s="8" t="s">
        <v>104</v>
      </c>
      <c r="F244" s="8" t="n">
        <v>4</v>
      </c>
      <c r="G244" s="8" t="n">
        <v>250</v>
      </c>
      <c r="H244" s="8" t="n">
        <v>0</v>
      </c>
      <c r="I244" s="8" t="n">
        <v>100</v>
      </c>
    </row>
    <row r="245" customFormat="false" ht="15" hidden="false" customHeight="false" outlineLevel="0" collapsed="false">
      <c r="A245" s="8" t="s">
        <v>303</v>
      </c>
      <c r="B245" s="11" t="n">
        <v>45799</v>
      </c>
      <c r="C245" s="8" t="s">
        <v>43</v>
      </c>
      <c r="D245" s="8" t="s">
        <v>44</v>
      </c>
      <c r="E245" s="8" t="s">
        <v>48</v>
      </c>
      <c r="F245" s="8" t="n">
        <v>2</v>
      </c>
      <c r="G245" s="8" t="n">
        <v>4500</v>
      </c>
      <c r="H245" s="8" t="n">
        <v>0.05</v>
      </c>
      <c r="I245" s="8" t="n">
        <v>3300</v>
      </c>
    </row>
    <row r="246" customFormat="false" ht="15" hidden="false" customHeight="false" outlineLevel="0" collapsed="false">
      <c r="A246" s="8" t="s">
        <v>304</v>
      </c>
      <c r="B246" s="11" t="n">
        <v>45785</v>
      </c>
      <c r="C246" s="8" t="s">
        <v>47</v>
      </c>
      <c r="D246" s="8" t="s">
        <v>44</v>
      </c>
      <c r="E246" s="8" t="s">
        <v>50</v>
      </c>
      <c r="F246" s="8" t="n">
        <v>3</v>
      </c>
      <c r="G246" s="8" t="n">
        <v>3000</v>
      </c>
      <c r="H246" s="8" t="n">
        <v>0</v>
      </c>
      <c r="I246" s="8" t="n">
        <v>2000</v>
      </c>
    </row>
    <row r="247" customFormat="false" ht="15" hidden="false" customHeight="false" outlineLevel="0" collapsed="false">
      <c r="A247" s="8" t="s">
        <v>305</v>
      </c>
      <c r="B247" s="11" t="n">
        <v>45799</v>
      </c>
      <c r="C247" s="8" t="s">
        <v>43</v>
      </c>
      <c r="D247" s="8" t="s">
        <v>57</v>
      </c>
      <c r="E247" s="8" t="s">
        <v>86</v>
      </c>
      <c r="F247" s="8" t="n">
        <v>2</v>
      </c>
      <c r="G247" s="8" t="n">
        <v>1200</v>
      </c>
      <c r="H247" s="8" t="n">
        <v>0</v>
      </c>
      <c r="I247" s="8" t="n">
        <v>600</v>
      </c>
    </row>
    <row r="248" customFormat="false" ht="15" hidden="false" customHeight="false" outlineLevel="0" collapsed="false">
      <c r="A248" s="8" t="s">
        <v>306</v>
      </c>
      <c r="B248" s="11" t="n">
        <v>45799</v>
      </c>
      <c r="C248" s="8" t="s">
        <v>55</v>
      </c>
      <c r="D248" s="8" t="s">
        <v>44</v>
      </c>
      <c r="E248" s="8" t="s">
        <v>60</v>
      </c>
      <c r="F248" s="8" t="n">
        <v>2</v>
      </c>
      <c r="G248" s="8" t="n">
        <v>2500</v>
      </c>
      <c r="H248" s="8" t="n">
        <v>0</v>
      </c>
      <c r="I248" s="8" t="n">
        <v>1600</v>
      </c>
    </row>
    <row r="249" customFormat="false" ht="15" hidden="false" customHeight="false" outlineLevel="0" collapsed="false">
      <c r="A249" s="8" t="s">
        <v>307</v>
      </c>
      <c r="B249" s="11" t="n">
        <v>45796</v>
      </c>
      <c r="C249" s="8" t="s">
        <v>39</v>
      </c>
      <c r="D249" s="8" t="s">
        <v>40</v>
      </c>
      <c r="E249" s="8" t="s">
        <v>77</v>
      </c>
      <c r="F249" s="8" t="n">
        <v>9</v>
      </c>
      <c r="G249" s="8" t="n">
        <v>400</v>
      </c>
      <c r="H249" s="8" t="n">
        <v>0</v>
      </c>
      <c r="I249" s="8" t="n">
        <v>200</v>
      </c>
    </row>
    <row r="250" customFormat="false" ht="15" hidden="false" customHeight="false" outlineLevel="0" collapsed="false">
      <c r="A250" s="8" t="s">
        <v>308</v>
      </c>
      <c r="B250" s="11" t="n">
        <v>45786</v>
      </c>
      <c r="C250" s="8" t="s">
        <v>43</v>
      </c>
      <c r="D250" s="8" t="s">
        <v>57</v>
      </c>
      <c r="E250" s="8" t="s">
        <v>111</v>
      </c>
      <c r="F250" s="8" t="n">
        <v>2</v>
      </c>
      <c r="G250" s="8" t="n">
        <v>7000</v>
      </c>
      <c r="H250" s="8" t="n">
        <v>0.1</v>
      </c>
      <c r="I250" s="8" t="n">
        <v>4800</v>
      </c>
    </row>
    <row r="251" customFormat="false" ht="15" hidden="false" customHeight="false" outlineLevel="0" collapsed="false">
      <c r="A251" s="8" t="s">
        <v>309</v>
      </c>
      <c r="B251" s="11" t="n">
        <v>45805</v>
      </c>
      <c r="C251" s="8" t="s">
        <v>55</v>
      </c>
      <c r="D251" s="8" t="s">
        <v>57</v>
      </c>
      <c r="E251" s="8" t="s">
        <v>86</v>
      </c>
      <c r="F251" s="8" t="n">
        <v>1</v>
      </c>
      <c r="G251" s="8" t="n">
        <v>1200</v>
      </c>
      <c r="H251" s="8" t="n">
        <v>0</v>
      </c>
      <c r="I251" s="8" t="n">
        <v>600</v>
      </c>
    </row>
    <row r="252" customFormat="false" ht="15" hidden="false" customHeight="false" outlineLevel="0" collapsed="false">
      <c r="A252" s="8" t="s">
        <v>310</v>
      </c>
      <c r="B252" s="11" t="n">
        <v>45789</v>
      </c>
      <c r="C252" s="8" t="s">
        <v>39</v>
      </c>
      <c r="D252" s="8" t="s">
        <v>57</v>
      </c>
      <c r="E252" s="8" t="s">
        <v>86</v>
      </c>
      <c r="F252" s="8" t="n">
        <v>2</v>
      </c>
      <c r="G252" s="8" t="n">
        <v>1200</v>
      </c>
      <c r="H252" s="8" t="n">
        <v>0.05</v>
      </c>
      <c r="I252" s="8" t="n">
        <v>600</v>
      </c>
    </row>
    <row r="253" customFormat="false" ht="15" hidden="false" customHeight="false" outlineLevel="0" collapsed="false">
      <c r="A253" s="8" t="s">
        <v>311</v>
      </c>
      <c r="B253" s="11" t="n">
        <v>45804</v>
      </c>
      <c r="C253" s="8" t="s">
        <v>47</v>
      </c>
      <c r="D253" s="8" t="s">
        <v>40</v>
      </c>
      <c r="E253" s="8" t="s">
        <v>104</v>
      </c>
      <c r="F253" s="8" t="n">
        <v>6</v>
      </c>
      <c r="G253" s="8" t="n">
        <v>250</v>
      </c>
      <c r="H253" s="8" t="n">
        <v>0</v>
      </c>
      <c r="I253" s="8" t="n">
        <v>100</v>
      </c>
    </row>
    <row r="254" customFormat="false" ht="15" hidden="false" customHeight="false" outlineLevel="0" collapsed="false">
      <c r="A254" s="8" t="s">
        <v>312</v>
      </c>
      <c r="B254" s="11" t="n">
        <v>45805</v>
      </c>
      <c r="C254" s="8" t="s">
        <v>47</v>
      </c>
      <c r="D254" s="8" t="s">
        <v>40</v>
      </c>
      <c r="E254" s="8" t="s">
        <v>41</v>
      </c>
      <c r="F254" s="8" t="n">
        <v>2</v>
      </c>
      <c r="G254" s="8" t="n">
        <v>600</v>
      </c>
      <c r="H254" s="8" t="n">
        <v>0.05</v>
      </c>
      <c r="I254" s="8" t="n">
        <v>300</v>
      </c>
    </row>
    <row r="255" customFormat="false" ht="15" hidden="false" customHeight="false" outlineLevel="0" collapsed="false">
      <c r="A255" s="8" t="s">
        <v>313</v>
      </c>
      <c r="B255" s="11" t="n">
        <v>45801</v>
      </c>
      <c r="C255" s="8" t="s">
        <v>118</v>
      </c>
      <c r="D255" s="8" t="s">
        <v>40</v>
      </c>
      <c r="E255" s="8" t="s">
        <v>41</v>
      </c>
      <c r="F255" s="8" t="n">
        <v>2</v>
      </c>
      <c r="G255" s="8" t="n">
        <v>600</v>
      </c>
      <c r="H255" s="8" t="n">
        <v>0.05</v>
      </c>
      <c r="I255" s="8" t="n">
        <v>300</v>
      </c>
    </row>
    <row r="256" customFormat="false" ht="15" hidden="false" customHeight="false" outlineLevel="0" collapsed="false">
      <c r="A256" s="8" t="s">
        <v>314</v>
      </c>
      <c r="B256" s="11" t="n">
        <v>45797</v>
      </c>
      <c r="C256" s="8" t="s">
        <v>55</v>
      </c>
      <c r="D256" s="8" t="s">
        <v>57</v>
      </c>
      <c r="E256" s="8" t="s">
        <v>86</v>
      </c>
      <c r="F256" s="8" t="n">
        <v>2</v>
      </c>
      <c r="G256" s="8" t="n">
        <v>1200</v>
      </c>
      <c r="H256" s="8" t="n">
        <v>0</v>
      </c>
      <c r="I256" s="8" t="n">
        <v>600</v>
      </c>
    </row>
    <row r="257" customFormat="false" ht="15" hidden="false" customHeight="false" outlineLevel="0" collapsed="false">
      <c r="A257" s="8" t="s">
        <v>315</v>
      </c>
      <c r="B257" s="11" t="n">
        <v>45817</v>
      </c>
      <c r="C257" s="8" t="s">
        <v>195</v>
      </c>
      <c r="D257" s="8" t="s">
        <v>57</v>
      </c>
      <c r="E257" s="8" t="s">
        <v>63</v>
      </c>
      <c r="F257" s="8" t="n">
        <v>1</v>
      </c>
      <c r="G257" s="8" t="n">
        <v>9000</v>
      </c>
      <c r="H257" s="8" t="n">
        <v>0.05</v>
      </c>
      <c r="I257" s="8" t="n">
        <v>6200</v>
      </c>
    </row>
    <row r="258" customFormat="false" ht="15" hidden="false" customHeight="false" outlineLevel="0" collapsed="false">
      <c r="A258" s="8" t="s">
        <v>316</v>
      </c>
      <c r="B258" s="11" t="n">
        <v>45812</v>
      </c>
      <c r="C258" s="8" t="s">
        <v>43</v>
      </c>
      <c r="D258" s="8" t="s">
        <v>40</v>
      </c>
      <c r="E258" s="8" t="s">
        <v>41</v>
      </c>
      <c r="F258" s="8" t="n">
        <v>4</v>
      </c>
      <c r="G258" s="8" t="n">
        <v>600</v>
      </c>
      <c r="H258" s="8" t="n">
        <v>0.1</v>
      </c>
      <c r="I258" s="8" t="n">
        <v>300</v>
      </c>
    </row>
    <row r="259" customFormat="false" ht="15" hidden="false" customHeight="false" outlineLevel="0" collapsed="false">
      <c r="A259" s="8" t="s">
        <v>317</v>
      </c>
      <c r="B259" s="11" t="n">
        <v>45810</v>
      </c>
      <c r="C259" s="8" t="s">
        <v>43</v>
      </c>
      <c r="D259" s="8" t="s">
        <v>40</v>
      </c>
      <c r="E259" s="8" t="s">
        <v>41</v>
      </c>
      <c r="F259" s="8" t="n">
        <v>6</v>
      </c>
      <c r="G259" s="8" t="n">
        <v>600</v>
      </c>
      <c r="H259" s="8" t="n">
        <v>0</v>
      </c>
      <c r="I259" s="8" t="n">
        <v>300</v>
      </c>
    </row>
    <row r="260" customFormat="false" ht="15" hidden="false" customHeight="false" outlineLevel="0" collapsed="false">
      <c r="A260" s="8" t="s">
        <v>318</v>
      </c>
      <c r="B260" s="11" t="n">
        <v>45818</v>
      </c>
      <c r="C260" s="8" t="s">
        <v>47</v>
      </c>
      <c r="D260" s="8" t="s">
        <v>40</v>
      </c>
      <c r="E260" s="8" t="s">
        <v>104</v>
      </c>
      <c r="F260" s="8" t="n">
        <v>4</v>
      </c>
      <c r="G260" s="8" t="n">
        <v>250</v>
      </c>
      <c r="H260" s="8" t="n">
        <v>0</v>
      </c>
      <c r="I260" s="8" t="n">
        <v>100</v>
      </c>
    </row>
    <row r="261" customFormat="false" ht="15" hidden="false" customHeight="false" outlineLevel="0" collapsed="false">
      <c r="A261" s="8" t="s">
        <v>319</v>
      </c>
      <c r="B261" s="11" t="n">
        <v>45813</v>
      </c>
      <c r="C261" s="8" t="s">
        <v>43</v>
      </c>
      <c r="D261" s="8" t="s">
        <v>57</v>
      </c>
      <c r="E261" s="8" t="s">
        <v>63</v>
      </c>
      <c r="F261" s="8" t="n">
        <v>1</v>
      </c>
      <c r="G261" s="8" t="n">
        <v>9000</v>
      </c>
      <c r="H261" s="8" t="n">
        <v>0</v>
      </c>
      <c r="I261" s="8" t="n">
        <v>6200</v>
      </c>
    </row>
    <row r="262" customFormat="false" ht="15" hidden="false" customHeight="false" outlineLevel="0" collapsed="false">
      <c r="A262" s="8" t="s">
        <v>320</v>
      </c>
      <c r="B262" s="11" t="n">
        <v>45825</v>
      </c>
      <c r="C262" s="8" t="s">
        <v>55</v>
      </c>
      <c r="D262" s="8" t="s">
        <v>40</v>
      </c>
      <c r="E262" s="8" t="s">
        <v>77</v>
      </c>
      <c r="F262" s="8" t="n">
        <v>7</v>
      </c>
      <c r="G262" s="8" t="n">
        <v>400</v>
      </c>
      <c r="H262" s="8" t="n">
        <v>0.05</v>
      </c>
      <c r="I262" s="8" t="n">
        <v>200</v>
      </c>
    </row>
    <row r="263" customFormat="false" ht="15" hidden="false" customHeight="false" outlineLevel="0" collapsed="false">
      <c r="A263" s="8" t="s">
        <v>321</v>
      </c>
      <c r="B263" s="11" t="n">
        <v>45834</v>
      </c>
      <c r="C263" s="8" t="s">
        <v>55</v>
      </c>
      <c r="D263" s="8" t="s">
        <v>57</v>
      </c>
      <c r="E263" s="8" t="s">
        <v>111</v>
      </c>
      <c r="F263" s="8" t="n">
        <v>2</v>
      </c>
      <c r="G263" s="8" t="n">
        <v>7000</v>
      </c>
      <c r="H263" s="8" t="n">
        <v>0</v>
      </c>
      <c r="I263" s="8" t="n">
        <v>4800</v>
      </c>
    </row>
    <row r="264" customFormat="false" ht="15" hidden="false" customHeight="false" outlineLevel="0" collapsed="false">
      <c r="A264" s="8" t="s">
        <v>322</v>
      </c>
      <c r="B264" s="11" t="n">
        <v>45823</v>
      </c>
      <c r="C264" s="8" t="s">
        <v>43</v>
      </c>
      <c r="D264" s="8" t="s">
        <v>57</v>
      </c>
      <c r="E264" s="8" t="s">
        <v>111</v>
      </c>
      <c r="F264" s="8" t="n">
        <v>2</v>
      </c>
      <c r="G264" s="8" t="n">
        <v>7000</v>
      </c>
      <c r="H264" s="8" t="n">
        <v>0</v>
      </c>
      <c r="I264" s="8" t="n">
        <v>4800</v>
      </c>
    </row>
    <row r="265" customFormat="false" ht="15" hidden="false" customHeight="false" outlineLevel="0" collapsed="false">
      <c r="A265" s="8" t="s">
        <v>323</v>
      </c>
      <c r="B265" s="11" t="n">
        <v>45832</v>
      </c>
      <c r="C265" s="8" t="s">
        <v>39</v>
      </c>
      <c r="D265" s="8" t="s">
        <v>44</v>
      </c>
      <c r="E265" s="8" t="s">
        <v>48</v>
      </c>
      <c r="F265" s="8" t="n">
        <v>1</v>
      </c>
      <c r="G265" s="8" t="n">
        <v>4500</v>
      </c>
      <c r="H265" s="8" t="n">
        <v>0.1</v>
      </c>
      <c r="I265" s="8" t="n">
        <v>3300</v>
      </c>
    </row>
    <row r="266" customFormat="false" ht="15" hidden="false" customHeight="false" outlineLevel="0" collapsed="false">
      <c r="A266" s="8" t="s">
        <v>324</v>
      </c>
      <c r="B266" s="11" t="n">
        <v>45811</v>
      </c>
      <c r="C266" s="8" t="s">
        <v>55</v>
      </c>
      <c r="D266" s="8" t="s">
        <v>40</v>
      </c>
      <c r="E266" s="8" t="s">
        <v>41</v>
      </c>
      <c r="F266" s="8" t="n">
        <v>10</v>
      </c>
      <c r="G266" s="8" t="n">
        <v>600</v>
      </c>
      <c r="H266" s="8" t="n">
        <v>0</v>
      </c>
      <c r="I266" s="8" t="n">
        <v>300</v>
      </c>
    </row>
    <row r="267" customFormat="false" ht="15" hidden="false" customHeight="false" outlineLevel="0" collapsed="false">
      <c r="A267" s="8" t="s">
        <v>325</v>
      </c>
      <c r="B267" s="11" t="n">
        <v>45823</v>
      </c>
      <c r="C267" s="8" t="s">
        <v>39</v>
      </c>
      <c r="D267" s="8" t="s">
        <v>57</v>
      </c>
      <c r="E267" s="8" t="s">
        <v>58</v>
      </c>
      <c r="F267" s="8" t="n">
        <v>3</v>
      </c>
      <c r="G267" s="8" t="n">
        <v>5500</v>
      </c>
      <c r="H267" s="8" t="n">
        <v>0</v>
      </c>
      <c r="I267" s="8" t="n">
        <v>3600</v>
      </c>
    </row>
    <row r="268" customFormat="false" ht="15" hidden="false" customHeight="false" outlineLevel="0" collapsed="false">
      <c r="A268" s="8" t="s">
        <v>326</v>
      </c>
      <c r="B268" s="11" t="n">
        <v>45827</v>
      </c>
      <c r="C268" s="8" t="s">
        <v>43</v>
      </c>
      <c r="D268" s="8" t="s">
        <v>57</v>
      </c>
      <c r="E268" s="8" t="s">
        <v>63</v>
      </c>
      <c r="F268" s="8" t="n">
        <v>3</v>
      </c>
      <c r="G268" s="8" t="n">
        <v>9000</v>
      </c>
      <c r="H268" s="8" t="n">
        <v>0</v>
      </c>
      <c r="I268" s="8" t="n">
        <v>6200</v>
      </c>
    </row>
    <row r="269" customFormat="false" ht="15" hidden="false" customHeight="false" outlineLevel="0" collapsed="false">
      <c r="A269" s="8" t="s">
        <v>327</v>
      </c>
      <c r="B269" s="11" t="n">
        <v>45830</v>
      </c>
      <c r="C269" s="8" t="s">
        <v>55</v>
      </c>
      <c r="D269" s="8" t="s">
        <v>57</v>
      </c>
      <c r="E269" s="8" t="s">
        <v>58</v>
      </c>
      <c r="F269" s="8" t="n">
        <v>2</v>
      </c>
      <c r="G269" s="8" t="n">
        <v>5500</v>
      </c>
      <c r="H269" s="8" t="n">
        <v>0</v>
      </c>
      <c r="I269" s="8" t="n">
        <v>3600</v>
      </c>
    </row>
    <row r="270" customFormat="false" ht="15" hidden="false" customHeight="false" outlineLevel="0" collapsed="false">
      <c r="A270" s="8" t="s">
        <v>328</v>
      </c>
      <c r="B270" s="11" t="n">
        <v>45819</v>
      </c>
      <c r="C270" s="8" t="s">
        <v>47</v>
      </c>
      <c r="D270" s="8" t="s">
        <v>44</v>
      </c>
      <c r="E270" s="8" t="s">
        <v>50</v>
      </c>
      <c r="F270" s="8" t="n">
        <v>3</v>
      </c>
      <c r="G270" s="8" t="n">
        <v>3000</v>
      </c>
      <c r="H270" s="8" t="n">
        <v>0.05</v>
      </c>
      <c r="I270" s="8" t="n">
        <v>2000</v>
      </c>
    </row>
    <row r="271" customFormat="false" ht="15" hidden="false" customHeight="false" outlineLevel="0" collapsed="false">
      <c r="A271" s="8" t="s">
        <v>329</v>
      </c>
      <c r="B271" s="11" t="n">
        <v>45835</v>
      </c>
      <c r="C271" s="8" t="s">
        <v>39</v>
      </c>
      <c r="D271" s="8" t="s">
        <v>40</v>
      </c>
      <c r="E271" s="8" t="s">
        <v>104</v>
      </c>
      <c r="F271" s="8" t="n">
        <v>3</v>
      </c>
      <c r="G271" s="8" t="n">
        <v>250</v>
      </c>
      <c r="H271" s="8" t="n">
        <v>0.1</v>
      </c>
      <c r="I271" s="8" t="n">
        <v>100</v>
      </c>
    </row>
    <row r="272" customFormat="false" ht="15" hidden="false" customHeight="false" outlineLevel="0" collapsed="false">
      <c r="A272" s="8" t="s">
        <v>330</v>
      </c>
      <c r="B272" s="11" t="n">
        <v>45822</v>
      </c>
      <c r="C272" s="8" t="s">
        <v>55</v>
      </c>
      <c r="D272" s="8" t="s">
        <v>57</v>
      </c>
      <c r="E272" s="8" t="s">
        <v>86</v>
      </c>
      <c r="F272" s="8" t="n">
        <v>2</v>
      </c>
      <c r="G272" s="8" t="n">
        <v>1200</v>
      </c>
      <c r="H272" s="8" t="n">
        <v>0.1</v>
      </c>
      <c r="I272" s="8" t="n">
        <v>600</v>
      </c>
    </row>
    <row r="273" customFormat="false" ht="15" hidden="false" customHeight="false" outlineLevel="0" collapsed="false">
      <c r="A273" s="8" t="s">
        <v>331</v>
      </c>
      <c r="B273" s="11" t="n">
        <v>45824</v>
      </c>
      <c r="C273" s="8" t="s">
        <v>39</v>
      </c>
      <c r="D273" s="8" t="s">
        <v>44</v>
      </c>
      <c r="E273" s="8" t="s">
        <v>48</v>
      </c>
      <c r="F273" s="8" t="n">
        <v>1</v>
      </c>
      <c r="G273" s="8" t="n">
        <v>4500</v>
      </c>
      <c r="H273" s="8" t="n">
        <v>0</v>
      </c>
      <c r="I273" s="8" t="n">
        <v>3300</v>
      </c>
    </row>
    <row r="274" customFormat="false" ht="15" hidden="false" customHeight="false" outlineLevel="0" collapsed="false">
      <c r="A274" s="8" t="s">
        <v>332</v>
      </c>
      <c r="B274" s="11" t="n">
        <v>45821</v>
      </c>
      <c r="C274" s="8" t="s">
        <v>39</v>
      </c>
      <c r="D274" s="8" t="s">
        <v>44</v>
      </c>
      <c r="E274" s="8" t="s">
        <v>48</v>
      </c>
      <c r="F274" s="8" t="n">
        <v>3</v>
      </c>
      <c r="G274" s="8" t="n">
        <v>4500</v>
      </c>
      <c r="H274" s="8" t="n">
        <v>0</v>
      </c>
      <c r="I274" s="8" t="n">
        <v>3300</v>
      </c>
    </row>
    <row r="275" customFormat="false" ht="15" hidden="false" customHeight="false" outlineLevel="0" collapsed="false">
      <c r="A275" s="8" t="s">
        <v>333</v>
      </c>
      <c r="B275" s="11" t="n">
        <v>45826</v>
      </c>
      <c r="C275" s="8" t="s">
        <v>47</v>
      </c>
      <c r="D275" s="8" t="s">
        <v>57</v>
      </c>
      <c r="E275" s="8" t="s">
        <v>86</v>
      </c>
      <c r="F275" s="8" t="n">
        <v>3</v>
      </c>
      <c r="G275" s="8" t="n">
        <v>1200</v>
      </c>
      <c r="H275" s="8" t="n">
        <v>0.1</v>
      </c>
      <c r="I275" s="8" t="n">
        <v>600</v>
      </c>
    </row>
    <row r="276" customFormat="false" ht="15" hidden="false" customHeight="false" outlineLevel="0" collapsed="false">
      <c r="A276" s="8" t="s">
        <v>334</v>
      </c>
      <c r="B276" s="11" t="n">
        <v>45822</v>
      </c>
      <c r="C276" s="8" t="s">
        <v>47</v>
      </c>
      <c r="D276" s="8" t="s">
        <v>57</v>
      </c>
      <c r="E276" s="8" t="s">
        <v>58</v>
      </c>
      <c r="F276" s="8" t="n">
        <v>3</v>
      </c>
      <c r="G276" s="8" t="n">
        <v>5500</v>
      </c>
      <c r="H276" s="8" t="n">
        <v>0</v>
      </c>
      <c r="I276" s="8" t="n">
        <v>3600</v>
      </c>
    </row>
    <row r="277" customFormat="false" ht="15" hidden="false" customHeight="false" outlineLevel="0" collapsed="false">
      <c r="A277" s="8" t="s">
        <v>335</v>
      </c>
      <c r="B277" s="11" t="n">
        <v>45822</v>
      </c>
      <c r="C277" s="8" t="s">
        <v>39</v>
      </c>
      <c r="D277" s="8" t="s">
        <v>40</v>
      </c>
      <c r="E277" s="8" t="s">
        <v>41</v>
      </c>
      <c r="F277" s="8" t="n">
        <v>9</v>
      </c>
      <c r="G277" s="8" t="n">
        <v>600</v>
      </c>
      <c r="H277" s="8" t="n">
        <v>0.05</v>
      </c>
      <c r="I277" s="8" t="n">
        <v>300</v>
      </c>
    </row>
    <row r="278" customFormat="false" ht="15" hidden="false" customHeight="false" outlineLevel="0" collapsed="false">
      <c r="A278" s="8" t="s">
        <v>336</v>
      </c>
      <c r="B278" s="11" t="n">
        <v>45823</v>
      </c>
      <c r="C278" s="8" t="s">
        <v>39</v>
      </c>
      <c r="D278" s="8" t="s">
        <v>57</v>
      </c>
      <c r="E278" s="8" t="s">
        <v>111</v>
      </c>
      <c r="F278" s="8" t="n">
        <v>2</v>
      </c>
      <c r="G278" s="8" t="n">
        <v>7000</v>
      </c>
      <c r="H278" s="8" t="n">
        <v>0</v>
      </c>
      <c r="I278" s="8" t="n">
        <v>4800</v>
      </c>
    </row>
    <row r="279" customFormat="false" ht="15" hidden="false" customHeight="false" outlineLevel="0" collapsed="false">
      <c r="A279" s="8" t="s">
        <v>337</v>
      </c>
      <c r="B279" s="11" t="n">
        <v>45830</v>
      </c>
      <c r="C279" s="8" t="s">
        <v>55</v>
      </c>
      <c r="D279" s="8" t="s">
        <v>57</v>
      </c>
      <c r="E279" s="8" t="s">
        <v>86</v>
      </c>
      <c r="F279" s="8" t="n">
        <v>2</v>
      </c>
      <c r="G279" s="8" t="n">
        <v>1200</v>
      </c>
      <c r="H279" s="8" t="n">
        <v>0</v>
      </c>
      <c r="I279" s="8" t="n">
        <v>600</v>
      </c>
    </row>
    <row r="280" customFormat="false" ht="15" hidden="false" customHeight="false" outlineLevel="0" collapsed="false">
      <c r="A280" s="8" t="s">
        <v>338</v>
      </c>
      <c r="B280" s="11" t="n">
        <v>45810</v>
      </c>
      <c r="C280" s="8" t="s">
        <v>47</v>
      </c>
      <c r="D280" s="8" t="s">
        <v>57</v>
      </c>
      <c r="E280" s="8" t="s">
        <v>63</v>
      </c>
      <c r="F280" s="8" t="n">
        <v>3</v>
      </c>
      <c r="G280" s="8" t="n">
        <v>9000</v>
      </c>
      <c r="H280" s="8" t="n">
        <v>0</v>
      </c>
      <c r="I280" s="8" t="n">
        <v>6200</v>
      </c>
    </row>
    <row r="281" customFormat="false" ht="15" hidden="false" customHeight="false" outlineLevel="0" collapsed="false">
      <c r="A281" s="8" t="s">
        <v>339</v>
      </c>
      <c r="B281" s="11" t="n">
        <v>45811</v>
      </c>
      <c r="C281" s="8" t="s">
        <v>47</v>
      </c>
      <c r="D281" s="8" t="s">
        <v>57</v>
      </c>
      <c r="E281" s="8" t="s">
        <v>58</v>
      </c>
      <c r="F281" s="8" t="n">
        <v>1</v>
      </c>
      <c r="G281" s="8" t="n">
        <v>5500</v>
      </c>
      <c r="H281" s="8" t="n">
        <v>0</v>
      </c>
      <c r="I281" s="8" t="n">
        <v>3600</v>
      </c>
    </row>
    <row r="282" customFormat="false" ht="15" hidden="false" customHeight="false" outlineLevel="0" collapsed="false">
      <c r="A282" s="8" t="s">
        <v>340</v>
      </c>
      <c r="B282" s="11" t="n">
        <v>45834</v>
      </c>
      <c r="C282" s="8" t="s">
        <v>39</v>
      </c>
      <c r="D282" s="8" t="s">
        <v>40</v>
      </c>
      <c r="E282" s="8" t="s">
        <v>41</v>
      </c>
      <c r="F282" s="8" t="n">
        <v>2</v>
      </c>
      <c r="G282" s="8" t="n">
        <v>600</v>
      </c>
      <c r="H282" s="8" t="n">
        <v>0</v>
      </c>
      <c r="I282" s="8" t="n">
        <v>300</v>
      </c>
    </row>
    <row r="283" customFormat="false" ht="15" hidden="false" customHeight="false" outlineLevel="0" collapsed="false">
      <c r="A283" s="8" t="s">
        <v>341</v>
      </c>
      <c r="B283" s="11" t="n">
        <v>45815</v>
      </c>
      <c r="C283" s="8" t="s">
        <v>39</v>
      </c>
      <c r="D283" s="8" t="s">
        <v>57</v>
      </c>
      <c r="E283" s="8" t="s">
        <v>63</v>
      </c>
      <c r="F283" s="8" t="n">
        <v>1</v>
      </c>
      <c r="G283" s="8" t="n">
        <v>9000</v>
      </c>
      <c r="H283" s="8" t="n">
        <v>0.05</v>
      </c>
      <c r="I283" s="8" t="n">
        <v>6200</v>
      </c>
    </row>
    <row r="284" customFormat="false" ht="15" hidden="false" customHeight="false" outlineLevel="0" collapsed="false">
      <c r="A284" s="8" t="s">
        <v>342</v>
      </c>
      <c r="B284" s="11" t="n">
        <v>45827</v>
      </c>
      <c r="C284" s="8" t="s">
        <v>55</v>
      </c>
      <c r="D284" s="8" t="s">
        <v>44</v>
      </c>
      <c r="E284" s="8" t="s">
        <v>48</v>
      </c>
      <c r="F284" s="8" t="n">
        <v>3</v>
      </c>
      <c r="G284" s="8" t="n">
        <v>4500</v>
      </c>
      <c r="H284" s="8" t="n">
        <v>0</v>
      </c>
      <c r="I284" s="8" t="n">
        <v>3300</v>
      </c>
    </row>
    <row r="285" customFormat="false" ht="15" hidden="false" customHeight="false" outlineLevel="0" collapsed="false">
      <c r="A285" s="8" t="s">
        <v>343</v>
      </c>
      <c r="B285" s="11" t="n">
        <v>45833</v>
      </c>
      <c r="C285" s="8" t="s">
        <v>156</v>
      </c>
      <c r="D285" s="8" t="s">
        <v>44</v>
      </c>
      <c r="E285" s="8" t="s">
        <v>50</v>
      </c>
      <c r="F285" s="8" t="n">
        <v>1</v>
      </c>
      <c r="G285" s="8" t="n">
        <v>3000</v>
      </c>
      <c r="H285" s="8" t="n">
        <v>0</v>
      </c>
      <c r="I285" s="8" t="n">
        <v>2000</v>
      </c>
    </row>
    <row r="286" customFormat="false" ht="15" hidden="false" customHeight="false" outlineLevel="0" collapsed="false">
      <c r="A286" s="8" t="s">
        <v>344</v>
      </c>
      <c r="B286" s="11" t="n">
        <v>45817</v>
      </c>
      <c r="C286" s="8" t="s">
        <v>43</v>
      </c>
      <c r="D286" s="8" t="s">
        <v>44</v>
      </c>
      <c r="E286" s="8" t="s">
        <v>45</v>
      </c>
      <c r="F286" s="8" t="n">
        <v>3</v>
      </c>
      <c r="G286" s="8" t="n">
        <v>1500</v>
      </c>
      <c r="H286" s="8" t="n">
        <v>0</v>
      </c>
      <c r="I286" s="8" t="n">
        <v>900</v>
      </c>
    </row>
    <row r="287" customFormat="false" ht="15" hidden="false" customHeight="false" outlineLevel="0" collapsed="false">
      <c r="A287" s="8" t="s">
        <v>345</v>
      </c>
      <c r="B287" s="11" t="n">
        <v>45834</v>
      </c>
      <c r="C287" s="8" t="s">
        <v>55</v>
      </c>
      <c r="D287" s="8" t="s">
        <v>44</v>
      </c>
      <c r="E287" s="8" t="s">
        <v>45</v>
      </c>
      <c r="F287" s="8" t="n">
        <v>3</v>
      </c>
      <c r="G287" s="8" t="n">
        <v>1500</v>
      </c>
      <c r="H287" s="8" t="n">
        <v>0</v>
      </c>
      <c r="I287" s="8" t="n">
        <v>900</v>
      </c>
    </row>
    <row r="288" customFormat="false" ht="15" hidden="false" customHeight="false" outlineLevel="0" collapsed="false">
      <c r="A288" s="8" t="s">
        <v>346</v>
      </c>
      <c r="B288" s="11" t="n">
        <v>45809</v>
      </c>
      <c r="C288" s="8" t="s">
        <v>39</v>
      </c>
      <c r="D288" s="8" t="s">
        <v>44</v>
      </c>
      <c r="E288" s="8" t="s">
        <v>45</v>
      </c>
      <c r="F288" s="8" t="n">
        <v>1</v>
      </c>
      <c r="G288" s="8" t="n">
        <v>1500</v>
      </c>
      <c r="H288" s="8" t="n">
        <v>0</v>
      </c>
      <c r="I288" s="8" t="n">
        <v>900</v>
      </c>
    </row>
    <row r="289" customFormat="false" ht="15" hidden="false" customHeight="false" outlineLevel="0" collapsed="false">
      <c r="A289" s="8" t="s">
        <v>347</v>
      </c>
      <c r="B289" s="11" t="n">
        <v>45819</v>
      </c>
      <c r="C289" s="8" t="s">
        <v>43</v>
      </c>
      <c r="D289" s="8" t="s">
        <v>57</v>
      </c>
      <c r="E289" s="8" t="s">
        <v>63</v>
      </c>
      <c r="F289" s="8" t="n">
        <v>1</v>
      </c>
      <c r="G289" s="8" t="n">
        <v>9000</v>
      </c>
      <c r="H289" s="8" t="n">
        <v>0.05</v>
      </c>
      <c r="I289" s="8" t="n">
        <v>6200</v>
      </c>
    </row>
    <row r="290" customFormat="false" ht="15" hidden="false" customHeight="false" outlineLevel="0" collapsed="false">
      <c r="A290" s="8" t="s">
        <v>348</v>
      </c>
      <c r="B290" s="11" t="n">
        <v>45832</v>
      </c>
      <c r="C290" s="8" t="s">
        <v>39</v>
      </c>
      <c r="D290" s="8" t="s">
        <v>44</v>
      </c>
      <c r="E290" s="8" t="s">
        <v>60</v>
      </c>
      <c r="F290" s="8" t="n">
        <v>1</v>
      </c>
      <c r="G290" s="8" t="n">
        <v>2500</v>
      </c>
      <c r="H290" s="8" t="n">
        <v>0</v>
      </c>
      <c r="I290" s="8" t="n">
        <v>1600</v>
      </c>
    </row>
    <row r="291" customFormat="false" ht="15" hidden="false" customHeight="false" outlineLevel="0" collapsed="false">
      <c r="A291" s="8" t="s">
        <v>349</v>
      </c>
      <c r="B291" s="11" t="n">
        <v>45824</v>
      </c>
      <c r="C291" s="8" t="s">
        <v>47</v>
      </c>
      <c r="D291" s="8" t="s">
        <v>57</v>
      </c>
      <c r="E291" s="8" t="s">
        <v>58</v>
      </c>
      <c r="F291" s="8" t="n">
        <v>3</v>
      </c>
      <c r="G291" s="8" t="n">
        <v>5500</v>
      </c>
      <c r="H291" s="8" t="n">
        <v>0</v>
      </c>
      <c r="I291" s="8" t="n">
        <v>3600</v>
      </c>
    </row>
    <row r="292" customFormat="false" ht="15" hidden="false" customHeight="false" outlineLevel="0" collapsed="false">
      <c r="A292" s="8" t="s">
        <v>350</v>
      </c>
      <c r="B292" s="11" t="n">
        <v>45812</v>
      </c>
      <c r="C292" s="8" t="s">
        <v>43</v>
      </c>
      <c r="D292" s="8" t="s">
        <v>57</v>
      </c>
      <c r="E292" s="8" t="s">
        <v>86</v>
      </c>
      <c r="F292" s="8" t="n">
        <v>3</v>
      </c>
      <c r="G292" s="8" t="n">
        <v>1200</v>
      </c>
      <c r="H292" s="8" t="n">
        <v>0.05</v>
      </c>
      <c r="I292" s="8" t="n">
        <v>600</v>
      </c>
    </row>
    <row r="293" customFormat="false" ht="15" hidden="false" customHeight="false" outlineLevel="0" collapsed="false">
      <c r="A293" s="8" t="s">
        <v>351</v>
      </c>
      <c r="B293" s="11" t="n">
        <v>45832</v>
      </c>
      <c r="C293" s="8" t="s">
        <v>47</v>
      </c>
      <c r="D293" s="8" t="s">
        <v>57</v>
      </c>
      <c r="E293" s="8" t="s">
        <v>86</v>
      </c>
      <c r="F293" s="8" t="n">
        <v>3</v>
      </c>
      <c r="G293" s="8" t="n">
        <v>1200</v>
      </c>
      <c r="H293" s="8" t="n">
        <v>0</v>
      </c>
      <c r="I293" s="8" t="n">
        <v>600</v>
      </c>
    </row>
    <row r="294" customFormat="false" ht="15" hidden="false" customHeight="false" outlineLevel="0" collapsed="false">
      <c r="A294" s="8" t="s">
        <v>352</v>
      </c>
      <c r="B294" s="11" t="n">
        <v>45809</v>
      </c>
      <c r="C294" s="8" t="s">
        <v>47</v>
      </c>
      <c r="D294" s="8" t="s">
        <v>40</v>
      </c>
      <c r="E294" s="8" t="s">
        <v>41</v>
      </c>
      <c r="F294" s="8" t="n">
        <v>9</v>
      </c>
      <c r="G294" s="8" t="n">
        <v>600</v>
      </c>
      <c r="H294" s="8" t="n">
        <v>0.1</v>
      </c>
      <c r="I294" s="8" t="n">
        <v>300</v>
      </c>
    </row>
    <row r="295" customFormat="false" ht="15" hidden="false" customHeight="false" outlineLevel="0" collapsed="false">
      <c r="A295" s="8" t="s">
        <v>353</v>
      </c>
      <c r="B295" s="11" t="n">
        <v>45830</v>
      </c>
      <c r="C295" s="8" t="s">
        <v>55</v>
      </c>
      <c r="D295" s="8" t="s">
        <v>44</v>
      </c>
      <c r="E295" s="8" t="s">
        <v>60</v>
      </c>
      <c r="F295" s="8" t="n">
        <v>2</v>
      </c>
      <c r="G295" s="8" t="n">
        <v>2500</v>
      </c>
      <c r="H295" s="8" t="n">
        <v>0</v>
      </c>
      <c r="I295" s="8" t="n">
        <v>1600</v>
      </c>
    </row>
    <row r="296" customFormat="false" ht="15" hidden="false" customHeight="false" outlineLevel="0" collapsed="false">
      <c r="A296" s="8" t="s">
        <v>354</v>
      </c>
      <c r="B296" s="11" t="n">
        <v>45811</v>
      </c>
      <c r="C296" s="8" t="s">
        <v>47</v>
      </c>
      <c r="D296" s="8" t="s">
        <v>44</v>
      </c>
      <c r="E296" s="8" t="s">
        <v>48</v>
      </c>
      <c r="F296" s="8" t="n">
        <v>2</v>
      </c>
      <c r="G296" s="8" t="n">
        <v>4500</v>
      </c>
      <c r="H296" s="8" t="n">
        <v>0</v>
      </c>
      <c r="I296" s="8" t="n">
        <v>3300</v>
      </c>
    </row>
    <row r="297" customFormat="false" ht="15" hidden="false" customHeight="false" outlineLevel="0" collapsed="false">
      <c r="A297" s="8" t="s">
        <v>355</v>
      </c>
      <c r="B297" s="11" t="n">
        <v>45817</v>
      </c>
      <c r="C297" s="8" t="s">
        <v>43</v>
      </c>
      <c r="D297" s="8" t="s">
        <v>57</v>
      </c>
      <c r="E297" s="8" t="s">
        <v>63</v>
      </c>
      <c r="F297" s="8" t="n">
        <v>1</v>
      </c>
      <c r="G297" s="8" t="n">
        <v>9000</v>
      </c>
      <c r="H297" s="8" t="n">
        <v>0</v>
      </c>
      <c r="I297" s="8" t="n">
        <v>6200</v>
      </c>
    </row>
    <row r="298" customFormat="false" ht="15" hidden="false" customHeight="false" outlineLevel="0" collapsed="false">
      <c r="A298" s="8" t="s">
        <v>356</v>
      </c>
      <c r="B298" s="11" t="n">
        <v>45819</v>
      </c>
      <c r="C298" s="8" t="s">
        <v>43</v>
      </c>
      <c r="D298" s="8" t="s">
        <v>40</v>
      </c>
      <c r="E298" s="8" t="s">
        <v>104</v>
      </c>
      <c r="F298" s="8" t="n">
        <v>10</v>
      </c>
      <c r="G298" s="8" t="n">
        <v>250</v>
      </c>
      <c r="H298" s="8" t="n">
        <v>0.1</v>
      </c>
      <c r="I298" s="8" t="n">
        <v>100</v>
      </c>
    </row>
    <row r="299" customFormat="false" ht="15" hidden="false" customHeight="false" outlineLevel="0" collapsed="false">
      <c r="A299" s="8" t="s">
        <v>357</v>
      </c>
      <c r="B299" s="11" t="n">
        <v>45823</v>
      </c>
      <c r="C299" s="8" t="s">
        <v>55</v>
      </c>
      <c r="D299" s="8" t="s">
        <v>57</v>
      </c>
      <c r="E299" s="8" t="s">
        <v>58</v>
      </c>
      <c r="F299" s="8" t="n">
        <v>3</v>
      </c>
      <c r="G299" s="8" t="n">
        <v>5500</v>
      </c>
      <c r="H299" s="8" t="n">
        <v>0</v>
      </c>
      <c r="I299" s="8" t="n">
        <v>3600</v>
      </c>
    </row>
    <row r="300" customFormat="false" ht="15" hidden="false" customHeight="false" outlineLevel="0" collapsed="false">
      <c r="A300" s="8" t="s">
        <v>358</v>
      </c>
      <c r="B300" s="11" t="n">
        <v>45812</v>
      </c>
      <c r="C300" s="8" t="s">
        <v>43</v>
      </c>
      <c r="D300" s="8" t="s">
        <v>40</v>
      </c>
      <c r="E300" s="8" t="s">
        <v>77</v>
      </c>
      <c r="F300" s="8" t="n">
        <v>3</v>
      </c>
      <c r="G300" s="8" t="n">
        <v>400</v>
      </c>
      <c r="H300" s="8" t="n">
        <v>0.1</v>
      </c>
      <c r="I300" s="8" t="n">
        <v>200</v>
      </c>
    </row>
    <row r="301" customFormat="false" ht="15" hidden="false" customHeight="false" outlineLevel="0" collapsed="false">
      <c r="A301" s="8" t="s">
        <v>359</v>
      </c>
      <c r="B301" s="11" t="n">
        <v>45836</v>
      </c>
      <c r="C301" s="8" t="s">
        <v>43</v>
      </c>
      <c r="D301" s="8" t="s">
        <v>40</v>
      </c>
      <c r="E301" s="8" t="s">
        <v>41</v>
      </c>
      <c r="F301" s="8" t="n">
        <v>10</v>
      </c>
      <c r="G301" s="8" t="n">
        <v>600</v>
      </c>
      <c r="H301" s="8" t="n">
        <v>0.1</v>
      </c>
      <c r="I301" s="8" t="n">
        <v>300</v>
      </c>
    </row>
    <row r="302" customFormat="false" ht="15" hidden="false" customHeight="false" outlineLevel="0" collapsed="false">
      <c r="A302" s="8" t="s">
        <v>360</v>
      </c>
      <c r="B302" s="11" t="n">
        <v>45819</v>
      </c>
      <c r="C302" s="8" t="s">
        <v>47</v>
      </c>
      <c r="D302" s="8" t="s">
        <v>44</v>
      </c>
      <c r="E302" s="8" t="s">
        <v>50</v>
      </c>
      <c r="F302" s="8" t="n">
        <v>1</v>
      </c>
      <c r="G302" s="8" t="n">
        <v>3000</v>
      </c>
      <c r="H302" s="8" t="n">
        <v>0</v>
      </c>
      <c r="I302" s="8" t="n">
        <v>2000</v>
      </c>
    </row>
    <row r="303" customFormat="false" ht="15" hidden="false" customHeight="false" outlineLevel="0" collapsed="false">
      <c r="A303" s="8" t="s">
        <v>361</v>
      </c>
      <c r="B303" s="11" t="n">
        <v>45819</v>
      </c>
      <c r="C303" s="8" t="s">
        <v>47</v>
      </c>
      <c r="D303" s="8" t="s">
        <v>57</v>
      </c>
      <c r="E303" s="8" t="s">
        <v>86</v>
      </c>
      <c r="F303" s="8" t="n">
        <v>3</v>
      </c>
      <c r="G303" s="8" t="n">
        <v>1200</v>
      </c>
      <c r="H303" s="8" t="n">
        <v>0</v>
      </c>
      <c r="I303" s="8" t="n">
        <v>600</v>
      </c>
    </row>
    <row r="304" customFormat="false" ht="15" hidden="false" customHeight="false" outlineLevel="0" collapsed="false">
      <c r="A304" s="8" t="s">
        <v>362</v>
      </c>
      <c r="B304" s="11" t="n">
        <v>45813</v>
      </c>
      <c r="C304" s="8" t="s">
        <v>47</v>
      </c>
      <c r="D304" s="8" t="s">
        <v>57</v>
      </c>
      <c r="E304" s="8" t="s">
        <v>58</v>
      </c>
      <c r="F304" s="8" t="n">
        <v>2</v>
      </c>
      <c r="G304" s="8" t="n">
        <v>5500</v>
      </c>
      <c r="H304" s="8" t="n">
        <v>0</v>
      </c>
      <c r="I304" s="8" t="n">
        <v>3600</v>
      </c>
    </row>
    <row r="305" customFormat="false" ht="15" hidden="false" customHeight="false" outlineLevel="0" collapsed="false">
      <c r="A305" s="8" t="s">
        <v>363</v>
      </c>
      <c r="B305" s="11" t="n">
        <v>45835</v>
      </c>
      <c r="C305" s="8" t="s">
        <v>55</v>
      </c>
      <c r="D305" s="8" t="s">
        <v>40</v>
      </c>
      <c r="E305" s="8" t="s">
        <v>41</v>
      </c>
      <c r="F305" s="8" t="n">
        <v>3</v>
      </c>
      <c r="G305" s="8" t="n">
        <v>600</v>
      </c>
      <c r="H305" s="8" t="n">
        <v>0</v>
      </c>
      <c r="I305" s="8" t="n">
        <v>300</v>
      </c>
    </row>
    <row r="306" customFormat="false" ht="15" hidden="false" customHeight="false" outlineLevel="0" collapsed="false">
      <c r="A306" s="8" t="s">
        <v>364</v>
      </c>
      <c r="B306" s="11" t="n">
        <v>45862</v>
      </c>
      <c r="C306" s="8" t="s">
        <v>39</v>
      </c>
      <c r="D306" s="8" t="s">
        <v>44</v>
      </c>
      <c r="E306" s="8" t="s">
        <v>48</v>
      </c>
      <c r="F306" s="8" t="n">
        <v>1</v>
      </c>
      <c r="G306" s="8" t="n">
        <v>4500</v>
      </c>
      <c r="H306" s="8" t="n">
        <v>0.1</v>
      </c>
      <c r="I306" s="8" t="n">
        <v>3300</v>
      </c>
    </row>
    <row r="307" customFormat="false" ht="15" hidden="false" customHeight="false" outlineLevel="0" collapsed="false">
      <c r="A307" s="8" t="s">
        <v>365</v>
      </c>
      <c r="B307" s="11" t="n">
        <v>45857</v>
      </c>
      <c r="C307" s="8" t="s">
        <v>55</v>
      </c>
      <c r="D307" s="8" t="s">
        <v>57</v>
      </c>
      <c r="E307" s="8" t="s">
        <v>63</v>
      </c>
      <c r="F307" s="8" t="n">
        <v>3</v>
      </c>
      <c r="G307" s="8" t="n">
        <v>9000</v>
      </c>
      <c r="H307" s="8" t="n">
        <v>0</v>
      </c>
      <c r="I307" s="8" t="n">
        <v>6200</v>
      </c>
    </row>
    <row r="308" customFormat="false" ht="15" hidden="false" customHeight="false" outlineLevel="0" collapsed="false">
      <c r="A308" s="8" t="s">
        <v>366</v>
      </c>
      <c r="B308" s="11" t="n">
        <v>45850</v>
      </c>
      <c r="C308" s="8" t="s">
        <v>47</v>
      </c>
      <c r="D308" s="8" t="s">
        <v>40</v>
      </c>
      <c r="E308" s="8" t="s">
        <v>77</v>
      </c>
      <c r="F308" s="8" t="n">
        <v>3</v>
      </c>
      <c r="G308" s="8" t="n">
        <v>400</v>
      </c>
      <c r="H308" s="8" t="n">
        <v>0</v>
      </c>
      <c r="I308" s="8" t="n">
        <v>200</v>
      </c>
    </row>
    <row r="309" customFormat="false" ht="15" hidden="false" customHeight="false" outlineLevel="0" collapsed="false">
      <c r="A309" s="8" t="s">
        <v>367</v>
      </c>
      <c r="B309" s="11" t="n">
        <v>45840</v>
      </c>
      <c r="C309" s="8" t="s">
        <v>55</v>
      </c>
      <c r="D309" s="8" t="s">
        <v>40</v>
      </c>
      <c r="E309" s="8" t="s">
        <v>41</v>
      </c>
      <c r="F309" s="8" t="n">
        <v>8</v>
      </c>
      <c r="G309" s="8" t="n">
        <v>600</v>
      </c>
      <c r="H309" s="8" t="n">
        <v>0.1</v>
      </c>
      <c r="I309" s="8" t="n">
        <v>300</v>
      </c>
    </row>
    <row r="310" customFormat="false" ht="15" hidden="false" customHeight="false" outlineLevel="0" collapsed="false">
      <c r="A310" s="8" t="s">
        <v>368</v>
      </c>
      <c r="B310" s="11" t="n">
        <v>45857</v>
      </c>
      <c r="C310" s="8" t="s">
        <v>43</v>
      </c>
      <c r="D310" s="8" t="s">
        <v>57</v>
      </c>
      <c r="E310" s="8" t="s">
        <v>111</v>
      </c>
      <c r="F310" s="8" t="n">
        <v>2</v>
      </c>
      <c r="G310" s="8" t="n">
        <v>7000</v>
      </c>
      <c r="H310" s="8" t="n">
        <v>0</v>
      </c>
      <c r="I310" s="8" t="n">
        <v>4800</v>
      </c>
    </row>
    <row r="311" customFormat="false" ht="15" hidden="false" customHeight="false" outlineLevel="0" collapsed="false">
      <c r="A311" s="8" t="s">
        <v>369</v>
      </c>
      <c r="B311" s="11" t="n">
        <v>45866</v>
      </c>
      <c r="C311" s="8" t="s">
        <v>39</v>
      </c>
      <c r="D311" s="8" t="s">
        <v>40</v>
      </c>
      <c r="E311" s="8" t="s">
        <v>77</v>
      </c>
      <c r="F311" s="8" t="n">
        <v>9</v>
      </c>
      <c r="G311" s="8" t="n">
        <v>400</v>
      </c>
      <c r="H311" s="8" t="n">
        <v>0</v>
      </c>
      <c r="I311" s="8" t="n">
        <v>200</v>
      </c>
    </row>
    <row r="312" customFormat="false" ht="15" hidden="false" customHeight="false" outlineLevel="0" collapsed="false">
      <c r="A312" s="8" t="s">
        <v>370</v>
      </c>
      <c r="B312" s="11" t="n">
        <v>45842</v>
      </c>
      <c r="C312" s="8" t="s">
        <v>47</v>
      </c>
      <c r="D312" s="8" t="s">
        <v>44</v>
      </c>
      <c r="E312" s="8" t="s">
        <v>48</v>
      </c>
      <c r="F312" s="8" t="n">
        <v>3</v>
      </c>
      <c r="G312" s="8" t="n">
        <v>4500</v>
      </c>
      <c r="H312" s="8" t="n">
        <v>0</v>
      </c>
      <c r="I312" s="8" t="n">
        <v>3300</v>
      </c>
    </row>
    <row r="313" customFormat="false" ht="15" hidden="false" customHeight="false" outlineLevel="0" collapsed="false">
      <c r="A313" s="8" t="s">
        <v>371</v>
      </c>
      <c r="B313" s="11" t="n">
        <v>45863</v>
      </c>
      <c r="C313" s="8" t="s">
        <v>47</v>
      </c>
      <c r="D313" s="8" t="s">
        <v>57</v>
      </c>
      <c r="E313" s="8" t="s">
        <v>111</v>
      </c>
      <c r="F313" s="8" t="n">
        <v>2</v>
      </c>
      <c r="G313" s="8" t="n">
        <v>7000</v>
      </c>
      <c r="H313" s="8" t="n">
        <v>0.05</v>
      </c>
      <c r="I313" s="8" t="n">
        <v>4800</v>
      </c>
    </row>
    <row r="314" customFormat="false" ht="15" hidden="false" customHeight="false" outlineLevel="0" collapsed="false">
      <c r="A314" s="8" t="s">
        <v>372</v>
      </c>
      <c r="B314" s="11" t="n">
        <v>45858</v>
      </c>
      <c r="C314" s="8" t="s">
        <v>43</v>
      </c>
      <c r="D314" s="8" t="s">
        <v>40</v>
      </c>
      <c r="E314" s="8" t="s">
        <v>104</v>
      </c>
      <c r="F314" s="8" t="n">
        <v>10</v>
      </c>
      <c r="G314" s="8" t="n">
        <v>250</v>
      </c>
      <c r="H314" s="8" t="n">
        <v>0</v>
      </c>
      <c r="I314" s="8" t="n">
        <v>100</v>
      </c>
    </row>
    <row r="315" customFormat="false" ht="15" hidden="false" customHeight="false" outlineLevel="0" collapsed="false">
      <c r="A315" s="8" t="s">
        <v>373</v>
      </c>
      <c r="B315" s="11" t="n">
        <v>45844</v>
      </c>
      <c r="C315" s="8" t="s">
        <v>55</v>
      </c>
      <c r="D315" s="8" t="s">
        <v>40</v>
      </c>
      <c r="E315" s="8" t="s">
        <v>41</v>
      </c>
      <c r="F315" s="8" t="n">
        <v>6</v>
      </c>
      <c r="G315" s="8" t="n">
        <v>600</v>
      </c>
      <c r="H315" s="8" t="n">
        <v>0</v>
      </c>
      <c r="I315" s="8" t="n">
        <v>300</v>
      </c>
    </row>
    <row r="316" customFormat="false" ht="15" hidden="false" customHeight="false" outlineLevel="0" collapsed="false">
      <c r="A316" s="8" t="s">
        <v>374</v>
      </c>
      <c r="B316" s="11" t="n">
        <v>45850</v>
      </c>
      <c r="C316" s="8" t="s">
        <v>43</v>
      </c>
      <c r="D316" s="8" t="s">
        <v>57</v>
      </c>
      <c r="E316" s="8" t="s">
        <v>111</v>
      </c>
      <c r="F316" s="8" t="n">
        <v>2</v>
      </c>
      <c r="G316" s="8" t="n">
        <v>7000</v>
      </c>
      <c r="H316" s="8" t="n">
        <v>0</v>
      </c>
      <c r="I316" s="8" t="n">
        <v>4800</v>
      </c>
    </row>
    <row r="317" customFormat="false" ht="15" hidden="false" customHeight="false" outlineLevel="0" collapsed="false">
      <c r="A317" s="8" t="s">
        <v>375</v>
      </c>
      <c r="B317" s="11" t="n">
        <v>45860</v>
      </c>
      <c r="C317" s="8" t="s">
        <v>39</v>
      </c>
      <c r="D317" s="8" t="s">
        <v>44</v>
      </c>
      <c r="E317" s="8" t="s">
        <v>60</v>
      </c>
      <c r="F317" s="8" t="n">
        <v>1</v>
      </c>
      <c r="G317" s="8" t="n">
        <v>2500</v>
      </c>
      <c r="H317" s="8" t="n">
        <v>0.05</v>
      </c>
      <c r="I317" s="8" t="n">
        <v>1600</v>
      </c>
    </row>
    <row r="318" customFormat="false" ht="15" hidden="false" customHeight="false" outlineLevel="0" collapsed="false">
      <c r="A318" s="8" t="s">
        <v>376</v>
      </c>
      <c r="B318" s="11" t="n">
        <v>45839</v>
      </c>
      <c r="C318" s="8" t="s">
        <v>39</v>
      </c>
      <c r="D318" s="8" t="s">
        <v>57</v>
      </c>
      <c r="E318" s="8" t="s">
        <v>58</v>
      </c>
      <c r="F318" s="8" t="n">
        <v>3</v>
      </c>
      <c r="G318" s="8" t="n">
        <v>5500</v>
      </c>
      <c r="H318" s="8" t="n">
        <v>0.1</v>
      </c>
      <c r="I318" s="8" t="n">
        <v>3600</v>
      </c>
    </row>
    <row r="319" customFormat="false" ht="15" hidden="false" customHeight="false" outlineLevel="0" collapsed="false">
      <c r="A319" s="8" t="s">
        <v>377</v>
      </c>
      <c r="B319" s="11" t="n">
        <v>45852</v>
      </c>
      <c r="C319" s="8" t="s">
        <v>43</v>
      </c>
      <c r="D319" s="8" t="s">
        <v>44</v>
      </c>
      <c r="E319" s="8" t="s">
        <v>48</v>
      </c>
      <c r="F319" s="8" t="n">
        <v>1</v>
      </c>
      <c r="G319" s="8" t="n">
        <v>4500</v>
      </c>
      <c r="H319" s="8" t="n">
        <v>0</v>
      </c>
      <c r="I319" s="8" t="n">
        <v>3300</v>
      </c>
    </row>
    <row r="320" customFormat="false" ht="15" hidden="false" customHeight="false" outlineLevel="0" collapsed="false">
      <c r="A320" s="8" t="s">
        <v>378</v>
      </c>
      <c r="B320" s="11" t="n">
        <v>45862</v>
      </c>
      <c r="C320" s="8" t="s">
        <v>47</v>
      </c>
      <c r="D320" s="8" t="s">
        <v>57</v>
      </c>
      <c r="E320" s="8" t="s">
        <v>86</v>
      </c>
      <c r="F320" s="8" t="n">
        <v>2</v>
      </c>
      <c r="G320" s="8" t="n">
        <v>1200</v>
      </c>
      <c r="H320" s="8" t="n">
        <v>0</v>
      </c>
      <c r="I320" s="8" t="n">
        <v>600</v>
      </c>
    </row>
    <row r="321" customFormat="false" ht="15" hidden="false" customHeight="false" outlineLevel="0" collapsed="false">
      <c r="A321" s="8" t="s">
        <v>379</v>
      </c>
      <c r="B321" s="11" t="n">
        <v>45841</v>
      </c>
      <c r="C321" s="8" t="s">
        <v>43</v>
      </c>
      <c r="D321" s="8" t="s">
        <v>57</v>
      </c>
      <c r="E321" s="8" t="s">
        <v>63</v>
      </c>
      <c r="F321" s="8" t="n">
        <v>3</v>
      </c>
      <c r="G321" s="8" t="n">
        <v>9000</v>
      </c>
      <c r="H321" s="8" t="n">
        <v>0.05</v>
      </c>
      <c r="I321" s="8" t="n">
        <v>6200</v>
      </c>
    </row>
    <row r="322" customFormat="false" ht="15" hidden="false" customHeight="false" outlineLevel="0" collapsed="false">
      <c r="A322" s="8" t="s">
        <v>380</v>
      </c>
      <c r="B322" s="11" t="n">
        <v>45860</v>
      </c>
      <c r="C322" s="8" t="s">
        <v>39</v>
      </c>
      <c r="D322" s="8" t="s">
        <v>44</v>
      </c>
      <c r="E322" s="8" t="s">
        <v>60</v>
      </c>
      <c r="F322" s="8" t="n">
        <v>3</v>
      </c>
      <c r="G322" s="8" t="n">
        <v>2500</v>
      </c>
      <c r="H322" s="8" t="n">
        <v>0</v>
      </c>
      <c r="I322" s="8" t="n">
        <v>1600</v>
      </c>
    </row>
    <row r="323" customFormat="false" ht="15" hidden="false" customHeight="false" outlineLevel="0" collapsed="false">
      <c r="A323" s="8" t="s">
        <v>381</v>
      </c>
      <c r="B323" s="11" t="n">
        <v>45854</v>
      </c>
      <c r="C323" s="8" t="s">
        <v>47</v>
      </c>
      <c r="D323" s="8" t="s">
        <v>44</v>
      </c>
      <c r="E323" s="8" t="s">
        <v>48</v>
      </c>
      <c r="F323" s="8" t="n">
        <v>3</v>
      </c>
      <c r="G323" s="8" t="n">
        <v>4500</v>
      </c>
      <c r="H323" s="8" t="n">
        <v>0</v>
      </c>
      <c r="I323" s="8" t="n">
        <v>3300</v>
      </c>
    </row>
    <row r="324" customFormat="false" ht="15" hidden="false" customHeight="false" outlineLevel="0" collapsed="false">
      <c r="A324" s="8" t="s">
        <v>382</v>
      </c>
      <c r="B324" s="11" t="n">
        <v>45863</v>
      </c>
      <c r="C324" s="8" t="s">
        <v>47</v>
      </c>
      <c r="D324" s="8" t="s">
        <v>40</v>
      </c>
      <c r="E324" s="8" t="s">
        <v>104</v>
      </c>
      <c r="F324" s="8" t="n">
        <v>6</v>
      </c>
      <c r="G324" s="8" t="n">
        <v>250</v>
      </c>
      <c r="H324" s="8" t="n">
        <v>0</v>
      </c>
      <c r="I324" s="8" t="n">
        <v>100</v>
      </c>
    </row>
    <row r="325" customFormat="false" ht="15" hidden="false" customHeight="false" outlineLevel="0" collapsed="false">
      <c r="A325" s="8" t="s">
        <v>383</v>
      </c>
      <c r="B325" s="11" t="n">
        <v>45848</v>
      </c>
      <c r="C325" s="8" t="s">
        <v>39</v>
      </c>
      <c r="D325" s="8" t="s">
        <v>40</v>
      </c>
      <c r="E325" s="8" t="s">
        <v>77</v>
      </c>
      <c r="F325" s="8" t="n">
        <v>8</v>
      </c>
      <c r="G325" s="8" t="n">
        <v>400</v>
      </c>
      <c r="H325" s="8" t="n">
        <v>0</v>
      </c>
      <c r="I325" s="8" t="n">
        <v>200</v>
      </c>
    </row>
    <row r="326" customFormat="false" ht="15" hidden="false" customHeight="false" outlineLevel="0" collapsed="false">
      <c r="A326" s="8" t="s">
        <v>384</v>
      </c>
      <c r="B326" s="11" t="n">
        <v>45860</v>
      </c>
      <c r="C326" s="8" t="s">
        <v>43</v>
      </c>
      <c r="D326" s="8" t="s">
        <v>40</v>
      </c>
      <c r="E326" s="8" t="s">
        <v>41</v>
      </c>
      <c r="F326" s="8" t="n">
        <v>9</v>
      </c>
      <c r="G326" s="8" t="n">
        <v>600</v>
      </c>
      <c r="H326" s="8" t="n">
        <v>0.05</v>
      </c>
      <c r="I326" s="8" t="n">
        <v>300</v>
      </c>
    </row>
    <row r="327" customFormat="false" ht="15" hidden="false" customHeight="false" outlineLevel="0" collapsed="false">
      <c r="A327" s="8" t="s">
        <v>385</v>
      </c>
      <c r="B327" s="11" t="n">
        <v>45840</v>
      </c>
      <c r="C327" s="8" t="s">
        <v>39</v>
      </c>
      <c r="D327" s="8" t="s">
        <v>57</v>
      </c>
      <c r="E327" s="8" t="s">
        <v>111</v>
      </c>
      <c r="F327" s="8" t="n">
        <v>2</v>
      </c>
      <c r="G327" s="8" t="n">
        <v>7000</v>
      </c>
      <c r="H327" s="8" t="n">
        <v>0.05</v>
      </c>
      <c r="I327" s="8" t="n">
        <v>4800</v>
      </c>
    </row>
    <row r="328" customFormat="false" ht="15" hidden="false" customHeight="false" outlineLevel="0" collapsed="false">
      <c r="A328" s="8" t="s">
        <v>386</v>
      </c>
      <c r="B328" s="11" t="n">
        <v>45863</v>
      </c>
      <c r="C328" s="8" t="s">
        <v>39</v>
      </c>
      <c r="D328" s="8" t="s">
        <v>44</v>
      </c>
      <c r="E328" s="8" t="s">
        <v>60</v>
      </c>
      <c r="F328" s="8" t="n">
        <v>1</v>
      </c>
      <c r="G328" s="8" t="n">
        <v>2500</v>
      </c>
      <c r="H328" s="8" t="n">
        <v>0</v>
      </c>
      <c r="I328" s="8" t="n">
        <v>1600</v>
      </c>
    </row>
    <row r="329" customFormat="false" ht="15" hidden="false" customHeight="false" outlineLevel="0" collapsed="false">
      <c r="A329" s="8" t="s">
        <v>387</v>
      </c>
      <c r="B329" s="11" t="n">
        <v>45854</v>
      </c>
      <c r="C329" s="8" t="s">
        <v>47</v>
      </c>
      <c r="D329" s="8" t="s">
        <v>57</v>
      </c>
      <c r="E329" s="8" t="s">
        <v>111</v>
      </c>
      <c r="F329" s="8" t="n">
        <v>1</v>
      </c>
      <c r="G329" s="8" t="n">
        <v>7000</v>
      </c>
      <c r="H329" s="8" t="n">
        <v>0</v>
      </c>
      <c r="I329" s="8" t="n">
        <v>4800</v>
      </c>
    </row>
    <row r="330" customFormat="false" ht="15" hidden="false" customHeight="false" outlineLevel="0" collapsed="false">
      <c r="A330" s="8" t="s">
        <v>388</v>
      </c>
      <c r="B330" s="11" t="n">
        <v>45856</v>
      </c>
      <c r="C330" s="8" t="s">
        <v>47</v>
      </c>
      <c r="D330" s="8" t="s">
        <v>40</v>
      </c>
      <c r="E330" s="8" t="s">
        <v>71</v>
      </c>
      <c r="F330" s="8" t="n">
        <v>4</v>
      </c>
      <c r="G330" s="8" t="n">
        <v>500</v>
      </c>
      <c r="H330" s="8" t="n">
        <v>0</v>
      </c>
      <c r="I330" s="8" t="n">
        <v>250</v>
      </c>
    </row>
    <row r="331" customFormat="false" ht="15" hidden="false" customHeight="false" outlineLevel="0" collapsed="false">
      <c r="A331" s="8" t="s">
        <v>389</v>
      </c>
      <c r="B331" s="11" t="n">
        <v>45864</v>
      </c>
      <c r="C331" s="8" t="s">
        <v>118</v>
      </c>
      <c r="D331" s="8" t="s">
        <v>40</v>
      </c>
      <c r="E331" s="8" t="s">
        <v>71</v>
      </c>
      <c r="F331" s="8" t="n">
        <v>10</v>
      </c>
      <c r="G331" s="8" t="n">
        <v>500</v>
      </c>
      <c r="H331" s="8" t="n">
        <v>0.1</v>
      </c>
      <c r="I331" s="8" t="n">
        <v>250</v>
      </c>
    </row>
    <row r="332" customFormat="false" ht="15" hidden="false" customHeight="false" outlineLevel="0" collapsed="false">
      <c r="A332" s="8" t="s">
        <v>390</v>
      </c>
      <c r="B332" s="11" t="n">
        <v>45852</v>
      </c>
      <c r="C332" s="8" t="s">
        <v>39</v>
      </c>
      <c r="D332" s="8" t="s">
        <v>57</v>
      </c>
      <c r="E332" s="8" t="s">
        <v>63</v>
      </c>
      <c r="F332" s="8" t="n">
        <v>3</v>
      </c>
      <c r="G332" s="8" t="n">
        <v>9000</v>
      </c>
      <c r="H332" s="8" t="n">
        <v>0</v>
      </c>
      <c r="I332" s="8" t="n">
        <v>6200</v>
      </c>
    </row>
    <row r="333" customFormat="false" ht="15" hidden="false" customHeight="false" outlineLevel="0" collapsed="false">
      <c r="A333" s="8" t="s">
        <v>391</v>
      </c>
      <c r="B333" s="11" t="n">
        <v>45857</v>
      </c>
      <c r="C333" s="8" t="s">
        <v>47</v>
      </c>
      <c r="D333" s="8" t="s">
        <v>44</v>
      </c>
      <c r="E333" s="8" t="s">
        <v>60</v>
      </c>
      <c r="F333" s="8" t="n">
        <v>1</v>
      </c>
      <c r="G333" s="8" t="n">
        <v>2500</v>
      </c>
      <c r="H333" s="8" t="n">
        <v>0</v>
      </c>
      <c r="I333" s="8" t="n">
        <v>1600</v>
      </c>
    </row>
    <row r="334" customFormat="false" ht="15" hidden="false" customHeight="false" outlineLevel="0" collapsed="false">
      <c r="A334" s="8" t="s">
        <v>392</v>
      </c>
      <c r="B334" s="11" t="n">
        <v>45852</v>
      </c>
      <c r="C334" s="8" t="s">
        <v>47</v>
      </c>
      <c r="D334" s="8" t="s">
        <v>57</v>
      </c>
      <c r="E334" s="8" t="s">
        <v>58</v>
      </c>
      <c r="F334" s="8" t="n">
        <v>3</v>
      </c>
      <c r="G334" s="8" t="n">
        <v>5500</v>
      </c>
      <c r="H334" s="8" t="n">
        <v>0.1</v>
      </c>
      <c r="I334" s="8" t="n">
        <v>3600</v>
      </c>
    </row>
    <row r="335" customFormat="false" ht="15" hidden="false" customHeight="false" outlineLevel="0" collapsed="false">
      <c r="A335" s="8" t="s">
        <v>393</v>
      </c>
      <c r="B335" s="11" t="n">
        <v>45844</v>
      </c>
      <c r="C335" s="8" t="s">
        <v>39</v>
      </c>
      <c r="D335" s="8" t="s">
        <v>57</v>
      </c>
      <c r="E335" s="8" t="s">
        <v>111</v>
      </c>
      <c r="F335" s="8" t="n">
        <v>1</v>
      </c>
      <c r="G335" s="8" t="n">
        <v>7000</v>
      </c>
      <c r="H335" s="8" t="n">
        <v>0</v>
      </c>
      <c r="I335" s="8" t="n">
        <v>4800</v>
      </c>
    </row>
    <row r="336" customFormat="false" ht="15" hidden="false" customHeight="false" outlineLevel="0" collapsed="false">
      <c r="A336" s="8" t="s">
        <v>394</v>
      </c>
      <c r="B336" s="11" t="n">
        <v>45852</v>
      </c>
      <c r="C336" s="8" t="s">
        <v>47</v>
      </c>
      <c r="D336" s="8" t="s">
        <v>40</v>
      </c>
      <c r="E336" s="8" t="s">
        <v>104</v>
      </c>
      <c r="F336" s="8" t="n">
        <v>7</v>
      </c>
      <c r="G336" s="8" t="n">
        <v>250</v>
      </c>
      <c r="H336" s="8" t="n">
        <v>0</v>
      </c>
      <c r="I336" s="8" t="n">
        <v>100</v>
      </c>
    </row>
    <row r="337" customFormat="false" ht="15" hidden="false" customHeight="false" outlineLevel="0" collapsed="false">
      <c r="A337" s="8" t="s">
        <v>395</v>
      </c>
      <c r="B337" s="11" t="n">
        <v>45855</v>
      </c>
      <c r="C337" s="8" t="s">
        <v>39</v>
      </c>
      <c r="D337" s="8" t="s">
        <v>44</v>
      </c>
      <c r="E337" s="8" t="s">
        <v>48</v>
      </c>
      <c r="F337" s="8"/>
      <c r="G337" s="8" t="n">
        <v>4500</v>
      </c>
      <c r="H337" s="8" t="n">
        <v>0</v>
      </c>
      <c r="I337" s="8" t="n">
        <v>3300</v>
      </c>
    </row>
    <row r="338" customFormat="false" ht="15" hidden="false" customHeight="false" outlineLevel="0" collapsed="false">
      <c r="A338" s="8" t="s">
        <v>396</v>
      </c>
      <c r="B338" s="11" t="n">
        <v>45849</v>
      </c>
      <c r="C338" s="8" t="s">
        <v>47</v>
      </c>
      <c r="D338" s="8" t="s">
        <v>44</v>
      </c>
      <c r="E338" s="8" t="s">
        <v>48</v>
      </c>
      <c r="F338" s="8" t="n">
        <v>2</v>
      </c>
      <c r="G338" s="8" t="n">
        <v>4500</v>
      </c>
      <c r="H338" s="8" t="n">
        <v>0.1</v>
      </c>
      <c r="I338" s="8" t="n">
        <v>3300</v>
      </c>
    </row>
    <row r="339" customFormat="false" ht="15" hidden="false" customHeight="false" outlineLevel="0" collapsed="false">
      <c r="A339" s="8" t="s">
        <v>397</v>
      </c>
      <c r="B339" s="11" t="n">
        <v>45855</v>
      </c>
      <c r="C339" s="8" t="s">
        <v>47</v>
      </c>
      <c r="D339" s="8" t="s">
        <v>44</v>
      </c>
      <c r="E339" s="8" t="s">
        <v>50</v>
      </c>
      <c r="F339" s="8" t="n">
        <v>1</v>
      </c>
      <c r="G339" s="8" t="n">
        <v>3000</v>
      </c>
      <c r="H339" s="8" t="n">
        <v>0</v>
      </c>
      <c r="I339" s="8" t="n">
        <v>2000</v>
      </c>
    </row>
    <row r="340" customFormat="false" ht="15" hidden="false" customHeight="false" outlineLevel="0" collapsed="false">
      <c r="A340" s="8" t="s">
        <v>398</v>
      </c>
      <c r="B340" s="11" t="n">
        <v>45863</v>
      </c>
      <c r="C340" s="8" t="s">
        <v>39</v>
      </c>
      <c r="D340" s="8" t="s">
        <v>40</v>
      </c>
      <c r="E340" s="8" t="s">
        <v>41</v>
      </c>
      <c r="F340" s="8" t="n">
        <v>10</v>
      </c>
      <c r="G340" s="8" t="n">
        <v>600</v>
      </c>
      <c r="H340" s="8" t="n">
        <v>0</v>
      </c>
      <c r="I340" s="8" t="n">
        <v>300</v>
      </c>
    </row>
    <row r="341" customFormat="false" ht="15" hidden="false" customHeight="false" outlineLevel="0" collapsed="false">
      <c r="A341" s="8" t="s">
        <v>399</v>
      </c>
      <c r="B341" s="11" t="n">
        <v>45846</v>
      </c>
      <c r="C341" s="8" t="s">
        <v>47</v>
      </c>
      <c r="D341" s="8" t="s">
        <v>57</v>
      </c>
      <c r="E341" s="8" t="s">
        <v>63</v>
      </c>
      <c r="F341" s="8" t="n">
        <v>3</v>
      </c>
      <c r="G341" s="8" t="n">
        <v>9000</v>
      </c>
      <c r="H341" s="8" t="n">
        <v>0</v>
      </c>
      <c r="I341" s="8" t="n">
        <v>6200</v>
      </c>
    </row>
    <row r="342" customFormat="false" ht="15" hidden="false" customHeight="false" outlineLevel="0" collapsed="false">
      <c r="A342" s="8" t="s">
        <v>400</v>
      </c>
      <c r="B342" s="11" t="n">
        <v>45858</v>
      </c>
      <c r="C342" s="8" t="s">
        <v>39</v>
      </c>
      <c r="D342" s="8" t="s">
        <v>44</v>
      </c>
      <c r="E342" s="8" t="s">
        <v>48</v>
      </c>
      <c r="F342" s="8" t="n">
        <v>1</v>
      </c>
      <c r="G342" s="8" t="n">
        <v>4500</v>
      </c>
      <c r="H342" s="8" t="n">
        <v>0</v>
      </c>
      <c r="I342" s="8" t="n">
        <v>3300</v>
      </c>
    </row>
    <row r="343" customFormat="false" ht="15" hidden="false" customHeight="false" outlineLevel="0" collapsed="false">
      <c r="A343" s="8" t="s">
        <v>401</v>
      </c>
      <c r="B343" s="11" t="n">
        <v>45844</v>
      </c>
      <c r="C343" s="8" t="s">
        <v>43</v>
      </c>
      <c r="D343" s="8" t="s">
        <v>44</v>
      </c>
      <c r="E343" s="8" t="s">
        <v>45</v>
      </c>
      <c r="F343" s="8" t="n">
        <v>3</v>
      </c>
      <c r="G343" s="8" t="n">
        <v>1500</v>
      </c>
      <c r="H343" s="8" t="n">
        <v>0</v>
      </c>
      <c r="I343" s="8" t="n">
        <v>900</v>
      </c>
    </row>
    <row r="344" customFormat="false" ht="15" hidden="false" customHeight="false" outlineLevel="0" collapsed="false">
      <c r="A344" s="8" t="s">
        <v>402</v>
      </c>
      <c r="B344" s="11" t="n">
        <v>45857</v>
      </c>
      <c r="C344" s="8" t="s">
        <v>47</v>
      </c>
      <c r="D344" s="8" t="s">
        <v>40</v>
      </c>
      <c r="E344" s="8" t="s">
        <v>41</v>
      </c>
      <c r="F344" s="8" t="n">
        <v>9</v>
      </c>
      <c r="G344" s="8" t="n">
        <v>600</v>
      </c>
      <c r="H344" s="8" t="n">
        <v>0.1</v>
      </c>
      <c r="I344" s="8" t="n">
        <v>300</v>
      </c>
    </row>
    <row r="345" customFormat="false" ht="15" hidden="false" customHeight="false" outlineLevel="0" collapsed="false">
      <c r="A345" s="8" t="s">
        <v>403</v>
      </c>
      <c r="B345" s="11" t="n">
        <v>45849</v>
      </c>
      <c r="C345" s="8" t="s">
        <v>43</v>
      </c>
      <c r="D345" s="8" t="s">
        <v>40</v>
      </c>
      <c r="E345" s="8" t="s">
        <v>41</v>
      </c>
      <c r="F345" s="8" t="n">
        <v>7</v>
      </c>
      <c r="G345" s="8" t="n">
        <v>600</v>
      </c>
      <c r="H345" s="8" t="n">
        <v>0.1</v>
      </c>
      <c r="I345" s="8" t="n">
        <v>300</v>
      </c>
    </row>
    <row r="346" customFormat="false" ht="15" hidden="false" customHeight="false" outlineLevel="0" collapsed="false">
      <c r="A346" s="8" t="s">
        <v>404</v>
      </c>
      <c r="B346" s="11" t="n">
        <v>45859</v>
      </c>
      <c r="C346" s="8" t="s">
        <v>47</v>
      </c>
      <c r="D346" s="8" t="s">
        <v>44</v>
      </c>
      <c r="E346" s="8" t="s">
        <v>45</v>
      </c>
      <c r="F346" s="8" t="n">
        <v>2</v>
      </c>
      <c r="G346" s="8" t="n">
        <v>1500</v>
      </c>
      <c r="H346" s="8" t="n">
        <v>0</v>
      </c>
      <c r="I346" s="8" t="n">
        <v>900</v>
      </c>
    </row>
    <row r="347" customFormat="false" ht="15" hidden="false" customHeight="false" outlineLevel="0" collapsed="false">
      <c r="A347" s="8" t="s">
        <v>405</v>
      </c>
      <c r="B347" s="11" t="n">
        <v>45850</v>
      </c>
      <c r="C347" s="8" t="s">
        <v>43</v>
      </c>
      <c r="D347" s="8" t="s">
        <v>57</v>
      </c>
      <c r="E347" s="8" t="s">
        <v>111</v>
      </c>
      <c r="F347" s="8" t="n">
        <v>3</v>
      </c>
      <c r="G347" s="8" t="n">
        <v>7000</v>
      </c>
      <c r="H347" s="8" t="n">
        <v>0</v>
      </c>
      <c r="I347" s="8" t="n">
        <v>4800</v>
      </c>
    </row>
    <row r="348" customFormat="false" ht="15" hidden="false" customHeight="false" outlineLevel="0" collapsed="false">
      <c r="A348" s="8" t="s">
        <v>406</v>
      </c>
      <c r="B348" s="11" t="n">
        <v>45840</v>
      </c>
      <c r="C348" s="8" t="s">
        <v>39</v>
      </c>
      <c r="D348" s="8" t="s">
        <v>40</v>
      </c>
      <c r="E348" s="8" t="s">
        <v>77</v>
      </c>
      <c r="F348" s="8" t="n">
        <v>9</v>
      </c>
      <c r="G348" s="8" t="n">
        <v>400</v>
      </c>
      <c r="H348" s="8" t="n">
        <v>0</v>
      </c>
      <c r="I348" s="8" t="n">
        <v>200</v>
      </c>
    </row>
    <row r="349" customFormat="false" ht="15" hidden="false" customHeight="false" outlineLevel="0" collapsed="false">
      <c r="A349" s="8" t="s">
        <v>407</v>
      </c>
      <c r="B349" s="11" t="n">
        <v>45859</v>
      </c>
      <c r="C349" s="8" t="s">
        <v>47</v>
      </c>
      <c r="D349" s="8" t="s">
        <v>44</v>
      </c>
      <c r="E349" s="8" t="s">
        <v>60</v>
      </c>
      <c r="F349" s="8" t="n">
        <v>2</v>
      </c>
      <c r="G349" s="8" t="n">
        <v>2500</v>
      </c>
      <c r="H349" s="8" t="n">
        <v>0</v>
      </c>
      <c r="I349" s="8" t="n">
        <v>1600</v>
      </c>
    </row>
    <row r="350" customFormat="false" ht="15" hidden="false" customHeight="false" outlineLevel="0" collapsed="false">
      <c r="A350" s="8" t="s">
        <v>408</v>
      </c>
      <c r="B350" s="11" t="n">
        <v>45853</v>
      </c>
      <c r="C350" s="8" t="s">
        <v>43</v>
      </c>
      <c r="D350" s="8" t="s">
        <v>44</v>
      </c>
      <c r="E350" s="8" t="s">
        <v>48</v>
      </c>
      <c r="F350" s="8" t="n">
        <v>3</v>
      </c>
      <c r="G350" s="8" t="n">
        <v>4500</v>
      </c>
      <c r="H350" s="8" t="n">
        <v>0</v>
      </c>
      <c r="I350" s="8" t="n">
        <v>3300</v>
      </c>
    </row>
    <row r="351" customFormat="false" ht="15" hidden="false" customHeight="false" outlineLevel="0" collapsed="false">
      <c r="A351" s="8" t="s">
        <v>409</v>
      </c>
      <c r="B351" s="11" t="n">
        <v>45864</v>
      </c>
      <c r="C351" s="8" t="s">
        <v>47</v>
      </c>
      <c r="D351" s="8" t="s">
        <v>40</v>
      </c>
      <c r="E351" s="8" t="s">
        <v>104</v>
      </c>
      <c r="F351" s="8" t="n">
        <v>2</v>
      </c>
      <c r="G351" s="8" t="n">
        <v>250</v>
      </c>
      <c r="H351" s="8" t="n">
        <v>0</v>
      </c>
      <c r="I351" s="8" t="n">
        <v>100</v>
      </c>
    </row>
    <row r="352" customFormat="false" ht="15" hidden="false" customHeight="false" outlineLevel="0" collapsed="false">
      <c r="A352" s="8" t="s">
        <v>410</v>
      </c>
      <c r="B352" s="11" t="n">
        <v>45885</v>
      </c>
      <c r="C352" s="8" t="s">
        <v>43</v>
      </c>
      <c r="D352" s="8" t="s">
        <v>40</v>
      </c>
      <c r="E352" s="8" t="s">
        <v>104</v>
      </c>
      <c r="F352" s="8" t="n">
        <v>7</v>
      </c>
      <c r="G352" s="8" t="n">
        <v>250</v>
      </c>
      <c r="H352" s="8" t="n">
        <v>0.05</v>
      </c>
      <c r="I352" s="8" t="n">
        <v>100</v>
      </c>
    </row>
    <row r="353" customFormat="false" ht="15" hidden="false" customHeight="false" outlineLevel="0" collapsed="false">
      <c r="A353" s="8" t="s">
        <v>411</v>
      </c>
      <c r="B353" s="11" t="n">
        <v>45873</v>
      </c>
      <c r="C353" s="8" t="s">
        <v>39</v>
      </c>
      <c r="D353" s="8" t="s">
        <v>40</v>
      </c>
      <c r="E353" s="8" t="s">
        <v>77</v>
      </c>
      <c r="F353" s="8" t="n">
        <v>2</v>
      </c>
      <c r="G353" s="8" t="n">
        <v>400</v>
      </c>
      <c r="H353" s="8" t="n">
        <v>0</v>
      </c>
      <c r="I353" s="8" t="n">
        <v>200</v>
      </c>
    </row>
    <row r="354" customFormat="false" ht="15" hidden="false" customHeight="false" outlineLevel="0" collapsed="false">
      <c r="A354" s="8" t="s">
        <v>412</v>
      </c>
      <c r="B354" s="11" t="n">
        <v>45890</v>
      </c>
      <c r="C354" s="8" t="s">
        <v>55</v>
      </c>
      <c r="D354" s="8" t="s">
        <v>57</v>
      </c>
      <c r="E354" s="8" t="s">
        <v>63</v>
      </c>
      <c r="F354" s="8" t="n">
        <v>1</v>
      </c>
      <c r="G354" s="8" t="n">
        <v>9000</v>
      </c>
      <c r="H354" s="8" t="n">
        <v>0.05</v>
      </c>
      <c r="I354" s="8" t="n">
        <v>6200</v>
      </c>
    </row>
    <row r="355" customFormat="false" ht="15" hidden="false" customHeight="false" outlineLevel="0" collapsed="false">
      <c r="A355" s="8" t="s">
        <v>413</v>
      </c>
      <c r="B355" s="11" t="n">
        <v>45884</v>
      </c>
      <c r="C355" s="8" t="s">
        <v>39</v>
      </c>
      <c r="D355" s="8" t="s">
        <v>44</v>
      </c>
      <c r="E355" s="8" t="s">
        <v>45</v>
      </c>
      <c r="F355" s="8" t="n">
        <v>3</v>
      </c>
      <c r="G355" s="8" t="n">
        <v>1500</v>
      </c>
      <c r="H355" s="8" t="n">
        <v>0</v>
      </c>
      <c r="I355" s="8" t="n">
        <v>900</v>
      </c>
    </row>
    <row r="356" customFormat="false" ht="15" hidden="false" customHeight="false" outlineLevel="0" collapsed="false">
      <c r="A356" s="8" t="s">
        <v>414</v>
      </c>
      <c r="B356" s="11" t="n">
        <v>45881</v>
      </c>
      <c r="C356" s="8" t="s">
        <v>47</v>
      </c>
      <c r="D356" s="8" t="s">
        <v>40</v>
      </c>
      <c r="E356" s="8" t="s">
        <v>77</v>
      </c>
      <c r="F356" s="8" t="n">
        <v>4</v>
      </c>
      <c r="G356" s="8" t="n">
        <v>400</v>
      </c>
      <c r="H356" s="8" t="n">
        <v>0</v>
      </c>
      <c r="I356" s="8" t="n">
        <v>200</v>
      </c>
    </row>
    <row r="357" customFormat="false" ht="15" hidden="false" customHeight="false" outlineLevel="0" collapsed="false">
      <c r="A357" s="8" t="s">
        <v>415</v>
      </c>
      <c r="B357" s="11" t="n">
        <v>45889</v>
      </c>
      <c r="C357" s="8" t="s">
        <v>47</v>
      </c>
      <c r="D357" s="8" t="s">
        <v>57</v>
      </c>
      <c r="E357" s="8" t="s">
        <v>111</v>
      </c>
      <c r="F357" s="8" t="n">
        <v>2</v>
      </c>
      <c r="G357" s="8" t="n">
        <v>7000</v>
      </c>
      <c r="H357" s="8" t="n">
        <v>0.1</v>
      </c>
      <c r="I357" s="8" t="n">
        <v>4800</v>
      </c>
    </row>
    <row r="358" customFormat="false" ht="15" hidden="false" customHeight="false" outlineLevel="0" collapsed="false">
      <c r="A358" s="8" t="s">
        <v>416</v>
      </c>
      <c r="B358" s="11" t="n">
        <v>45872</v>
      </c>
      <c r="C358" s="8" t="s">
        <v>43</v>
      </c>
      <c r="D358" s="8" t="s">
        <v>44</v>
      </c>
      <c r="E358" s="8" t="s">
        <v>60</v>
      </c>
      <c r="F358" s="8" t="n">
        <v>3</v>
      </c>
      <c r="G358" s="8" t="n">
        <v>2500</v>
      </c>
      <c r="H358" s="8" t="n">
        <v>0</v>
      </c>
      <c r="I358" s="8" t="n">
        <v>1600</v>
      </c>
    </row>
    <row r="359" customFormat="false" ht="15" hidden="false" customHeight="false" outlineLevel="0" collapsed="false">
      <c r="A359" s="8" t="s">
        <v>417</v>
      </c>
      <c r="B359" s="11" t="n">
        <v>45879</v>
      </c>
      <c r="C359" s="8" t="s">
        <v>39</v>
      </c>
      <c r="D359" s="8" t="s">
        <v>57</v>
      </c>
      <c r="E359" s="8" t="s">
        <v>63</v>
      </c>
      <c r="F359" s="8" t="n">
        <v>3</v>
      </c>
      <c r="G359" s="8" t="n">
        <v>9000</v>
      </c>
      <c r="H359" s="8" t="n">
        <v>0</v>
      </c>
      <c r="I359" s="8" t="n">
        <v>6200</v>
      </c>
    </row>
    <row r="360" customFormat="false" ht="15" hidden="false" customHeight="false" outlineLevel="0" collapsed="false">
      <c r="A360" s="8" t="s">
        <v>418</v>
      </c>
      <c r="B360" s="11" t="n">
        <v>45897</v>
      </c>
      <c r="C360" s="8" t="s">
        <v>43</v>
      </c>
      <c r="D360" s="8" t="s">
        <v>57</v>
      </c>
      <c r="E360" s="8" t="s">
        <v>111</v>
      </c>
      <c r="F360" s="8" t="n">
        <v>3</v>
      </c>
      <c r="G360" s="8" t="n">
        <v>7000</v>
      </c>
      <c r="H360" s="8" t="n">
        <v>0.05</v>
      </c>
      <c r="I360" s="8" t="n">
        <v>4800</v>
      </c>
    </row>
    <row r="361" customFormat="false" ht="15" hidden="false" customHeight="false" outlineLevel="0" collapsed="false">
      <c r="A361" s="8" t="s">
        <v>419</v>
      </c>
      <c r="B361" s="11" t="n">
        <v>45874</v>
      </c>
      <c r="C361" s="8" t="s">
        <v>47</v>
      </c>
      <c r="D361" s="8" t="s">
        <v>44</v>
      </c>
      <c r="E361" s="8" t="s">
        <v>45</v>
      </c>
      <c r="F361" s="8" t="n">
        <v>3</v>
      </c>
      <c r="G361" s="8" t="n">
        <v>1500</v>
      </c>
      <c r="H361" s="8" t="n">
        <v>0.1</v>
      </c>
      <c r="I361" s="8" t="n">
        <v>900</v>
      </c>
    </row>
    <row r="362" customFormat="false" ht="15" hidden="false" customHeight="false" outlineLevel="0" collapsed="false">
      <c r="A362" s="8" t="s">
        <v>420</v>
      </c>
      <c r="B362" s="11" t="n">
        <v>45891</v>
      </c>
      <c r="C362" s="8" t="s">
        <v>47</v>
      </c>
      <c r="D362" s="8" t="s">
        <v>57</v>
      </c>
      <c r="E362" s="8" t="s">
        <v>63</v>
      </c>
      <c r="F362" s="8" t="n">
        <v>3</v>
      </c>
      <c r="G362" s="8" t="n">
        <v>9000</v>
      </c>
      <c r="H362" s="8" t="n">
        <v>0.1</v>
      </c>
      <c r="I362" s="8" t="n">
        <v>6200</v>
      </c>
    </row>
    <row r="363" customFormat="false" ht="15" hidden="false" customHeight="false" outlineLevel="0" collapsed="false">
      <c r="A363" s="8" t="s">
        <v>421</v>
      </c>
      <c r="B363" s="11" t="n">
        <v>45879</v>
      </c>
      <c r="C363" s="8" t="s">
        <v>39</v>
      </c>
      <c r="D363" s="8" t="s">
        <v>57</v>
      </c>
      <c r="E363" s="8" t="s">
        <v>58</v>
      </c>
      <c r="F363" s="8" t="n">
        <v>3</v>
      </c>
      <c r="G363" s="8" t="n">
        <v>5500</v>
      </c>
      <c r="H363" s="8" t="n">
        <v>0</v>
      </c>
      <c r="I363" s="8" t="n">
        <v>3600</v>
      </c>
    </row>
    <row r="364" customFormat="false" ht="15" hidden="false" customHeight="false" outlineLevel="0" collapsed="false">
      <c r="A364" s="8" t="s">
        <v>422</v>
      </c>
      <c r="B364" s="11" t="n">
        <v>45891</v>
      </c>
      <c r="C364" s="8" t="s">
        <v>47</v>
      </c>
      <c r="D364" s="8" t="s">
        <v>40</v>
      </c>
      <c r="E364" s="8" t="s">
        <v>77</v>
      </c>
      <c r="F364" s="8" t="n">
        <v>7</v>
      </c>
      <c r="G364" s="8" t="n">
        <v>400</v>
      </c>
      <c r="H364" s="8" t="n">
        <v>0</v>
      </c>
      <c r="I364" s="8" t="n">
        <v>200</v>
      </c>
    </row>
    <row r="365" customFormat="false" ht="15" hidden="false" customHeight="false" outlineLevel="0" collapsed="false">
      <c r="A365" s="8" t="s">
        <v>423</v>
      </c>
      <c r="B365" s="11" t="n">
        <v>45890</v>
      </c>
      <c r="C365" s="8" t="s">
        <v>55</v>
      </c>
      <c r="D365" s="8" t="s">
        <v>40</v>
      </c>
      <c r="E365" s="8" t="s">
        <v>71</v>
      </c>
      <c r="F365" s="8" t="n">
        <v>10</v>
      </c>
      <c r="G365" s="8" t="n">
        <v>500</v>
      </c>
      <c r="H365" s="8" t="n">
        <v>0</v>
      </c>
      <c r="I365" s="8" t="n">
        <v>250</v>
      </c>
    </row>
    <row r="366" customFormat="false" ht="15" hidden="false" customHeight="false" outlineLevel="0" collapsed="false">
      <c r="A366" s="8" t="s">
        <v>424</v>
      </c>
      <c r="B366" s="11" t="n">
        <v>45881</v>
      </c>
      <c r="C366" s="8" t="s">
        <v>47</v>
      </c>
      <c r="D366" s="8" t="s">
        <v>40</v>
      </c>
      <c r="E366" s="8" t="s">
        <v>41</v>
      </c>
      <c r="F366" s="8" t="n">
        <v>7</v>
      </c>
      <c r="G366" s="8" t="n">
        <v>600</v>
      </c>
      <c r="H366" s="8" t="n">
        <v>0</v>
      </c>
      <c r="I366" s="8" t="n">
        <v>300</v>
      </c>
    </row>
    <row r="367" customFormat="false" ht="15" hidden="false" customHeight="false" outlineLevel="0" collapsed="false">
      <c r="A367" s="8" t="s">
        <v>425</v>
      </c>
      <c r="B367" s="11" t="n">
        <v>45894</v>
      </c>
      <c r="C367" s="8" t="s">
        <v>39</v>
      </c>
      <c r="D367" s="8" t="s">
        <v>57</v>
      </c>
      <c r="E367" s="8" t="s">
        <v>111</v>
      </c>
      <c r="F367" s="8" t="n">
        <v>1</v>
      </c>
      <c r="G367" s="8" t="n">
        <v>7000</v>
      </c>
      <c r="H367" s="8" t="n">
        <v>0</v>
      </c>
      <c r="I367" s="8" t="n">
        <v>4800</v>
      </c>
    </row>
    <row r="368" customFormat="false" ht="15" hidden="false" customHeight="false" outlineLevel="0" collapsed="false">
      <c r="A368" s="8" t="s">
        <v>426</v>
      </c>
      <c r="B368" s="11" t="n">
        <v>45872</v>
      </c>
      <c r="C368" s="8"/>
      <c r="D368" s="8" t="s">
        <v>57</v>
      </c>
      <c r="E368" s="8" t="s">
        <v>86</v>
      </c>
      <c r="F368" s="8" t="n">
        <v>1</v>
      </c>
      <c r="G368" s="8" t="n">
        <v>1200</v>
      </c>
      <c r="H368" s="8" t="n">
        <v>0</v>
      </c>
      <c r="I368" s="8" t="n">
        <v>600</v>
      </c>
    </row>
    <row r="369" customFormat="false" ht="15" hidden="false" customHeight="false" outlineLevel="0" collapsed="false">
      <c r="A369" s="8" t="s">
        <v>427</v>
      </c>
      <c r="B369" s="11" t="n">
        <v>45894</v>
      </c>
      <c r="C369" s="8" t="s">
        <v>55</v>
      </c>
      <c r="D369" s="8" t="s">
        <v>57</v>
      </c>
      <c r="E369" s="8" t="s">
        <v>111</v>
      </c>
      <c r="F369" s="8" t="n">
        <v>1</v>
      </c>
      <c r="G369" s="8" t="n">
        <v>7000</v>
      </c>
      <c r="H369" s="8" t="n">
        <v>0.05</v>
      </c>
      <c r="I369" s="8" t="n">
        <v>4800</v>
      </c>
    </row>
    <row r="370" customFormat="false" ht="15" hidden="false" customHeight="false" outlineLevel="0" collapsed="false">
      <c r="A370" s="8" t="s">
        <v>428</v>
      </c>
      <c r="B370" s="11" t="n">
        <v>45891</v>
      </c>
      <c r="C370" s="8" t="s">
        <v>55</v>
      </c>
      <c r="D370" s="8" t="s">
        <v>40</v>
      </c>
      <c r="E370" s="8" t="s">
        <v>77</v>
      </c>
      <c r="F370" s="8" t="n">
        <v>10</v>
      </c>
      <c r="G370" s="8" t="n">
        <v>400</v>
      </c>
      <c r="H370" s="8" t="n">
        <v>0</v>
      </c>
      <c r="I370" s="8" t="n">
        <v>200</v>
      </c>
    </row>
    <row r="371" customFormat="false" ht="15" hidden="false" customHeight="false" outlineLevel="0" collapsed="false">
      <c r="A371" s="8" t="s">
        <v>429</v>
      </c>
      <c r="B371" s="11" t="n">
        <v>45889</v>
      </c>
      <c r="C371" s="8" t="s">
        <v>55</v>
      </c>
      <c r="D371" s="8" t="s">
        <v>57</v>
      </c>
      <c r="E371" s="8" t="s">
        <v>63</v>
      </c>
      <c r="F371" s="8" t="n">
        <v>3</v>
      </c>
      <c r="G371" s="8" t="n">
        <v>9000</v>
      </c>
      <c r="H371" s="8" t="n">
        <v>0</v>
      </c>
      <c r="I371" s="8" t="n">
        <v>6200</v>
      </c>
    </row>
    <row r="372" customFormat="false" ht="15" hidden="false" customHeight="false" outlineLevel="0" collapsed="false">
      <c r="A372" s="8" t="s">
        <v>430</v>
      </c>
      <c r="B372" s="11" t="n">
        <v>45894</v>
      </c>
      <c r="C372" s="8" t="s">
        <v>39</v>
      </c>
      <c r="D372" s="8" t="s">
        <v>57</v>
      </c>
      <c r="E372" s="8" t="s">
        <v>58</v>
      </c>
      <c r="F372" s="8" t="n">
        <v>1</v>
      </c>
      <c r="G372" s="8" t="n">
        <v>5500</v>
      </c>
      <c r="H372" s="8" t="n">
        <v>0.1</v>
      </c>
      <c r="I372" s="8" t="n">
        <v>3600</v>
      </c>
    </row>
    <row r="373" customFormat="false" ht="15" hidden="false" customHeight="false" outlineLevel="0" collapsed="false">
      <c r="A373" s="8" t="s">
        <v>431</v>
      </c>
      <c r="B373" s="11" t="n">
        <v>45884</v>
      </c>
      <c r="C373" s="8" t="s">
        <v>55</v>
      </c>
      <c r="D373" s="8" t="s">
        <v>40</v>
      </c>
      <c r="E373" s="8" t="s">
        <v>104</v>
      </c>
      <c r="F373" s="8" t="n">
        <v>4</v>
      </c>
      <c r="G373" s="8" t="n">
        <v>250</v>
      </c>
      <c r="H373" s="8" t="n">
        <v>0.1</v>
      </c>
      <c r="I373" s="8" t="n">
        <v>100</v>
      </c>
    </row>
    <row r="374" customFormat="false" ht="15" hidden="false" customHeight="false" outlineLevel="0" collapsed="false">
      <c r="A374" s="8" t="s">
        <v>432</v>
      </c>
      <c r="B374" s="11" t="n">
        <v>45877</v>
      </c>
      <c r="C374" s="8" t="s">
        <v>47</v>
      </c>
      <c r="D374" s="8" t="s">
        <v>44</v>
      </c>
      <c r="E374" s="8" t="s">
        <v>60</v>
      </c>
      <c r="F374" s="8" t="n">
        <v>3</v>
      </c>
      <c r="G374" s="8" t="n">
        <v>2500</v>
      </c>
      <c r="H374" s="8" t="n">
        <v>0.1</v>
      </c>
      <c r="I374" s="8" t="n">
        <v>1600</v>
      </c>
    </row>
    <row r="375" customFormat="false" ht="15" hidden="false" customHeight="false" outlineLevel="0" collapsed="false">
      <c r="A375" s="8" t="s">
        <v>433</v>
      </c>
      <c r="B375" s="11" t="n">
        <v>45877</v>
      </c>
      <c r="C375" s="8" t="s">
        <v>43</v>
      </c>
      <c r="D375" s="8" t="s">
        <v>57</v>
      </c>
      <c r="E375" s="8" t="s">
        <v>86</v>
      </c>
      <c r="F375" s="8" t="n">
        <v>3</v>
      </c>
      <c r="G375" s="8" t="n">
        <v>1200</v>
      </c>
      <c r="H375" s="8" t="n">
        <v>0</v>
      </c>
      <c r="I375" s="8" t="n">
        <v>600</v>
      </c>
    </row>
    <row r="376" customFormat="false" ht="15" hidden="false" customHeight="false" outlineLevel="0" collapsed="false">
      <c r="A376" s="8" t="s">
        <v>434</v>
      </c>
      <c r="B376" s="11" t="n">
        <v>45881</v>
      </c>
      <c r="C376" s="8" t="s">
        <v>39</v>
      </c>
      <c r="D376" s="8" t="s">
        <v>40</v>
      </c>
      <c r="E376" s="8" t="s">
        <v>77</v>
      </c>
      <c r="F376" s="8" t="n">
        <v>9</v>
      </c>
      <c r="G376" s="8" t="n">
        <v>400</v>
      </c>
      <c r="H376" s="8" t="n">
        <v>0</v>
      </c>
      <c r="I376" s="8" t="n">
        <v>200</v>
      </c>
    </row>
    <row r="377" customFormat="false" ht="15" hidden="false" customHeight="false" outlineLevel="0" collapsed="false">
      <c r="A377" s="8" t="s">
        <v>435</v>
      </c>
      <c r="B377" s="11" t="n">
        <v>45894</v>
      </c>
      <c r="C377" s="8" t="s">
        <v>55</v>
      </c>
      <c r="D377" s="8" t="s">
        <v>40</v>
      </c>
      <c r="E377" s="8" t="s">
        <v>41</v>
      </c>
      <c r="F377" s="8" t="n">
        <v>9</v>
      </c>
      <c r="G377" s="8" t="n">
        <v>600</v>
      </c>
      <c r="H377" s="8" t="n">
        <v>0</v>
      </c>
      <c r="I377" s="8" t="n">
        <v>300</v>
      </c>
    </row>
    <row r="378" customFormat="false" ht="15" hidden="false" customHeight="false" outlineLevel="0" collapsed="false">
      <c r="A378" s="8" t="s">
        <v>436</v>
      </c>
      <c r="B378" s="11" t="n">
        <v>45883</v>
      </c>
      <c r="C378" s="8" t="s">
        <v>43</v>
      </c>
      <c r="D378" s="8" t="s">
        <v>57</v>
      </c>
      <c r="E378" s="8" t="s">
        <v>111</v>
      </c>
      <c r="F378" s="8" t="n">
        <v>3</v>
      </c>
      <c r="G378" s="8" t="n">
        <v>7000</v>
      </c>
      <c r="H378" s="8" t="n">
        <v>0.05</v>
      </c>
      <c r="I378" s="8" t="n">
        <v>4800</v>
      </c>
    </row>
    <row r="379" customFormat="false" ht="15" hidden="false" customHeight="false" outlineLevel="0" collapsed="false">
      <c r="A379" s="8" t="s">
        <v>437</v>
      </c>
      <c r="B379" s="11" t="n">
        <v>45897</v>
      </c>
      <c r="C379" s="8" t="s">
        <v>55</v>
      </c>
      <c r="D379" s="8" t="s">
        <v>44</v>
      </c>
      <c r="E379" s="8" t="s">
        <v>45</v>
      </c>
      <c r="F379" s="8" t="n">
        <v>3</v>
      </c>
      <c r="G379" s="8" t="n">
        <v>1500</v>
      </c>
      <c r="H379" s="8" t="n">
        <v>0</v>
      </c>
      <c r="I379" s="8" t="n">
        <v>900</v>
      </c>
    </row>
    <row r="380" customFormat="false" ht="15" hidden="false" customHeight="false" outlineLevel="0" collapsed="false">
      <c r="A380" s="8" t="s">
        <v>438</v>
      </c>
      <c r="B380" s="11" t="n">
        <v>45887</v>
      </c>
      <c r="C380" s="8" t="s">
        <v>39</v>
      </c>
      <c r="D380" s="8" t="s">
        <v>57</v>
      </c>
      <c r="E380" s="8" t="s">
        <v>111</v>
      </c>
      <c r="F380" s="8" t="n">
        <v>2</v>
      </c>
      <c r="G380" s="8" t="n">
        <v>7000</v>
      </c>
      <c r="H380" s="8" t="n">
        <v>0</v>
      </c>
      <c r="I380" s="8" t="n">
        <v>4800</v>
      </c>
    </row>
    <row r="381" customFormat="false" ht="15" hidden="false" customHeight="false" outlineLevel="0" collapsed="false">
      <c r="A381" s="8" t="s">
        <v>439</v>
      </c>
      <c r="B381" s="11" t="n">
        <v>45879</v>
      </c>
      <c r="C381" s="8" t="s">
        <v>43</v>
      </c>
      <c r="D381" s="8" t="s">
        <v>44</v>
      </c>
      <c r="E381" s="8" t="s">
        <v>48</v>
      </c>
      <c r="F381" s="8" t="n">
        <v>3</v>
      </c>
      <c r="G381" s="8" t="n">
        <v>4500</v>
      </c>
      <c r="H381" s="8" t="n">
        <v>0</v>
      </c>
      <c r="I381" s="8" t="n">
        <v>3300</v>
      </c>
    </row>
    <row r="382" customFormat="false" ht="15" hidden="false" customHeight="false" outlineLevel="0" collapsed="false">
      <c r="A382" s="8" t="s">
        <v>440</v>
      </c>
      <c r="B382" s="11" t="n">
        <v>45886</v>
      </c>
      <c r="C382" s="8" t="s">
        <v>43</v>
      </c>
      <c r="D382" s="8" t="s">
        <v>44</v>
      </c>
      <c r="E382" s="8" t="s">
        <v>48</v>
      </c>
      <c r="F382" s="8" t="n">
        <v>2</v>
      </c>
      <c r="G382" s="8" t="n">
        <v>4500</v>
      </c>
      <c r="H382" s="8" t="n">
        <v>0</v>
      </c>
      <c r="I382" s="8" t="n">
        <v>3300</v>
      </c>
    </row>
    <row r="383" customFormat="false" ht="15" hidden="false" customHeight="false" outlineLevel="0" collapsed="false">
      <c r="A383" s="8" t="s">
        <v>441</v>
      </c>
      <c r="B383" s="11" t="n">
        <v>45896</v>
      </c>
      <c r="C383" s="8" t="s">
        <v>55</v>
      </c>
      <c r="D383" s="8" t="s">
        <v>44</v>
      </c>
      <c r="E383" s="8" t="s">
        <v>45</v>
      </c>
      <c r="F383" s="8" t="n">
        <v>1</v>
      </c>
      <c r="G383" s="8" t="n">
        <v>1500</v>
      </c>
      <c r="H383" s="8" t="n">
        <v>0</v>
      </c>
      <c r="I383" s="8" t="n">
        <v>900</v>
      </c>
    </row>
    <row r="384" customFormat="false" ht="15" hidden="false" customHeight="false" outlineLevel="0" collapsed="false">
      <c r="A384" s="8" t="s">
        <v>442</v>
      </c>
      <c r="B384" s="11" t="n">
        <v>45871</v>
      </c>
      <c r="C384" s="8" t="s">
        <v>55</v>
      </c>
      <c r="D384" s="8" t="s">
        <v>57</v>
      </c>
      <c r="E384" s="8" t="s">
        <v>86</v>
      </c>
      <c r="F384" s="8" t="n">
        <v>1</v>
      </c>
      <c r="G384" s="8" t="n">
        <v>1200</v>
      </c>
      <c r="H384" s="8" t="n">
        <v>0</v>
      </c>
      <c r="I384" s="8" t="n">
        <v>600</v>
      </c>
    </row>
    <row r="385" customFormat="false" ht="15" hidden="false" customHeight="false" outlineLevel="0" collapsed="false">
      <c r="A385" s="8" t="s">
        <v>443</v>
      </c>
      <c r="B385" s="11" t="n">
        <v>45872</v>
      </c>
      <c r="C385" s="8" t="s">
        <v>47</v>
      </c>
      <c r="D385" s="8" t="s">
        <v>57</v>
      </c>
      <c r="E385" s="8" t="s">
        <v>58</v>
      </c>
      <c r="F385" s="8" t="n">
        <v>1</v>
      </c>
      <c r="G385" s="8" t="n">
        <v>5500</v>
      </c>
      <c r="H385" s="8" t="n">
        <v>0</v>
      </c>
      <c r="I385" s="8" t="n">
        <v>3600</v>
      </c>
    </row>
    <row r="386" customFormat="false" ht="15" hidden="false" customHeight="false" outlineLevel="0" collapsed="false">
      <c r="A386" s="8" t="s">
        <v>444</v>
      </c>
      <c r="B386" s="11" t="n">
        <v>45896</v>
      </c>
      <c r="C386" s="8" t="s">
        <v>39</v>
      </c>
      <c r="D386" s="8" t="s">
        <v>57</v>
      </c>
      <c r="E386" s="8" t="s">
        <v>63</v>
      </c>
      <c r="F386" s="8" t="n">
        <v>2</v>
      </c>
      <c r="G386" s="8" t="n">
        <v>9000</v>
      </c>
      <c r="H386" s="8" t="n">
        <v>0</v>
      </c>
      <c r="I386" s="8" t="n">
        <v>6200</v>
      </c>
    </row>
    <row r="387" customFormat="false" ht="15" hidden="false" customHeight="false" outlineLevel="0" collapsed="false">
      <c r="A387" s="8" t="s">
        <v>445</v>
      </c>
      <c r="B387" s="11" t="n">
        <v>45871</v>
      </c>
      <c r="C387" s="8" t="s">
        <v>43</v>
      </c>
      <c r="D387" s="8" t="s">
        <v>40</v>
      </c>
      <c r="E387" s="8" t="s">
        <v>71</v>
      </c>
      <c r="F387" s="8" t="n">
        <v>4</v>
      </c>
      <c r="G387" s="8" t="n">
        <v>500</v>
      </c>
      <c r="H387" s="8" t="n">
        <v>0</v>
      </c>
      <c r="I387" s="8" t="n">
        <v>250</v>
      </c>
    </row>
    <row r="388" customFormat="false" ht="15" hidden="false" customHeight="false" outlineLevel="0" collapsed="false">
      <c r="A388" s="8" t="s">
        <v>446</v>
      </c>
      <c r="B388" s="11" t="n">
        <v>45896</v>
      </c>
      <c r="C388" s="8" t="s">
        <v>55</v>
      </c>
      <c r="D388" s="8" t="s">
        <v>57</v>
      </c>
      <c r="E388" s="8" t="s">
        <v>111</v>
      </c>
      <c r="F388" s="8" t="n">
        <v>2</v>
      </c>
      <c r="G388" s="8" t="n">
        <v>7000</v>
      </c>
      <c r="H388" s="8" t="n">
        <v>0.1</v>
      </c>
      <c r="I388" s="8" t="n">
        <v>4800</v>
      </c>
    </row>
    <row r="389" customFormat="false" ht="15" hidden="false" customHeight="false" outlineLevel="0" collapsed="false">
      <c r="A389" s="8" t="s">
        <v>447</v>
      </c>
      <c r="B389" s="11" t="n">
        <v>45889</v>
      </c>
      <c r="C389" s="8" t="s">
        <v>43</v>
      </c>
      <c r="D389" s="8" t="s">
        <v>44</v>
      </c>
      <c r="E389" s="8" t="s">
        <v>45</v>
      </c>
      <c r="F389" s="8" t="n">
        <v>2</v>
      </c>
      <c r="G389" s="8" t="n">
        <v>1500</v>
      </c>
      <c r="H389" s="8" t="n">
        <v>0</v>
      </c>
      <c r="I389" s="8" t="n">
        <v>900</v>
      </c>
    </row>
    <row r="390" customFormat="false" ht="15" hidden="false" customHeight="false" outlineLevel="0" collapsed="false">
      <c r="A390" s="8" t="s">
        <v>448</v>
      </c>
      <c r="B390" s="11" t="n">
        <v>45876</v>
      </c>
      <c r="C390" s="8" t="s">
        <v>55</v>
      </c>
      <c r="D390" s="8" t="s">
        <v>44</v>
      </c>
      <c r="E390" s="8" t="s">
        <v>60</v>
      </c>
      <c r="F390" s="8" t="n">
        <v>1</v>
      </c>
      <c r="G390" s="8" t="n">
        <v>2500</v>
      </c>
      <c r="H390" s="8" t="n">
        <v>0</v>
      </c>
      <c r="I390" s="8" t="n">
        <v>1600</v>
      </c>
    </row>
    <row r="391" customFormat="false" ht="15" hidden="false" customHeight="false" outlineLevel="0" collapsed="false">
      <c r="A391" s="8" t="s">
        <v>449</v>
      </c>
      <c r="B391" s="11" t="n">
        <v>45886</v>
      </c>
      <c r="C391" s="8" t="s">
        <v>47</v>
      </c>
      <c r="D391" s="8" t="s">
        <v>44</v>
      </c>
      <c r="E391" s="8" t="s">
        <v>45</v>
      </c>
      <c r="F391" s="8" t="n">
        <v>3</v>
      </c>
      <c r="G391" s="8" t="n">
        <v>1500</v>
      </c>
      <c r="H391" s="8" t="n">
        <v>0.05</v>
      </c>
      <c r="I391" s="8" t="n">
        <v>900</v>
      </c>
    </row>
    <row r="392" customFormat="false" ht="15" hidden="false" customHeight="false" outlineLevel="0" collapsed="false">
      <c r="A392" s="8" t="s">
        <v>450</v>
      </c>
      <c r="B392" s="11" t="n">
        <v>45879</v>
      </c>
      <c r="C392" s="8" t="s">
        <v>39</v>
      </c>
      <c r="D392" s="8" t="s">
        <v>57</v>
      </c>
      <c r="E392" s="8" t="s">
        <v>58</v>
      </c>
      <c r="F392" s="8" t="n">
        <v>2</v>
      </c>
      <c r="G392" s="8" t="n">
        <v>5500</v>
      </c>
      <c r="H392" s="8" t="n">
        <v>0</v>
      </c>
      <c r="I392" s="8" t="n">
        <v>3600</v>
      </c>
    </row>
    <row r="393" customFormat="false" ht="15" hidden="false" customHeight="false" outlineLevel="0" collapsed="false">
      <c r="A393" s="8" t="s">
        <v>451</v>
      </c>
      <c r="B393" s="11" t="n">
        <v>45895</v>
      </c>
      <c r="C393" s="8" t="s">
        <v>39</v>
      </c>
      <c r="D393" s="8" t="s">
        <v>44</v>
      </c>
      <c r="E393" s="8" t="s">
        <v>48</v>
      </c>
      <c r="F393" s="8" t="n">
        <v>2</v>
      </c>
      <c r="G393" s="8" t="n">
        <v>4500</v>
      </c>
      <c r="H393" s="8" t="n">
        <v>0.1</v>
      </c>
      <c r="I393" s="8" t="n">
        <v>3300</v>
      </c>
    </row>
    <row r="394" customFormat="false" ht="15" hidden="false" customHeight="false" outlineLevel="0" collapsed="false">
      <c r="A394" s="8" t="s">
        <v>452</v>
      </c>
      <c r="B394" s="11" t="n">
        <v>45889</v>
      </c>
      <c r="C394" s="8" t="s">
        <v>47</v>
      </c>
      <c r="D394" s="8" t="s">
        <v>40</v>
      </c>
      <c r="E394" s="8" t="s">
        <v>104</v>
      </c>
      <c r="F394" s="8" t="n">
        <v>3</v>
      </c>
      <c r="G394" s="8" t="n">
        <v>250</v>
      </c>
      <c r="H394" s="8" t="n">
        <v>0</v>
      </c>
      <c r="I394" s="8" t="n">
        <v>100</v>
      </c>
    </row>
    <row r="395" customFormat="false" ht="15" hidden="false" customHeight="false" outlineLevel="0" collapsed="false">
      <c r="A395" s="8" t="s">
        <v>453</v>
      </c>
      <c r="B395" s="11" t="n">
        <v>45877</v>
      </c>
      <c r="C395" s="8" t="s">
        <v>39</v>
      </c>
      <c r="D395" s="8" t="s">
        <v>40</v>
      </c>
      <c r="E395" s="8" t="s">
        <v>77</v>
      </c>
      <c r="F395" s="8" t="n">
        <v>10</v>
      </c>
      <c r="G395" s="8" t="n">
        <v>400</v>
      </c>
      <c r="H395" s="8" t="n">
        <v>0.05</v>
      </c>
      <c r="I395" s="8" t="n">
        <v>200</v>
      </c>
    </row>
    <row r="396" customFormat="false" ht="15" hidden="false" customHeight="false" outlineLevel="0" collapsed="false">
      <c r="A396" s="8" t="s">
        <v>454</v>
      </c>
      <c r="B396" s="11" t="n">
        <v>45889</v>
      </c>
      <c r="C396" s="8" t="s">
        <v>39</v>
      </c>
      <c r="D396" s="8" t="s">
        <v>40</v>
      </c>
      <c r="E396" s="8" t="s">
        <v>71</v>
      </c>
      <c r="F396" s="8" t="n">
        <v>8</v>
      </c>
      <c r="G396" s="8" t="n">
        <v>500</v>
      </c>
      <c r="H396" s="8" t="n">
        <v>0</v>
      </c>
      <c r="I396" s="8" t="n">
        <v>250</v>
      </c>
    </row>
    <row r="397" customFormat="false" ht="15" hidden="false" customHeight="false" outlineLevel="0" collapsed="false">
      <c r="A397" s="8" t="s">
        <v>455</v>
      </c>
      <c r="B397" s="11" t="n">
        <v>45891</v>
      </c>
      <c r="C397" s="8" t="s">
        <v>39</v>
      </c>
      <c r="D397" s="8" t="s">
        <v>57</v>
      </c>
      <c r="E397" s="8" t="s">
        <v>63</v>
      </c>
      <c r="F397" s="8" t="n">
        <v>2</v>
      </c>
      <c r="G397" s="8" t="n">
        <v>9000</v>
      </c>
      <c r="H397" s="8" t="n">
        <v>0</v>
      </c>
      <c r="I397" s="8" t="n">
        <v>6200</v>
      </c>
    </row>
    <row r="398" customFormat="false" ht="15" hidden="false" customHeight="false" outlineLevel="0" collapsed="false">
      <c r="A398" s="8" t="s">
        <v>456</v>
      </c>
      <c r="B398" s="11" t="n">
        <v>45886</v>
      </c>
      <c r="C398" s="8" t="s">
        <v>39</v>
      </c>
      <c r="D398" s="8" t="s">
        <v>40</v>
      </c>
      <c r="E398" s="8" t="s">
        <v>41</v>
      </c>
      <c r="F398" s="8" t="n">
        <v>7</v>
      </c>
      <c r="G398" s="8" t="n">
        <v>600</v>
      </c>
      <c r="H398" s="8" t="n">
        <v>0</v>
      </c>
      <c r="I398" s="8" t="n">
        <v>300</v>
      </c>
    </row>
    <row r="399" customFormat="false" ht="15" hidden="false" customHeight="false" outlineLevel="0" collapsed="false">
      <c r="A399" s="8" t="s">
        <v>457</v>
      </c>
      <c r="B399" s="11" t="n">
        <v>45870</v>
      </c>
      <c r="C399" s="8" t="s">
        <v>47</v>
      </c>
      <c r="D399" s="8" t="s">
        <v>40</v>
      </c>
      <c r="E399" s="8" t="s">
        <v>77</v>
      </c>
      <c r="F399" s="8" t="n">
        <v>10</v>
      </c>
      <c r="G399" s="8" t="n">
        <v>400</v>
      </c>
      <c r="H399" s="8" t="n">
        <v>0.05</v>
      </c>
      <c r="I399" s="8" t="n">
        <v>200</v>
      </c>
    </row>
    <row r="400" customFormat="false" ht="15" hidden="false" customHeight="false" outlineLevel="0" collapsed="false">
      <c r="A400" s="8" t="s">
        <v>458</v>
      </c>
      <c r="B400" s="11" t="n">
        <v>45882</v>
      </c>
      <c r="C400" s="8" t="s">
        <v>55</v>
      </c>
      <c r="D400" s="8" t="s">
        <v>57</v>
      </c>
      <c r="E400" s="8" t="s">
        <v>58</v>
      </c>
      <c r="F400" s="8" t="n">
        <v>1</v>
      </c>
      <c r="G400" s="8" t="n">
        <v>5500</v>
      </c>
      <c r="H400" s="8" t="n">
        <v>0.1</v>
      </c>
      <c r="I400" s="8" t="n">
        <v>3600</v>
      </c>
    </row>
    <row r="401" customFormat="false" ht="15" hidden="false" customHeight="false" outlineLevel="0" collapsed="false">
      <c r="A401" s="8" t="s">
        <v>459</v>
      </c>
      <c r="B401" s="11" t="n">
        <v>45895</v>
      </c>
      <c r="C401" s="8" t="s">
        <v>47</v>
      </c>
      <c r="D401" s="8" t="s">
        <v>57</v>
      </c>
      <c r="E401" s="8" t="s">
        <v>63</v>
      </c>
      <c r="F401" s="8" t="n">
        <v>1</v>
      </c>
      <c r="G401" s="8" t="n">
        <v>9000</v>
      </c>
      <c r="H401" s="8" t="n">
        <v>0</v>
      </c>
      <c r="I401" s="8" t="n">
        <v>6200</v>
      </c>
    </row>
    <row r="402" customFormat="false" ht="15" hidden="false" customHeight="false" outlineLevel="0" collapsed="false">
      <c r="A402" s="8" t="s">
        <v>460</v>
      </c>
      <c r="B402" s="11" t="n">
        <v>45890</v>
      </c>
      <c r="C402" s="8" t="s">
        <v>47</v>
      </c>
      <c r="D402" s="8" t="s">
        <v>44</v>
      </c>
      <c r="E402" s="8" t="s">
        <v>48</v>
      </c>
      <c r="F402" s="8" t="n">
        <v>3</v>
      </c>
      <c r="G402" s="8" t="n">
        <v>4500</v>
      </c>
      <c r="H402" s="8" t="n">
        <v>0.1</v>
      </c>
      <c r="I402" s="8" t="n">
        <v>3300</v>
      </c>
    </row>
    <row r="403" customFormat="false" ht="15" hidden="false" customHeight="false" outlineLevel="0" collapsed="false">
      <c r="A403" s="8" t="s">
        <v>461</v>
      </c>
      <c r="B403" s="11" t="n">
        <v>45874</v>
      </c>
      <c r="C403" s="8" t="s">
        <v>43</v>
      </c>
      <c r="D403" s="8" t="s">
        <v>44</v>
      </c>
      <c r="E403" s="8" t="s">
        <v>48</v>
      </c>
      <c r="F403" s="8" t="n">
        <v>3</v>
      </c>
      <c r="G403" s="8" t="n">
        <v>4500</v>
      </c>
      <c r="H403" s="8" t="n">
        <v>0</v>
      </c>
      <c r="I403" s="8" t="n">
        <v>3300</v>
      </c>
    </row>
    <row r="404" customFormat="false" ht="15" hidden="false" customHeight="false" outlineLevel="0" collapsed="false">
      <c r="A404" s="8" t="s">
        <v>462</v>
      </c>
      <c r="B404" s="11" t="n">
        <v>45906</v>
      </c>
      <c r="C404" s="8" t="s">
        <v>47</v>
      </c>
      <c r="D404" s="8" t="s">
        <v>44</v>
      </c>
      <c r="E404" s="8" t="s">
        <v>60</v>
      </c>
      <c r="F404" s="8" t="n">
        <v>2</v>
      </c>
      <c r="G404" s="8" t="n">
        <v>2500</v>
      </c>
      <c r="H404" s="8" t="n">
        <v>0.1</v>
      </c>
      <c r="I404" s="8" t="n">
        <v>1600</v>
      </c>
    </row>
    <row r="405" customFormat="false" ht="15" hidden="false" customHeight="false" outlineLevel="0" collapsed="false">
      <c r="A405" s="8" t="s">
        <v>463</v>
      </c>
      <c r="B405" s="11" t="n">
        <v>45906</v>
      </c>
      <c r="C405" s="8" t="s">
        <v>47</v>
      </c>
      <c r="D405" s="8" t="s">
        <v>40</v>
      </c>
      <c r="E405" s="8" t="s">
        <v>41</v>
      </c>
      <c r="F405" s="8" t="n">
        <v>9</v>
      </c>
      <c r="G405" s="8" t="n">
        <v>600</v>
      </c>
      <c r="H405" s="8" t="n">
        <v>0.1</v>
      </c>
      <c r="I405" s="8" t="n">
        <v>300</v>
      </c>
    </row>
    <row r="406" customFormat="false" ht="15" hidden="false" customHeight="false" outlineLevel="0" collapsed="false">
      <c r="A406" s="8" t="s">
        <v>464</v>
      </c>
      <c r="B406" s="11" t="n">
        <v>45910</v>
      </c>
      <c r="C406" s="8" t="s">
        <v>39</v>
      </c>
      <c r="D406" s="8" t="s">
        <v>44</v>
      </c>
      <c r="E406" s="8" t="s">
        <v>45</v>
      </c>
      <c r="F406" s="8" t="n">
        <v>2</v>
      </c>
      <c r="G406" s="8" t="n">
        <v>1500</v>
      </c>
      <c r="H406" s="8" t="n">
        <v>0</v>
      </c>
      <c r="I406" s="8" t="n">
        <v>900</v>
      </c>
    </row>
    <row r="407" customFormat="false" ht="15" hidden="false" customHeight="false" outlineLevel="0" collapsed="false">
      <c r="A407" s="8" t="s">
        <v>465</v>
      </c>
      <c r="B407" s="11" t="n">
        <v>45911</v>
      </c>
      <c r="C407" s="8" t="s">
        <v>39</v>
      </c>
      <c r="D407" s="8" t="s">
        <v>44</v>
      </c>
      <c r="E407" s="8" t="s">
        <v>50</v>
      </c>
      <c r="F407" s="8" t="n">
        <v>1</v>
      </c>
      <c r="G407" s="8" t="n">
        <v>3000</v>
      </c>
      <c r="H407" s="8" t="n">
        <v>0</v>
      </c>
      <c r="I407" s="8" t="n">
        <v>2000</v>
      </c>
    </row>
    <row r="408" customFormat="false" ht="15" hidden="false" customHeight="false" outlineLevel="0" collapsed="false">
      <c r="A408" s="8" t="s">
        <v>466</v>
      </c>
      <c r="B408" s="11" t="n">
        <v>45909</v>
      </c>
      <c r="C408" s="8" t="s">
        <v>47</v>
      </c>
      <c r="D408" s="8" t="s">
        <v>57</v>
      </c>
      <c r="E408" s="8" t="s">
        <v>111</v>
      </c>
      <c r="F408" s="8" t="n">
        <v>3</v>
      </c>
      <c r="G408" s="8" t="n">
        <v>7000</v>
      </c>
      <c r="H408" s="8" t="n">
        <v>0</v>
      </c>
      <c r="I408" s="8" t="n">
        <v>4800</v>
      </c>
    </row>
    <row r="409" customFormat="false" ht="15" hidden="false" customHeight="false" outlineLevel="0" collapsed="false">
      <c r="A409" s="8" t="s">
        <v>467</v>
      </c>
      <c r="B409" s="11" t="n">
        <v>45912</v>
      </c>
      <c r="C409" s="8"/>
      <c r="D409" s="8" t="s">
        <v>44</v>
      </c>
      <c r="E409" s="8" t="s">
        <v>60</v>
      </c>
      <c r="F409" s="8" t="n">
        <v>1</v>
      </c>
      <c r="G409" s="8" t="n">
        <v>2500</v>
      </c>
      <c r="H409" s="8" t="n">
        <v>0</v>
      </c>
      <c r="I409" s="8" t="n">
        <v>1600</v>
      </c>
    </row>
    <row r="410" customFormat="false" ht="15" hidden="false" customHeight="false" outlineLevel="0" collapsed="false">
      <c r="A410" s="8" t="s">
        <v>468</v>
      </c>
      <c r="B410" s="11" t="n">
        <v>45904</v>
      </c>
      <c r="C410" s="8" t="s">
        <v>55</v>
      </c>
      <c r="D410" s="8" t="s">
        <v>44</v>
      </c>
      <c r="E410" s="8" t="s">
        <v>60</v>
      </c>
      <c r="F410" s="8" t="n">
        <v>2</v>
      </c>
      <c r="G410" s="8" t="n">
        <v>2500</v>
      </c>
      <c r="H410" s="8" t="n">
        <v>0</v>
      </c>
      <c r="I410" s="8" t="n">
        <v>1600</v>
      </c>
    </row>
    <row r="411" customFormat="false" ht="15" hidden="false" customHeight="false" outlineLevel="0" collapsed="false">
      <c r="A411" s="8" t="s">
        <v>469</v>
      </c>
      <c r="B411" s="11" t="n">
        <v>45915</v>
      </c>
      <c r="C411" s="8" t="s">
        <v>47</v>
      </c>
      <c r="D411" s="8" t="s">
        <v>57</v>
      </c>
      <c r="E411" s="8" t="s">
        <v>63</v>
      </c>
      <c r="F411" s="8" t="n">
        <v>2</v>
      </c>
      <c r="G411" s="8" t="n">
        <v>9000</v>
      </c>
      <c r="H411" s="8" t="n">
        <v>0.1</v>
      </c>
      <c r="I411" s="8" t="n">
        <v>6200</v>
      </c>
    </row>
    <row r="412" customFormat="false" ht="15" hidden="false" customHeight="false" outlineLevel="0" collapsed="false">
      <c r="A412" s="8" t="s">
        <v>470</v>
      </c>
      <c r="B412" s="11" t="n">
        <v>45923</v>
      </c>
      <c r="C412" s="8" t="s">
        <v>47</v>
      </c>
      <c r="D412" s="8" t="s">
        <v>57</v>
      </c>
      <c r="E412" s="8" t="s">
        <v>58</v>
      </c>
      <c r="F412" s="8" t="n">
        <v>1</v>
      </c>
      <c r="G412" s="8" t="n">
        <v>5500</v>
      </c>
      <c r="H412" s="8" t="n">
        <v>0</v>
      </c>
      <c r="I412" s="8" t="n">
        <v>3600</v>
      </c>
    </row>
    <row r="413" customFormat="false" ht="15" hidden="false" customHeight="false" outlineLevel="0" collapsed="false">
      <c r="A413" s="8" t="s">
        <v>471</v>
      </c>
      <c r="B413" s="11" t="n">
        <v>45926</v>
      </c>
      <c r="C413" s="8" t="s">
        <v>47</v>
      </c>
      <c r="D413" s="8" t="s">
        <v>57</v>
      </c>
      <c r="E413" s="8" t="s">
        <v>86</v>
      </c>
      <c r="F413" s="8" t="n">
        <v>3</v>
      </c>
      <c r="G413" s="8" t="n">
        <v>1200</v>
      </c>
      <c r="H413" s="8" t="n">
        <v>0</v>
      </c>
      <c r="I413" s="8" t="n">
        <v>600</v>
      </c>
    </row>
    <row r="414" customFormat="false" ht="15" hidden="false" customHeight="false" outlineLevel="0" collapsed="false">
      <c r="A414" s="8" t="s">
        <v>472</v>
      </c>
      <c r="B414" s="11" t="n">
        <v>45920</v>
      </c>
      <c r="C414" s="8" t="s">
        <v>43</v>
      </c>
      <c r="D414" s="8" t="s">
        <v>44</v>
      </c>
      <c r="E414" s="8" t="s">
        <v>48</v>
      </c>
      <c r="F414" s="8" t="n">
        <v>1</v>
      </c>
      <c r="G414" s="8" t="n">
        <v>4500</v>
      </c>
      <c r="H414" s="8" t="n">
        <v>0</v>
      </c>
      <c r="I414" s="8" t="n">
        <v>3300</v>
      </c>
    </row>
    <row r="415" customFormat="false" ht="15" hidden="false" customHeight="false" outlineLevel="0" collapsed="false">
      <c r="A415" s="8" t="s">
        <v>473</v>
      </c>
      <c r="B415" s="11" t="n">
        <v>45903</v>
      </c>
      <c r="C415" s="8" t="s">
        <v>47</v>
      </c>
      <c r="D415" s="8" t="s">
        <v>44</v>
      </c>
      <c r="E415" s="8" t="s">
        <v>45</v>
      </c>
      <c r="F415" s="8" t="n">
        <v>2</v>
      </c>
      <c r="G415" s="8" t="n">
        <v>1500</v>
      </c>
      <c r="H415" s="8" t="n">
        <v>0</v>
      </c>
      <c r="I415" s="8" t="n">
        <v>900</v>
      </c>
    </row>
    <row r="416" customFormat="false" ht="15" hidden="false" customHeight="false" outlineLevel="0" collapsed="false">
      <c r="A416" s="8" t="s">
        <v>474</v>
      </c>
      <c r="B416" s="11" t="n">
        <v>45920</v>
      </c>
      <c r="C416" s="8" t="s">
        <v>43</v>
      </c>
      <c r="D416" s="8" t="s">
        <v>57</v>
      </c>
      <c r="E416" s="8" t="s">
        <v>63</v>
      </c>
      <c r="F416" s="8" t="n">
        <v>2</v>
      </c>
      <c r="G416" s="8" t="n">
        <v>9000</v>
      </c>
      <c r="H416" s="8" t="n">
        <v>0</v>
      </c>
      <c r="I416" s="8" t="n">
        <v>6200</v>
      </c>
    </row>
    <row r="417" customFormat="false" ht="15" hidden="false" customHeight="false" outlineLevel="0" collapsed="false">
      <c r="A417" s="8" t="s">
        <v>475</v>
      </c>
      <c r="B417" s="11" t="n">
        <v>45915</v>
      </c>
      <c r="C417" s="8" t="s">
        <v>47</v>
      </c>
      <c r="D417" s="8" t="s">
        <v>40</v>
      </c>
      <c r="E417" s="8" t="s">
        <v>71</v>
      </c>
      <c r="F417" s="8" t="n">
        <v>9</v>
      </c>
      <c r="G417" s="8" t="n">
        <v>500</v>
      </c>
      <c r="H417" s="8" t="n">
        <v>0</v>
      </c>
      <c r="I417" s="8" t="n">
        <v>250</v>
      </c>
    </row>
    <row r="418" customFormat="false" ht="15" hidden="false" customHeight="false" outlineLevel="0" collapsed="false">
      <c r="A418" s="8" t="s">
        <v>476</v>
      </c>
      <c r="B418" s="11" t="n">
        <v>45914</v>
      </c>
      <c r="C418" s="8" t="s">
        <v>43</v>
      </c>
      <c r="D418" s="8" t="s">
        <v>44</v>
      </c>
      <c r="E418" s="8" t="s">
        <v>60</v>
      </c>
      <c r="F418" s="8" t="n">
        <v>2</v>
      </c>
      <c r="G418" s="8" t="n">
        <v>2500</v>
      </c>
      <c r="H418" s="8" t="n">
        <v>0.05</v>
      </c>
      <c r="I418" s="8" t="n">
        <v>1600</v>
      </c>
    </row>
    <row r="419" customFormat="false" ht="15" hidden="false" customHeight="false" outlineLevel="0" collapsed="false">
      <c r="A419" s="8" t="s">
        <v>477</v>
      </c>
      <c r="B419" s="11" t="n">
        <v>45922</v>
      </c>
      <c r="C419" s="8" t="s">
        <v>43</v>
      </c>
      <c r="D419" s="8" t="s">
        <v>57</v>
      </c>
      <c r="E419" s="8" t="s">
        <v>111</v>
      </c>
      <c r="F419" s="8" t="n">
        <v>1</v>
      </c>
      <c r="G419" s="8" t="n">
        <v>7000</v>
      </c>
      <c r="H419" s="8" t="n">
        <v>0</v>
      </c>
      <c r="I419" s="8" t="n">
        <v>4800</v>
      </c>
    </row>
    <row r="420" customFormat="false" ht="15" hidden="false" customHeight="false" outlineLevel="0" collapsed="false">
      <c r="A420" s="8" t="s">
        <v>478</v>
      </c>
      <c r="B420" s="11" t="n">
        <v>45922</v>
      </c>
      <c r="C420" s="8" t="s">
        <v>47</v>
      </c>
      <c r="D420" s="8" t="s">
        <v>40</v>
      </c>
      <c r="E420" s="8" t="s">
        <v>41</v>
      </c>
      <c r="F420" s="8" t="n">
        <v>10</v>
      </c>
      <c r="G420" s="8" t="n">
        <v>600</v>
      </c>
      <c r="H420" s="8" t="n">
        <v>0.1</v>
      </c>
      <c r="I420" s="8" t="n">
        <v>300</v>
      </c>
    </row>
    <row r="421" customFormat="false" ht="15" hidden="false" customHeight="false" outlineLevel="0" collapsed="false">
      <c r="A421" s="8" t="s">
        <v>479</v>
      </c>
      <c r="B421" s="11" t="n">
        <v>45922</v>
      </c>
      <c r="C421" s="8" t="s">
        <v>55</v>
      </c>
      <c r="D421" s="8" t="s">
        <v>44</v>
      </c>
      <c r="E421" s="8" t="s">
        <v>45</v>
      </c>
      <c r="F421" s="8" t="n">
        <v>1</v>
      </c>
      <c r="G421" s="8" t="n">
        <v>1500</v>
      </c>
      <c r="H421" s="8" t="n">
        <v>0.05</v>
      </c>
      <c r="I421" s="8" t="n">
        <v>900</v>
      </c>
    </row>
    <row r="422" customFormat="false" ht="15" hidden="false" customHeight="false" outlineLevel="0" collapsed="false">
      <c r="A422" s="8" t="s">
        <v>480</v>
      </c>
      <c r="B422" s="11" t="n">
        <v>45925</v>
      </c>
      <c r="C422" s="8" t="s">
        <v>39</v>
      </c>
      <c r="D422" s="8" t="s">
        <v>57</v>
      </c>
      <c r="E422" s="8" t="s">
        <v>86</v>
      </c>
      <c r="F422" s="8" t="n">
        <v>1</v>
      </c>
      <c r="G422" s="8" t="n">
        <v>1200</v>
      </c>
      <c r="H422" s="8" t="n">
        <v>0</v>
      </c>
      <c r="I422" s="8" t="n">
        <v>600</v>
      </c>
    </row>
    <row r="423" customFormat="false" ht="15" hidden="false" customHeight="false" outlineLevel="0" collapsed="false">
      <c r="A423" s="8" t="s">
        <v>481</v>
      </c>
      <c r="B423" s="11" t="n">
        <v>45902</v>
      </c>
      <c r="C423" s="8" t="s">
        <v>482</v>
      </c>
      <c r="D423" s="8" t="s">
        <v>40</v>
      </c>
      <c r="E423" s="8" t="s">
        <v>41</v>
      </c>
      <c r="F423" s="8" t="n">
        <v>8</v>
      </c>
      <c r="G423" s="8" t="n">
        <v>600</v>
      </c>
      <c r="H423" s="8" t="n">
        <v>0.05</v>
      </c>
      <c r="I423" s="8" t="n">
        <v>300</v>
      </c>
    </row>
    <row r="424" customFormat="false" ht="15" hidden="false" customHeight="false" outlineLevel="0" collapsed="false">
      <c r="A424" s="8" t="s">
        <v>483</v>
      </c>
      <c r="B424" s="11" t="n">
        <v>45912</v>
      </c>
      <c r="C424" s="8" t="s">
        <v>39</v>
      </c>
      <c r="D424" s="8" t="s">
        <v>40</v>
      </c>
      <c r="E424" s="8" t="s">
        <v>104</v>
      </c>
      <c r="F424" s="8" t="n">
        <v>9</v>
      </c>
      <c r="G424" s="8" t="n">
        <v>250</v>
      </c>
      <c r="H424" s="8" t="n">
        <v>0</v>
      </c>
      <c r="I424" s="8" t="n">
        <v>100</v>
      </c>
    </row>
    <row r="425" customFormat="false" ht="15" hidden="false" customHeight="false" outlineLevel="0" collapsed="false">
      <c r="A425" s="8" t="s">
        <v>484</v>
      </c>
      <c r="B425" s="11" t="n">
        <v>45917</v>
      </c>
      <c r="C425" s="8" t="s">
        <v>43</v>
      </c>
      <c r="D425" s="8" t="s">
        <v>57</v>
      </c>
      <c r="E425" s="8" t="s">
        <v>86</v>
      </c>
      <c r="F425" s="8" t="n">
        <v>3</v>
      </c>
      <c r="G425" s="8" t="n">
        <v>1200</v>
      </c>
      <c r="H425" s="8" t="n">
        <v>0</v>
      </c>
      <c r="I425" s="8" t="n">
        <v>600</v>
      </c>
    </row>
    <row r="426" customFormat="false" ht="15" hidden="false" customHeight="false" outlineLevel="0" collapsed="false">
      <c r="A426" s="8" t="s">
        <v>485</v>
      </c>
      <c r="B426" s="11" t="n">
        <v>45908</v>
      </c>
      <c r="C426" s="8" t="s">
        <v>47</v>
      </c>
      <c r="D426" s="8" t="s">
        <v>57</v>
      </c>
      <c r="E426" s="8" t="s">
        <v>63</v>
      </c>
      <c r="F426" s="8" t="n">
        <v>3</v>
      </c>
      <c r="G426" s="8" t="n">
        <v>9000</v>
      </c>
      <c r="H426" s="8" t="n">
        <v>0</v>
      </c>
      <c r="I426" s="8" t="n">
        <v>6200</v>
      </c>
    </row>
    <row r="427" customFormat="false" ht="15" hidden="false" customHeight="false" outlineLevel="0" collapsed="false">
      <c r="A427" s="8" t="s">
        <v>486</v>
      </c>
      <c r="B427" s="11" t="n">
        <v>45917</v>
      </c>
      <c r="C427" s="8" t="s">
        <v>39</v>
      </c>
      <c r="D427" s="8" t="s">
        <v>44</v>
      </c>
      <c r="E427" s="8" t="s">
        <v>48</v>
      </c>
      <c r="F427" s="8" t="n">
        <v>1</v>
      </c>
      <c r="G427" s="8" t="n">
        <v>4500</v>
      </c>
      <c r="H427" s="8" t="n">
        <v>0</v>
      </c>
      <c r="I427" s="8" t="n">
        <v>3300</v>
      </c>
    </row>
    <row r="428" customFormat="false" ht="15" hidden="false" customHeight="false" outlineLevel="0" collapsed="false">
      <c r="A428" s="8" t="s">
        <v>487</v>
      </c>
      <c r="B428" s="11" t="n">
        <v>45925</v>
      </c>
      <c r="C428" s="8" t="s">
        <v>55</v>
      </c>
      <c r="D428" s="8" t="s">
        <v>57</v>
      </c>
      <c r="E428" s="8" t="s">
        <v>58</v>
      </c>
      <c r="F428" s="8" t="n">
        <v>1</v>
      </c>
      <c r="G428" s="8" t="n">
        <v>5500</v>
      </c>
      <c r="H428" s="8" t="n">
        <v>0</v>
      </c>
      <c r="I428" s="8" t="n">
        <v>3600</v>
      </c>
    </row>
    <row r="429" customFormat="false" ht="15" hidden="false" customHeight="false" outlineLevel="0" collapsed="false">
      <c r="A429" s="8" t="s">
        <v>488</v>
      </c>
      <c r="B429" s="11" t="n">
        <v>45910</v>
      </c>
      <c r="C429" s="8" t="s">
        <v>43</v>
      </c>
      <c r="D429" s="8" t="s">
        <v>57</v>
      </c>
      <c r="E429" s="8" t="s">
        <v>111</v>
      </c>
      <c r="F429" s="8" t="n">
        <v>1</v>
      </c>
      <c r="G429" s="8" t="n">
        <v>7000</v>
      </c>
      <c r="H429" s="8" t="n">
        <v>0.05</v>
      </c>
      <c r="I429" s="8" t="n">
        <v>4800</v>
      </c>
    </row>
    <row r="430" customFormat="false" ht="15" hidden="false" customHeight="false" outlineLevel="0" collapsed="false">
      <c r="A430" s="8" t="s">
        <v>489</v>
      </c>
      <c r="B430" s="11" t="n">
        <v>45904</v>
      </c>
      <c r="C430" s="8" t="s">
        <v>55</v>
      </c>
      <c r="D430" s="8" t="s">
        <v>40</v>
      </c>
      <c r="E430" s="8" t="s">
        <v>71</v>
      </c>
      <c r="F430" s="8" t="n">
        <v>9</v>
      </c>
      <c r="G430" s="8" t="n">
        <v>500</v>
      </c>
      <c r="H430" s="8" t="n">
        <v>0</v>
      </c>
      <c r="I430" s="8" t="n">
        <v>250</v>
      </c>
    </row>
    <row r="431" customFormat="false" ht="15" hidden="false" customHeight="false" outlineLevel="0" collapsed="false">
      <c r="A431" s="8" t="s">
        <v>490</v>
      </c>
      <c r="B431" s="11" t="n">
        <v>45923</v>
      </c>
      <c r="C431" s="8" t="s">
        <v>55</v>
      </c>
      <c r="D431" s="8" t="s">
        <v>44</v>
      </c>
      <c r="E431" s="8" t="s">
        <v>45</v>
      </c>
      <c r="F431" s="8" t="n">
        <v>2</v>
      </c>
      <c r="G431" s="8" t="n">
        <v>1500</v>
      </c>
      <c r="H431" s="8" t="n">
        <v>0</v>
      </c>
      <c r="I431" s="8" t="n">
        <v>900</v>
      </c>
    </row>
    <row r="432" customFormat="false" ht="15" hidden="false" customHeight="false" outlineLevel="0" collapsed="false">
      <c r="A432" s="8" t="s">
        <v>491</v>
      </c>
      <c r="B432" s="11" t="n">
        <v>45922</v>
      </c>
      <c r="C432" s="8" t="s">
        <v>55</v>
      </c>
      <c r="D432" s="8" t="s">
        <v>57</v>
      </c>
      <c r="E432" s="8" t="s">
        <v>86</v>
      </c>
      <c r="F432" s="8" t="n">
        <v>3</v>
      </c>
      <c r="G432" s="8" t="n">
        <v>1200</v>
      </c>
      <c r="H432" s="8" t="n">
        <v>0</v>
      </c>
      <c r="I432" s="8" t="n">
        <v>600</v>
      </c>
    </row>
    <row r="433" customFormat="false" ht="15" hidden="false" customHeight="false" outlineLevel="0" collapsed="false">
      <c r="A433" s="8" t="s">
        <v>492</v>
      </c>
      <c r="B433" s="11" t="n">
        <v>45910</v>
      </c>
      <c r="C433" s="8" t="s">
        <v>43</v>
      </c>
      <c r="D433" s="8" t="s">
        <v>57</v>
      </c>
      <c r="E433" s="8" t="s">
        <v>63</v>
      </c>
      <c r="F433" s="8" t="n">
        <v>3</v>
      </c>
      <c r="G433" s="8" t="n">
        <v>9000</v>
      </c>
      <c r="H433" s="8" t="n">
        <v>0.05</v>
      </c>
      <c r="I433" s="8" t="n">
        <v>6200</v>
      </c>
    </row>
    <row r="434" customFormat="false" ht="15" hidden="false" customHeight="false" outlineLevel="0" collapsed="false">
      <c r="A434" s="8" t="s">
        <v>493</v>
      </c>
      <c r="B434" s="11" t="n">
        <v>45923</v>
      </c>
      <c r="C434" s="8" t="s">
        <v>55</v>
      </c>
      <c r="D434" s="8" t="s">
        <v>57</v>
      </c>
      <c r="E434" s="8" t="s">
        <v>111</v>
      </c>
      <c r="F434" s="8" t="n">
        <v>3</v>
      </c>
      <c r="G434" s="8" t="n">
        <v>7000</v>
      </c>
      <c r="H434" s="8" t="n">
        <v>0.1</v>
      </c>
      <c r="I434" s="8" t="n">
        <v>4800</v>
      </c>
    </row>
    <row r="435" customFormat="false" ht="15" hidden="false" customHeight="false" outlineLevel="0" collapsed="false">
      <c r="A435" s="8" t="s">
        <v>494</v>
      </c>
      <c r="B435" s="11" t="n">
        <v>45908</v>
      </c>
      <c r="C435" s="8" t="s">
        <v>39</v>
      </c>
      <c r="D435" s="8" t="s">
        <v>40</v>
      </c>
      <c r="E435" s="8" t="s">
        <v>41</v>
      </c>
      <c r="F435" s="8" t="n">
        <v>7</v>
      </c>
      <c r="G435" s="8" t="n">
        <v>600</v>
      </c>
      <c r="H435" s="8" t="n">
        <v>0.05</v>
      </c>
      <c r="I435" s="8" t="n">
        <v>300</v>
      </c>
    </row>
    <row r="436" customFormat="false" ht="15" hidden="false" customHeight="false" outlineLevel="0" collapsed="false">
      <c r="A436" s="8" t="s">
        <v>495</v>
      </c>
      <c r="B436" s="11" t="n">
        <v>45926</v>
      </c>
      <c r="C436" s="8" t="s">
        <v>55</v>
      </c>
      <c r="D436" s="8" t="s">
        <v>44</v>
      </c>
      <c r="E436" s="8" t="s">
        <v>48</v>
      </c>
      <c r="F436" s="8" t="n">
        <v>1</v>
      </c>
      <c r="G436" s="8" t="n">
        <v>4500</v>
      </c>
      <c r="H436" s="8" t="n">
        <v>0</v>
      </c>
      <c r="I436" s="8" t="n">
        <v>3300</v>
      </c>
    </row>
    <row r="437" customFormat="false" ht="15" hidden="false" customHeight="false" outlineLevel="0" collapsed="false">
      <c r="A437" s="8" t="s">
        <v>496</v>
      </c>
      <c r="B437" s="11" t="n">
        <v>45912</v>
      </c>
      <c r="C437" s="8" t="s">
        <v>39</v>
      </c>
      <c r="D437" s="8" t="s">
        <v>57</v>
      </c>
      <c r="E437" s="8" t="s">
        <v>86</v>
      </c>
      <c r="F437" s="8" t="n">
        <v>3</v>
      </c>
      <c r="G437" s="8" t="n">
        <v>1200</v>
      </c>
      <c r="H437" s="8" t="n">
        <v>0.05</v>
      </c>
      <c r="I437" s="8" t="n">
        <v>600</v>
      </c>
    </row>
    <row r="438" customFormat="false" ht="15" hidden="false" customHeight="false" outlineLevel="0" collapsed="false">
      <c r="A438" s="8" t="s">
        <v>497</v>
      </c>
      <c r="B438" s="11" t="n">
        <v>45920</v>
      </c>
      <c r="C438" s="8" t="s">
        <v>55</v>
      </c>
      <c r="D438" s="8" t="s">
        <v>57</v>
      </c>
      <c r="E438" s="8" t="s">
        <v>86</v>
      </c>
      <c r="F438" s="8" t="n">
        <v>3</v>
      </c>
      <c r="G438" s="8" t="n">
        <v>1200</v>
      </c>
      <c r="H438" s="8" t="n">
        <v>0</v>
      </c>
      <c r="I438" s="8" t="n">
        <v>600</v>
      </c>
    </row>
    <row r="439" customFormat="false" ht="15" hidden="false" customHeight="false" outlineLevel="0" collapsed="false">
      <c r="A439" s="8" t="s">
        <v>498</v>
      </c>
      <c r="B439" s="11" t="n">
        <v>45924</v>
      </c>
      <c r="C439" s="8" t="s">
        <v>39</v>
      </c>
      <c r="D439" s="8" t="s">
        <v>44</v>
      </c>
      <c r="E439" s="8" t="s">
        <v>48</v>
      </c>
      <c r="F439" s="8" t="n">
        <v>2</v>
      </c>
      <c r="G439" s="8" t="n">
        <v>4500</v>
      </c>
      <c r="H439" s="8" t="n">
        <v>0.1</v>
      </c>
      <c r="I439" s="8" t="n">
        <v>3300</v>
      </c>
    </row>
    <row r="440" customFormat="false" ht="15" hidden="false" customHeight="false" outlineLevel="0" collapsed="false">
      <c r="A440" s="8" t="s">
        <v>499</v>
      </c>
      <c r="B440" s="11" t="n">
        <v>45903</v>
      </c>
      <c r="C440" s="8" t="s">
        <v>47</v>
      </c>
      <c r="D440" s="8" t="s">
        <v>57</v>
      </c>
      <c r="E440" s="8" t="s">
        <v>86</v>
      </c>
      <c r="F440" s="8" t="n">
        <v>2</v>
      </c>
      <c r="G440" s="8" t="n">
        <v>1200</v>
      </c>
      <c r="H440" s="8" t="n">
        <v>0.05</v>
      </c>
      <c r="I440" s="8" t="n">
        <v>600</v>
      </c>
    </row>
    <row r="441" customFormat="false" ht="15" hidden="false" customHeight="false" outlineLevel="0" collapsed="false">
      <c r="A441" s="8" t="s">
        <v>500</v>
      </c>
      <c r="B441" s="11" t="n">
        <v>45915</v>
      </c>
      <c r="C441" s="8"/>
      <c r="D441" s="8" t="s">
        <v>44</v>
      </c>
      <c r="E441" s="8" t="s">
        <v>45</v>
      </c>
      <c r="F441" s="8" t="n">
        <v>3</v>
      </c>
      <c r="G441" s="8" t="n">
        <v>1500</v>
      </c>
      <c r="H441" s="8" t="n">
        <v>0</v>
      </c>
      <c r="I441" s="8" t="n">
        <v>900</v>
      </c>
    </row>
    <row r="442" customFormat="false" ht="15" hidden="false" customHeight="false" outlineLevel="0" collapsed="false">
      <c r="A442" s="8" t="s">
        <v>501</v>
      </c>
      <c r="B442" s="11" t="n">
        <v>45927</v>
      </c>
      <c r="C442" s="8" t="s">
        <v>43</v>
      </c>
      <c r="D442" s="8" t="s">
        <v>57</v>
      </c>
      <c r="E442" s="8" t="s">
        <v>86</v>
      </c>
      <c r="F442" s="8" t="n">
        <v>2</v>
      </c>
      <c r="G442" s="8" t="n">
        <v>1200</v>
      </c>
      <c r="H442" s="8" t="n">
        <v>0</v>
      </c>
      <c r="I442" s="8" t="n">
        <v>600</v>
      </c>
    </row>
    <row r="443" customFormat="false" ht="15" hidden="false" customHeight="false" outlineLevel="0" collapsed="false">
      <c r="A443" s="8" t="s">
        <v>502</v>
      </c>
      <c r="B443" s="11" t="n">
        <v>45914</v>
      </c>
      <c r="C443" s="8" t="s">
        <v>43</v>
      </c>
      <c r="D443" s="8" t="s">
        <v>40</v>
      </c>
      <c r="E443" s="8" t="s">
        <v>77</v>
      </c>
      <c r="F443" s="8" t="n">
        <v>4</v>
      </c>
      <c r="G443" s="8" t="n">
        <v>400</v>
      </c>
      <c r="H443" s="8" t="n">
        <v>0</v>
      </c>
      <c r="I443" s="8" t="n">
        <v>200</v>
      </c>
    </row>
    <row r="444" customFormat="false" ht="15" hidden="false" customHeight="false" outlineLevel="0" collapsed="false">
      <c r="A444" s="8" t="s">
        <v>503</v>
      </c>
      <c r="B444" s="11" t="n">
        <v>45917</v>
      </c>
      <c r="C444" s="8" t="s">
        <v>55</v>
      </c>
      <c r="D444" s="8" t="s">
        <v>40</v>
      </c>
      <c r="E444" s="8" t="s">
        <v>77</v>
      </c>
      <c r="F444" s="8" t="n">
        <v>2</v>
      </c>
      <c r="G444" s="8" t="n">
        <v>400</v>
      </c>
      <c r="H444" s="8" t="n">
        <v>0</v>
      </c>
      <c r="I444" s="8" t="n">
        <v>200</v>
      </c>
    </row>
    <row r="445" customFormat="false" ht="15" hidden="false" customHeight="false" outlineLevel="0" collapsed="false">
      <c r="A445" s="8" t="s">
        <v>504</v>
      </c>
      <c r="B445" s="11" t="n">
        <v>45923</v>
      </c>
      <c r="C445" s="8" t="s">
        <v>47</v>
      </c>
      <c r="D445" s="8" t="s">
        <v>44</v>
      </c>
      <c r="E445" s="8" t="s">
        <v>45</v>
      </c>
      <c r="F445" s="8" t="n">
        <v>1</v>
      </c>
      <c r="G445" s="8" t="n">
        <v>1500</v>
      </c>
      <c r="H445" s="8" t="n">
        <v>0</v>
      </c>
      <c r="I445" s="8" t="n">
        <v>900</v>
      </c>
    </row>
    <row r="446" customFormat="false" ht="15" hidden="false" customHeight="false" outlineLevel="0" collapsed="false">
      <c r="A446" s="8" t="s">
        <v>505</v>
      </c>
      <c r="B446" s="11" t="n">
        <v>45928</v>
      </c>
      <c r="C446" s="8" t="s">
        <v>47</v>
      </c>
      <c r="D446" s="8" t="s">
        <v>44</v>
      </c>
      <c r="E446" s="8" t="s">
        <v>50</v>
      </c>
      <c r="F446" s="8" t="n">
        <v>3</v>
      </c>
      <c r="G446" s="8" t="n">
        <v>3000</v>
      </c>
      <c r="H446" s="8" t="n">
        <v>0</v>
      </c>
      <c r="I446" s="8" t="n">
        <v>2000</v>
      </c>
    </row>
    <row r="447" customFormat="false" ht="15" hidden="false" customHeight="false" outlineLevel="0" collapsed="false">
      <c r="A447" s="8" t="s">
        <v>506</v>
      </c>
      <c r="B447" s="11" t="n">
        <v>45909</v>
      </c>
      <c r="C447" s="8" t="s">
        <v>47</v>
      </c>
      <c r="D447" s="8" t="s">
        <v>44</v>
      </c>
      <c r="E447" s="8" t="s">
        <v>48</v>
      </c>
      <c r="F447" s="8" t="n">
        <v>3</v>
      </c>
      <c r="G447" s="8" t="n">
        <v>4500</v>
      </c>
      <c r="H447" s="8" t="n">
        <v>0.05</v>
      </c>
      <c r="I447" s="8" t="n">
        <v>3300</v>
      </c>
    </row>
    <row r="448" customFormat="false" ht="15" hidden="false" customHeight="false" outlineLevel="0" collapsed="false">
      <c r="A448" s="8" t="s">
        <v>507</v>
      </c>
      <c r="B448" s="11" t="n">
        <v>45903</v>
      </c>
      <c r="C448" s="8" t="s">
        <v>43</v>
      </c>
      <c r="D448" s="8" t="s">
        <v>44</v>
      </c>
      <c r="E448" s="8" t="s">
        <v>45</v>
      </c>
      <c r="F448" s="8" t="n">
        <v>3</v>
      </c>
      <c r="G448" s="8" t="n">
        <v>1500</v>
      </c>
      <c r="H448" s="8" t="n">
        <v>0.05</v>
      </c>
      <c r="I448" s="8" t="n">
        <v>900</v>
      </c>
    </row>
    <row r="449" customFormat="false" ht="15" hidden="false" customHeight="false" outlineLevel="0" collapsed="false">
      <c r="A449" s="8" t="s">
        <v>508</v>
      </c>
      <c r="B449" s="11" t="n">
        <v>45922</v>
      </c>
      <c r="C449" s="8" t="s">
        <v>43</v>
      </c>
      <c r="D449" s="8" t="s">
        <v>40</v>
      </c>
      <c r="E449" s="8" t="s">
        <v>77</v>
      </c>
      <c r="F449" s="8" t="n">
        <v>4</v>
      </c>
      <c r="G449" s="8" t="n">
        <v>400</v>
      </c>
      <c r="H449" s="8" t="n">
        <v>0</v>
      </c>
      <c r="I449" s="8" t="n">
        <v>200</v>
      </c>
    </row>
    <row r="450" customFormat="false" ht="15" hidden="false" customHeight="false" outlineLevel="0" collapsed="false">
      <c r="A450" s="8" t="s">
        <v>509</v>
      </c>
      <c r="B450" s="11" t="n">
        <v>45902</v>
      </c>
      <c r="C450" s="8" t="s">
        <v>43</v>
      </c>
      <c r="D450" s="8" t="s">
        <v>40</v>
      </c>
      <c r="E450" s="8" t="s">
        <v>104</v>
      </c>
      <c r="F450" s="8" t="n">
        <v>7</v>
      </c>
      <c r="G450" s="8" t="n">
        <v>250</v>
      </c>
      <c r="H450" s="8" t="n">
        <v>0.05</v>
      </c>
      <c r="I450" s="8" t="n">
        <v>100</v>
      </c>
    </row>
    <row r="451" customFormat="false" ht="15" hidden="false" customHeight="false" outlineLevel="0" collapsed="false">
      <c r="A451" s="8" t="s">
        <v>510</v>
      </c>
      <c r="B451" s="11" t="n">
        <v>45909</v>
      </c>
      <c r="C451" s="8" t="s">
        <v>39</v>
      </c>
      <c r="D451" s="8" t="s">
        <v>44</v>
      </c>
      <c r="E451" s="8" t="s">
        <v>60</v>
      </c>
      <c r="F451" s="8" t="n">
        <v>3</v>
      </c>
      <c r="G451" s="8" t="n">
        <v>2500</v>
      </c>
      <c r="H451" s="8" t="n">
        <v>0.05</v>
      </c>
      <c r="I451" s="8" t="n">
        <v>1600</v>
      </c>
    </row>
    <row r="452" customFormat="false" ht="15" hidden="false" customHeight="false" outlineLevel="0" collapsed="false">
      <c r="A452" s="8" t="s">
        <v>511</v>
      </c>
      <c r="B452" s="11" t="n">
        <v>45921</v>
      </c>
      <c r="C452" s="8" t="s">
        <v>39</v>
      </c>
      <c r="D452" s="8" t="s">
        <v>40</v>
      </c>
      <c r="E452" s="8" t="s">
        <v>41</v>
      </c>
      <c r="F452" s="8" t="n">
        <v>8</v>
      </c>
      <c r="G452" s="8" t="n">
        <v>600</v>
      </c>
      <c r="H452" s="8" t="n">
        <v>0.05</v>
      </c>
      <c r="I452" s="8" t="n">
        <v>300</v>
      </c>
    </row>
    <row r="453" customFormat="false" ht="15" hidden="false" customHeight="false" outlineLevel="0" collapsed="false">
      <c r="A453" s="8" t="s">
        <v>512</v>
      </c>
      <c r="B453" s="11" t="n">
        <v>45910</v>
      </c>
      <c r="C453" s="8" t="s">
        <v>47</v>
      </c>
      <c r="D453" s="8" t="s">
        <v>44</v>
      </c>
      <c r="E453" s="8" t="s">
        <v>60</v>
      </c>
      <c r="F453" s="8" t="n">
        <v>3</v>
      </c>
      <c r="G453" s="8" t="n">
        <v>2500</v>
      </c>
      <c r="H453" s="8" t="n">
        <v>0.05</v>
      </c>
      <c r="I453" s="8" t="n">
        <v>1600</v>
      </c>
    </row>
    <row r="454" customFormat="false" ht="15" hidden="false" customHeight="false" outlineLevel="0" collapsed="false">
      <c r="A454" s="8" t="s">
        <v>513</v>
      </c>
      <c r="B454" s="11" t="n">
        <v>45926</v>
      </c>
      <c r="C454" s="8" t="s">
        <v>55</v>
      </c>
      <c r="D454" s="8" t="s">
        <v>40</v>
      </c>
      <c r="E454" s="8" t="s">
        <v>41</v>
      </c>
      <c r="F454" s="8" t="n">
        <v>9</v>
      </c>
      <c r="G454" s="8" t="n">
        <v>600</v>
      </c>
      <c r="H454" s="8" t="n">
        <v>0</v>
      </c>
      <c r="I454" s="8" t="n">
        <v>300</v>
      </c>
    </row>
    <row r="455" customFormat="false" ht="15" hidden="false" customHeight="false" outlineLevel="0" collapsed="false">
      <c r="A455" s="8" t="s">
        <v>514</v>
      </c>
      <c r="B455" s="11" t="n">
        <v>45923</v>
      </c>
      <c r="C455" s="8" t="s">
        <v>47</v>
      </c>
      <c r="D455" s="8" t="s">
        <v>40</v>
      </c>
      <c r="E455" s="8" t="s">
        <v>41</v>
      </c>
      <c r="F455" s="8" t="n">
        <v>9</v>
      </c>
      <c r="G455" s="8" t="n">
        <v>600</v>
      </c>
      <c r="H455" s="8" t="n">
        <v>0</v>
      </c>
      <c r="I455" s="8" t="n">
        <v>300</v>
      </c>
    </row>
    <row r="456" customFormat="false" ht="15" hidden="false" customHeight="false" outlineLevel="0" collapsed="false">
      <c r="A456" s="8" t="s">
        <v>515</v>
      </c>
      <c r="B456" s="11" t="n">
        <v>45915</v>
      </c>
      <c r="C456" s="8" t="s">
        <v>39</v>
      </c>
      <c r="D456" s="8" t="s">
        <v>44</v>
      </c>
      <c r="E456" s="8" t="s">
        <v>60</v>
      </c>
      <c r="F456" s="8" t="n">
        <v>2</v>
      </c>
      <c r="G456" s="8" t="n">
        <v>2500</v>
      </c>
      <c r="H456" s="8" t="n">
        <v>0</v>
      </c>
      <c r="I456" s="8" t="n">
        <v>1600</v>
      </c>
    </row>
    <row r="457" customFormat="false" ht="15" hidden="false" customHeight="false" outlineLevel="0" collapsed="false">
      <c r="A457" s="8" t="s">
        <v>516</v>
      </c>
      <c r="B457" s="11" t="n">
        <v>45928</v>
      </c>
      <c r="C457" s="8" t="s">
        <v>47</v>
      </c>
      <c r="D457" s="8" t="s">
        <v>44</v>
      </c>
      <c r="E457" s="8" t="s">
        <v>50</v>
      </c>
      <c r="F457" s="8" t="n">
        <v>1</v>
      </c>
      <c r="G457" s="8" t="n">
        <v>3000</v>
      </c>
      <c r="H457" s="8" t="n">
        <v>0</v>
      </c>
      <c r="I457" s="8" t="n">
        <v>2000</v>
      </c>
    </row>
    <row r="458" customFormat="false" ht="15" hidden="false" customHeight="false" outlineLevel="0" collapsed="false">
      <c r="A458" s="8" t="s">
        <v>517</v>
      </c>
      <c r="B458" s="11" t="n">
        <v>45905</v>
      </c>
      <c r="C458" s="8" t="s">
        <v>47</v>
      </c>
      <c r="D458" s="8" t="s">
        <v>40</v>
      </c>
      <c r="E458" s="8" t="s">
        <v>71</v>
      </c>
      <c r="F458" s="8" t="n">
        <v>7</v>
      </c>
      <c r="G458" s="8" t="n">
        <v>500</v>
      </c>
      <c r="H458" s="8" t="n">
        <v>0</v>
      </c>
      <c r="I458" s="8" t="n">
        <v>250</v>
      </c>
    </row>
    <row r="459" customFormat="false" ht="15" hidden="false" customHeight="false" outlineLevel="0" collapsed="false">
      <c r="A459" s="8" t="s">
        <v>518</v>
      </c>
      <c r="B459" s="11" t="n">
        <v>45908</v>
      </c>
      <c r="C459" s="8" t="s">
        <v>47</v>
      </c>
      <c r="D459" s="8" t="s">
        <v>57</v>
      </c>
      <c r="E459" s="8" t="s">
        <v>63</v>
      </c>
      <c r="F459" s="8" t="n">
        <v>1</v>
      </c>
      <c r="G459" s="8" t="n">
        <v>9000</v>
      </c>
      <c r="H459" s="8" t="n">
        <v>0</v>
      </c>
      <c r="I459" s="8" t="n">
        <v>6200</v>
      </c>
    </row>
    <row r="460" customFormat="false" ht="15" hidden="false" customHeight="false" outlineLevel="0" collapsed="false">
      <c r="A460" s="8" t="s">
        <v>519</v>
      </c>
      <c r="B460" s="11" t="n">
        <v>45905</v>
      </c>
      <c r="C460" s="8" t="s">
        <v>39</v>
      </c>
      <c r="D460" s="8" t="s">
        <v>57</v>
      </c>
      <c r="E460" s="8" t="s">
        <v>86</v>
      </c>
      <c r="F460" s="8" t="n">
        <v>2</v>
      </c>
      <c r="G460" s="8" t="n">
        <v>1200</v>
      </c>
      <c r="H460" s="8" t="n">
        <v>0</v>
      </c>
      <c r="I460" s="8" t="n">
        <v>600</v>
      </c>
    </row>
    <row r="461" customFormat="false" ht="15" hidden="false" customHeight="false" outlineLevel="0" collapsed="false">
      <c r="A461" s="8" t="s">
        <v>520</v>
      </c>
      <c r="B461" s="11" t="n">
        <v>45914</v>
      </c>
      <c r="C461" s="8" t="s">
        <v>39</v>
      </c>
      <c r="D461" s="8" t="s">
        <v>44</v>
      </c>
      <c r="E461" s="8" t="s">
        <v>48</v>
      </c>
      <c r="F461" s="8" t="n">
        <v>2</v>
      </c>
      <c r="G461" s="8" t="n">
        <v>4500</v>
      </c>
      <c r="H461" s="8" t="n">
        <v>0.05</v>
      </c>
      <c r="I461" s="8" t="n">
        <v>3300</v>
      </c>
    </row>
    <row r="462" customFormat="false" ht="15" hidden="false" customHeight="false" outlineLevel="0" collapsed="false">
      <c r="A462" s="8" t="s">
        <v>521</v>
      </c>
      <c r="B462" s="11" t="n">
        <v>45919</v>
      </c>
      <c r="C462" s="8" t="s">
        <v>55</v>
      </c>
      <c r="D462" s="8" t="s">
        <v>44</v>
      </c>
      <c r="E462" s="8" t="s">
        <v>50</v>
      </c>
      <c r="F462" s="8" t="n">
        <v>1</v>
      </c>
      <c r="G462" s="8" t="n">
        <v>3000</v>
      </c>
      <c r="H462" s="8" t="n">
        <v>0</v>
      </c>
      <c r="I462" s="8" t="n">
        <v>2000</v>
      </c>
    </row>
    <row r="463" customFormat="false" ht="15" hidden="false" customHeight="false" outlineLevel="0" collapsed="false">
      <c r="A463" s="8" t="s">
        <v>522</v>
      </c>
      <c r="B463" s="11" t="n">
        <v>45917</v>
      </c>
      <c r="C463" s="8" t="s">
        <v>47</v>
      </c>
      <c r="D463" s="8" t="s">
        <v>40</v>
      </c>
      <c r="E463" s="8" t="s">
        <v>71</v>
      </c>
      <c r="F463" s="8" t="n">
        <v>4</v>
      </c>
      <c r="G463" s="8" t="n">
        <v>500</v>
      </c>
      <c r="H463" s="8" t="n">
        <v>0</v>
      </c>
      <c r="I463" s="8" t="n">
        <v>250</v>
      </c>
    </row>
    <row r="464" customFormat="false" ht="15" hidden="false" customHeight="false" outlineLevel="0" collapsed="false">
      <c r="A464" s="8" t="s">
        <v>523</v>
      </c>
      <c r="B464" s="11" t="n">
        <v>45931</v>
      </c>
      <c r="C464" s="8" t="s">
        <v>47</v>
      </c>
      <c r="D464" s="8" t="s">
        <v>57</v>
      </c>
      <c r="E464" s="8" t="s">
        <v>86</v>
      </c>
      <c r="F464" s="8" t="n">
        <v>2</v>
      </c>
      <c r="G464" s="8" t="n">
        <v>1200</v>
      </c>
      <c r="H464" s="8" t="n">
        <v>0.05</v>
      </c>
      <c r="I464" s="8" t="n">
        <v>600</v>
      </c>
    </row>
    <row r="465" customFormat="false" ht="15" hidden="false" customHeight="false" outlineLevel="0" collapsed="false">
      <c r="A465" s="8" t="s">
        <v>524</v>
      </c>
      <c r="B465" s="11" t="n">
        <v>45938</v>
      </c>
      <c r="C465" s="8" t="s">
        <v>55</v>
      </c>
      <c r="D465" s="8" t="s">
        <v>44</v>
      </c>
      <c r="E465" s="8" t="s">
        <v>48</v>
      </c>
      <c r="F465" s="8" t="n">
        <v>3</v>
      </c>
      <c r="G465" s="8" t="n">
        <v>4500</v>
      </c>
      <c r="H465" s="8" t="n">
        <v>0.05</v>
      </c>
      <c r="I465" s="8" t="n">
        <v>3300</v>
      </c>
    </row>
    <row r="466" customFormat="false" ht="15" hidden="false" customHeight="false" outlineLevel="0" collapsed="false">
      <c r="A466" s="8" t="s">
        <v>525</v>
      </c>
      <c r="B466" s="11" t="n">
        <v>45940</v>
      </c>
      <c r="C466" s="8" t="s">
        <v>47</v>
      </c>
      <c r="D466" s="8" t="s">
        <v>44</v>
      </c>
      <c r="E466" s="8" t="s">
        <v>50</v>
      </c>
      <c r="F466" s="8" t="n">
        <v>1</v>
      </c>
      <c r="G466" s="8" t="n">
        <v>3000</v>
      </c>
      <c r="H466" s="8" t="n">
        <v>0</v>
      </c>
      <c r="I466" s="8" t="n">
        <v>2000</v>
      </c>
    </row>
    <row r="467" customFormat="false" ht="15" hidden="false" customHeight="false" outlineLevel="0" collapsed="false">
      <c r="A467" s="8" t="s">
        <v>526</v>
      </c>
      <c r="B467" s="11" t="n">
        <v>45946</v>
      </c>
      <c r="C467" s="8" t="s">
        <v>47</v>
      </c>
      <c r="D467" s="8" t="s">
        <v>57</v>
      </c>
      <c r="E467" s="8" t="s">
        <v>86</v>
      </c>
      <c r="F467" s="8"/>
      <c r="G467" s="8" t="n">
        <v>1200</v>
      </c>
      <c r="H467" s="8" t="n">
        <v>0.15</v>
      </c>
      <c r="I467" s="8" t="n">
        <v>600</v>
      </c>
    </row>
    <row r="468" customFormat="false" ht="15" hidden="false" customHeight="false" outlineLevel="0" collapsed="false">
      <c r="A468" s="8" t="s">
        <v>527</v>
      </c>
      <c r="B468" s="11" t="n">
        <v>45935</v>
      </c>
      <c r="C468" s="8" t="s">
        <v>47</v>
      </c>
      <c r="D468" s="8" t="s">
        <v>57</v>
      </c>
      <c r="E468" s="8" t="s">
        <v>111</v>
      </c>
      <c r="F468" s="8" t="n">
        <v>1</v>
      </c>
      <c r="G468" s="8" t="n">
        <v>7000</v>
      </c>
      <c r="H468" s="8" t="n">
        <v>0.05</v>
      </c>
      <c r="I468" s="8" t="n">
        <v>4800</v>
      </c>
    </row>
    <row r="469" customFormat="false" ht="15" hidden="false" customHeight="false" outlineLevel="0" collapsed="false">
      <c r="A469" s="8" t="s">
        <v>528</v>
      </c>
      <c r="B469" s="11" t="n">
        <v>45932</v>
      </c>
      <c r="C469" s="8" t="s">
        <v>43</v>
      </c>
      <c r="D469" s="8" t="s">
        <v>57</v>
      </c>
      <c r="E469" s="8" t="s">
        <v>111</v>
      </c>
      <c r="F469" s="8" t="n">
        <v>2</v>
      </c>
      <c r="G469" s="8" t="n">
        <v>7000</v>
      </c>
      <c r="H469" s="8" t="n">
        <v>0</v>
      </c>
      <c r="I469" s="8" t="n">
        <v>4800</v>
      </c>
    </row>
    <row r="470" customFormat="false" ht="15" hidden="false" customHeight="false" outlineLevel="0" collapsed="false">
      <c r="A470" s="8" t="s">
        <v>529</v>
      </c>
      <c r="B470" s="11" t="n">
        <v>45942</v>
      </c>
      <c r="C470" s="8" t="s">
        <v>39</v>
      </c>
      <c r="D470" s="8" t="s">
        <v>57</v>
      </c>
      <c r="E470" s="8" t="s">
        <v>58</v>
      </c>
      <c r="F470" s="8" t="n">
        <v>3</v>
      </c>
      <c r="G470" s="8" t="n">
        <v>5500</v>
      </c>
      <c r="H470" s="8" t="n">
        <v>0</v>
      </c>
      <c r="I470" s="8" t="n">
        <v>3600</v>
      </c>
    </row>
    <row r="471" customFormat="false" ht="15" hidden="false" customHeight="false" outlineLevel="0" collapsed="false">
      <c r="A471" s="8" t="s">
        <v>530</v>
      </c>
      <c r="B471" s="11" t="n">
        <v>45945</v>
      </c>
      <c r="C471" s="8" t="s">
        <v>47</v>
      </c>
      <c r="D471" s="8" t="s">
        <v>40</v>
      </c>
      <c r="E471" s="8" t="s">
        <v>77</v>
      </c>
      <c r="F471" s="8"/>
      <c r="G471" s="8" t="n">
        <v>400</v>
      </c>
      <c r="H471" s="8" t="n">
        <v>0.1</v>
      </c>
      <c r="I471" s="8" t="n">
        <v>200</v>
      </c>
    </row>
    <row r="472" customFormat="false" ht="15" hidden="false" customHeight="false" outlineLevel="0" collapsed="false">
      <c r="A472" s="8" t="s">
        <v>531</v>
      </c>
      <c r="B472" s="11" t="n">
        <v>45934</v>
      </c>
      <c r="C472" s="8" t="s">
        <v>47</v>
      </c>
      <c r="D472" s="8" t="s">
        <v>40</v>
      </c>
      <c r="E472" s="8" t="s">
        <v>77</v>
      </c>
      <c r="F472" s="8" t="n">
        <v>3</v>
      </c>
      <c r="G472" s="8" t="n">
        <v>400</v>
      </c>
      <c r="H472" s="8" t="n">
        <v>0</v>
      </c>
      <c r="I472" s="8" t="n">
        <v>200</v>
      </c>
    </row>
    <row r="473" customFormat="false" ht="15" hidden="false" customHeight="false" outlineLevel="0" collapsed="false">
      <c r="A473" s="8" t="s">
        <v>532</v>
      </c>
      <c r="B473" s="11" t="n">
        <v>45942</v>
      </c>
      <c r="C473" s="8" t="s">
        <v>47</v>
      </c>
      <c r="D473" s="8" t="s">
        <v>57</v>
      </c>
      <c r="E473" s="8" t="s">
        <v>58</v>
      </c>
      <c r="F473" s="8" t="n">
        <v>2</v>
      </c>
      <c r="G473" s="8" t="n">
        <v>5500</v>
      </c>
      <c r="H473" s="8" t="n">
        <v>0.1</v>
      </c>
      <c r="I473" s="8" t="n">
        <v>3600</v>
      </c>
    </row>
    <row r="474" customFormat="false" ht="15" hidden="false" customHeight="false" outlineLevel="0" collapsed="false">
      <c r="A474" s="8" t="s">
        <v>533</v>
      </c>
      <c r="B474" s="11" t="n">
        <v>45947</v>
      </c>
      <c r="C474" s="8" t="s">
        <v>39</v>
      </c>
      <c r="D474" s="8" t="s">
        <v>44</v>
      </c>
      <c r="E474" s="8" t="s">
        <v>45</v>
      </c>
      <c r="F474" s="8" t="n">
        <v>3</v>
      </c>
      <c r="G474" s="8" t="n">
        <v>1500</v>
      </c>
      <c r="H474" s="8" t="n">
        <v>0.05</v>
      </c>
      <c r="I474" s="8" t="n">
        <v>900</v>
      </c>
    </row>
    <row r="475" customFormat="false" ht="15" hidden="false" customHeight="false" outlineLevel="0" collapsed="false">
      <c r="A475" s="8" t="s">
        <v>534</v>
      </c>
      <c r="B475" s="11" t="n">
        <v>45941</v>
      </c>
      <c r="C475" s="8" t="s">
        <v>39</v>
      </c>
      <c r="D475" s="8" t="s">
        <v>44</v>
      </c>
      <c r="E475" s="8" t="s">
        <v>60</v>
      </c>
      <c r="F475" s="8" t="n">
        <v>1</v>
      </c>
      <c r="G475" s="8" t="n">
        <v>2500</v>
      </c>
      <c r="H475" s="8" t="n">
        <v>0.15</v>
      </c>
      <c r="I475" s="8" t="n">
        <v>1600</v>
      </c>
    </row>
    <row r="476" customFormat="false" ht="15" hidden="false" customHeight="false" outlineLevel="0" collapsed="false">
      <c r="A476" s="8" t="s">
        <v>535</v>
      </c>
      <c r="B476" s="11" t="n">
        <v>45947</v>
      </c>
      <c r="C476" s="8" t="s">
        <v>47</v>
      </c>
      <c r="D476" s="8" t="s">
        <v>57</v>
      </c>
      <c r="E476" s="8" t="s">
        <v>86</v>
      </c>
      <c r="F476" s="8" t="n">
        <v>1</v>
      </c>
      <c r="G476" s="8" t="n">
        <v>1200</v>
      </c>
      <c r="H476" s="8" t="n">
        <v>0.1</v>
      </c>
      <c r="I476" s="8" t="n">
        <v>600</v>
      </c>
    </row>
    <row r="477" customFormat="false" ht="15" hidden="false" customHeight="false" outlineLevel="0" collapsed="false">
      <c r="A477" s="8" t="s">
        <v>536</v>
      </c>
      <c r="B477" s="11" t="n">
        <v>45936</v>
      </c>
      <c r="C477" s="8" t="s">
        <v>47</v>
      </c>
      <c r="D477" s="8" t="s">
        <v>44</v>
      </c>
      <c r="E477" s="8" t="s">
        <v>45</v>
      </c>
      <c r="F477" s="8" t="n">
        <v>3</v>
      </c>
      <c r="G477" s="8" t="n">
        <v>1500</v>
      </c>
      <c r="H477" s="8" t="n">
        <v>0</v>
      </c>
      <c r="I477" s="8" t="n">
        <v>900</v>
      </c>
    </row>
    <row r="478" customFormat="false" ht="15" hidden="false" customHeight="false" outlineLevel="0" collapsed="false">
      <c r="A478" s="8" t="s">
        <v>537</v>
      </c>
      <c r="B478" s="11" t="n">
        <v>45949</v>
      </c>
      <c r="C478" s="8" t="s">
        <v>55</v>
      </c>
      <c r="D478" s="8" t="s">
        <v>57</v>
      </c>
      <c r="E478" s="8" t="s">
        <v>58</v>
      </c>
      <c r="F478" s="8" t="n">
        <v>3</v>
      </c>
      <c r="G478" s="8" t="n">
        <v>5500</v>
      </c>
      <c r="H478" s="8" t="n">
        <v>0</v>
      </c>
      <c r="I478" s="8" t="n">
        <v>3600</v>
      </c>
    </row>
    <row r="479" customFormat="false" ht="15" hidden="false" customHeight="false" outlineLevel="0" collapsed="false">
      <c r="A479" s="8" t="s">
        <v>538</v>
      </c>
      <c r="B479" s="11" t="n">
        <v>45946</v>
      </c>
      <c r="C479" s="8" t="s">
        <v>47</v>
      </c>
      <c r="D479" s="8" t="s">
        <v>57</v>
      </c>
      <c r="E479" s="8" t="s">
        <v>63</v>
      </c>
      <c r="F479" s="8" t="n">
        <v>3</v>
      </c>
      <c r="G479" s="8" t="n">
        <v>9000</v>
      </c>
      <c r="H479" s="8" t="n">
        <v>0.1</v>
      </c>
      <c r="I479" s="8" t="n">
        <v>6200</v>
      </c>
    </row>
    <row r="480" customFormat="false" ht="15" hidden="false" customHeight="false" outlineLevel="0" collapsed="false">
      <c r="A480" s="8" t="s">
        <v>539</v>
      </c>
      <c r="B480" s="11" t="n">
        <v>45942</v>
      </c>
      <c r="C480" s="8" t="s">
        <v>47</v>
      </c>
      <c r="D480" s="8" t="s">
        <v>40</v>
      </c>
      <c r="E480" s="8" t="s">
        <v>71</v>
      </c>
      <c r="F480" s="8" t="n">
        <v>9</v>
      </c>
      <c r="G480" s="8" t="n">
        <v>500</v>
      </c>
      <c r="H480" s="8" t="n">
        <v>0</v>
      </c>
      <c r="I480" s="8" t="n">
        <v>250</v>
      </c>
    </row>
    <row r="481" customFormat="false" ht="15" hidden="false" customHeight="false" outlineLevel="0" collapsed="false">
      <c r="A481" s="8" t="s">
        <v>540</v>
      </c>
      <c r="B481" s="11" t="n">
        <v>45940</v>
      </c>
      <c r="C481" s="8" t="s">
        <v>43</v>
      </c>
      <c r="D481" s="8" t="s">
        <v>57</v>
      </c>
      <c r="E481" s="8" t="s">
        <v>63</v>
      </c>
      <c r="F481" s="8" t="n">
        <v>2</v>
      </c>
      <c r="G481" s="8" t="n">
        <v>9000</v>
      </c>
      <c r="H481" s="8" t="n">
        <v>0.1</v>
      </c>
      <c r="I481" s="8" t="n">
        <v>6200</v>
      </c>
    </row>
    <row r="482" customFormat="false" ht="15" hidden="false" customHeight="false" outlineLevel="0" collapsed="false">
      <c r="A482" s="8" t="s">
        <v>541</v>
      </c>
      <c r="B482" s="11" t="n">
        <v>45946</v>
      </c>
      <c r="C482" s="8" t="s">
        <v>55</v>
      </c>
      <c r="D482" s="8" t="s">
        <v>40</v>
      </c>
      <c r="E482" s="8" t="s">
        <v>71</v>
      </c>
      <c r="F482" s="8" t="n">
        <v>2</v>
      </c>
      <c r="G482" s="8" t="n">
        <v>500</v>
      </c>
      <c r="H482" s="8" t="n">
        <v>0.1</v>
      </c>
      <c r="I482" s="8" t="n">
        <v>250</v>
      </c>
    </row>
    <row r="483" customFormat="false" ht="15" hidden="false" customHeight="false" outlineLevel="0" collapsed="false">
      <c r="A483" s="8" t="s">
        <v>542</v>
      </c>
      <c r="B483" s="11" t="n">
        <v>45938</v>
      </c>
      <c r="C483" s="8" t="s">
        <v>55</v>
      </c>
      <c r="D483" s="8" t="s">
        <v>57</v>
      </c>
      <c r="E483" s="8" t="s">
        <v>111</v>
      </c>
      <c r="F483" s="8" t="n">
        <v>3</v>
      </c>
      <c r="G483" s="8" t="n">
        <v>7000</v>
      </c>
      <c r="H483" s="8" t="n">
        <v>0.1</v>
      </c>
      <c r="I483" s="8" t="n">
        <v>4800</v>
      </c>
    </row>
    <row r="484" customFormat="false" ht="15" hidden="false" customHeight="false" outlineLevel="0" collapsed="false">
      <c r="A484" s="8" t="s">
        <v>543</v>
      </c>
      <c r="B484" s="11" t="n">
        <v>45947</v>
      </c>
      <c r="C484" s="8" t="s">
        <v>39</v>
      </c>
      <c r="D484" s="8" t="s">
        <v>40</v>
      </c>
      <c r="E484" s="8" t="s">
        <v>71</v>
      </c>
      <c r="F484" s="8" t="n">
        <v>9</v>
      </c>
      <c r="G484" s="8" t="n">
        <v>500</v>
      </c>
      <c r="H484" s="8" t="n">
        <v>0</v>
      </c>
      <c r="I484" s="8" t="n">
        <v>250</v>
      </c>
    </row>
    <row r="485" customFormat="false" ht="15" hidden="false" customHeight="false" outlineLevel="0" collapsed="false">
      <c r="A485" s="8" t="s">
        <v>544</v>
      </c>
      <c r="B485" s="11" t="n">
        <v>45957</v>
      </c>
      <c r="C485" s="8" t="s">
        <v>43</v>
      </c>
      <c r="D485" s="8" t="s">
        <v>40</v>
      </c>
      <c r="E485" s="8" t="s">
        <v>41</v>
      </c>
      <c r="F485" s="8" t="n">
        <v>8</v>
      </c>
      <c r="G485" s="8" t="n">
        <v>600</v>
      </c>
      <c r="H485" s="8" t="n">
        <v>0</v>
      </c>
      <c r="I485" s="8" t="n">
        <v>300</v>
      </c>
    </row>
    <row r="486" customFormat="false" ht="15" hidden="false" customHeight="false" outlineLevel="0" collapsed="false">
      <c r="A486" s="8" t="s">
        <v>545</v>
      </c>
      <c r="B486" s="11" t="n">
        <v>45931</v>
      </c>
      <c r="C486" s="8" t="s">
        <v>39</v>
      </c>
      <c r="D486" s="8" t="s">
        <v>40</v>
      </c>
      <c r="E486" s="8" t="s">
        <v>41</v>
      </c>
      <c r="F486" s="8" t="n">
        <v>3</v>
      </c>
      <c r="G486" s="8" t="n">
        <v>600</v>
      </c>
      <c r="H486" s="8" t="n">
        <v>0</v>
      </c>
      <c r="I486" s="8" t="n">
        <v>300</v>
      </c>
    </row>
    <row r="487" customFormat="false" ht="15" hidden="false" customHeight="false" outlineLevel="0" collapsed="false">
      <c r="A487" s="8" t="s">
        <v>546</v>
      </c>
      <c r="B487" s="11" t="n">
        <v>45953</v>
      </c>
      <c r="C487" s="8" t="s">
        <v>47</v>
      </c>
      <c r="D487" s="8" t="s">
        <v>57</v>
      </c>
      <c r="E487" s="8" t="s">
        <v>86</v>
      </c>
      <c r="F487" s="8" t="n">
        <v>1</v>
      </c>
      <c r="G487" s="8" t="n">
        <v>1200</v>
      </c>
      <c r="H487" s="8" t="n">
        <v>0.05</v>
      </c>
      <c r="I487" s="8" t="n">
        <v>600</v>
      </c>
    </row>
    <row r="488" customFormat="false" ht="15" hidden="false" customHeight="false" outlineLevel="0" collapsed="false">
      <c r="A488" s="8" t="s">
        <v>547</v>
      </c>
      <c r="B488" s="11" t="n">
        <v>45958</v>
      </c>
      <c r="C488" s="8" t="s">
        <v>47</v>
      </c>
      <c r="D488" s="8" t="s">
        <v>44</v>
      </c>
      <c r="E488" s="8" t="s">
        <v>50</v>
      </c>
      <c r="F488" s="8" t="n">
        <v>3</v>
      </c>
      <c r="G488" s="8" t="n">
        <v>3000</v>
      </c>
      <c r="H488" s="8" t="n">
        <v>0.05</v>
      </c>
      <c r="I488" s="8" t="n">
        <v>2000</v>
      </c>
    </row>
    <row r="489" customFormat="false" ht="15" hidden="false" customHeight="false" outlineLevel="0" collapsed="false">
      <c r="A489" s="8" t="s">
        <v>548</v>
      </c>
      <c r="B489" s="11" t="n">
        <v>45937</v>
      </c>
      <c r="C489" s="8" t="s">
        <v>43</v>
      </c>
      <c r="D489" s="8" t="s">
        <v>40</v>
      </c>
      <c r="E489" s="8" t="s">
        <v>71</v>
      </c>
      <c r="F489" s="8" t="n">
        <v>4</v>
      </c>
      <c r="G489" s="8" t="n">
        <v>500</v>
      </c>
      <c r="H489" s="8" t="n">
        <v>0.1</v>
      </c>
      <c r="I489" s="8" t="n">
        <v>250</v>
      </c>
    </row>
    <row r="490" customFormat="false" ht="15" hidden="false" customHeight="false" outlineLevel="0" collapsed="false">
      <c r="A490" s="8" t="s">
        <v>549</v>
      </c>
      <c r="B490" s="11" t="n">
        <v>45943</v>
      </c>
      <c r="C490" s="8" t="s">
        <v>47</v>
      </c>
      <c r="D490" s="8" t="s">
        <v>40</v>
      </c>
      <c r="E490" s="8" t="s">
        <v>77</v>
      </c>
      <c r="F490" s="8" t="n">
        <v>9</v>
      </c>
      <c r="G490" s="8" t="n">
        <v>400</v>
      </c>
      <c r="H490" s="8" t="n">
        <v>0.1</v>
      </c>
      <c r="I490" s="8" t="n">
        <v>200</v>
      </c>
    </row>
    <row r="491" customFormat="false" ht="15" hidden="false" customHeight="false" outlineLevel="0" collapsed="false">
      <c r="A491" s="8" t="s">
        <v>550</v>
      </c>
      <c r="B491" s="11" t="n">
        <v>45941</v>
      </c>
      <c r="C491" s="8" t="s">
        <v>55</v>
      </c>
      <c r="D491" s="8" t="s">
        <v>57</v>
      </c>
      <c r="E491" s="8" t="s">
        <v>63</v>
      </c>
      <c r="F491" s="8" t="n">
        <v>2</v>
      </c>
      <c r="G491" s="8" t="n">
        <v>9000</v>
      </c>
      <c r="H491" s="8" t="n">
        <v>0.1</v>
      </c>
      <c r="I491" s="8" t="n">
        <v>6200</v>
      </c>
    </row>
    <row r="492" customFormat="false" ht="15" hidden="false" customHeight="false" outlineLevel="0" collapsed="false">
      <c r="A492" s="8" t="s">
        <v>551</v>
      </c>
      <c r="B492" s="11" t="n">
        <v>45946</v>
      </c>
      <c r="C492" s="8" t="s">
        <v>47</v>
      </c>
      <c r="D492" s="8" t="s">
        <v>40</v>
      </c>
      <c r="E492" s="8" t="s">
        <v>77</v>
      </c>
      <c r="F492" s="8" t="n">
        <v>6</v>
      </c>
      <c r="G492" s="8" t="n">
        <v>400</v>
      </c>
      <c r="H492" s="8" t="n">
        <v>0.1</v>
      </c>
      <c r="I492" s="8" t="n">
        <v>200</v>
      </c>
    </row>
    <row r="493" customFormat="false" ht="15" hidden="false" customHeight="false" outlineLevel="0" collapsed="false">
      <c r="A493" s="8" t="s">
        <v>552</v>
      </c>
      <c r="B493" s="11" t="n">
        <v>45940</v>
      </c>
      <c r="C493" s="8" t="s">
        <v>55</v>
      </c>
      <c r="D493" s="8" t="s">
        <v>44</v>
      </c>
      <c r="E493" s="8" t="s">
        <v>50</v>
      </c>
      <c r="F493" s="8" t="n">
        <v>2</v>
      </c>
      <c r="G493" s="8" t="n">
        <v>3000</v>
      </c>
      <c r="H493" s="8" t="n">
        <v>0.1</v>
      </c>
      <c r="I493" s="8" t="n">
        <v>2000</v>
      </c>
    </row>
    <row r="494" customFormat="false" ht="15" hidden="false" customHeight="false" outlineLevel="0" collapsed="false">
      <c r="A494" s="8" t="s">
        <v>553</v>
      </c>
      <c r="B494" s="11" t="n">
        <v>45953</v>
      </c>
      <c r="C494" s="8" t="s">
        <v>55</v>
      </c>
      <c r="D494" s="8" t="s">
        <v>44</v>
      </c>
      <c r="E494" s="8" t="s">
        <v>50</v>
      </c>
      <c r="F494" s="8" t="n">
        <v>2</v>
      </c>
      <c r="G494" s="8" t="n">
        <v>3000</v>
      </c>
      <c r="H494" s="8" t="n">
        <v>0</v>
      </c>
      <c r="I494" s="8" t="n">
        <v>2000</v>
      </c>
    </row>
    <row r="495" customFormat="false" ht="15" hidden="false" customHeight="false" outlineLevel="0" collapsed="false">
      <c r="A495" s="8" t="s">
        <v>554</v>
      </c>
      <c r="B495" s="11" t="n">
        <v>45946</v>
      </c>
      <c r="C495" s="8" t="s">
        <v>43</v>
      </c>
      <c r="D495" s="8" t="s">
        <v>44</v>
      </c>
      <c r="E495" s="8" t="s">
        <v>50</v>
      </c>
      <c r="F495" s="8" t="n">
        <v>2</v>
      </c>
      <c r="G495" s="8" t="n">
        <v>3000</v>
      </c>
      <c r="H495" s="8" t="n">
        <v>0</v>
      </c>
      <c r="I495" s="8" t="n">
        <v>2000</v>
      </c>
    </row>
    <row r="496" customFormat="false" ht="15" hidden="false" customHeight="false" outlineLevel="0" collapsed="false">
      <c r="A496" s="8" t="s">
        <v>555</v>
      </c>
      <c r="B496" s="11" t="n">
        <v>45940</v>
      </c>
      <c r="C496" s="8" t="s">
        <v>47</v>
      </c>
      <c r="D496" s="8" t="s">
        <v>57</v>
      </c>
      <c r="E496" s="8" t="s">
        <v>63</v>
      </c>
      <c r="F496" s="8" t="n">
        <v>3</v>
      </c>
      <c r="G496" s="8" t="n">
        <v>9000</v>
      </c>
      <c r="H496" s="8" t="n">
        <v>0</v>
      </c>
      <c r="I496" s="8" t="n">
        <v>6200</v>
      </c>
    </row>
    <row r="497" customFormat="false" ht="15" hidden="false" customHeight="false" outlineLevel="0" collapsed="false">
      <c r="A497" s="8" t="s">
        <v>556</v>
      </c>
      <c r="B497" s="11" t="n">
        <v>45943</v>
      </c>
      <c r="C497" s="8" t="s">
        <v>47</v>
      </c>
      <c r="D497" s="8" t="s">
        <v>44</v>
      </c>
      <c r="E497" s="8" t="s">
        <v>48</v>
      </c>
      <c r="F497" s="8" t="n">
        <v>3</v>
      </c>
      <c r="G497" s="8" t="n">
        <v>4500</v>
      </c>
      <c r="H497" s="8" t="n">
        <v>0.05</v>
      </c>
      <c r="I497" s="8" t="n">
        <v>3300</v>
      </c>
    </row>
    <row r="498" customFormat="false" ht="15" hidden="false" customHeight="false" outlineLevel="0" collapsed="false">
      <c r="A498" s="8" t="s">
        <v>557</v>
      </c>
      <c r="B498" s="11" t="n">
        <v>45932</v>
      </c>
      <c r="C498" s="8" t="s">
        <v>55</v>
      </c>
      <c r="D498" s="8" t="s">
        <v>57</v>
      </c>
      <c r="E498" s="8" t="s">
        <v>63</v>
      </c>
      <c r="F498" s="8" t="n">
        <v>1</v>
      </c>
      <c r="G498" s="8" t="n">
        <v>9000</v>
      </c>
      <c r="H498" s="8" t="n">
        <v>0</v>
      </c>
      <c r="I498" s="8" t="n">
        <v>6200</v>
      </c>
    </row>
    <row r="499" customFormat="false" ht="15" hidden="false" customHeight="false" outlineLevel="0" collapsed="false">
      <c r="A499" s="8" t="s">
        <v>558</v>
      </c>
      <c r="B499" s="11" t="n">
        <v>45945</v>
      </c>
      <c r="C499" s="8" t="s">
        <v>55</v>
      </c>
      <c r="D499" s="8" t="s">
        <v>57</v>
      </c>
      <c r="E499" s="8" t="s">
        <v>111</v>
      </c>
      <c r="F499" s="8" t="n">
        <v>1</v>
      </c>
      <c r="G499" s="8" t="n">
        <v>7000</v>
      </c>
      <c r="H499" s="8" t="n">
        <v>0</v>
      </c>
      <c r="I499" s="8" t="n">
        <v>4800</v>
      </c>
    </row>
    <row r="500" customFormat="false" ht="15" hidden="false" customHeight="false" outlineLevel="0" collapsed="false">
      <c r="A500" s="8" t="s">
        <v>559</v>
      </c>
      <c r="B500" s="11" t="n">
        <v>45937</v>
      </c>
      <c r="C500" s="8" t="s">
        <v>47</v>
      </c>
      <c r="D500" s="8" t="s">
        <v>40</v>
      </c>
      <c r="E500" s="8" t="s">
        <v>41</v>
      </c>
      <c r="F500" s="8" t="n">
        <v>9</v>
      </c>
      <c r="G500" s="8" t="n">
        <v>600</v>
      </c>
      <c r="H500" s="8" t="n">
        <v>0</v>
      </c>
      <c r="I500" s="8" t="n">
        <v>300</v>
      </c>
    </row>
    <row r="501" customFormat="false" ht="15" hidden="false" customHeight="false" outlineLevel="0" collapsed="false">
      <c r="A501" s="8" t="s">
        <v>560</v>
      </c>
      <c r="B501" s="11" t="n">
        <v>45939</v>
      </c>
      <c r="C501" s="8" t="s">
        <v>47</v>
      </c>
      <c r="D501" s="8" t="s">
        <v>40</v>
      </c>
      <c r="E501" s="8" t="s">
        <v>77</v>
      </c>
      <c r="F501" s="8"/>
      <c r="G501" s="8" t="n">
        <v>400</v>
      </c>
      <c r="H501" s="8" t="n">
        <v>0.15</v>
      </c>
      <c r="I501" s="8" t="n">
        <v>200</v>
      </c>
    </row>
    <row r="502" customFormat="false" ht="15" hidden="false" customHeight="false" outlineLevel="0" collapsed="false">
      <c r="A502" s="8" t="s">
        <v>561</v>
      </c>
      <c r="B502" s="11" t="n">
        <v>45938</v>
      </c>
      <c r="C502" s="8" t="s">
        <v>39</v>
      </c>
      <c r="D502" s="8" t="s">
        <v>44</v>
      </c>
      <c r="E502" s="8" t="s">
        <v>45</v>
      </c>
      <c r="F502" s="8" t="n">
        <v>3</v>
      </c>
      <c r="G502" s="8" t="n">
        <v>1500</v>
      </c>
      <c r="H502" s="8" t="n">
        <v>0.1</v>
      </c>
      <c r="I502" s="8" t="n">
        <v>900</v>
      </c>
    </row>
    <row r="503" customFormat="false" ht="15" hidden="false" customHeight="false" outlineLevel="0" collapsed="false">
      <c r="A503" s="8" t="s">
        <v>562</v>
      </c>
      <c r="B503" s="11" t="n">
        <v>45951</v>
      </c>
      <c r="C503" s="8" t="s">
        <v>39</v>
      </c>
      <c r="D503" s="8" t="s">
        <v>44</v>
      </c>
      <c r="E503" s="8" t="s">
        <v>50</v>
      </c>
      <c r="F503" s="8" t="n">
        <v>3</v>
      </c>
      <c r="G503" s="8" t="n">
        <v>3000</v>
      </c>
      <c r="H503" s="8" t="n">
        <v>0</v>
      </c>
      <c r="I503" s="8" t="n">
        <v>2000</v>
      </c>
    </row>
    <row r="504" customFormat="false" ht="15" hidden="false" customHeight="false" outlineLevel="0" collapsed="false">
      <c r="A504" s="8" t="s">
        <v>563</v>
      </c>
      <c r="B504" s="11" t="n">
        <v>45953</v>
      </c>
      <c r="C504" s="8" t="s">
        <v>39</v>
      </c>
      <c r="D504" s="8" t="s">
        <v>44</v>
      </c>
      <c r="E504" s="8" t="s">
        <v>50</v>
      </c>
      <c r="F504" s="8" t="n">
        <v>2</v>
      </c>
      <c r="G504" s="8" t="n">
        <v>3000</v>
      </c>
      <c r="H504" s="8" t="n">
        <v>0</v>
      </c>
      <c r="I504" s="8" t="n">
        <v>2000</v>
      </c>
    </row>
    <row r="505" customFormat="false" ht="15" hidden="false" customHeight="false" outlineLevel="0" collapsed="false">
      <c r="A505" s="8" t="s">
        <v>564</v>
      </c>
      <c r="B505" s="11" t="n">
        <v>45948</v>
      </c>
      <c r="C505" s="8" t="s">
        <v>39</v>
      </c>
      <c r="D505" s="8" t="s">
        <v>57</v>
      </c>
      <c r="E505" s="8" t="s">
        <v>86</v>
      </c>
      <c r="F505" s="8" t="n">
        <v>1</v>
      </c>
      <c r="G505" s="8" t="n">
        <v>1200</v>
      </c>
      <c r="H505" s="8" t="n">
        <v>0</v>
      </c>
      <c r="I505" s="8" t="n">
        <v>600</v>
      </c>
    </row>
    <row r="506" customFormat="false" ht="15" hidden="false" customHeight="false" outlineLevel="0" collapsed="false">
      <c r="A506" s="8" t="s">
        <v>565</v>
      </c>
      <c r="B506" s="11" t="n">
        <v>45951</v>
      </c>
      <c r="C506" s="8" t="s">
        <v>47</v>
      </c>
      <c r="D506" s="8" t="s">
        <v>44</v>
      </c>
      <c r="E506" s="8" t="s">
        <v>45</v>
      </c>
      <c r="F506" s="8" t="n">
        <v>2</v>
      </c>
      <c r="G506" s="8" t="n">
        <v>1500</v>
      </c>
      <c r="H506" s="8" t="n">
        <v>0.05</v>
      </c>
      <c r="I506" s="8" t="n">
        <v>900</v>
      </c>
    </row>
    <row r="507" customFormat="false" ht="15" hidden="false" customHeight="false" outlineLevel="0" collapsed="false">
      <c r="A507" s="8" t="s">
        <v>566</v>
      </c>
      <c r="B507" s="11" t="n">
        <v>45940</v>
      </c>
      <c r="C507" s="8" t="s">
        <v>43</v>
      </c>
      <c r="D507" s="8" t="s">
        <v>44</v>
      </c>
      <c r="E507" s="8" t="s">
        <v>50</v>
      </c>
      <c r="F507" s="8" t="n">
        <v>2</v>
      </c>
      <c r="G507" s="8" t="n">
        <v>3000</v>
      </c>
      <c r="H507" s="8" t="n">
        <v>0</v>
      </c>
      <c r="I507" s="8" t="n">
        <v>2000</v>
      </c>
    </row>
    <row r="508" customFormat="false" ht="15" hidden="false" customHeight="false" outlineLevel="0" collapsed="false">
      <c r="A508" s="8" t="s">
        <v>567</v>
      </c>
      <c r="B508" s="11" t="n">
        <v>45949</v>
      </c>
      <c r="C508" s="8"/>
      <c r="D508" s="8" t="s">
        <v>40</v>
      </c>
      <c r="E508" s="8" t="s">
        <v>41</v>
      </c>
      <c r="F508" s="8" t="n">
        <v>3</v>
      </c>
      <c r="G508" s="8" t="n">
        <v>600</v>
      </c>
      <c r="H508" s="8" t="n">
        <v>0.15</v>
      </c>
      <c r="I508" s="8" t="n">
        <v>300</v>
      </c>
    </row>
    <row r="509" customFormat="false" ht="15" hidden="false" customHeight="false" outlineLevel="0" collapsed="false">
      <c r="A509" s="8" t="s">
        <v>568</v>
      </c>
      <c r="B509" s="11" t="n">
        <v>45936</v>
      </c>
      <c r="C509" s="8" t="s">
        <v>47</v>
      </c>
      <c r="D509" s="8" t="s">
        <v>44</v>
      </c>
      <c r="E509" s="8" t="s">
        <v>50</v>
      </c>
      <c r="F509" s="8" t="n">
        <v>3</v>
      </c>
      <c r="G509" s="8" t="n">
        <v>3000</v>
      </c>
      <c r="H509" s="8" t="n">
        <v>0</v>
      </c>
      <c r="I509" s="8" t="n">
        <v>2000</v>
      </c>
    </row>
    <row r="510" customFormat="false" ht="15" hidden="false" customHeight="false" outlineLevel="0" collapsed="false">
      <c r="A510" s="8" t="s">
        <v>569</v>
      </c>
      <c r="B510" s="11" t="n">
        <v>45957</v>
      </c>
      <c r="C510" s="8" t="s">
        <v>55</v>
      </c>
      <c r="D510" s="8" t="s">
        <v>57</v>
      </c>
      <c r="E510" s="8" t="s">
        <v>58</v>
      </c>
      <c r="F510" s="8" t="n">
        <v>1</v>
      </c>
      <c r="G510" s="8" t="n">
        <v>5500</v>
      </c>
      <c r="H510" s="8" t="n">
        <v>0</v>
      </c>
      <c r="I510" s="8" t="n">
        <v>3600</v>
      </c>
    </row>
    <row r="511" customFormat="false" ht="15" hidden="false" customHeight="false" outlineLevel="0" collapsed="false">
      <c r="A511" s="8" t="s">
        <v>570</v>
      </c>
      <c r="B511" s="11" t="n">
        <v>45958</v>
      </c>
      <c r="C511" s="8" t="s">
        <v>43</v>
      </c>
      <c r="D511" s="8" t="s">
        <v>57</v>
      </c>
      <c r="E511" s="8" t="s">
        <v>58</v>
      </c>
      <c r="F511" s="8" t="n">
        <v>1</v>
      </c>
      <c r="G511" s="8" t="n">
        <v>5500</v>
      </c>
      <c r="H511" s="8" t="n">
        <v>0.15</v>
      </c>
      <c r="I511" s="8" t="n">
        <v>3600</v>
      </c>
    </row>
    <row r="512" customFormat="false" ht="15" hidden="false" customHeight="false" outlineLevel="0" collapsed="false">
      <c r="A512" s="8" t="s">
        <v>571</v>
      </c>
      <c r="B512" s="11" t="n">
        <v>45949</v>
      </c>
      <c r="C512" s="8" t="s">
        <v>55</v>
      </c>
      <c r="D512" s="8" t="s">
        <v>57</v>
      </c>
      <c r="E512" s="8" t="s">
        <v>111</v>
      </c>
      <c r="F512" s="8" t="n">
        <v>1</v>
      </c>
      <c r="G512" s="8" t="n">
        <v>7000</v>
      </c>
      <c r="H512" s="8" t="n">
        <v>0</v>
      </c>
      <c r="I512" s="8" t="n">
        <v>4800</v>
      </c>
    </row>
    <row r="513" customFormat="false" ht="15" hidden="false" customHeight="false" outlineLevel="0" collapsed="false">
      <c r="A513" s="8" t="s">
        <v>572</v>
      </c>
      <c r="B513" s="11" t="n">
        <v>45945</v>
      </c>
      <c r="C513" s="8" t="s">
        <v>39</v>
      </c>
      <c r="D513" s="8" t="s">
        <v>40</v>
      </c>
      <c r="E513" s="8" t="s">
        <v>104</v>
      </c>
      <c r="F513" s="8" t="n">
        <v>7</v>
      </c>
      <c r="G513" s="8" t="n">
        <v>250</v>
      </c>
      <c r="H513" s="8" t="n">
        <v>0</v>
      </c>
      <c r="I513" s="8" t="n">
        <v>100</v>
      </c>
    </row>
    <row r="514" customFormat="false" ht="15" hidden="false" customHeight="false" outlineLevel="0" collapsed="false">
      <c r="A514" s="8" t="s">
        <v>573</v>
      </c>
      <c r="B514" s="11" t="n">
        <v>45958</v>
      </c>
      <c r="C514" s="8" t="s">
        <v>47</v>
      </c>
      <c r="D514" s="8" t="s">
        <v>40</v>
      </c>
      <c r="E514" s="8" t="s">
        <v>41</v>
      </c>
      <c r="F514" s="8" t="n">
        <v>9</v>
      </c>
      <c r="G514" s="8" t="n">
        <v>600</v>
      </c>
      <c r="H514" s="8" t="n">
        <v>0</v>
      </c>
      <c r="I514" s="8" t="n">
        <v>300</v>
      </c>
    </row>
    <row r="515" customFormat="false" ht="15" hidden="false" customHeight="false" outlineLevel="0" collapsed="false">
      <c r="A515" s="8" t="s">
        <v>574</v>
      </c>
      <c r="B515" s="11" t="n">
        <v>45941</v>
      </c>
      <c r="C515" s="8" t="s">
        <v>47</v>
      </c>
      <c r="D515" s="8" t="s">
        <v>40</v>
      </c>
      <c r="E515" s="8" t="s">
        <v>77</v>
      </c>
      <c r="F515" s="8" t="n">
        <v>5</v>
      </c>
      <c r="G515" s="8" t="n">
        <v>400</v>
      </c>
      <c r="H515" s="8" t="n">
        <v>0</v>
      </c>
      <c r="I515" s="8" t="n">
        <v>200</v>
      </c>
    </row>
    <row r="516" customFormat="false" ht="15" hidden="false" customHeight="false" outlineLevel="0" collapsed="false">
      <c r="A516" s="8" t="s">
        <v>575</v>
      </c>
      <c r="B516" s="11" t="n">
        <v>45953</v>
      </c>
      <c r="C516" s="8" t="s">
        <v>43</v>
      </c>
      <c r="D516" s="8" t="s">
        <v>44</v>
      </c>
      <c r="E516" s="8" t="s">
        <v>45</v>
      </c>
      <c r="F516" s="8" t="n">
        <v>3</v>
      </c>
      <c r="G516" s="8" t="n">
        <v>1500</v>
      </c>
      <c r="H516" s="8" t="n">
        <v>0</v>
      </c>
      <c r="I516" s="8" t="n">
        <v>900</v>
      </c>
    </row>
    <row r="517" customFormat="false" ht="15" hidden="false" customHeight="false" outlineLevel="0" collapsed="false">
      <c r="A517" s="8" t="s">
        <v>576</v>
      </c>
      <c r="B517" s="11" t="n">
        <v>45949</v>
      </c>
      <c r="C517" s="8" t="s">
        <v>39</v>
      </c>
      <c r="D517" s="8" t="s">
        <v>44</v>
      </c>
      <c r="E517" s="8" t="s">
        <v>45</v>
      </c>
      <c r="F517" s="8" t="n">
        <v>2</v>
      </c>
      <c r="G517" s="8" t="n">
        <v>1500</v>
      </c>
      <c r="H517" s="8" t="n">
        <v>0</v>
      </c>
      <c r="I517" s="8" t="n">
        <v>900</v>
      </c>
    </row>
    <row r="518" customFormat="false" ht="15" hidden="false" customHeight="false" outlineLevel="0" collapsed="false">
      <c r="A518" s="8" t="s">
        <v>577</v>
      </c>
      <c r="B518" s="11" t="n">
        <v>45958</v>
      </c>
      <c r="C518" s="8" t="s">
        <v>43</v>
      </c>
      <c r="D518" s="8" t="s">
        <v>40</v>
      </c>
      <c r="E518" s="8" t="s">
        <v>41</v>
      </c>
      <c r="F518" s="8" t="n">
        <v>4</v>
      </c>
      <c r="G518" s="8" t="n">
        <v>600</v>
      </c>
      <c r="H518" s="8" t="n">
        <v>0.1</v>
      </c>
      <c r="I518" s="8" t="n">
        <v>300</v>
      </c>
    </row>
    <row r="519" customFormat="false" ht="15" hidden="false" customHeight="false" outlineLevel="0" collapsed="false">
      <c r="A519" s="8" t="s">
        <v>578</v>
      </c>
      <c r="B519" s="11" t="n">
        <v>45941</v>
      </c>
      <c r="C519" s="8" t="s">
        <v>55</v>
      </c>
      <c r="D519" s="8" t="s">
        <v>40</v>
      </c>
      <c r="E519" s="8" t="s">
        <v>41</v>
      </c>
      <c r="F519" s="8" t="n">
        <v>8</v>
      </c>
      <c r="G519" s="8" t="n">
        <v>600</v>
      </c>
      <c r="H519" s="8" t="n">
        <v>0.1</v>
      </c>
      <c r="I519" s="8" t="n">
        <v>300</v>
      </c>
    </row>
    <row r="520" customFormat="false" ht="15" hidden="false" customHeight="false" outlineLevel="0" collapsed="false">
      <c r="A520" s="8" t="s">
        <v>579</v>
      </c>
      <c r="B520" s="11" t="n">
        <v>45935</v>
      </c>
      <c r="C520" s="8" t="s">
        <v>47</v>
      </c>
      <c r="D520" s="8" t="s">
        <v>44</v>
      </c>
      <c r="E520" s="8" t="s">
        <v>48</v>
      </c>
      <c r="F520" s="8" t="n">
        <v>1</v>
      </c>
      <c r="G520" s="8" t="n">
        <v>4500</v>
      </c>
      <c r="H520" s="8" t="n">
        <v>0</v>
      </c>
      <c r="I520" s="8" t="n">
        <v>3300</v>
      </c>
    </row>
    <row r="521" customFormat="false" ht="15" hidden="false" customHeight="false" outlineLevel="0" collapsed="false">
      <c r="A521" s="8" t="s">
        <v>580</v>
      </c>
      <c r="B521" s="11" t="n">
        <v>45939</v>
      </c>
      <c r="C521" s="8" t="s">
        <v>47</v>
      </c>
      <c r="D521" s="8" t="s">
        <v>57</v>
      </c>
      <c r="E521" s="8" t="s">
        <v>86</v>
      </c>
      <c r="F521" s="8" t="n">
        <v>1</v>
      </c>
      <c r="G521" s="8" t="n">
        <v>1200</v>
      </c>
      <c r="H521" s="8" t="n">
        <v>0</v>
      </c>
      <c r="I521" s="8" t="n">
        <v>600</v>
      </c>
    </row>
    <row r="522" customFormat="false" ht="15" hidden="false" customHeight="false" outlineLevel="0" collapsed="false">
      <c r="A522" s="8" t="s">
        <v>581</v>
      </c>
      <c r="B522" s="11" t="n">
        <v>45940</v>
      </c>
      <c r="C522" s="8" t="s">
        <v>39</v>
      </c>
      <c r="D522" s="8" t="s">
        <v>57</v>
      </c>
      <c r="E522" s="8" t="s">
        <v>58</v>
      </c>
      <c r="F522" s="8" t="n">
        <v>2</v>
      </c>
      <c r="G522" s="8" t="n">
        <v>5500</v>
      </c>
      <c r="H522" s="8" t="n">
        <v>0</v>
      </c>
      <c r="I522" s="8" t="n">
        <v>3600</v>
      </c>
    </row>
    <row r="523" customFormat="false" ht="15" hidden="false" customHeight="false" outlineLevel="0" collapsed="false">
      <c r="A523" s="8" t="s">
        <v>582</v>
      </c>
      <c r="B523" s="11" t="n">
        <v>45951</v>
      </c>
      <c r="C523" s="8" t="s">
        <v>43</v>
      </c>
      <c r="D523" s="8" t="s">
        <v>40</v>
      </c>
      <c r="E523" s="8" t="s">
        <v>104</v>
      </c>
      <c r="F523" s="8" t="n">
        <v>2</v>
      </c>
      <c r="G523" s="8" t="n">
        <v>250</v>
      </c>
      <c r="H523" s="8" t="n">
        <v>0</v>
      </c>
      <c r="I523" s="8" t="n">
        <v>100</v>
      </c>
    </row>
    <row r="524" customFormat="false" ht="15" hidden="false" customHeight="false" outlineLevel="0" collapsed="false">
      <c r="A524" s="8" t="s">
        <v>583</v>
      </c>
      <c r="B524" s="11" t="n">
        <v>45934</v>
      </c>
      <c r="C524" s="8" t="s">
        <v>43</v>
      </c>
      <c r="D524" s="8" t="s">
        <v>57</v>
      </c>
      <c r="E524" s="8" t="s">
        <v>63</v>
      </c>
      <c r="F524" s="8" t="n">
        <v>1</v>
      </c>
      <c r="G524" s="8" t="n">
        <v>9000</v>
      </c>
      <c r="H524" s="8" t="n">
        <v>0.15</v>
      </c>
      <c r="I524" s="8" t="n">
        <v>6200</v>
      </c>
    </row>
    <row r="525" customFormat="false" ht="15" hidden="false" customHeight="false" outlineLevel="0" collapsed="false">
      <c r="A525" s="8" t="s">
        <v>584</v>
      </c>
      <c r="B525" s="11" t="n">
        <v>45947</v>
      </c>
      <c r="C525" s="8" t="s">
        <v>47</v>
      </c>
      <c r="D525" s="8" t="s">
        <v>57</v>
      </c>
      <c r="E525" s="8" t="s">
        <v>86</v>
      </c>
      <c r="F525" s="8" t="n">
        <v>2</v>
      </c>
      <c r="G525" s="8" t="n">
        <v>1200</v>
      </c>
      <c r="H525" s="8" t="n">
        <v>0.15</v>
      </c>
      <c r="I525" s="8" t="n">
        <v>600</v>
      </c>
    </row>
    <row r="526" customFormat="false" ht="15" hidden="false" customHeight="false" outlineLevel="0" collapsed="false">
      <c r="A526" s="8" t="s">
        <v>585</v>
      </c>
      <c r="B526" s="11" t="n">
        <v>45940</v>
      </c>
      <c r="C526" s="8" t="s">
        <v>43</v>
      </c>
      <c r="D526" s="8" t="s">
        <v>40</v>
      </c>
      <c r="E526" s="8" t="s">
        <v>71</v>
      </c>
      <c r="F526" s="8" t="n">
        <v>3</v>
      </c>
      <c r="G526" s="8" t="n">
        <v>500</v>
      </c>
      <c r="H526" s="8" t="n">
        <v>0.15</v>
      </c>
      <c r="I526" s="8" t="n">
        <v>250</v>
      </c>
    </row>
    <row r="527" customFormat="false" ht="15" hidden="false" customHeight="false" outlineLevel="0" collapsed="false">
      <c r="A527" s="8" t="s">
        <v>586</v>
      </c>
      <c r="B527" s="11" t="n">
        <v>45946</v>
      </c>
      <c r="C527" s="8" t="s">
        <v>43</v>
      </c>
      <c r="D527" s="8" t="s">
        <v>57</v>
      </c>
      <c r="E527" s="8" t="s">
        <v>63</v>
      </c>
      <c r="F527" s="8" t="n">
        <v>1</v>
      </c>
      <c r="G527" s="8" t="n">
        <v>9000</v>
      </c>
      <c r="H527" s="8" t="n">
        <v>0</v>
      </c>
      <c r="I527" s="8" t="n">
        <v>6200</v>
      </c>
    </row>
    <row r="528" customFormat="false" ht="15" hidden="false" customHeight="false" outlineLevel="0" collapsed="false">
      <c r="A528" s="8" t="s">
        <v>587</v>
      </c>
      <c r="B528" s="11" t="n">
        <v>45944</v>
      </c>
      <c r="C528" s="8" t="s">
        <v>47</v>
      </c>
      <c r="D528" s="8" t="s">
        <v>44</v>
      </c>
      <c r="E528" s="8" t="s">
        <v>45</v>
      </c>
      <c r="F528" s="8" t="n">
        <v>3</v>
      </c>
      <c r="G528" s="8" t="n">
        <v>1500</v>
      </c>
      <c r="H528" s="8" t="n">
        <v>0</v>
      </c>
      <c r="I528" s="8" t="n">
        <v>900</v>
      </c>
    </row>
    <row r="529" customFormat="false" ht="15" hidden="false" customHeight="false" outlineLevel="0" collapsed="false">
      <c r="A529" s="8" t="s">
        <v>588</v>
      </c>
      <c r="B529" s="11" t="n">
        <v>45956</v>
      </c>
      <c r="C529" s="8" t="s">
        <v>47</v>
      </c>
      <c r="D529" s="8" t="s">
        <v>40</v>
      </c>
      <c r="E529" s="8" t="s">
        <v>71</v>
      </c>
      <c r="F529" s="8" t="n">
        <v>9</v>
      </c>
      <c r="G529" s="8" t="n">
        <v>500</v>
      </c>
      <c r="H529" s="8" t="n">
        <v>0.1</v>
      </c>
      <c r="I529" s="8" t="n">
        <v>250</v>
      </c>
    </row>
    <row r="530" customFormat="false" ht="15" hidden="false" customHeight="false" outlineLevel="0" collapsed="false">
      <c r="A530" s="8" t="s">
        <v>589</v>
      </c>
      <c r="B530" s="11" t="n">
        <v>45955</v>
      </c>
      <c r="C530" s="8" t="s">
        <v>55</v>
      </c>
      <c r="D530" s="8" t="s">
        <v>40</v>
      </c>
      <c r="E530" s="8" t="s">
        <v>41</v>
      </c>
      <c r="F530" s="8" t="n">
        <v>5</v>
      </c>
      <c r="G530" s="8" t="n">
        <v>600</v>
      </c>
      <c r="H530" s="8" t="n">
        <v>0.15</v>
      </c>
      <c r="I530" s="8" t="n">
        <v>300</v>
      </c>
    </row>
    <row r="531" customFormat="false" ht="15" hidden="false" customHeight="false" outlineLevel="0" collapsed="false">
      <c r="A531" s="8" t="s">
        <v>590</v>
      </c>
      <c r="B531" s="11" t="n">
        <v>45945</v>
      </c>
      <c r="C531" s="8" t="s">
        <v>55</v>
      </c>
      <c r="D531" s="8" t="s">
        <v>40</v>
      </c>
      <c r="E531" s="8" t="s">
        <v>104</v>
      </c>
      <c r="F531" s="8" t="n">
        <v>3</v>
      </c>
      <c r="G531" s="8" t="n">
        <v>250</v>
      </c>
      <c r="H531" s="8" t="n">
        <v>0.1</v>
      </c>
      <c r="I531" s="8" t="n">
        <v>100</v>
      </c>
    </row>
    <row r="532" customFormat="false" ht="15" hidden="false" customHeight="false" outlineLevel="0" collapsed="false">
      <c r="A532" s="8" t="s">
        <v>591</v>
      </c>
      <c r="B532" s="11" t="n">
        <v>45934</v>
      </c>
      <c r="C532" s="8" t="s">
        <v>43</v>
      </c>
      <c r="D532" s="8" t="s">
        <v>40</v>
      </c>
      <c r="E532" s="8" t="s">
        <v>77</v>
      </c>
      <c r="F532" s="8" t="n">
        <v>3</v>
      </c>
      <c r="G532" s="8" t="n">
        <v>400</v>
      </c>
      <c r="H532" s="8" t="n">
        <v>0.1</v>
      </c>
      <c r="I532" s="8" t="n">
        <v>200</v>
      </c>
    </row>
    <row r="533" customFormat="false" ht="15" hidden="false" customHeight="false" outlineLevel="0" collapsed="false">
      <c r="A533" s="8" t="s">
        <v>592</v>
      </c>
      <c r="B533" s="11" t="n">
        <v>45949</v>
      </c>
      <c r="C533" s="8" t="s">
        <v>55</v>
      </c>
      <c r="D533" s="8" t="s">
        <v>44</v>
      </c>
      <c r="E533" s="8" t="s">
        <v>60</v>
      </c>
      <c r="F533" s="8" t="n">
        <v>3</v>
      </c>
      <c r="G533" s="8" t="n">
        <v>2500</v>
      </c>
      <c r="H533" s="8" t="n">
        <v>0</v>
      </c>
      <c r="I533" s="8" t="n">
        <v>1600</v>
      </c>
    </row>
    <row r="534" customFormat="false" ht="15" hidden="false" customHeight="false" outlineLevel="0" collapsed="false">
      <c r="A534" s="8" t="s">
        <v>593</v>
      </c>
      <c r="B534" s="11" t="n">
        <v>45945</v>
      </c>
      <c r="C534" s="8" t="s">
        <v>39</v>
      </c>
      <c r="D534" s="8" t="s">
        <v>40</v>
      </c>
      <c r="E534" s="8" t="s">
        <v>77</v>
      </c>
      <c r="F534" s="8" t="n">
        <v>7</v>
      </c>
      <c r="G534" s="8" t="n">
        <v>400</v>
      </c>
      <c r="H534" s="8" t="n">
        <v>0.1</v>
      </c>
      <c r="I534" s="8" t="n">
        <v>200</v>
      </c>
    </row>
    <row r="535" customFormat="false" ht="15" hidden="false" customHeight="false" outlineLevel="0" collapsed="false">
      <c r="A535" s="8" t="s">
        <v>594</v>
      </c>
      <c r="B535" s="11" t="n">
        <v>45977</v>
      </c>
      <c r="C535" s="8" t="s">
        <v>43</v>
      </c>
      <c r="D535" s="8" t="s">
        <v>44</v>
      </c>
      <c r="E535" s="8" t="s">
        <v>48</v>
      </c>
      <c r="F535" s="8" t="n">
        <v>3</v>
      </c>
      <c r="G535" s="8" t="n">
        <v>4500</v>
      </c>
      <c r="H535" s="8" t="n">
        <v>0.1</v>
      </c>
      <c r="I535" s="8" t="n">
        <v>3300</v>
      </c>
    </row>
    <row r="536" customFormat="false" ht="15" hidden="false" customHeight="false" outlineLevel="0" collapsed="false">
      <c r="A536" s="8" t="s">
        <v>595</v>
      </c>
      <c r="B536" s="11" t="n">
        <v>45976</v>
      </c>
      <c r="C536" s="8" t="s">
        <v>55</v>
      </c>
      <c r="D536" s="8" t="s">
        <v>44</v>
      </c>
      <c r="E536" s="8" t="s">
        <v>48</v>
      </c>
      <c r="F536" s="8" t="n">
        <v>2</v>
      </c>
      <c r="G536" s="8" t="n">
        <v>4500</v>
      </c>
      <c r="H536" s="8" t="n">
        <v>0</v>
      </c>
      <c r="I536" s="8" t="n">
        <v>3300</v>
      </c>
    </row>
    <row r="537" customFormat="false" ht="15" hidden="false" customHeight="false" outlineLevel="0" collapsed="false">
      <c r="A537" s="8" t="s">
        <v>596</v>
      </c>
      <c r="B537" s="11" t="n">
        <v>45963</v>
      </c>
      <c r="C537" s="8" t="s">
        <v>47</v>
      </c>
      <c r="D537" s="8" t="s">
        <v>44</v>
      </c>
      <c r="E537" s="8" t="s">
        <v>45</v>
      </c>
      <c r="F537" s="8" t="n">
        <v>2</v>
      </c>
      <c r="G537" s="8" t="n">
        <v>1500</v>
      </c>
      <c r="H537" s="8" t="n">
        <v>0.1</v>
      </c>
      <c r="I537" s="8" t="n">
        <v>900</v>
      </c>
    </row>
    <row r="538" customFormat="false" ht="15" hidden="false" customHeight="false" outlineLevel="0" collapsed="false">
      <c r="A538" s="8" t="s">
        <v>597</v>
      </c>
      <c r="B538" s="11" t="n">
        <v>45962</v>
      </c>
      <c r="C538" s="8" t="s">
        <v>47</v>
      </c>
      <c r="D538" s="8" t="s">
        <v>40</v>
      </c>
      <c r="E538" s="8" t="s">
        <v>77</v>
      </c>
      <c r="F538" s="8" t="n">
        <v>6</v>
      </c>
      <c r="G538" s="8" t="n">
        <v>400</v>
      </c>
      <c r="H538" s="8" t="n">
        <v>0.15</v>
      </c>
      <c r="I538" s="8" t="n">
        <v>200</v>
      </c>
    </row>
    <row r="539" customFormat="false" ht="15" hidden="false" customHeight="false" outlineLevel="0" collapsed="false">
      <c r="A539" s="8" t="s">
        <v>598</v>
      </c>
      <c r="B539" s="11" t="n">
        <v>45968</v>
      </c>
      <c r="C539" s="8" t="s">
        <v>47</v>
      </c>
      <c r="D539" s="8" t="s">
        <v>57</v>
      </c>
      <c r="E539" s="8" t="s">
        <v>58</v>
      </c>
      <c r="F539" s="8" t="n">
        <v>1</v>
      </c>
      <c r="G539" s="8" t="n">
        <v>5500</v>
      </c>
      <c r="H539" s="8" t="n">
        <v>0.15</v>
      </c>
      <c r="I539" s="8" t="n">
        <v>3600</v>
      </c>
    </row>
    <row r="540" customFormat="false" ht="15" hidden="false" customHeight="false" outlineLevel="0" collapsed="false">
      <c r="A540" s="8" t="s">
        <v>599</v>
      </c>
      <c r="B540" s="11" t="n">
        <v>45984</v>
      </c>
      <c r="C540" s="8" t="s">
        <v>39</v>
      </c>
      <c r="D540" s="8" t="s">
        <v>40</v>
      </c>
      <c r="E540" s="8" t="s">
        <v>104</v>
      </c>
      <c r="F540" s="8" t="n">
        <v>8</v>
      </c>
      <c r="G540" s="8" t="n">
        <v>250</v>
      </c>
      <c r="H540" s="8" t="n">
        <v>0</v>
      </c>
      <c r="I540" s="8" t="n">
        <v>100</v>
      </c>
    </row>
    <row r="541" customFormat="false" ht="15" hidden="false" customHeight="false" outlineLevel="0" collapsed="false">
      <c r="A541" s="8" t="s">
        <v>600</v>
      </c>
      <c r="B541" s="11" t="n">
        <v>45977</v>
      </c>
      <c r="C541" s="8" t="s">
        <v>47</v>
      </c>
      <c r="D541" s="8" t="s">
        <v>44</v>
      </c>
      <c r="E541" s="8" t="s">
        <v>48</v>
      </c>
      <c r="F541" s="8" t="n">
        <v>1</v>
      </c>
      <c r="G541" s="8" t="n">
        <v>4500</v>
      </c>
      <c r="H541" s="8" t="n">
        <v>0</v>
      </c>
      <c r="I541" s="8" t="n">
        <v>3300</v>
      </c>
    </row>
    <row r="542" customFormat="false" ht="15" hidden="false" customHeight="false" outlineLevel="0" collapsed="false">
      <c r="A542" s="8" t="s">
        <v>601</v>
      </c>
      <c r="B542" s="11" t="n">
        <v>45986</v>
      </c>
      <c r="C542" s="8" t="s">
        <v>47</v>
      </c>
      <c r="D542" s="8" t="s">
        <v>44</v>
      </c>
      <c r="E542" s="8" t="s">
        <v>60</v>
      </c>
      <c r="F542" s="8" t="n">
        <v>1</v>
      </c>
      <c r="G542" s="8" t="n">
        <v>2500</v>
      </c>
      <c r="H542" s="8" t="n">
        <v>0</v>
      </c>
      <c r="I542" s="8" t="n">
        <v>1600</v>
      </c>
    </row>
    <row r="543" customFormat="false" ht="15" hidden="false" customHeight="false" outlineLevel="0" collapsed="false">
      <c r="A543" s="8" t="s">
        <v>602</v>
      </c>
      <c r="B543" s="11" t="n">
        <v>45974</v>
      </c>
      <c r="C543" s="8" t="s">
        <v>55</v>
      </c>
      <c r="D543" s="8" t="s">
        <v>40</v>
      </c>
      <c r="E543" s="8" t="s">
        <v>41</v>
      </c>
      <c r="F543" s="8" t="n">
        <v>8</v>
      </c>
      <c r="G543" s="8" t="n">
        <v>600</v>
      </c>
      <c r="H543" s="8" t="n">
        <v>0</v>
      </c>
      <c r="I543" s="8" t="n">
        <v>300</v>
      </c>
    </row>
    <row r="544" customFormat="false" ht="15" hidden="false" customHeight="false" outlineLevel="0" collapsed="false">
      <c r="A544" s="8" t="s">
        <v>603</v>
      </c>
      <c r="B544" s="11" t="n">
        <v>45964</v>
      </c>
      <c r="C544" s="8" t="s">
        <v>55</v>
      </c>
      <c r="D544" s="8" t="s">
        <v>57</v>
      </c>
      <c r="E544" s="8" t="s">
        <v>86</v>
      </c>
      <c r="F544" s="8" t="n">
        <v>2</v>
      </c>
      <c r="G544" s="8" t="n">
        <v>1200</v>
      </c>
      <c r="H544" s="8" t="n">
        <v>0.05</v>
      </c>
      <c r="I544" s="8" t="n">
        <v>600</v>
      </c>
    </row>
    <row r="545" customFormat="false" ht="15" hidden="false" customHeight="false" outlineLevel="0" collapsed="false">
      <c r="A545" s="8" t="s">
        <v>604</v>
      </c>
      <c r="B545" s="11" t="n">
        <v>45982</v>
      </c>
      <c r="C545" s="8" t="s">
        <v>55</v>
      </c>
      <c r="D545" s="8" t="s">
        <v>40</v>
      </c>
      <c r="E545" s="8" t="s">
        <v>41</v>
      </c>
      <c r="F545" s="8" t="n">
        <v>10</v>
      </c>
      <c r="G545" s="8" t="n">
        <v>600</v>
      </c>
      <c r="H545" s="8" t="n">
        <v>0</v>
      </c>
      <c r="I545" s="8" t="n">
        <v>300</v>
      </c>
    </row>
    <row r="546" customFormat="false" ht="15" hidden="false" customHeight="false" outlineLevel="0" collapsed="false">
      <c r="A546" s="8" t="s">
        <v>605</v>
      </c>
      <c r="B546" s="11" t="n">
        <v>45978</v>
      </c>
      <c r="C546" s="8" t="s">
        <v>39</v>
      </c>
      <c r="D546" s="8" t="s">
        <v>57</v>
      </c>
      <c r="E546" s="8" t="s">
        <v>63</v>
      </c>
      <c r="F546" s="8" t="n">
        <v>3</v>
      </c>
      <c r="G546" s="8" t="n">
        <v>9000</v>
      </c>
      <c r="H546" s="8" t="n">
        <v>0.05</v>
      </c>
      <c r="I546" s="8" t="n">
        <v>6200</v>
      </c>
    </row>
    <row r="547" customFormat="false" ht="15" hidden="false" customHeight="false" outlineLevel="0" collapsed="false">
      <c r="A547" s="8" t="s">
        <v>606</v>
      </c>
      <c r="B547" s="11" t="n">
        <v>45986</v>
      </c>
      <c r="C547" s="8" t="s">
        <v>43</v>
      </c>
      <c r="D547" s="8" t="s">
        <v>44</v>
      </c>
      <c r="E547" s="8" t="s">
        <v>45</v>
      </c>
      <c r="F547" s="8" t="n">
        <v>1</v>
      </c>
      <c r="G547" s="8" t="n">
        <v>1500</v>
      </c>
      <c r="H547" s="8" t="n">
        <v>0</v>
      </c>
      <c r="I547" s="8" t="n">
        <v>900</v>
      </c>
    </row>
    <row r="548" customFormat="false" ht="15" hidden="false" customHeight="false" outlineLevel="0" collapsed="false">
      <c r="A548" s="8" t="s">
        <v>607</v>
      </c>
      <c r="B548" s="11" t="n">
        <v>45985</v>
      </c>
      <c r="C548" s="8" t="s">
        <v>55</v>
      </c>
      <c r="D548" s="8" t="s">
        <v>44</v>
      </c>
      <c r="E548" s="8" t="s">
        <v>60</v>
      </c>
      <c r="F548" s="8" t="n">
        <v>2</v>
      </c>
      <c r="G548" s="8" t="n">
        <v>2500</v>
      </c>
      <c r="H548" s="8" t="n">
        <v>0.15</v>
      </c>
      <c r="I548" s="8" t="n">
        <v>1600</v>
      </c>
    </row>
    <row r="549" customFormat="false" ht="15" hidden="false" customHeight="false" outlineLevel="0" collapsed="false">
      <c r="A549" s="8" t="s">
        <v>608</v>
      </c>
      <c r="B549" s="11" t="n">
        <v>45969</v>
      </c>
      <c r="C549" s="8"/>
      <c r="D549" s="8" t="s">
        <v>40</v>
      </c>
      <c r="E549" s="8" t="s">
        <v>77</v>
      </c>
      <c r="F549" s="8" t="n">
        <v>8</v>
      </c>
      <c r="G549" s="8" t="n">
        <v>400</v>
      </c>
      <c r="H549" s="8" t="n">
        <v>0</v>
      </c>
      <c r="I549" s="8" t="n">
        <v>200</v>
      </c>
    </row>
    <row r="550" customFormat="false" ht="15" hidden="false" customHeight="false" outlineLevel="0" collapsed="false">
      <c r="A550" s="8" t="s">
        <v>609</v>
      </c>
      <c r="B550" s="11" t="n">
        <v>45985</v>
      </c>
      <c r="C550" s="8" t="s">
        <v>47</v>
      </c>
      <c r="D550" s="8" t="s">
        <v>57</v>
      </c>
      <c r="E550" s="8" t="s">
        <v>86</v>
      </c>
      <c r="F550" s="8" t="n">
        <v>2</v>
      </c>
      <c r="G550" s="8" t="n">
        <v>1200</v>
      </c>
      <c r="H550" s="8" t="n">
        <v>0</v>
      </c>
      <c r="I550" s="8" t="n">
        <v>600</v>
      </c>
    </row>
    <row r="551" customFormat="false" ht="15" hidden="false" customHeight="false" outlineLevel="0" collapsed="false">
      <c r="A551" s="8" t="s">
        <v>610</v>
      </c>
      <c r="B551" s="11" t="n">
        <v>45981</v>
      </c>
      <c r="C551" s="8" t="s">
        <v>39</v>
      </c>
      <c r="D551" s="8" t="s">
        <v>44</v>
      </c>
      <c r="E551" s="8" t="s">
        <v>48</v>
      </c>
      <c r="F551" s="8" t="n">
        <v>3</v>
      </c>
      <c r="G551" s="8" t="n">
        <v>4500</v>
      </c>
      <c r="H551" s="8" t="n">
        <v>0.05</v>
      </c>
      <c r="I551" s="8" t="n">
        <v>3300</v>
      </c>
    </row>
    <row r="552" customFormat="false" ht="15" hidden="false" customHeight="false" outlineLevel="0" collapsed="false">
      <c r="A552" s="8" t="s">
        <v>611</v>
      </c>
      <c r="B552" s="11" t="n">
        <v>45981</v>
      </c>
      <c r="C552" s="8" t="s">
        <v>39</v>
      </c>
      <c r="D552" s="8" t="s">
        <v>44</v>
      </c>
      <c r="E552" s="8" t="s">
        <v>60</v>
      </c>
      <c r="F552" s="8" t="n">
        <v>1</v>
      </c>
      <c r="G552" s="8" t="n">
        <v>2500</v>
      </c>
      <c r="H552" s="8" t="n">
        <v>0</v>
      </c>
      <c r="I552" s="8" t="n">
        <v>1600</v>
      </c>
    </row>
    <row r="553" customFormat="false" ht="15" hidden="false" customHeight="false" outlineLevel="0" collapsed="false">
      <c r="A553" s="8" t="s">
        <v>612</v>
      </c>
      <c r="B553" s="11" t="n">
        <v>45989</v>
      </c>
      <c r="C553" s="8" t="s">
        <v>47</v>
      </c>
      <c r="D553" s="8" t="s">
        <v>44</v>
      </c>
      <c r="E553" s="8" t="s">
        <v>60</v>
      </c>
      <c r="F553" s="8" t="n">
        <v>3</v>
      </c>
      <c r="G553" s="8" t="n">
        <v>2500</v>
      </c>
      <c r="H553" s="8" t="n">
        <v>0.15</v>
      </c>
      <c r="I553" s="8" t="n">
        <v>1600</v>
      </c>
    </row>
    <row r="554" customFormat="false" ht="15" hidden="false" customHeight="false" outlineLevel="0" collapsed="false">
      <c r="A554" s="8" t="s">
        <v>613</v>
      </c>
      <c r="B554" s="11" t="n">
        <v>45976</v>
      </c>
      <c r="C554" s="8" t="s">
        <v>39</v>
      </c>
      <c r="D554" s="8" t="s">
        <v>44</v>
      </c>
      <c r="E554" s="8" t="s">
        <v>60</v>
      </c>
      <c r="F554" s="8" t="n">
        <v>1</v>
      </c>
      <c r="G554" s="8" t="n">
        <v>2500</v>
      </c>
      <c r="H554" s="8" t="n">
        <v>0.05</v>
      </c>
      <c r="I554" s="8" t="n">
        <v>1600</v>
      </c>
    </row>
    <row r="555" customFormat="false" ht="15" hidden="false" customHeight="false" outlineLevel="0" collapsed="false">
      <c r="A555" s="8" t="s">
        <v>614</v>
      </c>
      <c r="B555" s="11" t="n">
        <v>45978</v>
      </c>
      <c r="C555" s="8" t="s">
        <v>47</v>
      </c>
      <c r="D555" s="8" t="s">
        <v>44</v>
      </c>
      <c r="E555" s="8" t="s">
        <v>50</v>
      </c>
      <c r="F555" s="8" t="n">
        <v>1</v>
      </c>
      <c r="G555" s="8" t="n">
        <v>3000</v>
      </c>
      <c r="H555" s="8" t="n">
        <v>0</v>
      </c>
      <c r="I555" s="8" t="n">
        <v>2000</v>
      </c>
    </row>
    <row r="556" customFormat="false" ht="15" hidden="false" customHeight="false" outlineLevel="0" collapsed="false">
      <c r="A556" s="8" t="s">
        <v>615</v>
      </c>
      <c r="B556" s="11" t="n">
        <v>45972</v>
      </c>
      <c r="C556" s="8" t="s">
        <v>39</v>
      </c>
      <c r="D556" s="8" t="s">
        <v>57</v>
      </c>
      <c r="E556" s="8" t="s">
        <v>111</v>
      </c>
      <c r="F556" s="8" t="n">
        <v>3</v>
      </c>
      <c r="G556" s="8" t="n">
        <v>7000</v>
      </c>
      <c r="H556" s="8" t="n">
        <v>0.1</v>
      </c>
      <c r="I556" s="8" t="n">
        <v>4800</v>
      </c>
    </row>
    <row r="557" customFormat="false" ht="15" hidden="false" customHeight="false" outlineLevel="0" collapsed="false">
      <c r="A557" s="8" t="s">
        <v>616</v>
      </c>
      <c r="B557" s="11" t="n">
        <v>45971</v>
      </c>
      <c r="C557" s="8" t="s">
        <v>47</v>
      </c>
      <c r="D557" s="8" t="s">
        <v>40</v>
      </c>
      <c r="E557" s="8" t="s">
        <v>104</v>
      </c>
      <c r="F557" s="8" t="n">
        <v>7</v>
      </c>
      <c r="G557" s="8" t="n">
        <v>250</v>
      </c>
      <c r="H557" s="8" t="n">
        <v>0</v>
      </c>
      <c r="I557" s="8" t="n">
        <v>100</v>
      </c>
    </row>
    <row r="558" customFormat="false" ht="15" hidden="false" customHeight="false" outlineLevel="0" collapsed="false">
      <c r="A558" s="8" t="s">
        <v>617</v>
      </c>
      <c r="B558" s="11" t="n">
        <v>45975</v>
      </c>
      <c r="C558" s="8" t="s">
        <v>55</v>
      </c>
      <c r="D558" s="8" t="s">
        <v>44</v>
      </c>
      <c r="E558" s="8" t="s">
        <v>45</v>
      </c>
      <c r="F558" s="8" t="n">
        <v>3</v>
      </c>
      <c r="G558" s="8" t="n">
        <v>1500</v>
      </c>
      <c r="H558" s="8" t="n">
        <v>0</v>
      </c>
      <c r="I558" s="8" t="n">
        <v>900</v>
      </c>
    </row>
    <row r="559" customFormat="false" ht="15" hidden="false" customHeight="false" outlineLevel="0" collapsed="false">
      <c r="A559" s="8" t="s">
        <v>618</v>
      </c>
      <c r="B559" s="11" t="n">
        <v>45985</v>
      </c>
      <c r="C559" s="8" t="s">
        <v>47</v>
      </c>
      <c r="D559" s="8" t="s">
        <v>57</v>
      </c>
      <c r="E559" s="8" t="s">
        <v>111</v>
      </c>
      <c r="F559" s="8" t="n">
        <v>3</v>
      </c>
      <c r="G559" s="8" t="n">
        <v>7000</v>
      </c>
      <c r="H559" s="8" t="n">
        <v>0.1</v>
      </c>
      <c r="I559" s="8" t="n">
        <v>4800</v>
      </c>
    </row>
    <row r="560" customFormat="false" ht="15" hidden="false" customHeight="false" outlineLevel="0" collapsed="false">
      <c r="A560" s="8" t="s">
        <v>619</v>
      </c>
      <c r="B560" s="11" t="n">
        <v>45977</v>
      </c>
      <c r="C560" s="8" t="s">
        <v>43</v>
      </c>
      <c r="D560" s="8" t="s">
        <v>44</v>
      </c>
      <c r="E560" s="8" t="s">
        <v>45</v>
      </c>
      <c r="F560" s="8" t="n">
        <v>2</v>
      </c>
      <c r="G560" s="8" t="n">
        <v>1500</v>
      </c>
      <c r="H560" s="8" t="n">
        <v>0.1</v>
      </c>
      <c r="I560" s="8" t="n">
        <v>900</v>
      </c>
    </row>
    <row r="561" customFormat="false" ht="15" hidden="false" customHeight="false" outlineLevel="0" collapsed="false">
      <c r="A561" s="8" t="s">
        <v>620</v>
      </c>
      <c r="B561" s="11" t="n">
        <v>45974</v>
      </c>
      <c r="C561" s="8" t="s">
        <v>55</v>
      </c>
      <c r="D561" s="8" t="s">
        <v>44</v>
      </c>
      <c r="E561" s="8" t="s">
        <v>60</v>
      </c>
      <c r="F561" s="8" t="n">
        <v>3</v>
      </c>
      <c r="G561" s="8" t="n">
        <v>2500</v>
      </c>
      <c r="H561" s="8" t="n">
        <v>0.15</v>
      </c>
      <c r="I561" s="8" t="n">
        <v>1600</v>
      </c>
    </row>
    <row r="562" customFormat="false" ht="15" hidden="false" customHeight="false" outlineLevel="0" collapsed="false">
      <c r="A562" s="8" t="s">
        <v>621</v>
      </c>
      <c r="B562" s="11" t="n">
        <v>45966</v>
      </c>
      <c r="C562" s="8" t="s">
        <v>47</v>
      </c>
      <c r="D562" s="8" t="s">
        <v>40</v>
      </c>
      <c r="E562" s="8" t="s">
        <v>77</v>
      </c>
      <c r="F562" s="8" t="n">
        <v>8</v>
      </c>
      <c r="G562" s="8" t="n">
        <v>400</v>
      </c>
      <c r="H562" s="8" t="n">
        <v>0.05</v>
      </c>
      <c r="I562" s="8" t="n">
        <v>200</v>
      </c>
    </row>
    <row r="563" customFormat="false" ht="15" hidden="false" customHeight="false" outlineLevel="0" collapsed="false">
      <c r="A563" s="8" t="s">
        <v>622</v>
      </c>
      <c r="B563" s="11" t="n">
        <v>45969</v>
      </c>
      <c r="C563" s="8" t="s">
        <v>47</v>
      </c>
      <c r="D563" s="8" t="s">
        <v>57</v>
      </c>
      <c r="E563" s="8" t="s">
        <v>111</v>
      </c>
      <c r="F563" s="8" t="n">
        <v>3</v>
      </c>
      <c r="G563" s="8" t="n">
        <v>7000</v>
      </c>
      <c r="H563" s="8" t="n">
        <v>0.05</v>
      </c>
      <c r="I563" s="8" t="n">
        <v>4800</v>
      </c>
    </row>
    <row r="564" customFormat="false" ht="15" hidden="false" customHeight="false" outlineLevel="0" collapsed="false">
      <c r="A564" s="8" t="s">
        <v>623</v>
      </c>
      <c r="B564" s="11" t="n">
        <v>45987</v>
      </c>
      <c r="C564" s="8" t="s">
        <v>47</v>
      </c>
      <c r="D564" s="8" t="s">
        <v>44</v>
      </c>
      <c r="E564" s="8" t="s">
        <v>50</v>
      </c>
      <c r="F564" s="8" t="n">
        <v>3</v>
      </c>
      <c r="G564" s="8" t="n">
        <v>3000</v>
      </c>
      <c r="H564" s="8" t="n">
        <v>0</v>
      </c>
      <c r="I564" s="8" t="n">
        <v>2000</v>
      </c>
    </row>
    <row r="565" customFormat="false" ht="15" hidden="false" customHeight="false" outlineLevel="0" collapsed="false">
      <c r="A565" s="8" t="s">
        <v>624</v>
      </c>
      <c r="B565" s="11" t="n">
        <v>45975</v>
      </c>
      <c r="C565" s="8" t="s">
        <v>55</v>
      </c>
      <c r="D565" s="8" t="s">
        <v>57</v>
      </c>
      <c r="E565" s="8" t="s">
        <v>86</v>
      </c>
      <c r="F565" s="8" t="n">
        <v>3</v>
      </c>
      <c r="G565" s="8" t="n">
        <v>1200</v>
      </c>
      <c r="H565" s="8" t="n">
        <v>0.05</v>
      </c>
      <c r="I565" s="8" t="n">
        <v>600</v>
      </c>
    </row>
    <row r="566" customFormat="false" ht="15" hidden="false" customHeight="false" outlineLevel="0" collapsed="false">
      <c r="A566" s="8" t="s">
        <v>625</v>
      </c>
      <c r="B566" s="11" t="n">
        <v>45970</v>
      </c>
      <c r="C566" s="8" t="s">
        <v>47</v>
      </c>
      <c r="D566" s="8" t="s">
        <v>40</v>
      </c>
      <c r="E566" s="8" t="s">
        <v>77</v>
      </c>
      <c r="F566" s="8" t="n">
        <v>8</v>
      </c>
      <c r="G566" s="8" t="n">
        <v>400</v>
      </c>
      <c r="H566" s="8" t="n">
        <v>0</v>
      </c>
      <c r="I566" s="8" t="n">
        <v>200</v>
      </c>
    </row>
    <row r="567" customFormat="false" ht="15" hidden="false" customHeight="false" outlineLevel="0" collapsed="false">
      <c r="A567" s="8" t="s">
        <v>626</v>
      </c>
      <c r="B567" s="11" t="n">
        <v>45989</v>
      </c>
      <c r="C567" s="8" t="s">
        <v>47</v>
      </c>
      <c r="D567" s="8" t="s">
        <v>44</v>
      </c>
      <c r="E567" s="8" t="s">
        <v>50</v>
      </c>
      <c r="F567" s="8" t="n">
        <v>1</v>
      </c>
      <c r="G567" s="8" t="n">
        <v>3000</v>
      </c>
      <c r="H567" s="8" t="n">
        <v>0.05</v>
      </c>
      <c r="I567" s="8" t="n">
        <v>2000</v>
      </c>
    </row>
    <row r="568" customFormat="false" ht="15" hidden="false" customHeight="false" outlineLevel="0" collapsed="false">
      <c r="A568" s="8" t="s">
        <v>627</v>
      </c>
      <c r="B568" s="11" t="n">
        <v>45963</v>
      </c>
      <c r="C568" s="8" t="s">
        <v>39</v>
      </c>
      <c r="D568" s="8" t="s">
        <v>57</v>
      </c>
      <c r="E568" s="8" t="s">
        <v>63</v>
      </c>
      <c r="F568" s="8" t="n">
        <v>3</v>
      </c>
      <c r="G568" s="8" t="n">
        <v>9000</v>
      </c>
      <c r="H568" s="8" t="n">
        <v>0</v>
      </c>
      <c r="I568" s="8" t="n">
        <v>6200</v>
      </c>
    </row>
    <row r="569" customFormat="false" ht="15" hidden="false" customHeight="false" outlineLevel="0" collapsed="false">
      <c r="A569" s="8" t="s">
        <v>628</v>
      </c>
      <c r="B569" s="11" t="n">
        <v>45963</v>
      </c>
      <c r="C569" s="8" t="s">
        <v>47</v>
      </c>
      <c r="D569" s="8" t="s">
        <v>57</v>
      </c>
      <c r="E569" s="8" t="s">
        <v>111</v>
      </c>
      <c r="F569" s="8" t="n">
        <v>3</v>
      </c>
      <c r="G569" s="8" t="n">
        <v>7000</v>
      </c>
      <c r="H569" s="8" t="n">
        <v>0.1</v>
      </c>
      <c r="I569" s="8" t="n">
        <v>4800</v>
      </c>
    </row>
    <row r="570" customFormat="false" ht="15" hidden="false" customHeight="false" outlineLevel="0" collapsed="false">
      <c r="A570" s="8" t="s">
        <v>629</v>
      </c>
      <c r="B570" s="11" t="n">
        <v>45983</v>
      </c>
      <c r="C570" s="8" t="s">
        <v>39</v>
      </c>
      <c r="D570" s="8" t="s">
        <v>44</v>
      </c>
      <c r="E570" s="8" t="s">
        <v>48</v>
      </c>
      <c r="F570" s="8" t="n">
        <v>3</v>
      </c>
      <c r="G570" s="8" t="n">
        <v>4500</v>
      </c>
      <c r="H570" s="8" t="n">
        <v>0.15</v>
      </c>
      <c r="I570" s="8" t="n">
        <v>3300</v>
      </c>
    </row>
    <row r="571" customFormat="false" ht="15" hidden="false" customHeight="false" outlineLevel="0" collapsed="false">
      <c r="A571" s="8" t="s">
        <v>630</v>
      </c>
      <c r="B571" s="11" t="n">
        <v>45971</v>
      </c>
      <c r="C571" s="8" t="s">
        <v>39</v>
      </c>
      <c r="D571" s="8" t="s">
        <v>40</v>
      </c>
      <c r="E571" s="8" t="s">
        <v>77</v>
      </c>
      <c r="F571" s="8" t="n">
        <v>5</v>
      </c>
      <c r="G571" s="8" t="n">
        <v>400</v>
      </c>
      <c r="H571" s="8" t="n">
        <v>0</v>
      </c>
      <c r="I571" s="8" t="n">
        <v>200</v>
      </c>
    </row>
    <row r="572" customFormat="false" ht="15" hidden="false" customHeight="false" outlineLevel="0" collapsed="false">
      <c r="A572" s="8" t="s">
        <v>631</v>
      </c>
      <c r="B572" s="11" t="n">
        <v>45965</v>
      </c>
      <c r="C572" s="8" t="s">
        <v>39</v>
      </c>
      <c r="D572" s="8" t="s">
        <v>44</v>
      </c>
      <c r="E572" s="8" t="s">
        <v>60</v>
      </c>
      <c r="F572" s="8" t="n">
        <v>1</v>
      </c>
      <c r="G572" s="8" t="n">
        <v>2500</v>
      </c>
      <c r="H572" s="8" t="n">
        <v>0.15</v>
      </c>
      <c r="I572" s="8" t="n">
        <v>1600</v>
      </c>
    </row>
    <row r="573" customFormat="false" ht="15" hidden="false" customHeight="false" outlineLevel="0" collapsed="false">
      <c r="A573" s="8" t="s">
        <v>632</v>
      </c>
      <c r="B573" s="11" t="n">
        <v>45984</v>
      </c>
      <c r="C573" s="8" t="s">
        <v>55</v>
      </c>
      <c r="D573" s="8" t="s">
        <v>40</v>
      </c>
      <c r="E573" s="8" t="s">
        <v>71</v>
      </c>
      <c r="F573" s="8" t="n">
        <v>9</v>
      </c>
      <c r="G573" s="8" t="n">
        <v>500</v>
      </c>
      <c r="H573" s="8" t="n">
        <v>0</v>
      </c>
      <c r="I573" s="8" t="n">
        <v>250</v>
      </c>
    </row>
    <row r="574" customFormat="false" ht="15" hidden="false" customHeight="false" outlineLevel="0" collapsed="false">
      <c r="A574" s="8" t="s">
        <v>633</v>
      </c>
      <c r="B574" s="11" t="n">
        <v>45979</v>
      </c>
      <c r="C574" s="8" t="s">
        <v>43</v>
      </c>
      <c r="D574" s="8" t="s">
        <v>40</v>
      </c>
      <c r="E574" s="8" t="s">
        <v>104</v>
      </c>
      <c r="F574" s="8" t="n">
        <v>8</v>
      </c>
      <c r="G574" s="8" t="n">
        <v>250</v>
      </c>
      <c r="H574" s="8" t="n">
        <v>0</v>
      </c>
      <c r="I574" s="8" t="n">
        <v>100</v>
      </c>
    </row>
    <row r="575" customFormat="false" ht="15" hidden="false" customHeight="false" outlineLevel="0" collapsed="false">
      <c r="A575" s="8" t="s">
        <v>634</v>
      </c>
      <c r="B575" s="11" t="n">
        <v>45979</v>
      </c>
      <c r="C575" s="8" t="s">
        <v>43</v>
      </c>
      <c r="D575" s="8" t="s">
        <v>57</v>
      </c>
      <c r="E575" s="8" t="s">
        <v>63</v>
      </c>
      <c r="F575" s="8" t="n">
        <v>2</v>
      </c>
      <c r="G575" s="8" t="n">
        <v>9000</v>
      </c>
      <c r="H575" s="8" t="n">
        <v>0.05</v>
      </c>
      <c r="I575" s="8" t="n">
        <v>6200</v>
      </c>
    </row>
    <row r="576" customFormat="false" ht="15" hidden="false" customHeight="false" outlineLevel="0" collapsed="false">
      <c r="A576" s="8" t="s">
        <v>635</v>
      </c>
      <c r="B576" s="11" t="n">
        <v>45978</v>
      </c>
      <c r="C576" s="8" t="s">
        <v>47</v>
      </c>
      <c r="D576" s="8" t="s">
        <v>40</v>
      </c>
      <c r="E576" s="8" t="s">
        <v>41</v>
      </c>
      <c r="F576" s="8" t="n">
        <v>6</v>
      </c>
      <c r="G576" s="8" t="n">
        <v>600</v>
      </c>
      <c r="H576" s="8" t="n">
        <v>0</v>
      </c>
      <c r="I576" s="8" t="n">
        <v>300</v>
      </c>
    </row>
    <row r="577" customFormat="false" ht="15" hidden="false" customHeight="false" outlineLevel="0" collapsed="false">
      <c r="A577" s="8" t="s">
        <v>636</v>
      </c>
      <c r="B577" s="11" t="n">
        <v>45986</v>
      </c>
      <c r="C577" s="8" t="s">
        <v>47</v>
      </c>
      <c r="D577" s="8" t="s">
        <v>57</v>
      </c>
      <c r="E577" s="8" t="s">
        <v>86</v>
      </c>
      <c r="F577" s="8" t="n">
        <v>3</v>
      </c>
      <c r="G577" s="8" t="n">
        <v>1200</v>
      </c>
      <c r="H577" s="8" t="n">
        <v>0.05</v>
      </c>
      <c r="I577" s="8" t="n">
        <v>600</v>
      </c>
    </row>
    <row r="578" customFormat="false" ht="15" hidden="false" customHeight="false" outlineLevel="0" collapsed="false">
      <c r="A578" s="8" t="s">
        <v>637</v>
      </c>
      <c r="B578" s="11" t="n">
        <v>45975</v>
      </c>
      <c r="C578" s="8" t="s">
        <v>55</v>
      </c>
      <c r="D578" s="8" t="s">
        <v>57</v>
      </c>
      <c r="E578" s="8" t="s">
        <v>63</v>
      </c>
      <c r="F578" s="8" t="n">
        <v>2</v>
      </c>
      <c r="G578" s="8" t="n">
        <v>9000</v>
      </c>
      <c r="H578" s="8" t="n">
        <v>0</v>
      </c>
      <c r="I578" s="8" t="n">
        <v>6200</v>
      </c>
    </row>
    <row r="579" customFormat="false" ht="15" hidden="false" customHeight="false" outlineLevel="0" collapsed="false">
      <c r="A579" s="8" t="s">
        <v>638</v>
      </c>
      <c r="B579" s="11" t="n">
        <v>45966</v>
      </c>
      <c r="C579" s="8" t="s">
        <v>47</v>
      </c>
      <c r="D579" s="8" t="s">
        <v>44</v>
      </c>
      <c r="E579" s="8" t="s">
        <v>60</v>
      </c>
      <c r="F579" s="8" t="n">
        <v>1</v>
      </c>
      <c r="G579" s="8" t="n">
        <v>2500</v>
      </c>
      <c r="H579" s="8" t="n">
        <v>0.15</v>
      </c>
      <c r="I579" s="8" t="n">
        <v>1600</v>
      </c>
    </row>
    <row r="580" customFormat="false" ht="15" hidden="false" customHeight="false" outlineLevel="0" collapsed="false">
      <c r="A580" s="8" t="s">
        <v>639</v>
      </c>
      <c r="B580" s="11" t="n">
        <v>45985</v>
      </c>
      <c r="C580" s="8" t="s">
        <v>47</v>
      </c>
      <c r="D580" s="8" t="s">
        <v>44</v>
      </c>
      <c r="E580" s="8" t="s">
        <v>60</v>
      </c>
      <c r="F580" s="8" t="n">
        <v>3</v>
      </c>
      <c r="G580" s="8" t="n">
        <v>2500</v>
      </c>
      <c r="H580" s="8" t="n">
        <v>0.1</v>
      </c>
      <c r="I580" s="8" t="n">
        <v>1600</v>
      </c>
    </row>
    <row r="581" customFormat="false" ht="15" hidden="false" customHeight="false" outlineLevel="0" collapsed="false">
      <c r="A581" s="8" t="s">
        <v>640</v>
      </c>
      <c r="B581" s="11" t="n">
        <v>45969</v>
      </c>
      <c r="C581" s="8" t="s">
        <v>47</v>
      </c>
      <c r="D581" s="8" t="s">
        <v>57</v>
      </c>
      <c r="E581" s="8" t="s">
        <v>58</v>
      </c>
      <c r="F581" s="8" t="n">
        <v>1</v>
      </c>
      <c r="G581" s="8" t="n">
        <v>5500</v>
      </c>
      <c r="H581" s="8" t="n">
        <v>0</v>
      </c>
      <c r="I581" s="8" t="n">
        <v>3600</v>
      </c>
    </row>
    <row r="582" customFormat="false" ht="15" hidden="false" customHeight="false" outlineLevel="0" collapsed="false">
      <c r="A582" s="8" t="s">
        <v>641</v>
      </c>
      <c r="B582" s="11" t="n">
        <v>45979</v>
      </c>
      <c r="C582" s="8" t="s">
        <v>47</v>
      </c>
      <c r="D582" s="8" t="s">
        <v>57</v>
      </c>
      <c r="E582" s="8" t="s">
        <v>58</v>
      </c>
      <c r="F582" s="8" t="n">
        <v>1</v>
      </c>
      <c r="G582" s="8" t="n">
        <v>5500</v>
      </c>
      <c r="H582" s="8" t="n">
        <v>0.05</v>
      </c>
      <c r="I582" s="8" t="n">
        <v>3600</v>
      </c>
    </row>
    <row r="583" customFormat="false" ht="15" hidden="false" customHeight="false" outlineLevel="0" collapsed="false">
      <c r="A583" s="8" t="s">
        <v>642</v>
      </c>
      <c r="B583" s="11" t="n">
        <v>45986</v>
      </c>
      <c r="C583" s="8" t="s">
        <v>55</v>
      </c>
      <c r="D583" s="8" t="s">
        <v>40</v>
      </c>
      <c r="E583" s="8" t="s">
        <v>41</v>
      </c>
      <c r="F583" s="8" t="n">
        <v>7</v>
      </c>
      <c r="G583" s="8" t="n">
        <v>600</v>
      </c>
      <c r="H583" s="8" t="n">
        <v>0</v>
      </c>
      <c r="I583" s="8" t="n">
        <v>300</v>
      </c>
    </row>
    <row r="584" customFormat="false" ht="15" hidden="false" customHeight="false" outlineLevel="0" collapsed="false">
      <c r="A584" s="8" t="s">
        <v>643</v>
      </c>
      <c r="B584" s="11" t="n">
        <v>45977</v>
      </c>
      <c r="C584" s="8" t="s">
        <v>55</v>
      </c>
      <c r="D584" s="8" t="s">
        <v>57</v>
      </c>
      <c r="E584" s="8" t="s">
        <v>86</v>
      </c>
      <c r="F584" s="8" t="n">
        <v>3</v>
      </c>
      <c r="G584" s="8" t="n">
        <v>1200</v>
      </c>
      <c r="H584" s="8" t="n">
        <v>0.15</v>
      </c>
      <c r="I584" s="8" t="n">
        <v>600</v>
      </c>
    </row>
    <row r="585" customFormat="false" ht="15" hidden="false" customHeight="false" outlineLevel="0" collapsed="false">
      <c r="A585" s="8" t="s">
        <v>644</v>
      </c>
      <c r="B585" s="11" t="n">
        <v>45966</v>
      </c>
      <c r="C585" s="8" t="s">
        <v>39</v>
      </c>
      <c r="D585" s="8" t="s">
        <v>57</v>
      </c>
      <c r="E585" s="8" t="s">
        <v>86</v>
      </c>
      <c r="F585" s="8" t="n">
        <v>2</v>
      </c>
      <c r="G585" s="8" t="n">
        <v>1200</v>
      </c>
      <c r="H585" s="8" t="n">
        <v>0</v>
      </c>
      <c r="I585" s="8" t="n">
        <v>600</v>
      </c>
    </row>
    <row r="586" customFormat="false" ht="15" hidden="false" customHeight="false" outlineLevel="0" collapsed="false">
      <c r="A586" s="8" t="s">
        <v>645</v>
      </c>
      <c r="B586" s="11" t="n">
        <v>45982</v>
      </c>
      <c r="C586" s="8" t="s">
        <v>47</v>
      </c>
      <c r="D586" s="8" t="s">
        <v>40</v>
      </c>
      <c r="E586" s="8" t="s">
        <v>71</v>
      </c>
      <c r="F586" s="8" t="n">
        <v>4</v>
      </c>
      <c r="G586" s="8" t="n">
        <v>500</v>
      </c>
      <c r="H586" s="8" t="n">
        <v>0.1</v>
      </c>
      <c r="I586" s="8" t="n">
        <v>250</v>
      </c>
    </row>
    <row r="587" customFormat="false" ht="15" hidden="false" customHeight="false" outlineLevel="0" collapsed="false">
      <c r="A587" s="8" t="s">
        <v>646</v>
      </c>
      <c r="B587" s="11" t="n">
        <v>45963</v>
      </c>
      <c r="C587" s="8" t="s">
        <v>47</v>
      </c>
      <c r="D587" s="8" t="s">
        <v>44</v>
      </c>
      <c r="E587" s="8" t="s">
        <v>60</v>
      </c>
      <c r="F587" s="8" t="n">
        <v>1</v>
      </c>
      <c r="G587" s="8" t="n">
        <v>2500</v>
      </c>
      <c r="H587" s="8" t="n">
        <v>0.15</v>
      </c>
      <c r="I587" s="8" t="n">
        <v>1600</v>
      </c>
    </row>
    <row r="588" customFormat="false" ht="15" hidden="false" customHeight="false" outlineLevel="0" collapsed="false">
      <c r="A588" s="8" t="s">
        <v>647</v>
      </c>
      <c r="B588" s="11" t="n">
        <v>45964</v>
      </c>
      <c r="C588" s="8" t="s">
        <v>47</v>
      </c>
      <c r="D588" s="8" t="s">
        <v>44</v>
      </c>
      <c r="E588" s="8" t="s">
        <v>60</v>
      </c>
      <c r="F588" s="8" t="n">
        <v>3</v>
      </c>
      <c r="G588" s="8" t="n">
        <v>2500</v>
      </c>
      <c r="H588" s="8" t="n">
        <v>0</v>
      </c>
      <c r="I588" s="8" t="n">
        <v>1600</v>
      </c>
    </row>
    <row r="589" customFormat="false" ht="15" hidden="false" customHeight="false" outlineLevel="0" collapsed="false">
      <c r="A589" s="8" t="s">
        <v>648</v>
      </c>
      <c r="B589" s="11" t="n">
        <v>45976</v>
      </c>
      <c r="C589" s="8" t="s">
        <v>39</v>
      </c>
      <c r="D589" s="8" t="s">
        <v>40</v>
      </c>
      <c r="E589" s="8" t="s">
        <v>71</v>
      </c>
      <c r="F589" s="8" t="n">
        <v>5</v>
      </c>
      <c r="G589" s="8" t="n">
        <v>500</v>
      </c>
      <c r="H589" s="8" t="n">
        <v>0.1</v>
      </c>
      <c r="I589" s="8" t="n">
        <v>250</v>
      </c>
    </row>
    <row r="590" customFormat="false" ht="15" hidden="false" customHeight="false" outlineLevel="0" collapsed="false">
      <c r="A590" s="8" t="s">
        <v>649</v>
      </c>
      <c r="B590" s="11" t="n">
        <v>45981</v>
      </c>
      <c r="C590" s="8" t="s">
        <v>39</v>
      </c>
      <c r="D590" s="8" t="s">
        <v>57</v>
      </c>
      <c r="E590" s="8" t="s">
        <v>63</v>
      </c>
      <c r="F590" s="8" t="n">
        <v>3</v>
      </c>
      <c r="G590" s="8" t="n">
        <v>9000</v>
      </c>
      <c r="H590" s="8" t="n">
        <v>0.15</v>
      </c>
      <c r="I590" s="8" t="n">
        <v>6200</v>
      </c>
    </row>
    <row r="591" customFormat="false" ht="15" hidden="false" customHeight="false" outlineLevel="0" collapsed="false">
      <c r="A591" s="8" t="s">
        <v>650</v>
      </c>
      <c r="B591" s="11" t="n">
        <v>45979</v>
      </c>
      <c r="C591" s="8" t="s">
        <v>43</v>
      </c>
      <c r="D591" s="8" t="s">
        <v>57</v>
      </c>
      <c r="E591" s="8" t="s">
        <v>86</v>
      </c>
      <c r="F591" s="8" t="n">
        <v>1</v>
      </c>
      <c r="G591" s="8" t="n">
        <v>1200</v>
      </c>
      <c r="H591" s="8" t="n">
        <v>0</v>
      </c>
      <c r="I591" s="8" t="n">
        <v>600</v>
      </c>
    </row>
    <row r="592" customFormat="false" ht="15" hidden="false" customHeight="false" outlineLevel="0" collapsed="false">
      <c r="A592" s="8" t="s">
        <v>651</v>
      </c>
      <c r="B592" s="11" t="n">
        <v>45985</v>
      </c>
      <c r="C592" s="8" t="s">
        <v>47</v>
      </c>
      <c r="D592" s="8" t="s">
        <v>40</v>
      </c>
      <c r="E592" s="8" t="s">
        <v>77</v>
      </c>
      <c r="F592" s="8" t="n">
        <v>2</v>
      </c>
      <c r="G592" s="8" t="n">
        <v>400</v>
      </c>
      <c r="H592" s="8" t="n">
        <v>0.1</v>
      </c>
      <c r="I592" s="8" t="n">
        <v>200</v>
      </c>
    </row>
    <row r="593" customFormat="false" ht="15" hidden="false" customHeight="false" outlineLevel="0" collapsed="false">
      <c r="A593" s="8" t="s">
        <v>652</v>
      </c>
      <c r="B593" s="11" t="n">
        <v>45978</v>
      </c>
      <c r="C593" s="8" t="s">
        <v>47</v>
      </c>
      <c r="D593" s="8" t="s">
        <v>57</v>
      </c>
      <c r="E593" s="8" t="s">
        <v>111</v>
      </c>
      <c r="F593" s="8" t="n">
        <v>2</v>
      </c>
      <c r="G593" s="8" t="n">
        <v>7000</v>
      </c>
      <c r="H593" s="8" t="n">
        <v>0</v>
      </c>
      <c r="I593" s="8" t="n">
        <v>4800</v>
      </c>
    </row>
    <row r="594" customFormat="false" ht="15" hidden="false" customHeight="false" outlineLevel="0" collapsed="false">
      <c r="A594" s="8" t="s">
        <v>653</v>
      </c>
      <c r="B594" s="11" t="n">
        <v>45965</v>
      </c>
      <c r="C594" s="8" t="s">
        <v>43</v>
      </c>
      <c r="D594" s="8" t="s">
        <v>40</v>
      </c>
      <c r="E594" s="8" t="s">
        <v>71</v>
      </c>
      <c r="F594" s="8" t="n">
        <v>4</v>
      </c>
      <c r="G594" s="8" t="n">
        <v>500</v>
      </c>
      <c r="H594" s="8" t="n">
        <v>0</v>
      </c>
      <c r="I594" s="8" t="n">
        <v>250</v>
      </c>
    </row>
    <row r="595" customFormat="false" ht="15" hidden="false" customHeight="false" outlineLevel="0" collapsed="false">
      <c r="A595" s="8" t="s">
        <v>654</v>
      </c>
      <c r="B595" s="11" t="n">
        <v>45978</v>
      </c>
      <c r="C595" s="8" t="s">
        <v>39</v>
      </c>
      <c r="D595" s="8" t="s">
        <v>40</v>
      </c>
      <c r="E595" s="8" t="s">
        <v>77</v>
      </c>
      <c r="F595" s="8" t="n">
        <v>5</v>
      </c>
      <c r="G595" s="8" t="n">
        <v>400</v>
      </c>
      <c r="H595" s="8" t="n">
        <v>0.1</v>
      </c>
      <c r="I595" s="8" t="n">
        <v>200</v>
      </c>
    </row>
    <row r="596" customFormat="false" ht="15" hidden="false" customHeight="false" outlineLevel="0" collapsed="false">
      <c r="A596" s="8" t="s">
        <v>655</v>
      </c>
      <c r="B596" s="11" t="n">
        <v>45964</v>
      </c>
      <c r="C596" s="8" t="s">
        <v>55</v>
      </c>
      <c r="D596" s="8" t="s">
        <v>57</v>
      </c>
      <c r="E596" s="8" t="s">
        <v>111</v>
      </c>
      <c r="F596" s="8" t="n">
        <v>2</v>
      </c>
      <c r="G596" s="8" t="n">
        <v>7000</v>
      </c>
      <c r="H596" s="8" t="n">
        <v>0.05</v>
      </c>
      <c r="I596" s="8" t="n">
        <v>4800</v>
      </c>
    </row>
    <row r="597" customFormat="false" ht="15" hidden="false" customHeight="false" outlineLevel="0" collapsed="false">
      <c r="A597" s="8" t="s">
        <v>656</v>
      </c>
      <c r="B597" s="11" t="n">
        <v>45969</v>
      </c>
      <c r="C597" s="8" t="s">
        <v>55</v>
      </c>
      <c r="D597" s="8" t="s">
        <v>57</v>
      </c>
      <c r="E597" s="8" t="s">
        <v>63</v>
      </c>
      <c r="F597" s="8"/>
      <c r="G597" s="8" t="n">
        <v>9000</v>
      </c>
      <c r="H597" s="8" t="n">
        <v>0.1</v>
      </c>
      <c r="I597" s="8" t="n">
        <v>6200</v>
      </c>
    </row>
    <row r="598" customFormat="false" ht="15" hidden="false" customHeight="false" outlineLevel="0" collapsed="false">
      <c r="A598" s="8" t="s">
        <v>657</v>
      </c>
      <c r="B598" s="11" t="n">
        <v>45989</v>
      </c>
      <c r="C598" s="8" t="s">
        <v>39</v>
      </c>
      <c r="D598" s="8" t="s">
        <v>40</v>
      </c>
      <c r="E598" s="8" t="s">
        <v>71</v>
      </c>
      <c r="F598" s="8" t="n">
        <v>3</v>
      </c>
      <c r="G598" s="8" t="n">
        <v>500</v>
      </c>
      <c r="H598" s="8" t="n">
        <v>0.15</v>
      </c>
      <c r="I598" s="8" t="n">
        <v>250</v>
      </c>
    </row>
    <row r="599" customFormat="false" ht="15" hidden="false" customHeight="false" outlineLevel="0" collapsed="false">
      <c r="A599" s="8" t="s">
        <v>658</v>
      </c>
      <c r="B599" s="11" t="n">
        <v>45974</v>
      </c>
      <c r="C599" s="8" t="s">
        <v>43</v>
      </c>
      <c r="D599" s="8" t="s">
        <v>40</v>
      </c>
      <c r="E599" s="8" t="s">
        <v>41</v>
      </c>
      <c r="F599" s="8" t="n">
        <v>3</v>
      </c>
      <c r="G599" s="8" t="n">
        <v>600</v>
      </c>
      <c r="H599" s="8" t="n">
        <v>0.05</v>
      </c>
      <c r="I599" s="8" t="n">
        <v>300</v>
      </c>
    </row>
    <row r="600" customFormat="false" ht="15" hidden="false" customHeight="false" outlineLevel="0" collapsed="false">
      <c r="A600" s="8" t="s">
        <v>659</v>
      </c>
      <c r="B600" s="11" t="n">
        <v>45962</v>
      </c>
      <c r="C600" s="8" t="s">
        <v>47</v>
      </c>
      <c r="D600" s="8" t="s">
        <v>57</v>
      </c>
      <c r="E600" s="8" t="s">
        <v>58</v>
      </c>
      <c r="F600" s="8" t="n">
        <v>1</v>
      </c>
      <c r="G600" s="8" t="n">
        <v>5500</v>
      </c>
      <c r="H600" s="8" t="n">
        <v>0.15</v>
      </c>
      <c r="I600" s="8" t="n">
        <v>3600</v>
      </c>
    </row>
    <row r="601" customFormat="false" ht="15" hidden="false" customHeight="false" outlineLevel="0" collapsed="false">
      <c r="A601" s="8" t="s">
        <v>660</v>
      </c>
      <c r="B601" s="11" t="n">
        <v>45982</v>
      </c>
      <c r="C601" s="8" t="s">
        <v>39</v>
      </c>
      <c r="D601" s="8" t="s">
        <v>40</v>
      </c>
      <c r="E601" s="8" t="s">
        <v>71</v>
      </c>
      <c r="F601" s="8" t="n">
        <v>9</v>
      </c>
      <c r="G601" s="8" t="n">
        <v>500</v>
      </c>
      <c r="H601" s="8" t="n">
        <v>0.05</v>
      </c>
      <c r="I601" s="8" t="n">
        <v>250</v>
      </c>
    </row>
    <row r="602" customFormat="false" ht="15" hidden="false" customHeight="false" outlineLevel="0" collapsed="false">
      <c r="A602" s="8" t="s">
        <v>661</v>
      </c>
      <c r="B602" s="11" t="n">
        <v>45963</v>
      </c>
      <c r="C602" s="8" t="s">
        <v>47</v>
      </c>
      <c r="D602" s="8" t="s">
        <v>57</v>
      </c>
      <c r="E602" s="8" t="s">
        <v>63</v>
      </c>
      <c r="F602" s="8" t="n">
        <v>1</v>
      </c>
      <c r="G602" s="8" t="n">
        <v>9000</v>
      </c>
      <c r="H602" s="8" t="n">
        <v>0.1</v>
      </c>
      <c r="I602" s="8" t="n">
        <v>6200</v>
      </c>
    </row>
    <row r="603" customFormat="false" ht="15" hidden="false" customHeight="false" outlineLevel="0" collapsed="false">
      <c r="A603" s="8" t="s">
        <v>662</v>
      </c>
      <c r="B603" s="11" t="n">
        <v>45977</v>
      </c>
      <c r="C603" s="8" t="s">
        <v>39</v>
      </c>
      <c r="D603" s="8" t="s">
        <v>44</v>
      </c>
      <c r="E603" s="8" t="s">
        <v>50</v>
      </c>
      <c r="F603" s="8" t="n">
        <v>3</v>
      </c>
      <c r="G603" s="8" t="n">
        <v>3000</v>
      </c>
      <c r="H603" s="8" t="n">
        <v>0.1</v>
      </c>
      <c r="I603" s="8" t="n">
        <v>2000</v>
      </c>
    </row>
    <row r="604" customFormat="false" ht="15" hidden="false" customHeight="false" outlineLevel="0" collapsed="false">
      <c r="A604" s="8" t="s">
        <v>663</v>
      </c>
      <c r="B604" s="11" t="n">
        <v>45970</v>
      </c>
      <c r="C604" s="8" t="s">
        <v>39</v>
      </c>
      <c r="D604" s="8" t="s">
        <v>57</v>
      </c>
      <c r="E604" s="8" t="s">
        <v>111</v>
      </c>
      <c r="F604" s="8" t="n">
        <v>1</v>
      </c>
      <c r="G604" s="8" t="n">
        <v>7000</v>
      </c>
      <c r="H604" s="8" t="n">
        <v>0.15</v>
      </c>
      <c r="I604" s="8" t="n">
        <v>4800</v>
      </c>
    </row>
    <row r="605" customFormat="false" ht="15" hidden="false" customHeight="false" outlineLevel="0" collapsed="false">
      <c r="A605" s="8" t="s">
        <v>664</v>
      </c>
      <c r="B605" s="11" t="n">
        <v>45989</v>
      </c>
      <c r="C605" s="8" t="s">
        <v>47</v>
      </c>
      <c r="D605" s="8" t="s">
        <v>40</v>
      </c>
      <c r="E605" s="8" t="s">
        <v>77</v>
      </c>
      <c r="F605" s="8" t="n">
        <v>2</v>
      </c>
      <c r="G605" s="8" t="n">
        <v>400</v>
      </c>
      <c r="H605" s="8" t="n">
        <v>0</v>
      </c>
      <c r="I605" s="8" t="n">
        <v>200</v>
      </c>
    </row>
    <row r="606" customFormat="false" ht="15" hidden="false" customHeight="false" outlineLevel="0" collapsed="false">
      <c r="A606" s="8" t="s">
        <v>665</v>
      </c>
      <c r="B606" s="11" t="n">
        <v>45966</v>
      </c>
      <c r="C606" s="8" t="s">
        <v>39</v>
      </c>
      <c r="D606" s="8" t="s">
        <v>57</v>
      </c>
      <c r="E606" s="8" t="s">
        <v>63</v>
      </c>
      <c r="F606" s="8" t="n">
        <v>1</v>
      </c>
      <c r="G606" s="8" t="n">
        <v>9000</v>
      </c>
      <c r="H606" s="8" t="n">
        <v>0.1</v>
      </c>
      <c r="I606" s="8" t="n">
        <v>6200</v>
      </c>
    </row>
    <row r="607" customFormat="false" ht="15" hidden="false" customHeight="false" outlineLevel="0" collapsed="false">
      <c r="A607" s="8" t="s">
        <v>666</v>
      </c>
      <c r="B607" s="11" t="n">
        <v>45967</v>
      </c>
      <c r="C607" s="8" t="s">
        <v>55</v>
      </c>
      <c r="D607" s="8" t="s">
        <v>40</v>
      </c>
      <c r="E607" s="8" t="s">
        <v>71</v>
      </c>
      <c r="F607" s="8" t="n">
        <v>3</v>
      </c>
      <c r="G607" s="8" t="n">
        <v>500</v>
      </c>
      <c r="H607" s="8" t="n">
        <v>0</v>
      </c>
      <c r="I607" s="8" t="n">
        <v>250</v>
      </c>
    </row>
    <row r="608" customFormat="false" ht="15" hidden="false" customHeight="false" outlineLevel="0" collapsed="false">
      <c r="A608" s="8" t="s">
        <v>667</v>
      </c>
      <c r="B608" s="11" t="n">
        <v>45979</v>
      </c>
      <c r="C608" s="8" t="s">
        <v>39</v>
      </c>
      <c r="D608" s="8" t="s">
        <v>40</v>
      </c>
      <c r="E608" s="8" t="s">
        <v>104</v>
      </c>
      <c r="F608" s="8" t="n">
        <v>8</v>
      </c>
      <c r="G608" s="8" t="n">
        <v>250</v>
      </c>
      <c r="H608" s="8" t="n">
        <v>0.15</v>
      </c>
      <c r="I608" s="8" t="n">
        <v>100</v>
      </c>
    </row>
    <row r="609" customFormat="false" ht="15" hidden="false" customHeight="false" outlineLevel="0" collapsed="false">
      <c r="A609" s="8" t="s">
        <v>668</v>
      </c>
      <c r="B609" s="11" t="n">
        <v>45987</v>
      </c>
      <c r="C609" s="8" t="s">
        <v>47</v>
      </c>
      <c r="D609" s="8" t="s">
        <v>57</v>
      </c>
      <c r="E609" s="8" t="s">
        <v>63</v>
      </c>
      <c r="F609" s="8" t="n">
        <v>3</v>
      </c>
      <c r="G609" s="8" t="n">
        <v>9000</v>
      </c>
      <c r="H609" s="8" t="n">
        <v>0</v>
      </c>
      <c r="I609" s="8" t="n">
        <v>6200</v>
      </c>
    </row>
    <row r="610" customFormat="false" ht="15" hidden="false" customHeight="false" outlineLevel="0" collapsed="false">
      <c r="A610" s="8" t="s">
        <v>669</v>
      </c>
      <c r="B610" s="11" t="n">
        <v>45973</v>
      </c>
      <c r="C610" s="8" t="s">
        <v>43</v>
      </c>
      <c r="D610" s="8" t="s">
        <v>40</v>
      </c>
      <c r="E610" s="8" t="s">
        <v>71</v>
      </c>
      <c r="F610" s="8" t="n">
        <v>10</v>
      </c>
      <c r="G610" s="8" t="n">
        <v>500</v>
      </c>
      <c r="H610" s="8" t="n">
        <v>0.15</v>
      </c>
      <c r="I610" s="8" t="n">
        <v>250</v>
      </c>
    </row>
    <row r="611" customFormat="false" ht="15" hidden="false" customHeight="false" outlineLevel="0" collapsed="false">
      <c r="A611" s="8" t="s">
        <v>670</v>
      </c>
      <c r="B611" s="11" t="n">
        <v>45972</v>
      </c>
      <c r="C611" s="8" t="s">
        <v>39</v>
      </c>
      <c r="D611" s="8" t="s">
        <v>44</v>
      </c>
      <c r="E611" s="8" t="s">
        <v>60</v>
      </c>
      <c r="F611" s="8" t="n">
        <v>1</v>
      </c>
      <c r="G611" s="8" t="n">
        <v>2500</v>
      </c>
      <c r="H611" s="8" t="n">
        <v>0</v>
      </c>
      <c r="I611" s="8" t="n">
        <v>1600</v>
      </c>
    </row>
    <row r="612" customFormat="false" ht="15" hidden="false" customHeight="false" outlineLevel="0" collapsed="false">
      <c r="A612" s="8" t="s">
        <v>671</v>
      </c>
      <c r="B612" s="11" t="n">
        <v>45962</v>
      </c>
      <c r="C612" s="8" t="s">
        <v>43</v>
      </c>
      <c r="D612" s="8" t="s">
        <v>40</v>
      </c>
      <c r="E612" s="8" t="s">
        <v>104</v>
      </c>
      <c r="F612" s="8" t="n">
        <v>8</v>
      </c>
      <c r="G612" s="8" t="n">
        <v>250</v>
      </c>
      <c r="H612" s="8" t="n">
        <v>0</v>
      </c>
      <c r="I612" s="8" t="n">
        <v>100</v>
      </c>
    </row>
    <row r="613" customFormat="false" ht="15" hidden="false" customHeight="false" outlineLevel="0" collapsed="false">
      <c r="A613" s="8" t="s">
        <v>672</v>
      </c>
      <c r="B613" s="11" t="n">
        <v>45969</v>
      </c>
      <c r="C613" s="8" t="s">
        <v>47</v>
      </c>
      <c r="D613" s="8" t="s">
        <v>40</v>
      </c>
      <c r="E613" s="8" t="s">
        <v>41</v>
      </c>
      <c r="F613" s="8" t="n">
        <v>9</v>
      </c>
      <c r="G613" s="8" t="n">
        <v>600</v>
      </c>
      <c r="H613" s="8" t="n">
        <v>0.05</v>
      </c>
      <c r="I613" s="8" t="n">
        <v>300</v>
      </c>
    </row>
    <row r="614" customFormat="false" ht="15" hidden="false" customHeight="false" outlineLevel="0" collapsed="false">
      <c r="A614" s="8" t="s">
        <v>673</v>
      </c>
      <c r="B614" s="11" t="n">
        <v>45967</v>
      </c>
      <c r="C614" s="8" t="s">
        <v>47</v>
      </c>
      <c r="D614" s="8" t="s">
        <v>57</v>
      </c>
      <c r="E614" s="8" t="s">
        <v>63</v>
      </c>
      <c r="F614" s="8" t="n">
        <v>2</v>
      </c>
      <c r="G614" s="8" t="n">
        <v>9000</v>
      </c>
      <c r="H614" s="8" t="n">
        <v>0.05</v>
      </c>
      <c r="I614" s="8" t="n">
        <v>6200</v>
      </c>
    </row>
    <row r="615" customFormat="false" ht="15" hidden="false" customHeight="false" outlineLevel="0" collapsed="false">
      <c r="A615" s="8" t="s">
        <v>674</v>
      </c>
      <c r="B615" s="11" t="n">
        <v>45986</v>
      </c>
      <c r="C615" s="8" t="s">
        <v>47</v>
      </c>
      <c r="D615" s="8" t="s">
        <v>40</v>
      </c>
      <c r="E615" s="8" t="s">
        <v>41</v>
      </c>
      <c r="F615" s="8" t="n">
        <v>8</v>
      </c>
      <c r="G615" s="8" t="n">
        <v>600</v>
      </c>
      <c r="H615" s="8" t="n">
        <v>0</v>
      </c>
      <c r="I615" s="8" t="n">
        <v>300</v>
      </c>
    </row>
    <row r="616" customFormat="false" ht="15" hidden="false" customHeight="false" outlineLevel="0" collapsed="false">
      <c r="A616" s="8" t="s">
        <v>675</v>
      </c>
      <c r="B616" s="11" t="n">
        <v>45964</v>
      </c>
      <c r="C616" s="8" t="s">
        <v>47</v>
      </c>
      <c r="D616" s="8" t="s">
        <v>40</v>
      </c>
      <c r="E616" s="8" t="s">
        <v>104</v>
      </c>
      <c r="F616" s="8" t="n">
        <v>5</v>
      </c>
      <c r="G616" s="8" t="n">
        <v>250</v>
      </c>
      <c r="H616" s="8" t="n">
        <v>0.15</v>
      </c>
      <c r="I616" s="8" t="n">
        <v>100</v>
      </c>
    </row>
    <row r="617" customFormat="false" ht="15" hidden="false" customHeight="false" outlineLevel="0" collapsed="false">
      <c r="A617" s="8" t="s">
        <v>676</v>
      </c>
      <c r="B617" s="11" t="n">
        <v>46017</v>
      </c>
      <c r="C617" s="8" t="s">
        <v>47</v>
      </c>
      <c r="D617" s="8" t="s">
        <v>44</v>
      </c>
      <c r="E617" s="8" t="s">
        <v>48</v>
      </c>
      <c r="F617" s="8" t="n">
        <v>2</v>
      </c>
      <c r="G617" s="8" t="n">
        <v>4500</v>
      </c>
      <c r="H617" s="8" t="n">
        <v>0.15</v>
      </c>
      <c r="I617" s="8" t="n">
        <v>3300</v>
      </c>
    </row>
    <row r="618" customFormat="false" ht="15" hidden="false" customHeight="false" outlineLevel="0" collapsed="false">
      <c r="A618" s="8" t="s">
        <v>677</v>
      </c>
      <c r="B618" s="11" t="n">
        <v>46003</v>
      </c>
      <c r="C618" s="8" t="s">
        <v>39</v>
      </c>
      <c r="D618" s="8" t="s">
        <v>40</v>
      </c>
      <c r="E618" s="8" t="s">
        <v>41</v>
      </c>
      <c r="F618" s="8" t="n">
        <v>8</v>
      </c>
      <c r="G618" s="8" t="n">
        <v>600</v>
      </c>
      <c r="H618" s="8" t="n">
        <v>0</v>
      </c>
      <c r="I618" s="8" t="n">
        <v>300</v>
      </c>
    </row>
    <row r="619" customFormat="false" ht="15" hidden="false" customHeight="false" outlineLevel="0" collapsed="false">
      <c r="A619" s="8" t="s">
        <v>678</v>
      </c>
      <c r="B619" s="11" t="n">
        <v>46003</v>
      </c>
      <c r="C619" s="8" t="s">
        <v>39</v>
      </c>
      <c r="D619" s="8" t="s">
        <v>44</v>
      </c>
      <c r="E619" s="8" t="s">
        <v>48</v>
      </c>
      <c r="F619" s="8" t="n">
        <v>2</v>
      </c>
      <c r="G619" s="8" t="n">
        <v>4500</v>
      </c>
      <c r="H619" s="8" t="n">
        <v>0.05</v>
      </c>
      <c r="I619" s="8" t="n">
        <v>3300</v>
      </c>
    </row>
    <row r="620" customFormat="false" ht="15" hidden="false" customHeight="false" outlineLevel="0" collapsed="false">
      <c r="A620" s="8" t="s">
        <v>679</v>
      </c>
      <c r="B620" s="11" t="n">
        <v>46005</v>
      </c>
      <c r="C620" s="8" t="s">
        <v>39</v>
      </c>
      <c r="D620" s="8" t="s">
        <v>57</v>
      </c>
      <c r="E620" s="8" t="s">
        <v>111</v>
      </c>
      <c r="F620" s="8" t="n">
        <v>1</v>
      </c>
      <c r="G620" s="8" t="n">
        <v>7000</v>
      </c>
      <c r="H620" s="8" t="n">
        <v>0</v>
      </c>
      <c r="I620" s="8" t="n">
        <v>4800</v>
      </c>
    </row>
    <row r="621" customFormat="false" ht="15" hidden="false" customHeight="false" outlineLevel="0" collapsed="false">
      <c r="A621" s="8" t="s">
        <v>680</v>
      </c>
      <c r="B621" s="11" t="n">
        <v>45995</v>
      </c>
      <c r="C621" s="8" t="s">
        <v>47</v>
      </c>
      <c r="D621" s="8" t="s">
        <v>57</v>
      </c>
      <c r="E621" s="8" t="s">
        <v>86</v>
      </c>
      <c r="F621" s="8" t="n">
        <v>3</v>
      </c>
      <c r="G621" s="8" t="n">
        <v>1200</v>
      </c>
      <c r="H621" s="8" t="n">
        <v>0.05</v>
      </c>
      <c r="I621" s="8" t="n">
        <v>600</v>
      </c>
    </row>
    <row r="622" customFormat="false" ht="15" hidden="false" customHeight="false" outlineLevel="0" collapsed="false">
      <c r="A622" s="8" t="s">
        <v>681</v>
      </c>
      <c r="B622" s="11" t="n">
        <v>46011</v>
      </c>
      <c r="C622" s="8" t="s">
        <v>39</v>
      </c>
      <c r="D622" s="8" t="s">
        <v>44</v>
      </c>
      <c r="E622" s="8" t="s">
        <v>60</v>
      </c>
      <c r="F622" s="8" t="n">
        <v>3</v>
      </c>
      <c r="G622" s="8" t="n">
        <v>2500</v>
      </c>
      <c r="H622" s="8" t="n">
        <v>0</v>
      </c>
      <c r="I622" s="8" t="n">
        <v>1600</v>
      </c>
    </row>
    <row r="623" customFormat="false" ht="15" hidden="false" customHeight="false" outlineLevel="0" collapsed="false">
      <c r="A623" s="8" t="s">
        <v>682</v>
      </c>
      <c r="B623" s="11" t="n">
        <v>46001</v>
      </c>
      <c r="C623" s="8" t="s">
        <v>43</v>
      </c>
      <c r="D623" s="8" t="s">
        <v>40</v>
      </c>
      <c r="E623" s="8" t="s">
        <v>104</v>
      </c>
      <c r="F623" s="8" t="n">
        <v>8</v>
      </c>
      <c r="G623" s="8" t="n">
        <v>250</v>
      </c>
      <c r="H623" s="8" t="n">
        <v>0</v>
      </c>
      <c r="I623" s="8" t="n">
        <v>100</v>
      </c>
    </row>
    <row r="624" customFormat="false" ht="15" hidden="false" customHeight="false" outlineLevel="0" collapsed="false">
      <c r="A624" s="8" t="s">
        <v>683</v>
      </c>
      <c r="B624" s="11" t="n">
        <v>46009</v>
      </c>
      <c r="C624" s="8" t="s">
        <v>47</v>
      </c>
      <c r="D624" s="8" t="s">
        <v>57</v>
      </c>
      <c r="E624" s="8" t="s">
        <v>58</v>
      </c>
      <c r="F624" s="8" t="n">
        <v>1</v>
      </c>
      <c r="G624" s="8" t="n">
        <v>5500</v>
      </c>
      <c r="H624" s="8" t="n">
        <v>0.15</v>
      </c>
      <c r="I624" s="8" t="n">
        <v>3600</v>
      </c>
    </row>
    <row r="625" customFormat="false" ht="15" hidden="false" customHeight="false" outlineLevel="0" collapsed="false">
      <c r="A625" s="8" t="s">
        <v>684</v>
      </c>
      <c r="B625" s="11" t="n">
        <v>46004</v>
      </c>
      <c r="C625" s="8" t="s">
        <v>47</v>
      </c>
      <c r="D625" s="8" t="s">
        <v>44</v>
      </c>
      <c r="E625" s="8" t="s">
        <v>50</v>
      </c>
      <c r="F625" s="8" t="n">
        <v>1</v>
      </c>
      <c r="G625" s="8" t="n">
        <v>3000</v>
      </c>
      <c r="H625" s="8" t="n">
        <v>0.15</v>
      </c>
      <c r="I625" s="8" t="n">
        <v>2000</v>
      </c>
    </row>
    <row r="626" customFormat="false" ht="15" hidden="false" customHeight="false" outlineLevel="0" collapsed="false">
      <c r="A626" s="8" t="s">
        <v>685</v>
      </c>
      <c r="B626" s="11" t="n">
        <v>46007</v>
      </c>
      <c r="C626" s="8" t="s">
        <v>39</v>
      </c>
      <c r="D626" s="8" t="s">
        <v>44</v>
      </c>
      <c r="E626" s="8" t="s">
        <v>45</v>
      </c>
      <c r="F626" s="8" t="n">
        <v>2</v>
      </c>
      <c r="G626" s="8" t="n">
        <v>1500</v>
      </c>
      <c r="H626" s="8" t="n">
        <v>0</v>
      </c>
      <c r="I626" s="8" t="n">
        <v>900</v>
      </c>
    </row>
    <row r="627" customFormat="false" ht="15" hidden="false" customHeight="false" outlineLevel="0" collapsed="false">
      <c r="A627" s="8" t="s">
        <v>686</v>
      </c>
      <c r="B627" s="11" t="n">
        <v>46005</v>
      </c>
      <c r="C627" s="8" t="s">
        <v>39</v>
      </c>
      <c r="D627" s="8" t="s">
        <v>44</v>
      </c>
      <c r="E627" s="8" t="s">
        <v>45</v>
      </c>
      <c r="F627" s="8" t="n">
        <v>2</v>
      </c>
      <c r="G627" s="8" t="n">
        <v>1500</v>
      </c>
      <c r="H627" s="8" t="n">
        <v>0</v>
      </c>
      <c r="I627" s="8" t="n">
        <v>900</v>
      </c>
    </row>
    <row r="628" customFormat="false" ht="15" hidden="false" customHeight="false" outlineLevel="0" collapsed="false">
      <c r="A628" s="8" t="s">
        <v>687</v>
      </c>
      <c r="B628" s="11" t="n">
        <v>46000</v>
      </c>
      <c r="C628" s="8" t="s">
        <v>47</v>
      </c>
      <c r="D628" s="8" t="s">
        <v>57</v>
      </c>
      <c r="E628" s="8" t="s">
        <v>111</v>
      </c>
      <c r="F628" s="8" t="n">
        <v>1</v>
      </c>
      <c r="G628" s="8" t="n">
        <v>7000</v>
      </c>
      <c r="H628" s="8" t="n">
        <v>0</v>
      </c>
      <c r="I628" s="8" t="n">
        <v>4800</v>
      </c>
    </row>
    <row r="629" customFormat="false" ht="15" hidden="false" customHeight="false" outlineLevel="0" collapsed="false">
      <c r="A629" s="8" t="s">
        <v>688</v>
      </c>
      <c r="B629" s="11" t="n">
        <v>46011</v>
      </c>
      <c r="C629" s="8" t="s">
        <v>43</v>
      </c>
      <c r="D629" s="8" t="s">
        <v>44</v>
      </c>
      <c r="E629" s="8" t="s">
        <v>50</v>
      </c>
      <c r="F629" s="8" t="n">
        <v>2</v>
      </c>
      <c r="G629" s="8" t="n">
        <v>3000</v>
      </c>
      <c r="H629" s="8" t="n">
        <v>0.1</v>
      </c>
      <c r="I629" s="8" t="n">
        <v>2000</v>
      </c>
    </row>
    <row r="630" customFormat="false" ht="15" hidden="false" customHeight="false" outlineLevel="0" collapsed="false">
      <c r="A630" s="8" t="s">
        <v>689</v>
      </c>
      <c r="B630" s="11" t="n">
        <v>45992</v>
      </c>
      <c r="C630" s="8" t="s">
        <v>47</v>
      </c>
      <c r="D630" s="8" t="s">
        <v>44</v>
      </c>
      <c r="E630" s="8" t="s">
        <v>50</v>
      </c>
      <c r="F630" s="8" t="n">
        <v>1</v>
      </c>
      <c r="G630" s="8" t="n">
        <v>3000</v>
      </c>
      <c r="H630" s="8" t="n">
        <v>0</v>
      </c>
      <c r="I630" s="8" t="n">
        <v>2000</v>
      </c>
    </row>
    <row r="631" customFormat="false" ht="15" hidden="false" customHeight="false" outlineLevel="0" collapsed="false">
      <c r="A631" s="8" t="s">
        <v>690</v>
      </c>
      <c r="B631" s="11" t="n">
        <v>46017</v>
      </c>
      <c r="C631" s="8" t="s">
        <v>47</v>
      </c>
      <c r="D631" s="8" t="s">
        <v>57</v>
      </c>
      <c r="E631" s="8" t="s">
        <v>58</v>
      </c>
      <c r="F631" s="8" t="n">
        <v>3</v>
      </c>
      <c r="G631" s="8" t="n">
        <v>5500</v>
      </c>
      <c r="H631" s="8" t="n">
        <v>0.05</v>
      </c>
      <c r="I631" s="8" t="n">
        <v>3600</v>
      </c>
    </row>
    <row r="632" customFormat="false" ht="15" hidden="false" customHeight="false" outlineLevel="0" collapsed="false">
      <c r="A632" s="8" t="s">
        <v>691</v>
      </c>
      <c r="B632" s="11" t="n">
        <v>46011</v>
      </c>
      <c r="C632" s="8" t="s">
        <v>47</v>
      </c>
      <c r="D632" s="8" t="s">
        <v>57</v>
      </c>
      <c r="E632" s="8" t="s">
        <v>63</v>
      </c>
      <c r="F632" s="8" t="n">
        <v>2</v>
      </c>
      <c r="G632" s="8" t="n">
        <v>9000</v>
      </c>
      <c r="H632" s="8" t="n">
        <v>0.15</v>
      </c>
      <c r="I632" s="8" t="n">
        <v>6200</v>
      </c>
    </row>
    <row r="633" customFormat="false" ht="15" hidden="false" customHeight="false" outlineLevel="0" collapsed="false">
      <c r="A633" s="8" t="s">
        <v>692</v>
      </c>
      <c r="B633" s="11" t="n">
        <v>45998</v>
      </c>
      <c r="C633" s="8" t="s">
        <v>47</v>
      </c>
      <c r="D633" s="8" t="s">
        <v>44</v>
      </c>
      <c r="E633" s="8" t="s">
        <v>45</v>
      </c>
      <c r="F633" s="8" t="n">
        <v>3</v>
      </c>
      <c r="G633" s="8" t="n">
        <v>1500</v>
      </c>
      <c r="H633" s="8" t="n">
        <v>0.15</v>
      </c>
      <c r="I633" s="8" t="n">
        <v>900</v>
      </c>
    </row>
    <row r="634" customFormat="false" ht="15" hidden="false" customHeight="false" outlineLevel="0" collapsed="false">
      <c r="A634" s="8" t="s">
        <v>693</v>
      </c>
      <c r="B634" s="11" t="n">
        <v>46001</v>
      </c>
      <c r="C634" s="8" t="s">
        <v>47</v>
      </c>
      <c r="D634" s="8" t="s">
        <v>57</v>
      </c>
      <c r="E634" s="8" t="s">
        <v>86</v>
      </c>
      <c r="F634" s="8" t="n">
        <v>2</v>
      </c>
      <c r="G634" s="8" t="n">
        <v>1200</v>
      </c>
      <c r="H634" s="8" t="n">
        <v>0</v>
      </c>
      <c r="I634" s="8" t="n">
        <v>600</v>
      </c>
    </row>
    <row r="635" customFormat="false" ht="15" hidden="false" customHeight="false" outlineLevel="0" collapsed="false">
      <c r="A635" s="8" t="s">
        <v>694</v>
      </c>
      <c r="B635" s="11" t="n">
        <v>46017</v>
      </c>
      <c r="C635" s="8" t="s">
        <v>43</v>
      </c>
      <c r="D635" s="8" t="s">
        <v>40</v>
      </c>
      <c r="E635" s="8" t="s">
        <v>71</v>
      </c>
      <c r="F635" s="8" t="n">
        <v>9</v>
      </c>
      <c r="G635" s="8" t="n">
        <v>500</v>
      </c>
      <c r="H635" s="8" t="n">
        <v>0.1</v>
      </c>
      <c r="I635" s="8" t="n">
        <v>250</v>
      </c>
    </row>
    <row r="636" customFormat="false" ht="15" hidden="false" customHeight="false" outlineLevel="0" collapsed="false">
      <c r="A636" s="8" t="s">
        <v>695</v>
      </c>
      <c r="B636" s="11" t="n">
        <v>46003</v>
      </c>
      <c r="C636" s="8" t="s">
        <v>47</v>
      </c>
      <c r="D636" s="8" t="s">
        <v>44</v>
      </c>
      <c r="E636" s="8" t="s">
        <v>50</v>
      </c>
      <c r="F636" s="8" t="n">
        <v>2</v>
      </c>
      <c r="G636" s="8" t="n">
        <v>3000</v>
      </c>
      <c r="H636" s="8" t="n">
        <v>0.05</v>
      </c>
      <c r="I636" s="8" t="n">
        <v>2000</v>
      </c>
    </row>
    <row r="637" customFormat="false" ht="15" hidden="false" customHeight="false" outlineLevel="0" collapsed="false">
      <c r="A637" s="8" t="s">
        <v>696</v>
      </c>
      <c r="B637" s="11" t="n">
        <v>46009</v>
      </c>
      <c r="C637" s="8" t="s">
        <v>55</v>
      </c>
      <c r="D637" s="8" t="s">
        <v>44</v>
      </c>
      <c r="E637" s="8" t="s">
        <v>48</v>
      </c>
      <c r="F637" s="8" t="n">
        <v>1</v>
      </c>
      <c r="G637" s="8" t="n">
        <v>4500</v>
      </c>
      <c r="H637" s="8" t="n">
        <v>0.1</v>
      </c>
      <c r="I637" s="8" t="n">
        <v>3300</v>
      </c>
    </row>
    <row r="638" customFormat="false" ht="15" hidden="false" customHeight="false" outlineLevel="0" collapsed="false">
      <c r="A638" s="8" t="s">
        <v>697</v>
      </c>
      <c r="B638" s="11" t="n">
        <v>46015</v>
      </c>
      <c r="C638" s="8" t="s">
        <v>43</v>
      </c>
      <c r="D638" s="8" t="s">
        <v>44</v>
      </c>
      <c r="E638" s="8" t="s">
        <v>45</v>
      </c>
      <c r="F638" s="8" t="n">
        <v>3</v>
      </c>
      <c r="G638" s="8" t="n">
        <v>1500</v>
      </c>
      <c r="H638" s="8" t="n">
        <v>0</v>
      </c>
      <c r="I638" s="8" t="n">
        <v>900</v>
      </c>
    </row>
    <row r="639" customFormat="false" ht="15" hidden="false" customHeight="false" outlineLevel="0" collapsed="false">
      <c r="A639" s="8" t="s">
        <v>698</v>
      </c>
      <c r="B639" s="11" t="n">
        <v>46017</v>
      </c>
      <c r="C639" s="8" t="s">
        <v>55</v>
      </c>
      <c r="D639" s="8" t="s">
        <v>57</v>
      </c>
      <c r="E639" s="8" t="s">
        <v>86</v>
      </c>
      <c r="F639" s="8" t="n">
        <v>1</v>
      </c>
      <c r="G639" s="8" t="n">
        <v>1200</v>
      </c>
      <c r="H639" s="8" t="n">
        <v>0.05</v>
      </c>
      <c r="I639" s="8" t="n">
        <v>600</v>
      </c>
    </row>
    <row r="640" customFormat="false" ht="15" hidden="false" customHeight="false" outlineLevel="0" collapsed="false">
      <c r="A640" s="8" t="s">
        <v>699</v>
      </c>
      <c r="B640" s="11" t="n">
        <v>46013</v>
      </c>
      <c r="C640" s="8" t="s">
        <v>55</v>
      </c>
      <c r="D640" s="8" t="s">
        <v>57</v>
      </c>
      <c r="E640" s="8" t="s">
        <v>111</v>
      </c>
      <c r="F640" s="8" t="n">
        <v>1</v>
      </c>
      <c r="G640" s="8" t="n">
        <v>7000</v>
      </c>
      <c r="H640" s="8" t="n">
        <v>0.05</v>
      </c>
      <c r="I640" s="8" t="n">
        <v>4800</v>
      </c>
    </row>
    <row r="641" customFormat="false" ht="15" hidden="false" customHeight="false" outlineLevel="0" collapsed="false">
      <c r="A641" s="8" t="s">
        <v>700</v>
      </c>
      <c r="B641" s="11" t="n">
        <v>46000</v>
      </c>
      <c r="C641" s="8" t="s">
        <v>39</v>
      </c>
      <c r="D641" s="8" t="s">
        <v>57</v>
      </c>
      <c r="E641" s="8" t="s">
        <v>86</v>
      </c>
      <c r="F641" s="8" t="n">
        <v>2</v>
      </c>
      <c r="G641" s="8" t="n">
        <v>1200</v>
      </c>
      <c r="H641" s="8" t="n">
        <v>0</v>
      </c>
      <c r="I641" s="8" t="n">
        <v>600</v>
      </c>
    </row>
    <row r="642" customFormat="false" ht="15" hidden="false" customHeight="false" outlineLevel="0" collapsed="false">
      <c r="A642" s="8" t="s">
        <v>701</v>
      </c>
      <c r="B642" s="11" t="n">
        <v>45994</v>
      </c>
      <c r="C642" s="8" t="s">
        <v>39</v>
      </c>
      <c r="D642" s="8" t="s">
        <v>40</v>
      </c>
      <c r="E642" s="8" t="s">
        <v>41</v>
      </c>
      <c r="F642" s="8" t="n">
        <v>8</v>
      </c>
      <c r="G642" s="8" t="n">
        <v>600</v>
      </c>
      <c r="H642" s="8" t="n">
        <v>0.05</v>
      </c>
      <c r="I642" s="8" t="n">
        <v>300</v>
      </c>
    </row>
    <row r="643" customFormat="false" ht="15" hidden="false" customHeight="false" outlineLevel="0" collapsed="false">
      <c r="A643" s="8" t="s">
        <v>702</v>
      </c>
      <c r="B643" s="11" t="n">
        <v>46004</v>
      </c>
      <c r="C643" s="8" t="s">
        <v>55</v>
      </c>
      <c r="D643" s="8" t="s">
        <v>57</v>
      </c>
      <c r="E643" s="8" t="s">
        <v>86</v>
      </c>
      <c r="F643" s="8" t="n">
        <v>2</v>
      </c>
      <c r="G643" s="8" t="n">
        <v>1200</v>
      </c>
      <c r="H643" s="8" t="n">
        <v>0.1</v>
      </c>
      <c r="I643" s="8" t="n">
        <v>600</v>
      </c>
    </row>
    <row r="644" customFormat="false" ht="15" hidden="false" customHeight="false" outlineLevel="0" collapsed="false">
      <c r="A644" s="8" t="s">
        <v>703</v>
      </c>
      <c r="B644" s="11" t="n">
        <v>45993</v>
      </c>
      <c r="C644" s="8" t="s">
        <v>47</v>
      </c>
      <c r="D644" s="8" t="s">
        <v>40</v>
      </c>
      <c r="E644" s="8" t="s">
        <v>77</v>
      </c>
      <c r="F644" s="8" t="n">
        <v>8</v>
      </c>
      <c r="G644" s="8" t="n">
        <v>400</v>
      </c>
      <c r="H644" s="8" t="n">
        <v>0.1</v>
      </c>
      <c r="I644" s="8" t="n">
        <v>200</v>
      </c>
    </row>
    <row r="645" customFormat="false" ht="15" hidden="false" customHeight="false" outlineLevel="0" collapsed="false">
      <c r="A645" s="8" t="s">
        <v>704</v>
      </c>
      <c r="B645" s="11" t="n">
        <v>46012</v>
      </c>
      <c r="C645" s="8" t="s">
        <v>43</v>
      </c>
      <c r="D645" s="8" t="s">
        <v>57</v>
      </c>
      <c r="E645" s="8" t="s">
        <v>63</v>
      </c>
      <c r="F645" s="8" t="n">
        <v>3</v>
      </c>
      <c r="G645" s="8" t="n">
        <v>9000</v>
      </c>
      <c r="H645" s="8" t="n">
        <v>0.1</v>
      </c>
      <c r="I645" s="8" t="n">
        <v>6200</v>
      </c>
    </row>
    <row r="646" customFormat="false" ht="15" hidden="false" customHeight="false" outlineLevel="0" collapsed="false">
      <c r="A646" s="8" t="s">
        <v>705</v>
      </c>
      <c r="B646" s="11" t="n">
        <v>46013</v>
      </c>
      <c r="C646" s="8" t="s">
        <v>39</v>
      </c>
      <c r="D646" s="8" t="s">
        <v>44</v>
      </c>
      <c r="E646" s="8" t="s">
        <v>48</v>
      </c>
      <c r="F646" s="8" t="n">
        <v>1</v>
      </c>
      <c r="G646" s="8" t="n">
        <v>4500</v>
      </c>
      <c r="H646" s="8" t="n">
        <v>0.15</v>
      </c>
      <c r="I646" s="8" t="n">
        <v>3300</v>
      </c>
    </row>
    <row r="647" customFormat="false" ht="15" hidden="false" customHeight="false" outlineLevel="0" collapsed="false">
      <c r="A647" s="8" t="s">
        <v>706</v>
      </c>
      <c r="B647" s="11" t="n">
        <v>46010</v>
      </c>
      <c r="C647" s="8" t="s">
        <v>39</v>
      </c>
      <c r="D647" s="8" t="s">
        <v>57</v>
      </c>
      <c r="E647" s="8" t="s">
        <v>63</v>
      </c>
      <c r="F647" s="8" t="n">
        <v>3</v>
      </c>
      <c r="G647" s="8" t="n">
        <v>9000</v>
      </c>
      <c r="H647" s="8" t="n">
        <v>0</v>
      </c>
      <c r="I647" s="8" t="n">
        <v>6200</v>
      </c>
    </row>
    <row r="648" customFormat="false" ht="15" hidden="false" customHeight="false" outlineLevel="0" collapsed="false">
      <c r="A648" s="8" t="s">
        <v>707</v>
      </c>
      <c r="B648" s="11" t="n">
        <v>46017</v>
      </c>
      <c r="C648" s="8" t="s">
        <v>43</v>
      </c>
      <c r="D648" s="8" t="s">
        <v>40</v>
      </c>
      <c r="E648" s="8" t="s">
        <v>41</v>
      </c>
      <c r="F648" s="8" t="n">
        <v>8</v>
      </c>
      <c r="G648" s="8" t="n">
        <v>600</v>
      </c>
      <c r="H648" s="8" t="n">
        <v>0</v>
      </c>
      <c r="I648" s="8" t="n">
        <v>300</v>
      </c>
    </row>
    <row r="649" customFormat="false" ht="15" hidden="false" customHeight="false" outlineLevel="0" collapsed="false">
      <c r="A649" s="8" t="s">
        <v>708</v>
      </c>
      <c r="B649" s="11" t="n">
        <v>45999</v>
      </c>
      <c r="C649" s="8" t="s">
        <v>39</v>
      </c>
      <c r="D649" s="8" t="s">
        <v>57</v>
      </c>
      <c r="E649" s="8" t="s">
        <v>58</v>
      </c>
      <c r="F649" s="8" t="n">
        <v>1</v>
      </c>
      <c r="G649" s="8" t="n">
        <v>5500</v>
      </c>
      <c r="H649" s="8" t="n">
        <v>0</v>
      </c>
      <c r="I649" s="8" t="n">
        <v>3600</v>
      </c>
    </row>
    <row r="650" customFormat="false" ht="15" hidden="false" customHeight="false" outlineLevel="0" collapsed="false">
      <c r="A650" s="8" t="s">
        <v>709</v>
      </c>
      <c r="B650" s="11" t="n">
        <v>46014</v>
      </c>
      <c r="C650" s="8" t="s">
        <v>43</v>
      </c>
      <c r="D650" s="8" t="s">
        <v>40</v>
      </c>
      <c r="E650" s="8" t="s">
        <v>77</v>
      </c>
      <c r="F650" s="8" t="n">
        <v>10</v>
      </c>
      <c r="G650" s="8" t="n">
        <v>400</v>
      </c>
      <c r="H650" s="8" t="n">
        <v>0.1</v>
      </c>
      <c r="I650" s="8" t="n">
        <v>200</v>
      </c>
    </row>
    <row r="651" customFormat="false" ht="15" hidden="false" customHeight="false" outlineLevel="0" collapsed="false">
      <c r="A651" s="8" t="s">
        <v>710</v>
      </c>
      <c r="B651" s="11" t="n">
        <v>46006</v>
      </c>
      <c r="C651" s="8" t="s">
        <v>39</v>
      </c>
      <c r="D651" s="8" t="s">
        <v>40</v>
      </c>
      <c r="E651" s="8" t="s">
        <v>104</v>
      </c>
      <c r="F651" s="8" t="n">
        <v>7</v>
      </c>
      <c r="G651" s="8" t="n">
        <v>250</v>
      </c>
      <c r="H651" s="8" t="n">
        <v>0.05</v>
      </c>
      <c r="I651" s="8" t="n">
        <v>100</v>
      </c>
    </row>
    <row r="652" customFormat="false" ht="15" hidden="false" customHeight="false" outlineLevel="0" collapsed="false">
      <c r="A652" s="8" t="s">
        <v>711</v>
      </c>
      <c r="B652" s="11" t="n">
        <v>46003</v>
      </c>
      <c r="C652" s="8" t="s">
        <v>47</v>
      </c>
      <c r="D652" s="8" t="s">
        <v>40</v>
      </c>
      <c r="E652" s="8" t="s">
        <v>41</v>
      </c>
      <c r="F652" s="8"/>
      <c r="G652" s="8" t="n">
        <v>600</v>
      </c>
      <c r="H652" s="8" t="n">
        <v>0</v>
      </c>
      <c r="I652" s="8" t="n">
        <v>300</v>
      </c>
    </row>
    <row r="653" customFormat="false" ht="15" hidden="false" customHeight="false" outlineLevel="0" collapsed="false">
      <c r="A653" s="8" t="s">
        <v>712</v>
      </c>
      <c r="B653" s="11" t="n">
        <v>45994</v>
      </c>
      <c r="C653" s="8" t="s">
        <v>47</v>
      </c>
      <c r="D653" s="8" t="s">
        <v>44</v>
      </c>
      <c r="E653" s="8" t="s">
        <v>60</v>
      </c>
      <c r="F653" s="8" t="n">
        <v>2</v>
      </c>
      <c r="G653" s="8" t="n">
        <v>2500</v>
      </c>
      <c r="H653" s="8" t="n">
        <v>0.05</v>
      </c>
      <c r="I653" s="8" t="n">
        <v>1600</v>
      </c>
    </row>
    <row r="654" customFormat="false" ht="15" hidden="false" customHeight="false" outlineLevel="0" collapsed="false">
      <c r="A654" s="8" t="s">
        <v>713</v>
      </c>
      <c r="B654" s="11" t="n">
        <v>46003</v>
      </c>
      <c r="C654" s="8" t="s">
        <v>55</v>
      </c>
      <c r="D654" s="8" t="s">
        <v>44</v>
      </c>
      <c r="E654" s="8" t="s">
        <v>48</v>
      </c>
      <c r="F654" s="8" t="n">
        <v>3</v>
      </c>
      <c r="G654" s="8" t="n">
        <v>4500</v>
      </c>
      <c r="H654" s="8" t="n">
        <v>0</v>
      </c>
      <c r="I654" s="8" t="n">
        <v>3300</v>
      </c>
    </row>
    <row r="655" customFormat="false" ht="15" hidden="false" customHeight="false" outlineLevel="0" collapsed="false">
      <c r="A655" s="8" t="s">
        <v>714</v>
      </c>
      <c r="B655" s="11" t="n">
        <v>46007</v>
      </c>
      <c r="C655" s="8" t="s">
        <v>47</v>
      </c>
      <c r="D655" s="8" t="s">
        <v>57</v>
      </c>
      <c r="E655" s="8" t="s">
        <v>111</v>
      </c>
      <c r="F655" s="8" t="n">
        <v>1</v>
      </c>
      <c r="G655" s="8" t="n">
        <v>7000</v>
      </c>
      <c r="H655" s="8" t="n">
        <v>0.1</v>
      </c>
      <c r="I655" s="8" t="n">
        <v>4800</v>
      </c>
    </row>
    <row r="656" customFormat="false" ht="15" hidden="false" customHeight="false" outlineLevel="0" collapsed="false">
      <c r="A656" s="8" t="s">
        <v>715</v>
      </c>
      <c r="B656" s="11" t="n">
        <v>46014</v>
      </c>
      <c r="C656" s="8" t="s">
        <v>47</v>
      </c>
      <c r="D656" s="8" t="s">
        <v>57</v>
      </c>
      <c r="E656" s="8" t="s">
        <v>63</v>
      </c>
      <c r="F656" s="8" t="n">
        <v>2</v>
      </c>
      <c r="G656" s="8" t="n">
        <v>9000</v>
      </c>
      <c r="H656" s="8" t="n">
        <v>0.15</v>
      </c>
      <c r="I656" s="8" t="n">
        <v>6200</v>
      </c>
    </row>
    <row r="657" customFormat="false" ht="15" hidden="false" customHeight="false" outlineLevel="0" collapsed="false">
      <c r="A657" s="8" t="s">
        <v>716</v>
      </c>
      <c r="B657" s="11" t="n">
        <v>46017</v>
      </c>
      <c r="C657" s="8" t="s">
        <v>47</v>
      </c>
      <c r="D657" s="8" t="s">
        <v>57</v>
      </c>
      <c r="E657" s="8" t="s">
        <v>86</v>
      </c>
      <c r="F657" s="8" t="n">
        <v>2</v>
      </c>
      <c r="G657" s="8" t="n">
        <v>1200</v>
      </c>
      <c r="H657" s="8" t="n">
        <v>0</v>
      </c>
      <c r="I657" s="8" t="n">
        <v>600</v>
      </c>
    </row>
    <row r="658" customFormat="false" ht="15" hidden="false" customHeight="false" outlineLevel="0" collapsed="false">
      <c r="A658" s="8" t="s">
        <v>717</v>
      </c>
      <c r="B658" s="11" t="n">
        <v>45995</v>
      </c>
      <c r="C658" s="8" t="s">
        <v>39</v>
      </c>
      <c r="D658" s="8" t="s">
        <v>40</v>
      </c>
      <c r="E658" s="8" t="s">
        <v>71</v>
      </c>
      <c r="F658" s="8" t="n">
        <v>7</v>
      </c>
      <c r="G658" s="8" t="n">
        <v>500</v>
      </c>
      <c r="H658" s="8" t="n">
        <v>0.15</v>
      </c>
      <c r="I658" s="8" t="n">
        <v>250</v>
      </c>
    </row>
    <row r="659" customFormat="false" ht="15" hidden="false" customHeight="false" outlineLevel="0" collapsed="false">
      <c r="A659" s="8" t="s">
        <v>718</v>
      </c>
      <c r="B659" s="11" t="n">
        <v>45997</v>
      </c>
      <c r="C659" s="8" t="s">
        <v>55</v>
      </c>
      <c r="D659" s="8" t="s">
        <v>40</v>
      </c>
      <c r="E659" s="8" t="s">
        <v>41</v>
      </c>
      <c r="F659" s="8" t="n">
        <v>5</v>
      </c>
      <c r="G659" s="8" t="n">
        <v>600</v>
      </c>
      <c r="H659" s="8" t="n">
        <v>0.1</v>
      </c>
      <c r="I659" s="8" t="n">
        <v>300</v>
      </c>
    </row>
    <row r="660" customFormat="false" ht="15" hidden="false" customHeight="false" outlineLevel="0" collapsed="false">
      <c r="A660" s="8" t="s">
        <v>719</v>
      </c>
      <c r="B660" s="11" t="n">
        <v>46006</v>
      </c>
      <c r="C660" s="8" t="s">
        <v>39</v>
      </c>
      <c r="D660" s="8" t="s">
        <v>40</v>
      </c>
      <c r="E660" s="8" t="s">
        <v>77</v>
      </c>
      <c r="F660" s="8" t="n">
        <v>10</v>
      </c>
      <c r="G660" s="8" t="n">
        <v>400</v>
      </c>
      <c r="H660" s="8" t="n">
        <v>0.05</v>
      </c>
      <c r="I660" s="8" t="n">
        <v>200</v>
      </c>
    </row>
    <row r="661" customFormat="false" ht="15" hidden="false" customHeight="false" outlineLevel="0" collapsed="false">
      <c r="A661" s="8" t="s">
        <v>720</v>
      </c>
      <c r="B661" s="11" t="n">
        <v>45997</v>
      </c>
      <c r="C661" s="8" t="s">
        <v>43</v>
      </c>
      <c r="D661" s="8" t="s">
        <v>44</v>
      </c>
      <c r="E661" s="8" t="s">
        <v>50</v>
      </c>
      <c r="F661" s="8" t="n">
        <v>3</v>
      </c>
      <c r="G661" s="8" t="n">
        <v>3000</v>
      </c>
      <c r="H661" s="8" t="n">
        <v>0</v>
      </c>
      <c r="I661" s="8" t="n">
        <v>2000</v>
      </c>
    </row>
    <row r="662" customFormat="false" ht="15" hidden="false" customHeight="false" outlineLevel="0" collapsed="false">
      <c r="A662" s="8" t="s">
        <v>721</v>
      </c>
      <c r="B662" s="11" t="n">
        <v>46015</v>
      </c>
      <c r="C662" s="8" t="s">
        <v>43</v>
      </c>
      <c r="D662" s="8" t="s">
        <v>40</v>
      </c>
      <c r="E662" s="8" t="s">
        <v>41</v>
      </c>
      <c r="F662" s="8" t="n">
        <v>8</v>
      </c>
      <c r="G662" s="8" t="n">
        <v>600</v>
      </c>
      <c r="H662" s="8" t="n">
        <v>0</v>
      </c>
      <c r="I662" s="8" t="n">
        <v>300</v>
      </c>
    </row>
    <row r="663" customFormat="false" ht="15" hidden="false" customHeight="false" outlineLevel="0" collapsed="false">
      <c r="A663" s="8" t="s">
        <v>722</v>
      </c>
      <c r="B663" s="11" t="n">
        <v>46005</v>
      </c>
      <c r="C663" s="8" t="s">
        <v>55</v>
      </c>
      <c r="D663" s="8" t="s">
        <v>40</v>
      </c>
      <c r="E663" s="8" t="s">
        <v>104</v>
      </c>
      <c r="F663" s="8" t="n">
        <v>9</v>
      </c>
      <c r="G663" s="8" t="n">
        <v>250</v>
      </c>
      <c r="H663" s="8" t="n">
        <v>0.1</v>
      </c>
      <c r="I663" s="8" t="n">
        <v>100</v>
      </c>
    </row>
    <row r="664" customFormat="false" ht="15" hidden="false" customHeight="false" outlineLevel="0" collapsed="false">
      <c r="A664" s="8" t="s">
        <v>723</v>
      </c>
      <c r="B664" s="11" t="n">
        <v>46000</v>
      </c>
      <c r="C664" s="8" t="s">
        <v>39</v>
      </c>
      <c r="D664" s="8" t="s">
        <v>57</v>
      </c>
      <c r="E664" s="8" t="s">
        <v>58</v>
      </c>
      <c r="F664" s="8" t="n">
        <v>1</v>
      </c>
      <c r="G664" s="8" t="n">
        <v>5500</v>
      </c>
      <c r="H664" s="8" t="n">
        <v>0</v>
      </c>
      <c r="I664" s="8" t="n">
        <v>3600</v>
      </c>
    </row>
    <row r="665" customFormat="false" ht="15" hidden="false" customHeight="false" outlineLevel="0" collapsed="false">
      <c r="A665" s="8" t="s">
        <v>724</v>
      </c>
      <c r="B665" s="11" t="n">
        <v>45995</v>
      </c>
      <c r="C665" s="8" t="s">
        <v>55</v>
      </c>
      <c r="D665" s="8" t="s">
        <v>40</v>
      </c>
      <c r="E665" s="8" t="s">
        <v>71</v>
      </c>
      <c r="F665" s="8" t="n">
        <v>3</v>
      </c>
      <c r="G665" s="8" t="n">
        <v>500</v>
      </c>
      <c r="H665" s="8" t="n">
        <v>0.1</v>
      </c>
      <c r="I665" s="8" t="n">
        <v>250</v>
      </c>
    </row>
    <row r="666" customFormat="false" ht="15" hidden="false" customHeight="false" outlineLevel="0" collapsed="false">
      <c r="A666" s="8" t="s">
        <v>725</v>
      </c>
      <c r="B666" s="11" t="n">
        <v>46006</v>
      </c>
      <c r="C666" s="8" t="s">
        <v>39</v>
      </c>
      <c r="D666" s="8" t="s">
        <v>40</v>
      </c>
      <c r="E666" s="8" t="s">
        <v>77</v>
      </c>
      <c r="F666" s="8" t="n">
        <v>7</v>
      </c>
      <c r="G666" s="8" t="n">
        <v>400</v>
      </c>
      <c r="H666" s="8" t="n">
        <v>0</v>
      </c>
      <c r="I666" s="8" t="n">
        <v>200</v>
      </c>
    </row>
    <row r="667" customFormat="false" ht="15" hidden="false" customHeight="false" outlineLevel="0" collapsed="false">
      <c r="A667" s="8" t="s">
        <v>726</v>
      </c>
      <c r="B667" s="11" t="n">
        <v>46012</v>
      </c>
      <c r="C667" s="8" t="s">
        <v>47</v>
      </c>
      <c r="D667" s="8" t="s">
        <v>44</v>
      </c>
      <c r="E667" s="8" t="s">
        <v>48</v>
      </c>
      <c r="F667" s="8" t="n">
        <v>2</v>
      </c>
      <c r="G667" s="8" t="n">
        <v>4500</v>
      </c>
      <c r="H667" s="8" t="n">
        <v>0.1</v>
      </c>
      <c r="I667" s="8" t="n">
        <v>3300</v>
      </c>
    </row>
    <row r="668" customFormat="false" ht="15" hidden="false" customHeight="false" outlineLevel="0" collapsed="false">
      <c r="A668" s="8" t="s">
        <v>727</v>
      </c>
      <c r="B668" s="11" t="n">
        <v>46010</v>
      </c>
      <c r="C668" s="8" t="s">
        <v>47</v>
      </c>
      <c r="D668" s="8" t="s">
        <v>57</v>
      </c>
      <c r="E668" s="8" t="s">
        <v>63</v>
      </c>
      <c r="F668" s="8" t="n">
        <v>3</v>
      </c>
      <c r="G668" s="8" t="n">
        <v>9000</v>
      </c>
      <c r="H668" s="8" t="n">
        <v>0.05</v>
      </c>
      <c r="I668" s="8" t="n">
        <v>6200</v>
      </c>
    </row>
    <row r="669" customFormat="false" ht="15" hidden="false" customHeight="false" outlineLevel="0" collapsed="false">
      <c r="A669" s="8" t="s">
        <v>728</v>
      </c>
      <c r="B669" s="11" t="n">
        <v>45997</v>
      </c>
      <c r="C669" s="8" t="s">
        <v>47</v>
      </c>
      <c r="D669" s="8" t="s">
        <v>44</v>
      </c>
      <c r="E669" s="8" t="s">
        <v>48</v>
      </c>
      <c r="F669" s="8" t="n">
        <v>2</v>
      </c>
      <c r="G669" s="8" t="n">
        <v>4500</v>
      </c>
      <c r="H669" s="8" t="n">
        <v>0.1</v>
      </c>
      <c r="I669" s="8" t="n">
        <v>3300</v>
      </c>
    </row>
    <row r="670" customFormat="false" ht="15" hidden="false" customHeight="false" outlineLevel="0" collapsed="false">
      <c r="A670" s="8" t="s">
        <v>729</v>
      </c>
      <c r="B670" s="11" t="n">
        <v>46010</v>
      </c>
      <c r="C670" s="8" t="s">
        <v>43</v>
      </c>
      <c r="D670" s="8" t="s">
        <v>40</v>
      </c>
      <c r="E670" s="8" t="s">
        <v>41</v>
      </c>
      <c r="F670" s="8" t="n">
        <v>6</v>
      </c>
      <c r="G670" s="8" t="n">
        <v>600</v>
      </c>
      <c r="H670" s="8" t="n">
        <v>0.1</v>
      </c>
      <c r="I670" s="8" t="n">
        <v>300</v>
      </c>
    </row>
    <row r="671" customFormat="false" ht="15" hidden="false" customHeight="false" outlineLevel="0" collapsed="false">
      <c r="A671" s="8" t="s">
        <v>730</v>
      </c>
      <c r="B671" s="11" t="n">
        <v>45999</v>
      </c>
      <c r="C671" s="8" t="s">
        <v>43</v>
      </c>
      <c r="D671" s="8" t="s">
        <v>44</v>
      </c>
      <c r="E671" s="8" t="s">
        <v>48</v>
      </c>
      <c r="F671" s="8" t="n">
        <v>2</v>
      </c>
      <c r="G671" s="8" t="n">
        <v>4500</v>
      </c>
      <c r="H671" s="8" t="n">
        <v>0</v>
      </c>
      <c r="I671" s="8" t="n">
        <v>3300</v>
      </c>
    </row>
    <row r="672" customFormat="false" ht="15" hidden="false" customHeight="false" outlineLevel="0" collapsed="false">
      <c r="A672" s="8" t="s">
        <v>731</v>
      </c>
      <c r="B672" s="11" t="n">
        <v>45996</v>
      </c>
      <c r="C672" s="8" t="s">
        <v>39</v>
      </c>
      <c r="D672" s="8" t="s">
        <v>57</v>
      </c>
      <c r="E672" s="8" t="s">
        <v>111</v>
      </c>
      <c r="F672" s="8" t="n">
        <v>2</v>
      </c>
      <c r="G672" s="8" t="n">
        <v>7000</v>
      </c>
      <c r="H672" s="8" t="n">
        <v>0.15</v>
      </c>
      <c r="I672" s="8" t="n">
        <v>4800</v>
      </c>
    </row>
    <row r="673" customFormat="false" ht="15" hidden="false" customHeight="false" outlineLevel="0" collapsed="false">
      <c r="A673" s="8" t="s">
        <v>732</v>
      </c>
      <c r="B673" s="11" t="n">
        <v>46004</v>
      </c>
      <c r="C673" s="8" t="s">
        <v>156</v>
      </c>
      <c r="D673" s="8" t="s">
        <v>40</v>
      </c>
      <c r="E673" s="8" t="s">
        <v>77</v>
      </c>
      <c r="F673" s="8" t="n">
        <v>4</v>
      </c>
      <c r="G673" s="8" t="n">
        <v>400</v>
      </c>
      <c r="H673" s="8" t="n">
        <v>0.1</v>
      </c>
      <c r="I673" s="8" t="n">
        <v>200</v>
      </c>
    </row>
    <row r="674" customFormat="false" ht="15" hidden="false" customHeight="false" outlineLevel="0" collapsed="false">
      <c r="A674" s="8" t="s">
        <v>733</v>
      </c>
      <c r="B674" s="11" t="n">
        <v>46014</v>
      </c>
      <c r="C674" s="8" t="s">
        <v>39</v>
      </c>
      <c r="D674" s="8" t="s">
        <v>57</v>
      </c>
      <c r="E674" s="8" t="s">
        <v>58</v>
      </c>
      <c r="F674" s="8" t="n">
        <v>3</v>
      </c>
      <c r="G674" s="8" t="n">
        <v>5500</v>
      </c>
      <c r="H674" s="8" t="n">
        <v>0.1</v>
      </c>
      <c r="I674" s="8" t="n">
        <v>3600</v>
      </c>
    </row>
    <row r="675" customFormat="false" ht="15" hidden="false" customHeight="false" outlineLevel="0" collapsed="false">
      <c r="A675" s="8" t="s">
        <v>734</v>
      </c>
      <c r="B675" s="11" t="n">
        <v>45997</v>
      </c>
      <c r="C675" s="8" t="s">
        <v>55</v>
      </c>
      <c r="D675" s="8" t="s">
        <v>40</v>
      </c>
      <c r="E675" s="8" t="s">
        <v>41</v>
      </c>
      <c r="F675" s="8" t="n">
        <v>4</v>
      </c>
      <c r="G675" s="8" t="n">
        <v>600</v>
      </c>
      <c r="H675" s="8" t="n">
        <v>0.1</v>
      </c>
      <c r="I675" s="8" t="n">
        <v>300</v>
      </c>
    </row>
    <row r="676" customFormat="false" ht="15" hidden="false" customHeight="false" outlineLevel="0" collapsed="false">
      <c r="A676" s="8" t="s">
        <v>735</v>
      </c>
      <c r="B676" s="11" t="n">
        <v>46018</v>
      </c>
      <c r="C676" s="8" t="s">
        <v>47</v>
      </c>
      <c r="D676" s="8" t="s">
        <v>57</v>
      </c>
      <c r="E676" s="8" t="s">
        <v>86</v>
      </c>
      <c r="F676" s="8" t="n">
        <v>1</v>
      </c>
      <c r="G676" s="8" t="n">
        <v>1200</v>
      </c>
      <c r="H676" s="8" t="n">
        <v>0</v>
      </c>
      <c r="I676" s="8" t="n">
        <v>600</v>
      </c>
    </row>
    <row r="677" customFormat="false" ht="15" hidden="false" customHeight="false" outlineLevel="0" collapsed="false">
      <c r="A677" s="8" t="s">
        <v>736</v>
      </c>
      <c r="B677" s="11" t="n">
        <v>46007</v>
      </c>
      <c r="C677" s="8" t="s">
        <v>43</v>
      </c>
      <c r="D677" s="8" t="s">
        <v>57</v>
      </c>
      <c r="E677" s="8" t="s">
        <v>86</v>
      </c>
      <c r="F677" s="8" t="n">
        <v>2</v>
      </c>
      <c r="G677" s="8" t="n">
        <v>1200</v>
      </c>
      <c r="H677" s="8" t="n">
        <v>0</v>
      </c>
      <c r="I677" s="8" t="n">
        <v>600</v>
      </c>
    </row>
    <row r="678" customFormat="false" ht="15" hidden="false" customHeight="false" outlineLevel="0" collapsed="false">
      <c r="A678" s="8" t="s">
        <v>737</v>
      </c>
      <c r="B678" s="11" t="n">
        <v>46008</v>
      </c>
      <c r="C678" s="8" t="s">
        <v>39</v>
      </c>
      <c r="D678" s="8" t="s">
        <v>44</v>
      </c>
      <c r="E678" s="8" t="s">
        <v>45</v>
      </c>
      <c r="F678" s="8" t="n">
        <v>2</v>
      </c>
      <c r="G678" s="8" t="n">
        <v>1500</v>
      </c>
      <c r="H678" s="8" t="n">
        <v>0.1</v>
      </c>
      <c r="I678" s="8" t="n">
        <v>900</v>
      </c>
    </row>
    <row r="679" customFormat="false" ht="15" hidden="false" customHeight="false" outlineLevel="0" collapsed="false">
      <c r="A679" s="8" t="s">
        <v>738</v>
      </c>
      <c r="B679" s="11" t="n">
        <v>46014</v>
      </c>
      <c r="C679" s="8" t="s">
        <v>47</v>
      </c>
      <c r="D679" s="8" t="s">
        <v>40</v>
      </c>
      <c r="E679" s="8" t="s">
        <v>41</v>
      </c>
      <c r="F679" s="8" t="n">
        <v>9</v>
      </c>
      <c r="G679" s="8" t="n">
        <v>600</v>
      </c>
      <c r="H679" s="8" t="n">
        <v>0.05</v>
      </c>
      <c r="I679" s="8" t="n">
        <v>300</v>
      </c>
    </row>
    <row r="680" customFormat="false" ht="15" hidden="false" customHeight="false" outlineLevel="0" collapsed="false">
      <c r="A680" s="8" t="s">
        <v>739</v>
      </c>
      <c r="B680" s="11" t="n">
        <v>45992</v>
      </c>
      <c r="C680" s="8" t="s">
        <v>47</v>
      </c>
      <c r="D680" s="8" t="s">
        <v>57</v>
      </c>
      <c r="E680" s="8" t="s">
        <v>86</v>
      </c>
      <c r="F680" s="8" t="n">
        <v>1</v>
      </c>
      <c r="G680" s="8" t="n">
        <v>1200</v>
      </c>
      <c r="H680" s="8" t="n">
        <v>0.1</v>
      </c>
      <c r="I680" s="8" t="n">
        <v>600</v>
      </c>
    </row>
    <row r="681" customFormat="false" ht="15" hidden="false" customHeight="false" outlineLevel="0" collapsed="false">
      <c r="A681" s="8" t="s">
        <v>740</v>
      </c>
      <c r="B681" s="11" t="n">
        <v>46009</v>
      </c>
      <c r="C681" s="8" t="s">
        <v>47</v>
      </c>
      <c r="D681" s="8" t="s">
        <v>44</v>
      </c>
      <c r="E681" s="8" t="s">
        <v>50</v>
      </c>
      <c r="F681" s="8" t="n">
        <v>2</v>
      </c>
      <c r="G681" s="8" t="n">
        <v>3000</v>
      </c>
      <c r="H681" s="8" t="n">
        <v>0</v>
      </c>
      <c r="I681" s="8" t="n">
        <v>2000</v>
      </c>
    </row>
    <row r="682" customFormat="false" ht="15" hidden="false" customHeight="false" outlineLevel="0" collapsed="false">
      <c r="A682" s="8" t="s">
        <v>741</v>
      </c>
      <c r="B682" s="11" t="n">
        <v>46015</v>
      </c>
      <c r="C682" s="8"/>
      <c r="D682" s="8" t="s">
        <v>57</v>
      </c>
      <c r="E682" s="8" t="s">
        <v>111</v>
      </c>
      <c r="F682" s="8" t="n">
        <v>2</v>
      </c>
      <c r="G682" s="8" t="n">
        <v>7000</v>
      </c>
      <c r="H682" s="8" t="n">
        <v>0.1</v>
      </c>
      <c r="I682" s="8" t="n">
        <v>4800</v>
      </c>
    </row>
    <row r="683" customFormat="false" ht="15" hidden="false" customHeight="false" outlineLevel="0" collapsed="false">
      <c r="A683" s="8" t="s">
        <v>742</v>
      </c>
      <c r="B683" s="11" t="n">
        <v>45995</v>
      </c>
      <c r="C683" s="8" t="s">
        <v>47</v>
      </c>
      <c r="D683" s="8" t="s">
        <v>57</v>
      </c>
      <c r="E683" s="8" t="s">
        <v>86</v>
      </c>
      <c r="F683" s="8" t="n">
        <v>1</v>
      </c>
      <c r="G683" s="8" t="n">
        <v>1200</v>
      </c>
      <c r="H683" s="8" t="n">
        <v>0.1</v>
      </c>
      <c r="I683" s="8" t="n">
        <v>600</v>
      </c>
    </row>
    <row r="684" customFormat="false" ht="15" hidden="false" customHeight="false" outlineLevel="0" collapsed="false">
      <c r="A684" s="8" t="s">
        <v>743</v>
      </c>
      <c r="B684" s="11" t="n">
        <v>46018</v>
      </c>
      <c r="C684" s="8" t="s">
        <v>43</v>
      </c>
      <c r="D684" s="8" t="s">
        <v>57</v>
      </c>
      <c r="E684" s="8" t="s">
        <v>111</v>
      </c>
      <c r="F684" s="8" t="n">
        <v>2</v>
      </c>
      <c r="G684" s="8" t="n">
        <v>7000</v>
      </c>
      <c r="H684" s="8" t="n">
        <v>0.1</v>
      </c>
      <c r="I684" s="8" t="n">
        <v>4800</v>
      </c>
    </row>
    <row r="685" customFormat="false" ht="15" hidden="false" customHeight="false" outlineLevel="0" collapsed="false">
      <c r="A685" s="8" t="s">
        <v>744</v>
      </c>
      <c r="B685" s="11" t="n">
        <v>45998</v>
      </c>
      <c r="C685" s="8" t="s">
        <v>43</v>
      </c>
      <c r="D685" s="8" t="s">
        <v>44</v>
      </c>
      <c r="E685" s="8" t="s">
        <v>60</v>
      </c>
      <c r="F685" s="8" t="n">
        <v>2</v>
      </c>
      <c r="G685" s="8" t="n">
        <v>2500</v>
      </c>
      <c r="H685" s="8" t="n">
        <v>0.1</v>
      </c>
      <c r="I685" s="8" t="n">
        <v>1600</v>
      </c>
    </row>
    <row r="686" customFormat="false" ht="15" hidden="false" customHeight="false" outlineLevel="0" collapsed="false">
      <c r="A686" s="8" t="s">
        <v>745</v>
      </c>
      <c r="B686" s="11" t="n">
        <v>46001</v>
      </c>
      <c r="C686" s="8" t="s">
        <v>39</v>
      </c>
      <c r="D686" s="8" t="s">
        <v>57</v>
      </c>
      <c r="E686" s="8" t="s">
        <v>58</v>
      </c>
      <c r="F686" s="8" t="n">
        <v>3</v>
      </c>
      <c r="G686" s="8" t="n">
        <v>5500</v>
      </c>
      <c r="H686" s="8" t="n">
        <v>0</v>
      </c>
      <c r="I686" s="8" t="n">
        <v>3600</v>
      </c>
    </row>
    <row r="687" customFormat="false" ht="15" hidden="false" customHeight="false" outlineLevel="0" collapsed="false">
      <c r="A687" s="8" t="s">
        <v>746</v>
      </c>
      <c r="B687" s="11" t="n">
        <v>46006</v>
      </c>
      <c r="C687" s="8" t="s">
        <v>47</v>
      </c>
      <c r="D687" s="8" t="s">
        <v>44</v>
      </c>
      <c r="E687" s="8" t="s">
        <v>60</v>
      </c>
      <c r="F687" s="8" t="n">
        <v>2</v>
      </c>
      <c r="G687" s="8" t="n">
        <v>2500</v>
      </c>
      <c r="H687" s="8" t="n">
        <v>0</v>
      </c>
      <c r="I687" s="8" t="n">
        <v>1600</v>
      </c>
    </row>
    <row r="688" customFormat="false" ht="15" hidden="false" customHeight="false" outlineLevel="0" collapsed="false">
      <c r="A688" s="8" t="s">
        <v>747</v>
      </c>
      <c r="B688" s="11" t="n">
        <v>46017</v>
      </c>
      <c r="C688" s="8" t="s">
        <v>43</v>
      </c>
      <c r="D688" s="8" t="s">
        <v>44</v>
      </c>
      <c r="E688" s="8" t="s">
        <v>48</v>
      </c>
      <c r="F688" s="8" t="n">
        <v>1</v>
      </c>
      <c r="G688" s="8" t="n">
        <v>4500</v>
      </c>
      <c r="H688" s="8" t="n">
        <v>0</v>
      </c>
      <c r="I688" s="8" t="n">
        <v>3300</v>
      </c>
    </row>
    <row r="689" customFormat="false" ht="15" hidden="false" customHeight="false" outlineLevel="0" collapsed="false">
      <c r="A689" s="8" t="s">
        <v>748</v>
      </c>
      <c r="B689" s="11" t="n">
        <v>46011</v>
      </c>
      <c r="C689" s="8" t="s">
        <v>47</v>
      </c>
      <c r="D689" s="8" t="s">
        <v>40</v>
      </c>
      <c r="E689" s="8" t="s">
        <v>71</v>
      </c>
      <c r="F689" s="8" t="n">
        <v>7</v>
      </c>
      <c r="G689" s="8" t="n">
        <v>500</v>
      </c>
      <c r="H689" s="8" t="n">
        <v>0.15</v>
      </c>
      <c r="I689" s="8" t="n">
        <v>250</v>
      </c>
    </row>
    <row r="690" customFormat="false" ht="15" hidden="false" customHeight="false" outlineLevel="0" collapsed="false">
      <c r="A690" s="8" t="s">
        <v>749</v>
      </c>
      <c r="B690" s="11" t="n">
        <v>46018</v>
      </c>
      <c r="C690" s="8" t="s">
        <v>47</v>
      </c>
      <c r="D690" s="8" t="s">
        <v>40</v>
      </c>
      <c r="E690" s="8" t="s">
        <v>41</v>
      </c>
      <c r="F690" s="8" t="n">
        <v>4</v>
      </c>
      <c r="G690" s="8" t="n">
        <v>600</v>
      </c>
      <c r="H690" s="8" t="n">
        <v>0</v>
      </c>
      <c r="I690" s="8" t="n">
        <v>300</v>
      </c>
    </row>
    <row r="691" customFormat="false" ht="15" hidden="false" customHeight="false" outlineLevel="0" collapsed="false">
      <c r="A691" s="8" t="s">
        <v>750</v>
      </c>
      <c r="B691" s="11" t="n">
        <v>46009</v>
      </c>
      <c r="C691" s="8" t="s">
        <v>55</v>
      </c>
      <c r="D691" s="8" t="s">
        <v>44</v>
      </c>
      <c r="E691" s="8" t="s">
        <v>50</v>
      </c>
      <c r="F691" s="8" t="n">
        <v>3</v>
      </c>
      <c r="G691" s="8" t="n">
        <v>3000</v>
      </c>
      <c r="H691" s="8" t="n">
        <v>0</v>
      </c>
      <c r="I691" s="8" t="n">
        <v>2000</v>
      </c>
    </row>
    <row r="692" customFormat="false" ht="15" hidden="false" customHeight="false" outlineLevel="0" collapsed="false">
      <c r="A692" s="8" t="s">
        <v>751</v>
      </c>
      <c r="B692" s="11" t="n">
        <v>46014</v>
      </c>
      <c r="C692" s="8" t="s">
        <v>47</v>
      </c>
      <c r="D692" s="8" t="s">
        <v>57</v>
      </c>
      <c r="E692" s="8" t="s">
        <v>111</v>
      </c>
      <c r="F692" s="8" t="n">
        <v>1</v>
      </c>
      <c r="G692" s="8" t="n">
        <v>7000</v>
      </c>
      <c r="H692" s="8" t="n">
        <v>0</v>
      </c>
      <c r="I692" s="8" t="n">
        <v>4800</v>
      </c>
    </row>
    <row r="693" customFormat="false" ht="15" hidden="false" customHeight="false" outlineLevel="0" collapsed="false">
      <c r="A693" s="8" t="s">
        <v>752</v>
      </c>
      <c r="B693" s="11" t="n">
        <v>46013</v>
      </c>
      <c r="C693" s="8" t="s">
        <v>47</v>
      </c>
      <c r="D693" s="8" t="s">
        <v>57</v>
      </c>
      <c r="E693" s="8" t="s">
        <v>111</v>
      </c>
      <c r="F693" s="8" t="n">
        <v>2</v>
      </c>
      <c r="G693" s="8" t="n">
        <v>7000</v>
      </c>
      <c r="H693" s="8" t="n">
        <v>0.1</v>
      </c>
      <c r="I693" s="8" t="n">
        <v>4800</v>
      </c>
    </row>
    <row r="694" customFormat="false" ht="15" hidden="false" customHeight="false" outlineLevel="0" collapsed="false">
      <c r="A694" s="8" t="s">
        <v>660</v>
      </c>
      <c r="B694" s="11" t="n">
        <v>45982</v>
      </c>
      <c r="C694" s="8" t="s">
        <v>39</v>
      </c>
      <c r="D694" s="8" t="s">
        <v>40</v>
      </c>
      <c r="E694" s="8" t="s">
        <v>71</v>
      </c>
      <c r="F694" s="8" t="n">
        <v>9</v>
      </c>
      <c r="G694" s="8" t="n">
        <v>500</v>
      </c>
      <c r="H694" s="8" t="n">
        <v>0.05</v>
      </c>
      <c r="I694" s="8" t="n">
        <v>250</v>
      </c>
    </row>
    <row r="695" customFormat="false" ht="15" hidden="false" customHeight="false" outlineLevel="0" collapsed="false">
      <c r="A695" s="8" t="s">
        <v>76</v>
      </c>
      <c r="B695" s="11" t="n">
        <v>45670</v>
      </c>
      <c r="C695" s="8" t="s">
        <v>47</v>
      </c>
      <c r="D695" s="8" t="s">
        <v>40</v>
      </c>
      <c r="E695" s="8" t="s">
        <v>77</v>
      </c>
      <c r="F695" s="8" t="n">
        <v>8</v>
      </c>
      <c r="G695" s="8" t="n">
        <v>400</v>
      </c>
      <c r="H695" s="8" t="n">
        <v>0.05</v>
      </c>
      <c r="I695" s="8" t="n">
        <v>200</v>
      </c>
    </row>
    <row r="696" customFormat="false" ht="15" hidden="false" customHeight="false" outlineLevel="0" collapsed="false">
      <c r="A696" s="8" t="s">
        <v>274</v>
      </c>
      <c r="B696" s="11" t="n">
        <v>45778</v>
      </c>
      <c r="C696" s="8" t="s">
        <v>55</v>
      </c>
      <c r="D696" s="8" t="s">
        <v>57</v>
      </c>
      <c r="E696" s="8" t="s">
        <v>86</v>
      </c>
      <c r="F696" s="8" t="n">
        <v>2</v>
      </c>
      <c r="G696" s="8" t="n">
        <v>1200</v>
      </c>
      <c r="H696" s="8" t="n">
        <v>0</v>
      </c>
      <c r="I696" s="8" t="n">
        <v>600</v>
      </c>
    </row>
    <row r="697" customFormat="false" ht="15" hidden="false" customHeight="false" outlineLevel="0" collapsed="false">
      <c r="A697" s="8" t="s">
        <v>737</v>
      </c>
      <c r="B697" s="11" t="n">
        <v>46008</v>
      </c>
      <c r="C697" s="8" t="s">
        <v>39</v>
      </c>
      <c r="D697" s="8" t="s">
        <v>44</v>
      </c>
      <c r="E697" s="8" t="s">
        <v>45</v>
      </c>
      <c r="F697" s="8" t="n">
        <v>2</v>
      </c>
      <c r="G697" s="8" t="n">
        <v>1500</v>
      </c>
      <c r="H697" s="8" t="n">
        <v>0.1</v>
      </c>
      <c r="I697" s="8" t="n">
        <v>900</v>
      </c>
    </row>
    <row r="698" customFormat="false" ht="15" hidden="false" customHeight="false" outlineLevel="0" collapsed="false">
      <c r="A698" s="8" t="s">
        <v>102</v>
      </c>
      <c r="B698" s="11" t="n">
        <v>45676</v>
      </c>
      <c r="C698" s="8" t="s">
        <v>39</v>
      </c>
      <c r="D698" s="8" t="s">
        <v>57</v>
      </c>
      <c r="E698" s="8" t="s">
        <v>86</v>
      </c>
      <c r="F698" s="8" t="n">
        <v>1</v>
      </c>
      <c r="G698" s="8" t="n">
        <v>1200</v>
      </c>
      <c r="H698" s="8" t="n">
        <v>0.1</v>
      </c>
      <c r="I698" s="8" t="n">
        <v>600</v>
      </c>
    </row>
    <row r="699" customFormat="false" ht="15" hidden="false" customHeight="false" outlineLevel="0" collapsed="false">
      <c r="A699" s="8" t="s">
        <v>193</v>
      </c>
      <c r="B699" s="11" t="n">
        <v>45724</v>
      </c>
      <c r="C699" s="8" t="s">
        <v>47</v>
      </c>
      <c r="D699" s="8" t="s">
        <v>40</v>
      </c>
      <c r="E699" s="8" t="s">
        <v>71</v>
      </c>
      <c r="F699" s="8" t="n">
        <v>5</v>
      </c>
      <c r="G699" s="8" t="n">
        <v>500</v>
      </c>
      <c r="H699" s="8" t="n">
        <v>0</v>
      </c>
      <c r="I699" s="8" t="n">
        <v>250</v>
      </c>
    </row>
    <row r="700" customFormat="false" ht="15" hidden="false" customHeight="false" outlineLevel="0" collapsed="false">
      <c r="A700" s="8" t="s">
        <v>367</v>
      </c>
      <c r="B700" s="11" t="n">
        <v>45840</v>
      </c>
      <c r="C700" s="8" t="s">
        <v>55</v>
      </c>
      <c r="D700" s="8" t="s">
        <v>40</v>
      </c>
      <c r="E700" s="8" t="s">
        <v>41</v>
      </c>
      <c r="F700" s="8" t="n">
        <v>8</v>
      </c>
      <c r="G700" s="8" t="n">
        <v>600</v>
      </c>
      <c r="H700" s="8" t="n">
        <v>0.1</v>
      </c>
      <c r="I700" s="8" t="n">
        <v>300</v>
      </c>
    </row>
    <row r="701" customFormat="false" ht="15" hidden="false" customHeight="false" outlineLevel="0" collapsed="false">
      <c r="A701" s="8" t="s">
        <v>179</v>
      </c>
      <c r="B701" s="11" t="n">
        <v>45721</v>
      </c>
      <c r="C701" s="8" t="s">
        <v>47</v>
      </c>
      <c r="D701" s="8" t="s">
        <v>44</v>
      </c>
      <c r="E701" s="8" t="s">
        <v>60</v>
      </c>
      <c r="F701" s="8" t="n">
        <v>1</v>
      </c>
      <c r="G701" s="8" t="n">
        <v>2500</v>
      </c>
      <c r="H701" s="8" t="n">
        <v>0</v>
      </c>
      <c r="I701" s="8" t="n">
        <v>1600</v>
      </c>
    </row>
    <row r="702" customFormat="false" ht="15" hidden="false" customHeight="false" outlineLevel="0" collapsed="false">
      <c r="A702" s="8" t="s">
        <v>123</v>
      </c>
      <c r="B702" s="11" t="n">
        <v>45707</v>
      </c>
      <c r="C702" s="8" t="s">
        <v>47</v>
      </c>
      <c r="D702" s="8" t="s">
        <v>44</v>
      </c>
      <c r="E702" s="8" t="s">
        <v>50</v>
      </c>
      <c r="F702" s="8" t="n">
        <v>3</v>
      </c>
      <c r="G702" s="8" t="n">
        <v>3000</v>
      </c>
      <c r="H702" s="8" t="n">
        <v>0</v>
      </c>
      <c r="I702" s="8" t="n">
        <v>2000</v>
      </c>
    </row>
    <row r="703" customFormat="false" ht="15" hidden="false" customHeight="false" outlineLevel="0" collapsed="false">
      <c r="A703" s="8" t="s">
        <v>653</v>
      </c>
      <c r="B703" s="11" t="n">
        <v>45965</v>
      </c>
      <c r="C703" s="8" t="s">
        <v>43</v>
      </c>
      <c r="D703" s="8" t="s">
        <v>40</v>
      </c>
      <c r="E703" s="8" t="s">
        <v>71</v>
      </c>
      <c r="F703" s="8" t="n">
        <v>4</v>
      </c>
      <c r="G703" s="8" t="n">
        <v>500</v>
      </c>
      <c r="H703" s="8" t="n">
        <v>0</v>
      </c>
      <c r="I703" s="8" t="n">
        <v>250</v>
      </c>
    </row>
    <row r="704" customFormat="false" ht="15" hidden="false" customHeight="false" outlineLevel="0" collapsed="false">
      <c r="A704" s="8" t="s">
        <v>608</v>
      </c>
      <c r="B704" s="11" t="n">
        <v>45969</v>
      </c>
      <c r="C704" s="8"/>
      <c r="D704" s="8" t="s">
        <v>40</v>
      </c>
      <c r="E704" s="8" t="s">
        <v>77</v>
      </c>
      <c r="F704" s="8" t="n">
        <v>8</v>
      </c>
      <c r="G704" s="8" t="n">
        <v>400</v>
      </c>
      <c r="H704" s="8" t="n">
        <v>0</v>
      </c>
      <c r="I704" s="8" t="n">
        <v>200</v>
      </c>
    </row>
    <row r="705" customFormat="false" ht="15" hidden="false" customHeight="false" outlineLevel="0" collapsed="false">
      <c r="A705" s="8" t="s">
        <v>716</v>
      </c>
      <c r="B705" s="11" t="n">
        <v>46017</v>
      </c>
      <c r="C705" s="8" t="s">
        <v>47</v>
      </c>
      <c r="D705" s="8" t="s">
        <v>57</v>
      </c>
      <c r="E705" s="8" t="s">
        <v>86</v>
      </c>
      <c r="F705" s="8" t="n">
        <v>2</v>
      </c>
      <c r="G705" s="8" t="n">
        <v>1200</v>
      </c>
      <c r="H705" s="8" t="n">
        <v>0</v>
      </c>
      <c r="I705" s="8" t="n">
        <v>600</v>
      </c>
    </row>
    <row r="706" customFormat="false" ht="15" hidden="false" customHeight="false" outlineLevel="0" collapsed="false">
      <c r="A706" s="8" t="s">
        <v>740</v>
      </c>
      <c r="B706" s="11" t="n">
        <v>46009</v>
      </c>
      <c r="C706" s="8" t="s">
        <v>47</v>
      </c>
      <c r="D706" s="8" t="s">
        <v>44</v>
      </c>
      <c r="E706" s="8" t="s">
        <v>50</v>
      </c>
      <c r="F706" s="8" t="n">
        <v>2</v>
      </c>
      <c r="G706" s="8" t="n">
        <v>3000</v>
      </c>
      <c r="H706" s="8" t="n">
        <v>0</v>
      </c>
      <c r="I706" s="8" t="n">
        <v>2000</v>
      </c>
    </row>
    <row r="707" customFormat="false" ht="15" hidden="false" customHeight="false" outlineLevel="0" collapsed="false">
      <c r="A707" s="8" t="s">
        <v>452</v>
      </c>
      <c r="B707" s="11" t="n">
        <v>45889</v>
      </c>
      <c r="C707" s="8" t="s">
        <v>47</v>
      </c>
      <c r="D707" s="8" t="s">
        <v>40</v>
      </c>
      <c r="E707" s="8" t="s">
        <v>104</v>
      </c>
      <c r="F707" s="8" t="n">
        <v>3</v>
      </c>
      <c r="G707" s="8" t="n">
        <v>250</v>
      </c>
      <c r="H707" s="8" t="n">
        <v>0</v>
      </c>
      <c r="I707" s="8" t="n">
        <v>100</v>
      </c>
    </row>
    <row r="708" customFormat="false" ht="15" hidden="false" customHeight="false" outlineLevel="0" collapsed="false">
      <c r="A708" s="8" t="s">
        <v>414</v>
      </c>
      <c r="B708" s="11" t="n">
        <v>45881</v>
      </c>
      <c r="C708" s="8" t="s">
        <v>47</v>
      </c>
      <c r="D708" s="8" t="s">
        <v>40</v>
      </c>
      <c r="E708" s="8" t="s">
        <v>77</v>
      </c>
      <c r="F708" s="8" t="n">
        <v>4</v>
      </c>
      <c r="G708" s="8" t="n">
        <v>400</v>
      </c>
      <c r="H708" s="8" t="n">
        <v>0</v>
      </c>
      <c r="I708" s="8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5"/>
    <col collapsed="false" customWidth="true" hidden="false" outlineLevel="0" max="3" min="3" style="0" width="14"/>
  </cols>
  <sheetData>
    <row r="1" customFormat="false" ht="26.85" hidden="false" customHeight="false" outlineLevel="0" collapsed="false">
      <c r="A1" s="10" t="s">
        <v>753</v>
      </c>
      <c r="B1" s="10" t="s">
        <v>754</v>
      </c>
      <c r="C1" s="10" t="s">
        <v>755</v>
      </c>
    </row>
    <row r="2" customFormat="false" ht="15" hidden="false" customHeight="false" outlineLevel="0" collapsed="false">
      <c r="A2" s="8" t="s">
        <v>756</v>
      </c>
      <c r="B2" s="8" t="s">
        <v>757</v>
      </c>
      <c r="C2" s="8" t="n">
        <v>707</v>
      </c>
    </row>
    <row r="3" customFormat="false" ht="15" hidden="false" customHeight="false" outlineLevel="0" collapsed="false">
      <c r="A3" s="8" t="s">
        <v>758</v>
      </c>
      <c r="B3" s="8" t="s">
        <v>759</v>
      </c>
      <c r="C3" s="8" t="n">
        <v>15</v>
      </c>
    </row>
    <row r="4" customFormat="false" ht="15" hidden="false" customHeight="false" outlineLevel="0" collapsed="false">
      <c r="A4" s="8" t="s">
        <v>760</v>
      </c>
      <c r="B4" s="8" t="s">
        <v>761</v>
      </c>
      <c r="C4" s="8" t="n">
        <v>12</v>
      </c>
    </row>
    <row r="5" customFormat="false" ht="15" hidden="false" customHeight="false" outlineLevel="0" collapsed="false">
      <c r="A5" s="8" t="s">
        <v>762</v>
      </c>
      <c r="B5" s="8" t="s">
        <v>763</v>
      </c>
      <c r="C5" s="8" t="n">
        <v>9</v>
      </c>
    </row>
    <row r="6" customFormat="false" ht="15" hidden="false" customHeight="false" outlineLevel="0" collapsed="false">
      <c r="A6" s="8" t="s">
        <v>764</v>
      </c>
      <c r="B6" s="8" t="s">
        <v>765</v>
      </c>
      <c r="C6" s="8" t="n">
        <v>8</v>
      </c>
    </row>
    <row r="7" customFormat="false" ht="15" hidden="false" customHeight="false" outlineLevel="0" collapsed="false">
      <c r="A7" s="8" t="s">
        <v>766</v>
      </c>
      <c r="B7" s="8" t="s">
        <v>767</v>
      </c>
      <c r="C7" s="8" t="n">
        <v>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6" min="6" style="0" width="19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2" min="11" style="0" width="12"/>
  </cols>
  <sheetData>
    <row r="1" customFormat="false" ht="26.85" hidden="false" customHeight="false" outlineLevel="0" collapsed="false">
      <c r="A1" s="10" t="s">
        <v>29</v>
      </c>
      <c r="B1" s="10" t="s">
        <v>30</v>
      </c>
      <c r="C1" s="10" t="s">
        <v>768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769</v>
      </c>
      <c r="L1" s="10" t="s">
        <v>770</v>
      </c>
    </row>
    <row r="2" customFormat="false" ht="15" hidden="false" customHeight="false" outlineLevel="0" collapsed="false">
      <c r="A2" s="8" t="s">
        <v>90</v>
      </c>
      <c r="B2" s="11" t="n">
        <v>45658</v>
      </c>
      <c r="C2" s="8" t="n">
        <f aca="false">MONTH(B2)</f>
        <v>1</v>
      </c>
      <c r="D2" s="8" t="s">
        <v>55</v>
      </c>
      <c r="E2" s="8" t="s">
        <v>40</v>
      </c>
      <c r="F2" s="8" t="s">
        <v>77</v>
      </c>
      <c r="G2" s="8" t="n">
        <v>7</v>
      </c>
      <c r="H2" s="12" t="n">
        <v>400</v>
      </c>
      <c r="I2" s="13" t="n">
        <v>0</v>
      </c>
      <c r="J2" s="12" t="n">
        <v>200</v>
      </c>
      <c r="K2" s="12" t="n">
        <f aca="false">G2*H2*(1-I2)</f>
        <v>2800</v>
      </c>
      <c r="L2" s="12" t="n">
        <f aca="false">K2-G2*J2</f>
        <v>1400</v>
      </c>
    </row>
    <row r="3" customFormat="false" ht="15" hidden="false" customHeight="false" outlineLevel="0" collapsed="false">
      <c r="A3" s="8" t="s">
        <v>100</v>
      </c>
      <c r="B3" s="11" t="n">
        <v>45659</v>
      </c>
      <c r="C3" s="8" t="n">
        <f aca="false">MONTH(B3)</f>
        <v>1</v>
      </c>
      <c r="D3" s="8" t="s">
        <v>43</v>
      </c>
      <c r="E3" s="8" t="s">
        <v>40</v>
      </c>
      <c r="F3" s="8" t="s">
        <v>71</v>
      </c>
      <c r="G3" s="8" t="n">
        <v>5</v>
      </c>
      <c r="H3" s="12" t="n">
        <v>500</v>
      </c>
      <c r="I3" s="13" t="n">
        <v>0</v>
      </c>
      <c r="J3" s="12" t="n">
        <v>250</v>
      </c>
      <c r="K3" s="12" t="n">
        <f aca="false">G3*H3*(1-I3)</f>
        <v>2500</v>
      </c>
      <c r="L3" s="12" t="n">
        <f aca="false">K3-G3*J3</f>
        <v>1250</v>
      </c>
    </row>
    <row r="4" customFormat="false" ht="15" hidden="false" customHeight="false" outlineLevel="0" collapsed="false">
      <c r="A4" s="8" t="s">
        <v>62</v>
      </c>
      <c r="B4" s="11" t="n">
        <v>45659</v>
      </c>
      <c r="C4" s="8" t="n">
        <f aca="false">MONTH(B4)</f>
        <v>1</v>
      </c>
      <c r="D4" s="8" t="s">
        <v>47</v>
      </c>
      <c r="E4" s="8" t="s">
        <v>57</v>
      </c>
      <c r="F4" s="8" t="s">
        <v>63</v>
      </c>
      <c r="G4" s="8" t="n">
        <v>3</v>
      </c>
      <c r="H4" s="12" t="n">
        <v>9000</v>
      </c>
      <c r="I4" s="13" t="n">
        <v>0</v>
      </c>
      <c r="J4" s="12" t="n">
        <v>6200</v>
      </c>
      <c r="K4" s="12" t="n">
        <f aca="false">G4*H4*(1-I4)</f>
        <v>27000</v>
      </c>
      <c r="L4" s="12" t="n">
        <f aca="false">K4-G4*J4</f>
        <v>8400</v>
      </c>
    </row>
    <row r="5" customFormat="false" ht="15" hidden="false" customHeight="false" outlineLevel="0" collapsed="false">
      <c r="A5" s="8" t="s">
        <v>91</v>
      </c>
      <c r="B5" s="11" t="n">
        <v>45659</v>
      </c>
      <c r="C5" s="8" t="n">
        <f aca="false">MONTH(B5)</f>
        <v>1</v>
      </c>
      <c r="D5" s="8" t="s">
        <v>55</v>
      </c>
      <c r="E5" s="8" t="s">
        <v>44</v>
      </c>
      <c r="F5" s="8" t="s">
        <v>48</v>
      </c>
      <c r="G5" s="8" t="n">
        <v>2</v>
      </c>
      <c r="H5" s="12" t="n">
        <v>4500</v>
      </c>
      <c r="I5" s="13" t="n">
        <v>0</v>
      </c>
      <c r="J5" s="12" t="n">
        <v>3300</v>
      </c>
      <c r="K5" s="12" t="n">
        <f aca="false">G5*H5*(1-I5)</f>
        <v>9000</v>
      </c>
      <c r="L5" s="12" t="n">
        <f aca="false">K5-G5*J5</f>
        <v>2400</v>
      </c>
    </row>
    <row r="6" customFormat="false" ht="15" hidden="false" customHeight="false" outlineLevel="0" collapsed="false">
      <c r="A6" s="8" t="s">
        <v>72</v>
      </c>
      <c r="B6" s="11" t="n">
        <v>45660</v>
      </c>
      <c r="C6" s="8" t="n">
        <f aca="false">MONTH(B6)</f>
        <v>1</v>
      </c>
      <c r="D6" s="8" t="s">
        <v>55</v>
      </c>
      <c r="E6" s="8" t="s">
        <v>44</v>
      </c>
      <c r="F6" s="8" t="s">
        <v>60</v>
      </c>
      <c r="G6" s="8" t="n">
        <v>2</v>
      </c>
      <c r="H6" s="12" t="n">
        <v>2500</v>
      </c>
      <c r="I6" s="13" t="n">
        <v>0</v>
      </c>
      <c r="J6" s="12" t="n">
        <v>1600</v>
      </c>
      <c r="K6" s="12" t="n">
        <f aca="false">G6*H6*(1-I6)</f>
        <v>5000</v>
      </c>
      <c r="L6" s="12" t="n">
        <f aca="false">K6-G6*J6</f>
        <v>1800</v>
      </c>
    </row>
    <row r="7" customFormat="false" ht="15" hidden="false" customHeight="false" outlineLevel="0" collapsed="false">
      <c r="A7" s="8" t="s">
        <v>99</v>
      </c>
      <c r="B7" s="11" t="n">
        <v>45660</v>
      </c>
      <c r="C7" s="8" t="n">
        <f aca="false">MONTH(B7)</f>
        <v>1</v>
      </c>
      <c r="D7" s="8" t="s">
        <v>39</v>
      </c>
      <c r="E7" s="8" t="s">
        <v>40</v>
      </c>
      <c r="F7" s="8" t="s">
        <v>77</v>
      </c>
      <c r="G7" s="8" t="n">
        <v>5</v>
      </c>
      <c r="H7" s="12" t="n">
        <v>400</v>
      </c>
      <c r="I7" s="13" t="n">
        <v>0</v>
      </c>
      <c r="J7" s="12" t="n">
        <v>200</v>
      </c>
      <c r="K7" s="12" t="n">
        <f aca="false">G7*H7*(1-I7)</f>
        <v>2000</v>
      </c>
      <c r="L7" s="12" t="n">
        <f aca="false">K7-G7*J7</f>
        <v>1000</v>
      </c>
    </row>
    <row r="8" customFormat="false" ht="15" hidden="false" customHeight="false" outlineLevel="0" collapsed="false">
      <c r="A8" s="8" t="s">
        <v>54</v>
      </c>
      <c r="B8" s="11" t="n">
        <v>45660</v>
      </c>
      <c r="C8" s="8" t="n">
        <f aca="false">MONTH(B8)</f>
        <v>1</v>
      </c>
      <c r="D8" s="8" t="s">
        <v>55</v>
      </c>
      <c r="E8" s="8" t="s">
        <v>44</v>
      </c>
      <c r="F8" s="8" t="s">
        <v>50</v>
      </c>
      <c r="G8" s="8" t="n">
        <v>2</v>
      </c>
      <c r="H8" s="12" t="n">
        <v>3000</v>
      </c>
      <c r="I8" s="13" t="n">
        <v>0</v>
      </c>
      <c r="J8" s="12" t="n">
        <v>2000</v>
      </c>
      <c r="K8" s="12" t="n">
        <f aca="false">G8*H8*(1-I8)</f>
        <v>6000</v>
      </c>
      <c r="L8" s="12" t="n">
        <f aca="false">K8-G8*J8</f>
        <v>2000</v>
      </c>
    </row>
    <row r="9" customFormat="false" ht="15" hidden="false" customHeight="false" outlineLevel="0" collapsed="false">
      <c r="A9" s="8" t="s">
        <v>80</v>
      </c>
      <c r="B9" s="11" t="n">
        <v>45660</v>
      </c>
      <c r="C9" s="8" t="n">
        <f aca="false">MONTH(B9)</f>
        <v>1</v>
      </c>
      <c r="D9" s="8" t="s">
        <v>43</v>
      </c>
      <c r="E9" s="8" t="s">
        <v>44</v>
      </c>
      <c r="F9" s="8" t="s">
        <v>45</v>
      </c>
      <c r="G9" s="8" t="n">
        <v>2</v>
      </c>
      <c r="H9" s="12" t="n">
        <v>1500</v>
      </c>
      <c r="I9" s="13" t="n">
        <v>0.05</v>
      </c>
      <c r="J9" s="12" t="n">
        <v>900</v>
      </c>
      <c r="K9" s="12" t="n">
        <f aca="false">G9*H9*(1-I9)</f>
        <v>2850</v>
      </c>
      <c r="L9" s="12" t="n">
        <f aca="false">K9-G9*J9</f>
        <v>1050</v>
      </c>
    </row>
    <row r="10" customFormat="false" ht="15" hidden="false" customHeight="false" outlineLevel="0" collapsed="false">
      <c r="A10" s="8" t="s">
        <v>97</v>
      </c>
      <c r="B10" s="11" t="n">
        <v>45661</v>
      </c>
      <c r="C10" s="8" t="n">
        <f aca="false">MONTH(B10)</f>
        <v>1</v>
      </c>
      <c r="D10" s="8" t="s">
        <v>47</v>
      </c>
      <c r="E10" s="8" t="s">
        <v>40</v>
      </c>
      <c r="F10" s="8" t="s">
        <v>41</v>
      </c>
      <c r="G10" s="8" t="n">
        <v>10</v>
      </c>
      <c r="H10" s="12" t="n">
        <v>600</v>
      </c>
      <c r="I10" s="13" t="n">
        <v>0</v>
      </c>
      <c r="J10" s="12" t="n">
        <v>300</v>
      </c>
      <c r="K10" s="12" t="n">
        <f aca="false">G10*H10*(1-I10)</f>
        <v>6000</v>
      </c>
      <c r="L10" s="12" t="n">
        <f aca="false">K10-G10*J10</f>
        <v>3000</v>
      </c>
    </row>
    <row r="11" customFormat="false" ht="15" hidden="false" customHeight="false" outlineLevel="0" collapsed="false">
      <c r="A11" s="8" t="s">
        <v>93</v>
      </c>
      <c r="B11" s="11" t="n">
        <v>45662</v>
      </c>
      <c r="C11" s="8" t="n">
        <f aca="false">MONTH(B11)</f>
        <v>1</v>
      </c>
      <c r="D11" s="8" t="s">
        <v>55</v>
      </c>
      <c r="E11" s="8" t="s">
        <v>57</v>
      </c>
      <c r="F11" s="8" t="s">
        <v>86</v>
      </c>
      <c r="G11" s="8" t="n">
        <v>3</v>
      </c>
      <c r="H11" s="12" t="n">
        <v>1200</v>
      </c>
      <c r="I11" s="13" t="n">
        <v>0</v>
      </c>
      <c r="J11" s="12" t="n">
        <v>600</v>
      </c>
      <c r="K11" s="12" t="n">
        <f aca="false">G11*H11*(1-I11)</f>
        <v>3600</v>
      </c>
      <c r="L11" s="12" t="n">
        <f aca="false">K11-G11*J11</f>
        <v>1800</v>
      </c>
    </row>
    <row r="12" customFormat="false" ht="15" hidden="false" customHeight="false" outlineLevel="0" collapsed="false">
      <c r="A12" s="8" t="s">
        <v>53</v>
      </c>
      <c r="B12" s="11" t="n">
        <v>45662</v>
      </c>
      <c r="C12" s="8" t="n">
        <f aca="false">MONTH(B12)</f>
        <v>1</v>
      </c>
      <c r="D12" s="8" t="s">
        <v>43</v>
      </c>
      <c r="E12" s="8" t="s">
        <v>44</v>
      </c>
      <c r="F12" s="8" t="s">
        <v>45</v>
      </c>
      <c r="G12" s="8" t="n">
        <v>2</v>
      </c>
      <c r="H12" s="12" t="n">
        <v>1500</v>
      </c>
      <c r="I12" s="13" t="n">
        <v>0</v>
      </c>
      <c r="J12" s="12" t="n">
        <v>900</v>
      </c>
      <c r="K12" s="12" t="n">
        <f aca="false">G12*H12*(1-I12)</f>
        <v>3000</v>
      </c>
      <c r="L12" s="12" t="n">
        <f aca="false">K12-G12*J12</f>
        <v>1200</v>
      </c>
    </row>
    <row r="13" customFormat="false" ht="15" hidden="false" customHeight="false" outlineLevel="0" collapsed="false">
      <c r="A13" s="8" t="s">
        <v>109</v>
      </c>
      <c r="B13" s="11" t="n">
        <v>45663</v>
      </c>
      <c r="C13" s="8" t="n">
        <f aca="false">MONTH(B13)</f>
        <v>1</v>
      </c>
      <c r="D13" s="8" t="s">
        <v>47</v>
      </c>
      <c r="E13" s="8" t="s">
        <v>44</v>
      </c>
      <c r="F13" s="8" t="s">
        <v>50</v>
      </c>
      <c r="G13" s="8" t="n">
        <v>1</v>
      </c>
      <c r="H13" s="12" t="n">
        <v>3000</v>
      </c>
      <c r="I13" s="13" t="n">
        <v>0</v>
      </c>
      <c r="J13" s="12" t="n">
        <v>2000</v>
      </c>
      <c r="K13" s="12" t="n">
        <f aca="false">G13*H13*(1-I13)</f>
        <v>3000</v>
      </c>
      <c r="L13" s="12" t="n">
        <f aca="false">K13-G13*J13</f>
        <v>1000</v>
      </c>
    </row>
    <row r="14" customFormat="false" ht="15" hidden="false" customHeight="false" outlineLevel="0" collapsed="false">
      <c r="A14" s="8" t="s">
        <v>84</v>
      </c>
      <c r="B14" s="11" t="n">
        <v>45663</v>
      </c>
      <c r="C14" s="8" t="n">
        <f aca="false">MONTH(B14)</f>
        <v>1</v>
      </c>
      <c r="D14" s="8" t="s">
        <v>47</v>
      </c>
      <c r="E14" s="8" t="s">
        <v>40</v>
      </c>
      <c r="F14" s="8" t="s">
        <v>41</v>
      </c>
      <c r="G14" s="8" t="n">
        <v>6</v>
      </c>
      <c r="H14" s="12" t="n">
        <v>600</v>
      </c>
      <c r="I14" s="13" t="n">
        <v>0</v>
      </c>
      <c r="J14" s="12" t="n">
        <v>300</v>
      </c>
      <c r="K14" s="12" t="n">
        <f aca="false">G14*H14*(1-I14)</f>
        <v>3600</v>
      </c>
      <c r="L14" s="12" t="n">
        <f aca="false">K14-G14*J14</f>
        <v>1800</v>
      </c>
    </row>
    <row r="15" customFormat="false" ht="15" hidden="false" customHeight="false" outlineLevel="0" collapsed="false">
      <c r="A15" s="8" t="s">
        <v>108</v>
      </c>
      <c r="B15" s="11" t="n">
        <v>45664</v>
      </c>
      <c r="C15" s="8" t="n">
        <f aca="false">MONTH(B15)</f>
        <v>1</v>
      </c>
      <c r="D15" s="8" t="s">
        <v>47</v>
      </c>
      <c r="E15" s="8" t="s">
        <v>40</v>
      </c>
      <c r="F15" s="8" t="s">
        <v>71</v>
      </c>
      <c r="G15" s="8" t="n">
        <v>3</v>
      </c>
      <c r="H15" s="12" t="n">
        <v>500</v>
      </c>
      <c r="I15" s="13" t="n">
        <v>0</v>
      </c>
      <c r="J15" s="12" t="n">
        <v>250</v>
      </c>
      <c r="K15" s="12" t="n">
        <f aca="false">G15*H15*(1-I15)</f>
        <v>1500</v>
      </c>
      <c r="L15" s="12" t="n">
        <f aca="false">K15-G15*J15</f>
        <v>750</v>
      </c>
    </row>
    <row r="16" customFormat="false" ht="15" hidden="false" customHeight="false" outlineLevel="0" collapsed="false">
      <c r="A16" s="8" t="s">
        <v>88</v>
      </c>
      <c r="B16" s="11" t="n">
        <v>45664</v>
      </c>
      <c r="C16" s="8" t="n">
        <f aca="false">MONTH(B16)</f>
        <v>1</v>
      </c>
      <c r="D16" s="8" t="s">
        <v>47</v>
      </c>
      <c r="E16" s="8" t="s">
        <v>40</v>
      </c>
      <c r="F16" s="8" t="s">
        <v>41</v>
      </c>
      <c r="G16" s="8" t="n">
        <v>10</v>
      </c>
      <c r="H16" s="12" t="n">
        <v>600</v>
      </c>
      <c r="I16" s="13" t="n">
        <v>0.05</v>
      </c>
      <c r="J16" s="12" t="n">
        <v>300</v>
      </c>
      <c r="K16" s="12" t="n">
        <f aca="false">G16*H16*(1-I16)</f>
        <v>5700</v>
      </c>
      <c r="L16" s="12" t="n">
        <f aca="false">K16-G16*J16</f>
        <v>2700</v>
      </c>
    </row>
    <row r="17" customFormat="false" ht="15" hidden="false" customHeight="false" outlineLevel="0" collapsed="false">
      <c r="A17" s="8" t="s">
        <v>103</v>
      </c>
      <c r="B17" s="11" t="n">
        <v>45664</v>
      </c>
      <c r="C17" s="8" t="n">
        <f aca="false">MONTH(B17)</f>
        <v>1</v>
      </c>
      <c r="D17" s="8" t="s">
        <v>47</v>
      </c>
      <c r="E17" s="8" t="s">
        <v>40</v>
      </c>
      <c r="F17" s="8" t="s">
        <v>104</v>
      </c>
      <c r="G17" s="8" t="n">
        <v>9</v>
      </c>
      <c r="H17" s="12" t="n">
        <v>250</v>
      </c>
      <c r="I17" s="13" t="n">
        <v>0</v>
      </c>
      <c r="J17" s="12" t="n">
        <v>100</v>
      </c>
      <c r="K17" s="12" t="n">
        <f aca="false">G17*H17*(1-I17)</f>
        <v>2250</v>
      </c>
      <c r="L17" s="12" t="n">
        <f aca="false">K17-G17*J17</f>
        <v>1350</v>
      </c>
    </row>
    <row r="18" customFormat="false" ht="15" hidden="false" customHeight="false" outlineLevel="0" collapsed="false">
      <c r="A18" s="8" t="s">
        <v>70</v>
      </c>
      <c r="B18" s="11" t="n">
        <v>45665</v>
      </c>
      <c r="C18" s="8" t="n">
        <f aca="false">MONTH(B18)</f>
        <v>1</v>
      </c>
      <c r="D18" s="8" t="s">
        <v>47</v>
      </c>
      <c r="E18" s="8" t="s">
        <v>40</v>
      </c>
      <c r="F18" s="8" t="s">
        <v>71</v>
      </c>
      <c r="G18" s="8" t="n">
        <v>7</v>
      </c>
      <c r="H18" s="12" t="n">
        <v>500</v>
      </c>
      <c r="I18" s="13" t="n">
        <v>0</v>
      </c>
      <c r="J18" s="12" t="n">
        <v>250</v>
      </c>
      <c r="K18" s="12" t="n">
        <f aca="false">G18*H18*(1-I18)</f>
        <v>3500</v>
      </c>
      <c r="L18" s="12" t="n">
        <f aca="false">K18-G18*J18</f>
        <v>1750</v>
      </c>
    </row>
    <row r="19" customFormat="false" ht="15" hidden="false" customHeight="false" outlineLevel="0" collapsed="false">
      <c r="A19" s="8" t="s">
        <v>38</v>
      </c>
      <c r="B19" s="11" t="n">
        <v>45665</v>
      </c>
      <c r="C19" s="8" t="n">
        <f aca="false">MONTH(B19)</f>
        <v>1</v>
      </c>
      <c r="D19" s="8" t="s">
        <v>39</v>
      </c>
      <c r="E19" s="8" t="s">
        <v>40</v>
      </c>
      <c r="F19" s="8" t="s">
        <v>41</v>
      </c>
      <c r="G19" s="8" t="n">
        <v>6</v>
      </c>
      <c r="H19" s="12" t="n">
        <v>600</v>
      </c>
      <c r="I19" s="13" t="n">
        <v>0</v>
      </c>
      <c r="J19" s="12" t="n">
        <v>300</v>
      </c>
      <c r="K19" s="12" t="n">
        <f aca="false">G19*H19*(1-I19)</f>
        <v>3600</v>
      </c>
      <c r="L19" s="12" t="n">
        <f aca="false">K19-G19*J19</f>
        <v>1800</v>
      </c>
    </row>
    <row r="20" customFormat="false" ht="15" hidden="false" customHeight="false" outlineLevel="0" collapsed="false">
      <c r="A20" s="8" t="s">
        <v>81</v>
      </c>
      <c r="B20" s="11" t="n">
        <v>45666</v>
      </c>
      <c r="C20" s="8" t="n">
        <f aca="false">MONTH(B20)</f>
        <v>1</v>
      </c>
      <c r="D20" s="8" t="s">
        <v>47</v>
      </c>
      <c r="E20" s="8" t="s">
        <v>57</v>
      </c>
      <c r="F20" s="8" t="s">
        <v>58</v>
      </c>
      <c r="G20" s="8" t="n">
        <v>2</v>
      </c>
      <c r="H20" s="12" t="n">
        <v>5500</v>
      </c>
      <c r="I20" s="13" t="n">
        <v>0.05</v>
      </c>
      <c r="J20" s="12" t="n">
        <v>3600</v>
      </c>
      <c r="K20" s="12" t="n">
        <f aca="false">G20*H20*(1-I20)</f>
        <v>10450</v>
      </c>
      <c r="L20" s="12" t="n">
        <f aca="false">K20-G20*J20</f>
        <v>3250</v>
      </c>
    </row>
    <row r="21" customFormat="false" ht="15" hidden="false" customHeight="false" outlineLevel="0" collapsed="false">
      <c r="A21" s="8" t="s">
        <v>94</v>
      </c>
      <c r="B21" s="11" t="n">
        <v>45666</v>
      </c>
      <c r="C21" s="8" t="n">
        <f aca="false">MONTH(B21)</f>
        <v>1</v>
      </c>
      <c r="D21" s="8" t="s">
        <v>47</v>
      </c>
      <c r="E21" s="8" t="s">
        <v>40</v>
      </c>
      <c r="F21" s="8" t="s">
        <v>41</v>
      </c>
      <c r="G21" s="8" t="n">
        <v>10</v>
      </c>
      <c r="H21" s="12" t="n">
        <v>600</v>
      </c>
      <c r="I21" s="13" t="n">
        <v>0</v>
      </c>
      <c r="J21" s="12" t="n">
        <v>300</v>
      </c>
      <c r="K21" s="12" t="n">
        <f aca="false">G21*H21*(1-I21)</f>
        <v>6000</v>
      </c>
      <c r="L21" s="12" t="n">
        <f aca="false">K21-G21*J21</f>
        <v>3000</v>
      </c>
    </row>
    <row r="22" customFormat="false" ht="15" hidden="false" customHeight="false" outlineLevel="0" collapsed="false">
      <c r="A22" s="8" t="s">
        <v>56</v>
      </c>
      <c r="B22" s="11" t="n">
        <v>45666</v>
      </c>
      <c r="C22" s="8" t="n">
        <f aca="false">MONTH(B22)</f>
        <v>1</v>
      </c>
      <c r="D22" s="8" t="s">
        <v>39</v>
      </c>
      <c r="E22" s="8" t="s">
        <v>57</v>
      </c>
      <c r="F22" s="8" t="s">
        <v>58</v>
      </c>
      <c r="G22" s="8" t="n">
        <v>2</v>
      </c>
      <c r="H22" s="12" t="n">
        <v>5500</v>
      </c>
      <c r="I22" s="13" t="n">
        <v>0.05</v>
      </c>
      <c r="J22" s="12" t="n">
        <v>3600</v>
      </c>
      <c r="K22" s="12" t="n">
        <f aca="false">G22*H22*(1-I22)</f>
        <v>10450</v>
      </c>
      <c r="L22" s="12" t="n">
        <f aca="false">K22-G22*J22</f>
        <v>3250</v>
      </c>
    </row>
    <row r="23" customFormat="false" ht="15" hidden="false" customHeight="false" outlineLevel="0" collapsed="false">
      <c r="A23" s="8" t="s">
        <v>85</v>
      </c>
      <c r="B23" s="11" t="n">
        <v>45666</v>
      </c>
      <c r="C23" s="8" t="n">
        <f aca="false">MONTH(B23)</f>
        <v>1</v>
      </c>
      <c r="D23" s="8" t="s">
        <v>39</v>
      </c>
      <c r="E23" s="8" t="s">
        <v>57</v>
      </c>
      <c r="F23" s="8" t="s">
        <v>86</v>
      </c>
      <c r="G23" s="8" t="n">
        <v>3</v>
      </c>
      <c r="H23" s="12" t="n">
        <v>1200</v>
      </c>
      <c r="I23" s="13" t="n">
        <v>0.1</v>
      </c>
      <c r="J23" s="12" t="n">
        <v>600</v>
      </c>
      <c r="K23" s="12" t="n">
        <f aca="false">G23*H23*(1-I23)</f>
        <v>3240</v>
      </c>
      <c r="L23" s="12" t="n">
        <f aca="false">K23-G23*J23</f>
        <v>1440</v>
      </c>
    </row>
    <row r="24" customFormat="false" ht="15" hidden="false" customHeight="false" outlineLevel="0" collapsed="false">
      <c r="A24" s="8" t="s">
        <v>73</v>
      </c>
      <c r="B24" s="11" t="n">
        <v>45668</v>
      </c>
      <c r="C24" s="8" t="n">
        <f aca="false">MONTH(B24)</f>
        <v>1</v>
      </c>
      <c r="D24" s="8" t="s">
        <v>55</v>
      </c>
      <c r="E24" s="8" t="s">
        <v>44</v>
      </c>
      <c r="F24" s="8" t="s">
        <v>50</v>
      </c>
      <c r="G24" s="8" t="n">
        <v>3</v>
      </c>
      <c r="H24" s="12" t="n">
        <v>3000</v>
      </c>
      <c r="I24" s="13" t="n">
        <v>0.1</v>
      </c>
      <c r="J24" s="12" t="n">
        <v>2000</v>
      </c>
      <c r="K24" s="12" t="n">
        <f aca="false">G24*H24*(1-I24)</f>
        <v>8100</v>
      </c>
      <c r="L24" s="12" t="n">
        <f aca="false">K24-G24*J24</f>
        <v>2100</v>
      </c>
    </row>
    <row r="25" customFormat="false" ht="15" hidden="false" customHeight="false" outlineLevel="0" collapsed="false">
      <c r="A25" s="8" t="s">
        <v>66</v>
      </c>
      <c r="B25" s="11" t="n">
        <v>45669</v>
      </c>
      <c r="C25" s="8" t="n">
        <f aca="false">MONTH(B25)</f>
        <v>1</v>
      </c>
      <c r="D25" s="8" t="s">
        <v>55</v>
      </c>
      <c r="E25" s="8" t="s">
        <v>40</v>
      </c>
      <c r="F25" s="8" t="s">
        <v>41</v>
      </c>
      <c r="G25" s="8" t="n">
        <v>4</v>
      </c>
      <c r="H25" s="12" t="n">
        <v>600</v>
      </c>
      <c r="I25" s="13" t="n">
        <v>0</v>
      </c>
      <c r="J25" s="12" t="n">
        <v>300</v>
      </c>
      <c r="K25" s="12" t="n">
        <f aca="false">G25*H25*(1-I25)</f>
        <v>2400</v>
      </c>
      <c r="L25" s="12" t="n">
        <f aca="false">K25-G25*J25</f>
        <v>1200</v>
      </c>
    </row>
    <row r="26" customFormat="false" ht="15" hidden="false" customHeight="false" outlineLevel="0" collapsed="false">
      <c r="A26" s="8" t="s">
        <v>76</v>
      </c>
      <c r="B26" s="11" t="n">
        <v>45670</v>
      </c>
      <c r="C26" s="8" t="n">
        <f aca="false">MONTH(B26)</f>
        <v>1</v>
      </c>
      <c r="D26" s="8" t="s">
        <v>47</v>
      </c>
      <c r="E26" s="8" t="s">
        <v>40</v>
      </c>
      <c r="F26" s="8" t="s">
        <v>77</v>
      </c>
      <c r="G26" s="8" t="n">
        <v>8</v>
      </c>
      <c r="H26" s="12" t="n">
        <v>400</v>
      </c>
      <c r="I26" s="13" t="n">
        <v>0.05</v>
      </c>
      <c r="J26" s="12" t="n">
        <v>200</v>
      </c>
      <c r="K26" s="12" t="n">
        <f aca="false">G26*H26*(1-I26)</f>
        <v>3040</v>
      </c>
      <c r="L26" s="12" t="n">
        <f aca="false">K26-G26*J26</f>
        <v>1440</v>
      </c>
    </row>
    <row r="27" customFormat="false" ht="15" hidden="false" customHeight="false" outlineLevel="0" collapsed="false">
      <c r="A27" s="8" t="s">
        <v>107</v>
      </c>
      <c r="B27" s="11" t="n">
        <v>45670</v>
      </c>
      <c r="C27" s="8" t="n">
        <f aca="false">MONTH(B27)</f>
        <v>1</v>
      </c>
      <c r="D27" s="8" t="s">
        <v>55</v>
      </c>
      <c r="E27" s="8" t="s">
        <v>40</v>
      </c>
      <c r="F27" s="8" t="s">
        <v>41</v>
      </c>
      <c r="G27" s="8" t="n">
        <v>3</v>
      </c>
      <c r="H27" s="12" t="n">
        <v>600</v>
      </c>
      <c r="I27" s="13" t="n">
        <v>0</v>
      </c>
      <c r="J27" s="12" t="n">
        <v>300</v>
      </c>
      <c r="K27" s="12" t="n">
        <f aca="false">G27*H27*(1-I27)</f>
        <v>1800</v>
      </c>
      <c r="L27" s="12" t="n">
        <f aca="false">K27-G27*J27</f>
        <v>900</v>
      </c>
    </row>
    <row r="28" customFormat="false" ht="15" hidden="false" customHeight="false" outlineLevel="0" collapsed="false">
      <c r="A28" s="8" t="s">
        <v>59</v>
      </c>
      <c r="B28" s="11" t="n">
        <v>45670</v>
      </c>
      <c r="C28" s="8" t="n">
        <f aca="false">MONTH(B28)</f>
        <v>1</v>
      </c>
      <c r="D28" s="8" t="s">
        <v>43</v>
      </c>
      <c r="E28" s="8" t="s">
        <v>44</v>
      </c>
      <c r="F28" s="8" t="s">
        <v>60</v>
      </c>
      <c r="G28" s="8" t="n">
        <v>3</v>
      </c>
      <c r="H28" s="12" t="n">
        <v>2500</v>
      </c>
      <c r="I28" s="13" t="n">
        <v>0</v>
      </c>
      <c r="J28" s="12" t="n">
        <v>1600</v>
      </c>
      <c r="K28" s="12" t="n">
        <f aca="false">G28*H28*(1-I28)</f>
        <v>7500</v>
      </c>
      <c r="L28" s="12" t="n">
        <f aca="false">K28-G28*J28</f>
        <v>2700</v>
      </c>
    </row>
    <row r="29" customFormat="false" ht="15" hidden="false" customHeight="false" outlineLevel="0" collapsed="false">
      <c r="A29" s="8" t="s">
        <v>51</v>
      </c>
      <c r="B29" s="11" t="n">
        <v>45671</v>
      </c>
      <c r="C29" s="8" t="n">
        <f aca="false">MONTH(B29)</f>
        <v>1</v>
      </c>
      <c r="D29" s="8" t="s">
        <v>43</v>
      </c>
      <c r="E29" s="8" t="s">
        <v>44</v>
      </c>
      <c r="F29" s="8" t="s">
        <v>50</v>
      </c>
      <c r="G29" s="8" t="n">
        <v>3</v>
      </c>
      <c r="H29" s="12" t="n">
        <v>3000</v>
      </c>
      <c r="I29" s="13" t="n">
        <v>0.05</v>
      </c>
      <c r="J29" s="12" t="n">
        <v>2000</v>
      </c>
      <c r="K29" s="12" t="n">
        <f aca="false">G29*H29*(1-I29)</f>
        <v>8550</v>
      </c>
      <c r="L29" s="12" t="n">
        <f aca="false">K29-G29*J29</f>
        <v>2550</v>
      </c>
    </row>
    <row r="30" customFormat="false" ht="15" hidden="false" customHeight="false" outlineLevel="0" collapsed="false">
      <c r="A30" s="8" t="s">
        <v>105</v>
      </c>
      <c r="B30" s="11" t="n">
        <v>45671</v>
      </c>
      <c r="C30" s="8" t="n">
        <f aca="false">MONTH(B30)</f>
        <v>1</v>
      </c>
      <c r="D30" s="8" t="s">
        <v>39</v>
      </c>
      <c r="E30" s="8" t="s">
        <v>44</v>
      </c>
      <c r="F30" s="8" t="s">
        <v>48</v>
      </c>
      <c r="G30" s="8" t="n">
        <v>2</v>
      </c>
      <c r="H30" s="12" t="n">
        <v>4500</v>
      </c>
      <c r="I30" s="13" t="n">
        <v>0</v>
      </c>
      <c r="J30" s="12" t="n">
        <v>3300</v>
      </c>
      <c r="K30" s="12" t="n">
        <f aca="false">G30*H30*(1-I30)</f>
        <v>9000</v>
      </c>
      <c r="L30" s="12" t="n">
        <f aca="false">K30-G30*J30</f>
        <v>2400</v>
      </c>
    </row>
    <row r="31" customFormat="false" ht="15" hidden="false" customHeight="false" outlineLevel="0" collapsed="false">
      <c r="A31" s="8" t="s">
        <v>74</v>
      </c>
      <c r="B31" s="11" t="n">
        <v>45672</v>
      </c>
      <c r="C31" s="8" t="n">
        <f aca="false">MONTH(B31)</f>
        <v>1</v>
      </c>
      <c r="D31" s="8" t="s">
        <v>43</v>
      </c>
      <c r="E31" s="8" t="s">
        <v>44</v>
      </c>
      <c r="F31" s="8" t="s">
        <v>50</v>
      </c>
      <c r="G31" s="8" t="n">
        <v>2</v>
      </c>
      <c r="H31" s="12" t="n">
        <v>3000</v>
      </c>
      <c r="I31" s="13" t="n">
        <v>0.1</v>
      </c>
      <c r="J31" s="12" t="n">
        <v>2000</v>
      </c>
      <c r="K31" s="12" t="n">
        <f aca="false">G31*H31*(1-I31)</f>
        <v>5400</v>
      </c>
      <c r="L31" s="12" t="n">
        <f aca="false">K31-G31*J31</f>
        <v>1400</v>
      </c>
    </row>
    <row r="32" customFormat="false" ht="15" hidden="false" customHeight="false" outlineLevel="0" collapsed="false">
      <c r="A32" s="8" t="s">
        <v>65</v>
      </c>
      <c r="B32" s="11" t="n">
        <v>45672</v>
      </c>
      <c r="C32" s="8" t="n">
        <f aca="false">MONTH(B32)</f>
        <v>1</v>
      </c>
      <c r="D32" s="8" t="s">
        <v>55</v>
      </c>
      <c r="E32" s="8" t="s">
        <v>44</v>
      </c>
      <c r="F32" s="8" t="s">
        <v>50</v>
      </c>
      <c r="G32" s="8" t="n">
        <v>2</v>
      </c>
      <c r="H32" s="12" t="n">
        <v>3000</v>
      </c>
      <c r="I32" s="13" t="n">
        <v>0</v>
      </c>
      <c r="J32" s="12" t="n">
        <v>2000</v>
      </c>
      <c r="K32" s="12" t="n">
        <f aca="false">G32*H32*(1-I32)</f>
        <v>6000</v>
      </c>
      <c r="L32" s="12" t="n">
        <f aca="false">K32-G32*J32</f>
        <v>2000</v>
      </c>
    </row>
    <row r="33" customFormat="false" ht="15" hidden="false" customHeight="false" outlineLevel="0" collapsed="false">
      <c r="A33" s="8" t="s">
        <v>78</v>
      </c>
      <c r="B33" s="11" t="n">
        <v>45673</v>
      </c>
      <c r="C33" s="8" t="n">
        <f aca="false">MONTH(B33)</f>
        <v>1</v>
      </c>
      <c r="D33" s="8" t="s">
        <v>39</v>
      </c>
      <c r="E33" s="8" t="s">
        <v>57</v>
      </c>
      <c r="F33" s="8" t="s">
        <v>63</v>
      </c>
      <c r="G33" s="8" t="n">
        <v>1</v>
      </c>
      <c r="H33" s="12" t="n">
        <v>9000</v>
      </c>
      <c r="I33" s="13" t="n">
        <v>0.05</v>
      </c>
      <c r="J33" s="12" t="n">
        <v>6200</v>
      </c>
      <c r="K33" s="12" t="n">
        <f aca="false">G33*H33*(1-I33)</f>
        <v>8550</v>
      </c>
      <c r="L33" s="12" t="n">
        <f aca="false">K33-G33*J33</f>
        <v>2350</v>
      </c>
    </row>
    <row r="34" customFormat="false" ht="15" hidden="false" customHeight="false" outlineLevel="0" collapsed="false">
      <c r="A34" s="8" t="s">
        <v>75</v>
      </c>
      <c r="B34" s="11" t="n">
        <v>45675</v>
      </c>
      <c r="C34" s="8" t="n">
        <f aca="false">MONTH(B34)</f>
        <v>1</v>
      </c>
      <c r="D34" s="8" t="s">
        <v>47</v>
      </c>
      <c r="E34" s="8" t="s">
        <v>44</v>
      </c>
      <c r="F34" s="8" t="s">
        <v>45</v>
      </c>
      <c r="G34" s="8" t="n">
        <v>1</v>
      </c>
      <c r="H34" s="12" t="n">
        <v>1500</v>
      </c>
      <c r="I34" s="13" t="n">
        <v>0.1</v>
      </c>
      <c r="J34" s="12" t="n">
        <v>900</v>
      </c>
      <c r="K34" s="12" t="n">
        <f aca="false">G34*H34*(1-I34)</f>
        <v>1350</v>
      </c>
      <c r="L34" s="12" t="n">
        <f aca="false">K34-G34*J34</f>
        <v>450</v>
      </c>
    </row>
    <row r="35" customFormat="false" ht="15" hidden="false" customHeight="false" outlineLevel="0" collapsed="false">
      <c r="A35" s="8" t="s">
        <v>95</v>
      </c>
      <c r="B35" s="11" t="n">
        <v>45675</v>
      </c>
      <c r="C35" s="8" t="n">
        <f aca="false">MONTH(B35)</f>
        <v>1</v>
      </c>
      <c r="D35" s="8" t="s">
        <v>55</v>
      </c>
      <c r="E35" s="8" t="s">
        <v>40</v>
      </c>
      <c r="F35" s="8" t="s">
        <v>77</v>
      </c>
      <c r="G35" s="8" t="n">
        <v>8</v>
      </c>
      <c r="H35" s="12" t="n">
        <v>400</v>
      </c>
      <c r="I35" s="13" t="n">
        <v>0</v>
      </c>
      <c r="J35" s="12" t="n">
        <v>200</v>
      </c>
      <c r="K35" s="12" t="n">
        <f aca="false">G35*H35*(1-I35)</f>
        <v>3200</v>
      </c>
      <c r="L35" s="12" t="n">
        <f aca="false">K35-G35*J35</f>
        <v>1600</v>
      </c>
    </row>
    <row r="36" customFormat="false" ht="15" hidden="false" customHeight="false" outlineLevel="0" collapsed="false">
      <c r="A36" s="8" t="s">
        <v>49</v>
      </c>
      <c r="B36" s="11" t="n">
        <v>45675</v>
      </c>
      <c r="C36" s="8" t="n">
        <f aca="false">MONTH(B36)</f>
        <v>1</v>
      </c>
      <c r="D36" s="8" t="s">
        <v>39</v>
      </c>
      <c r="E36" s="8" t="s">
        <v>44</v>
      </c>
      <c r="F36" s="8" t="s">
        <v>50</v>
      </c>
      <c r="G36" s="8" t="n">
        <v>3</v>
      </c>
      <c r="H36" s="12" t="n">
        <v>3000</v>
      </c>
      <c r="I36" s="13" t="n">
        <v>0</v>
      </c>
      <c r="J36" s="12" t="n">
        <v>2000</v>
      </c>
      <c r="K36" s="12" t="n">
        <f aca="false">G36*H36*(1-I36)</f>
        <v>9000</v>
      </c>
      <c r="L36" s="12" t="n">
        <f aca="false">K36-G36*J36</f>
        <v>3000</v>
      </c>
    </row>
    <row r="37" customFormat="false" ht="15" hidden="false" customHeight="false" outlineLevel="0" collapsed="false">
      <c r="A37" s="8" t="s">
        <v>42</v>
      </c>
      <c r="B37" s="11" t="n">
        <v>45675</v>
      </c>
      <c r="C37" s="8" t="n">
        <f aca="false">MONTH(B37)</f>
        <v>1</v>
      </c>
      <c r="D37" s="8" t="s">
        <v>43</v>
      </c>
      <c r="E37" s="8" t="s">
        <v>44</v>
      </c>
      <c r="F37" s="8" t="s">
        <v>45</v>
      </c>
      <c r="G37" s="8" t="n">
        <v>3</v>
      </c>
      <c r="H37" s="12" t="n">
        <v>1500</v>
      </c>
      <c r="I37" s="13" t="n">
        <v>0.1</v>
      </c>
      <c r="J37" s="12" t="n">
        <v>900</v>
      </c>
      <c r="K37" s="12" t="n">
        <f aca="false">G37*H37*(1-I37)</f>
        <v>4050</v>
      </c>
      <c r="L37" s="12" t="n">
        <f aca="false">K37-G37*J37</f>
        <v>1350</v>
      </c>
    </row>
    <row r="38" customFormat="false" ht="15" hidden="false" customHeight="false" outlineLevel="0" collapsed="false">
      <c r="A38" s="8" t="s">
        <v>98</v>
      </c>
      <c r="B38" s="11" t="n">
        <v>45676</v>
      </c>
      <c r="C38" s="8" t="n">
        <f aca="false">MONTH(B38)</f>
        <v>1</v>
      </c>
      <c r="D38" s="8" t="s">
        <v>39</v>
      </c>
      <c r="E38" s="8" t="s">
        <v>44</v>
      </c>
      <c r="F38" s="8" t="s">
        <v>50</v>
      </c>
      <c r="G38" s="8" t="n">
        <v>2</v>
      </c>
      <c r="H38" s="12" t="n">
        <v>3000</v>
      </c>
      <c r="I38" s="13" t="n">
        <v>0</v>
      </c>
      <c r="J38" s="12" t="n">
        <v>2000</v>
      </c>
      <c r="K38" s="12" t="n">
        <f aca="false">G38*H38*(1-I38)</f>
        <v>6000</v>
      </c>
      <c r="L38" s="12" t="n">
        <f aca="false">K38-G38*J38</f>
        <v>2000</v>
      </c>
    </row>
    <row r="39" customFormat="false" ht="15" hidden="false" customHeight="false" outlineLevel="0" collapsed="false">
      <c r="A39" s="8" t="s">
        <v>102</v>
      </c>
      <c r="B39" s="11" t="n">
        <v>45676</v>
      </c>
      <c r="C39" s="8" t="n">
        <f aca="false">MONTH(B39)</f>
        <v>1</v>
      </c>
      <c r="D39" s="8" t="s">
        <v>39</v>
      </c>
      <c r="E39" s="8" t="s">
        <v>57</v>
      </c>
      <c r="F39" s="8" t="s">
        <v>86</v>
      </c>
      <c r="G39" s="8" t="n">
        <v>1</v>
      </c>
      <c r="H39" s="12" t="n">
        <v>1200</v>
      </c>
      <c r="I39" s="13" t="n">
        <v>0.1</v>
      </c>
      <c r="J39" s="12" t="n">
        <v>600</v>
      </c>
      <c r="K39" s="12" t="n">
        <f aca="false">G39*H39*(1-I39)</f>
        <v>1080</v>
      </c>
      <c r="L39" s="12" t="n">
        <f aca="false">K39-G39*J39</f>
        <v>480</v>
      </c>
    </row>
    <row r="40" customFormat="false" ht="15" hidden="false" customHeight="false" outlineLevel="0" collapsed="false">
      <c r="A40" s="8" t="s">
        <v>79</v>
      </c>
      <c r="B40" s="11" t="n">
        <v>45678</v>
      </c>
      <c r="C40" s="8" t="n">
        <f aca="false">MONTH(B40)</f>
        <v>1</v>
      </c>
      <c r="D40" s="8" t="s">
        <v>43</v>
      </c>
      <c r="E40" s="8" t="s">
        <v>44</v>
      </c>
      <c r="F40" s="8" t="s">
        <v>48</v>
      </c>
      <c r="G40" s="8" t="n">
        <v>1</v>
      </c>
      <c r="H40" s="12" t="n">
        <v>4500</v>
      </c>
      <c r="I40" s="13" t="n">
        <v>0</v>
      </c>
      <c r="J40" s="12" t="n">
        <v>3300</v>
      </c>
      <c r="K40" s="12" t="n">
        <f aca="false">G40*H40*(1-I40)</f>
        <v>4500</v>
      </c>
      <c r="L40" s="12" t="n">
        <f aca="false">K40-G40*J40</f>
        <v>1200</v>
      </c>
    </row>
    <row r="41" customFormat="false" ht="15" hidden="false" customHeight="false" outlineLevel="0" collapsed="false">
      <c r="A41" s="8" t="s">
        <v>69</v>
      </c>
      <c r="B41" s="11" t="n">
        <v>45678</v>
      </c>
      <c r="C41" s="8" t="n">
        <f aca="false">MONTH(B41)</f>
        <v>1</v>
      </c>
      <c r="D41" s="8" t="s">
        <v>39</v>
      </c>
      <c r="E41" s="8" t="s">
        <v>44</v>
      </c>
      <c r="F41" s="8" t="s">
        <v>50</v>
      </c>
      <c r="G41" s="8" t="n">
        <v>2</v>
      </c>
      <c r="H41" s="12" t="n">
        <v>3000</v>
      </c>
      <c r="I41" s="13" t="n">
        <v>0</v>
      </c>
      <c r="J41" s="12" t="n">
        <v>2000</v>
      </c>
      <c r="K41" s="12" t="n">
        <f aca="false">G41*H41*(1-I41)</f>
        <v>6000</v>
      </c>
      <c r="L41" s="12" t="n">
        <f aca="false">K41-G41*J41</f>
        <v>2000</v>
      </c>
    </row>
    <row r="42" customFormat="false" ht="15" hidden="false" customHeight="false" outlineLevel="0" collapsed="false">
      <c r="A42" s="8" t="s">
        <v>67</v>
      </c>
      <c r="B42" s="11" t="n">
        <v>45678</v>
      </c>
      <c r="C42" s="8" t="n">
        <f aca="false">MONTH(B42)</f>
        <v>1</v>
      </c>
      <c r="D42" s="8" t="s">
        <v>43</v>
      </c>
      <c r="E42" s="8" t="s">
        <v>44</v>
      </c>
      <c r="F42" s="8" t="s">
        <v>50</v>
      </c>
      <c r="G42" s="8" t="n">
        <v>3</v>
      </c>
      <c r="H42" s="12" t="n">
        <v>3000</v>
      </c>
      <c r="I42" s="13" t="n">
        <v>0.1</v>
      </c>
      <c r="J42" s="12" t="n">
        <v>2000</v>
      </c>
      <c r="K42" s="12" t="n">
        <f aca="false">G42*H42*(1-I42)</f>
        <v>8100</v>
      </c>
      <c r="L42" s="12" t="n">
        <f aca="false">K42-G42*J42</f>
        <v>2100</v>
      </c>
    </row>
    <row r="43" customFormat="false" ht="15" hidden="false" customHeight="false" outlineLevel="0" collapsed="false">
      <c r="A43" s="8" t="s">
        <v>101</v>
      </c>
      <c r="B43" s="11" t="n">
        <v>45679</v>
      </c>
      <c r="C43" s="8" t="n">
        <f aca="false">MONTH(B43)</f>
        <v>1</v>
      </c>
      <c r="D43" s="8" t="s">
        <v>39</v>
      </c>
      <c r="E43" s="8" t="s">
        <v>57</v>
      </c>
      <c r="F43" s="8" t="s">
        <v>63</v>
      </c>
      <c r="G43" s="8" t="n">
        <v>1</v>
      </c>
      <c r="H43" s="12" t="n">
        <v>9000</v>
      </c>
      <c r="I43" s="13" t="n">
        <v>0</v>
      </c>
      <c r="J43" s="12" t="n">
        <v>6200</v>
      </c>
      <c r="K43" s="12" t="n">
        <f aca="false">G43*H43*(1-I43)</f>
        <v>9000</v>
      </c>
      <c r="L43" s="12" t="n">
        <f aca="false">K43-G43*J43</f>
        <v>2800</v>
      </c>
    </row>
    <row r="44" customFormat="false" ht="15" hidden="false" customHeight="false" outlineLevel="0" collapsed="false">
      <c r="A44" s="8" t="s">
        <v>96</v>
      </c>
      <c r="B44" s="11" t="n">
        <v>45679</v>
      </c>
      <c r="C44" s="8" t="n">
        <f aca="false">MONTH(B44)</f>
        <v>1</v>
      </c>
      <c r="D44" s="8" t="s">
        <v>43</v>
      </c>
      <c r="E44" s="8" t="s">
        <v>40</v>
      </c>
      <c r="F44" s="8" t="s">
        <v>71</v>
      </c>
      <c r="G44" s="8" t="n">
        <v>6</v>
      </c>
      <c r="H44" s="12" t="n">
        <v>500</v>
      </c>
      <c r="I44" s="13" t="n">
        <v>0</v>
      </c>
      <c r="J44" s="12" t="n">
        <v>250</v>
      </c>
      <c r="K44" s="12" t="n">
        <f aca="false">G44*H44*(1-I44)</f>
        <v>3000</v>
      </c>
      <c r="L44" s="12" t="n">
        <f aca="false">K44-G44*J44</f>
        <v>1500</v>
      </c>
    </row>
    <row r="45" customFormat="false" ht="15" hidden="false" customHeight="false" outlineLevel="0" collapsed="false">
      <c r="A45" s="8" t="s">
        <v>106</v>
      </c>
      <c r="B45" s="11" t="n">
        <v>45679</v>
      </c>
      <c r="C45" s="8" t="n">
        <f aca="false">MONTH(B45)</f>
        <v>1</v>
      </c>
      <c r="D45" s="8" t="s">
        <v>47</v>
      </c>
      <c r="E45" s="8" t="s">
        <v>57</v>
      </c>
      <c r="F45" s="8" t="s">
        <v>58</v>
      </c>
      <c r="G45" s="8" t="n">
        <v>3</v>
      </c>
      <c r="H45" s="12" t="n">
        <v>5500</v>
      </c>
      <c r="I45" s="13" t="n">
        <v>0</v>
      </c>
      <c r="J45" s="12" t="n">
        <v>3600</v>
      </c>
      <c r="K45" s="12" t="n">
        <f aca="false">G45*H45*(1-I45)</f>
        <v>16500</v>
      </c>
      <c r="L45" s="12" t="n">
        <f aca="false">K45-G45*J45</f>
        <v>5700</v>
      </c>
    </row>
    <row r="46" customFormat="false" ht="15" hidden="false" customHeight="false" outlineLevel="0" collapsed="false">
      <c r="A46" s="8" t="s">
        <v>82</v>
      </c>
      <c r="B46" s="11" t="n">
        <v>45681</v>
      </c>
      <c r="C46" s="8" t="n">
        <f aca="false">MONTH(B46)</f>
        <v>1</v>
      </c>
      <c r="D46" s="8" t="s">
        <v>55</v>
      </c>
      <c r="E46" s="8" t="s">
        <v>40</v>
      </c>
      <c r="F46" s="8" t="s">
        <v>77</v>
      </c>
      <c r="G46" s="8" t="n">
        <v>2</v>
      </c>
      <c r="H46" s="12" t="n">
        <v>400</v>
      </c>
      <c r="I46" s="13" t="n">
        <v>0.1</v>
      </c>
      <c r="J46" s="12" t="n">
        <v>200</v>
      </c>
      <c r="K46" s="12" t="n">
        <f aca="false">G46*H46*(1-I46)</f>
        <v>720</v>
      </c>
      <c r="L46" s="12" t="n">
        <f aca="false">K46-G46*J46</f>
        <v>320</v>
      </c>
    </row>
    <row r="47" customFormat="false" ht="15" hidden="false" customHeight="false" outlineLevel="0" collapsed="false">
      <c r="A47" s="8" t="s">
        <v>92</v>
      </c>
      <c r="B47" s="11" t="n">
        <v>45681</v>
      </c>
      <c r="C47" s="8" t="n">
        <f aca="false">MONTH(B47)</f>
        <v>1</v>
      </c>
      <c r="D47" s="8" t="s">
        <v>55</v>
      </c>
      <c r="E47" s="8" t="s">
        <v>44</v>
      </c>
      <c r="F47" s="8" t="s">
        <v>50</v>
      </c>
      <c r="G47" s="8" t="n">
        <v>1</v>
      </c>
      <c r="H47" s="12" t="n">
        <v>3000</v>
      </c>
      <c r="I47" s="13" t="n">
        <v>0</v>
      </c>
      <c r="J47" s="12" t="n">
        <v>2000</v>
      </c>
      <c r="K47" s="12" t="n">
        <f aca="false">G47*H47*(1-I47)</f>
        <v>3000</v>
      </c>
      <c r="L47" s="12" t="n">
        <f aca="false">K47-G47*J47</f>
        <v>1000</v>
      </c>
    </row>
    <row r="48" customFormat="false" ht="15" hidden="false" customHeight="false" outlineLevel="0" collapsed="false">
      <c r="A48" s="8" t="s">
        <v>68</v>
      </c>
      <c r="B48" s="11" t="n">
        <v>45681</v>
      </c>
      <c r="C48" s="8" t="n">
        <f aca="false">MONTH(B48)</f>
        <v>1</v>
      </c>
      <c r="D48" s="8" t="s">
        <v>43</v>
      </c>
      <c r="E48" s="8" t="s">
        <v>44</v>
      </c>
      <c r="F48" s="8" t="s">
        <v>48</v>
      </c>
      <c r="G48" s="8" t="n">
        <v>1</v>
      </c>
      <c r="H48" s="12" t="n">
        <v>4500</v>
      </c>
      <c r="I48" s="13" t="n">
        <v>0.05</v>
      </c>
      <c r="J48" s="12" t="n">
        <v>3300</v>
      </c>
      <c r="K48" s="12" t="n">
        <f aca="false">G48*H48*(1-I48)</f>
        <v>4275</v>
      </c>
      <c r="L48" s="12" t="n">
        <f aca="false">K48-G48*J48</f>
        <v>975</v>
      </c>
    </row>
    <row r="49" customFormat="false" ht="15" hidden="false" customHeight="false" outlineLevel="0" collapsed="false">
      <c r="A49" s="8" t="s">
        <v>89</v>
      </c>
      <c r="B49" s="11" t="n">
        <v>45682</v>
      </c>
      <c r="C49" s="8" t="n">
        <f aca="false">MONTH(B49)</f>
        <v>1</v>
      </c>
      <c r="D49" s="8" t="s">
        <v>47</v>
      </c>
      <c r="E49" s="8" t="s">
        <v>44</v>
      </c>
      <c r="F49" s="8" t="s">
        <v>45</v>
      </c>
      <c r="G49" s="8" t="n">
        <v>1</v>
      </c>
      <c r="H49" s="12" t="n">
        <v>1500</v>
      </c>
      <c r="I49" s="13" t="n">
        <v>0.05</v>
      </c>
      <c r="J49" s="12" t="n">
        <v>900</v>
      </c>
      <c r="K49" s="12" t="n">
        <f aca="false">G49*H49*(1-I49)</f>
        <v>1425</v>
      </c>
      <c r="L49" s="12" t="n">
        <f aca="false">K49-G49*J49</f>
        <v>525</v>
      </c>
    </row>
    <row r="50" customFormat="false" ht="15" hidden="false" customHeight="false" outlineLevel="0" collapsed="false">
      <c r="A50" s="8" t="s">
        <v>83</v>
      </c>
      <c r="B50" s="11" t="n">
        <v>45682</v>
      </c>
      <c r="C50" s="8" t="n">
        <f aca="false">MONTH(B50)</f>
        <v>1</v>
      </c>
      <c r="D50" s="8" t="s">
        <v>43</v>
      </c>
      <c r="E50" s="8" t="s">
        <v>44</v>
      </c>
      <c r="F50" s="8" t="s">
        <v>48</v>
      </c>
      <c r="G50" s="8" t="n">
        <v>3</v>
      </c>
      <c r="H50" s="12" t="n">
        <v>4500</v>
      </c>
      <c r="I50" s="13" t="n">
        <v>0</v>
      </c>
      <c r="J50" s="12" t="n">
        <v>3300</v>
      </c>
      <c r="K50" s="12" t="n">
        <f aca="false">G50*H50*(1-I50)</f>
        <v>13500</v>
      </c>
      <c r="L50" s="12" t="n">
        <f aca="false">K50-G50*J50</f>
        <v>3600</v>
      </c>
    </row>
    <row r="51" customFormat="false" ht="15" hidden="false" customHeight="false" outlineLevel="0" collapsed="false">
      <c r="A51" s="8" t="s">
        <v>52</v>
      </c>
      <c r="B51" s="11" t="n">
        <v>45682</v>
      </c>
      <c r="C51" s="8" t="n">
        <f aca="false">MONTH(B51)</f>
        <v>1</v>
      </c>
      <c r="D51" s="8" t="s">
        <v>47</v>
      </c>
      <c r="E51" s="8" t="s">
        <v>44</v>
      </c>
      <c r="F51" s="8" t="s">
        <v>50</v>
      </c>
      <c r="G51" s="8" t="n">
        <v>2</v>
      </c>
      <c r="H51" s="12" t="n">
        <v>3000</v>
      </c>
      <c r="I51" s="13" t="n">
        <v>0</v>
      </c>
      <c r="J51" s="12" t="n">
        <v>2000</v>
      </c>
      <c r="K51" s="12" t="n">
        <f aca="false">G51*H51*(1-I51)</f>
        <v>6000</v>
      </c>
      <c r="L51" s="12" t="n">
        <f aca="false">K51-G51*J51</f>
        <v>2000</v>
      </c>
    </row>
    <row r="52" customFormat="false" ht="15" hidden="false" customHeight="false" outlineLevel="0" collapsed="false">
      <c r="A52" s="8" t="s">
        <v>110</v>
      </c>
      <c r="B52" s="11" t="n">
        <v>45683</v>
      </c>
      <c r="C52" s="8" t="n">
        <f aca="false">MONTH(B52)</f>
        <v>1</v>
      </c>
      <c r="D52" s="8" t="s">
        <v>47</v>
      </c>
      <c r="E52" s="8" t="s">
        <v>57</v>
      </c>
      <c r="F52" s="8" t="s">
        <v>111</v>
      </c>
      <c r="G52" s="8" t="n">
        <v>1</v>
      </c>
      <c r="H52" s="12" t="n">
        <v>7000</v>
      </c>
      <c r="I52" s="13" t="n">
        <v>0</v>
      </c>
      <c r="J52" s="12" t="n">
        <v>4800</v>
      </c>
      <c r="K52" s="12" t="n">
        <f aca="false">G52*H52*(1-I52)</f>
        <v>7000</v>
      </c>
      <c r="L52" s="12" t="n">
        <f aca="false">K52-G52*J52</f>
        <v>2200</v>
      </c>
    </row>
    <row r="53" customFormat="false" ht="15" hidden="false" customHeight="false" outlineLevel="0" collapsed="false">
      <c r="A53" s="8" t="s">
        <v>87</v>
      </c>
      <c r="B53" s="11" t="n">
        <v>45685</v>
      </c>
      <c r="C53" s="8" t="n">
        <f aca="false">MONTH(B53)</f>
        <v>1</v>
      </c>
      <c r="D53" s="8" t="s">
        <v>43</v>
      </c>
      <c r="E53" s="8" t="s">
        <v>40</v>
      </c>
      <c r="F53" s="8" t="s">
        <v>77</v>
      </c>
      <c r="G53" s="8" t="n">
        <v>10</v>
      </c>
      <c r="H53" s="12" t="n">
        <v>400</v>
      </c>
      <c r="I53" s="13" t="n">
        <v>0</v>
      </c>
      <c r="J53" s="12" t="n">
        <v>200</v>
      </c>
      <c r="K53" s="12" t="n">
        <f aca="false">G53*H53*(1-I53)</f>
        <v>4000</v>
      </c>
      <c r="L53" s="12" t="n">
        <f aca="false">K53-G53*J53</f>
        <v>2000</v>
      </c>
    </row>
    <row r="54" customFormat="false" ht="15" hidden="false" customHeight="false" outlineLevel="0" collapsed="false">
      <c r="A54" s="8" t="s">
        <v>64</v>
      </c>
      <c r="B54" s="11" t="n">
        <v>45685</v>
      </c>
      <c r="C54" s="8" t="n">
        <f aca="false">MONTH(B54)</f>
        <v>1</v>
      </c>
      <c r="D54" s="8" t="s">
        <v>39</v>
      </c>
      <c r="E54" s="8" t="s">
        <v>40</v>
      </c>
      <c r="F54" s="8" t="s">
        <v>41</v>
      </c>
      <c r="G54" s="8" t="n">
        <v>6</v>
      </c>
      <c r="H54" s="12" t="n">
        <v>600</v>
      </c>
      <c r="I54" s="13" t="n">
        <v>0</v>
      </c>
      <c r="J54" s="12" t="n">
        <v>300</v>
      </c>
      <c r="K54" s="12" t="n">
        <f aca="false">G54*H54*(1-I54)</f>
        <v>3600</v>
      </c>
      <c r="L54" s="12" t="n">
        <f aca="false">K54-G54*J54</f>
        <v>1800</v>
      </c>
    </row>
    <row r="55" customFormat="false" ht="15" hidden="false" customHeight="false" outlineLevel="0" collapsed="false">
      <c r="A55" s="8" t="s">
        <v>61</v>
      </c>
      <c r="B55" s="11" t="n">
        <v>45685</v>
      </c>
      <c r="C55" s="8" t="n">
        <f aca="false">MONTH(B55)</f>
        <v>1</v>
      </c>
      <c r="D55" s="8" t="s">
        <v>47</v>
      </c>
      <c r="E55" s="8" t="s">
        <v>44</v>
      </c>
      <c r="F55" s="8" t="s">
        <v>48</v>
      </c>
      <c r="G55" s="8" t="n">
        <v>3</v>
      </c>
      <c r="H55" s="12" t="n">
        <v>4500</v>
      </c>
      <c r="I55" s="13" t="n">
        <v>0.05</v>
      </c>
      <c r="J55" s="12" t="n">
        <v>3300</v>
      </c>
      <c r="K55" s="12" t="n">
        <f aca="false">G55*H55*(1-I55)</f>
        <v>12825</v>
      </c>
      <c r="L55" s="12" t="n">
        <f aca="false">K55-G55*J55</f>
        <v>2925</v>
      </c>
    </row>
    <row r="56" customFormat="false" ht="15" hidden="false" customHeight="false" outlineLevel="0" collapsed="false">
      <c r="A56" s="8" t="s">
        <v>140</v>
      </c>
      <c r="B56" s="11" t="n">
        <v>45689</v>
      </c>
      <c r="C56" s="8" t="n">
        <f aca="false">MONTH(B56)</f>
        <v>2</v>
      </c>
      <c r="D56" s="8" t="s">
        <v>47</v>
      </c>
      <c r="E56" s="8" t="s">
        <v>57</v>
      </c>
      <c r="F56" s="8" t="s">
        <v>86</v>
      </c>
      <c r="G56" s="8" t="n">
        <v>2</v>
      </c>
      <c r="H56" s="12" t="n">
        <v>1200</v>
      </c>
      <c r="I56" s="13" t="n">
        <v>0.05</v>
      </c>
      <c r="J56" s="12" t="n">
        <v>600</v>
      </c>
      <c r="K56" s="12" t="n">
        <f aca="false">G56*H56*(1-I56)</f>
        <v>2280</v>
      </c>
      <c r="L56" s="12" t="n">
        <f aca="false">K56-G56*J56</f>
        <v>1080</v>
      </c>
    </row>
    <row r="57" customFormat="false" ht="15" hidden="false" customHeight="false" outlineLevel="0" collapsed="false">
      <c r="A57" s="8" t="s">
        <v>114</v>
      </c>
      <c r="B57" s="11" t="n">
        <v>45689</v>
      </c>
      <c r="C57" s="8" t="n">
        <f aca="false">MONTH(B57)</f>
        <v>2</v>
      </c>
      <c r="D57" s="8" t="s">
        <v>55</v>
      </c>
      <c r="E57" s="8" t="s">
        <v>57</v>
      </c>
      <c r="F57" s="8" t="s">
        <v>58</v>
      </c>
      <c r="G57" s="8" t="n">
        <v>1</v>
      </c>
      <c r="H57" s="12" t="n">
        <v>5500</v>
      </c>
      <c r="I57" s="13" t="n">
        <v>0</v>
      </c>
      <c r="J57" s="12" t="n">
        <v>3600</v>
      </c>
      <c r="K57" s="12" t="n">
        <f aca="false">G57*H57*(1-I57)</f>
        <v>5500</v>
      </c>
      <c r="L57" s="12" t="n">
        <f aca="false">K57-G57*J57</f>
        <v>1900</v>
      </c>
    </row>
    <row r="58" customFormat="false" ht="15" hidden="false" customHeight="false" outlineLevel="0" collapsed="false">
      <c r="A58" s="8" t="s">
        <v>154</v>
      </c>
      <c r="B58" s="11" t="n">
        <v>45689</v>
      </c>
      <c r="C58" s="8" t="n">
        <f aca="false">MONTH(B58)</f>
        <v>2</v>
      </c>
      <c r="D58" s="8" t="s">
        <v>47</v>
      </c>
      <c r="E58" s="8" t="s">
        <v>40</v>
      </c>
      <c r="F58" s="8" t="s">
        <v>41</v>
      </c>
      <c r="G58" s="8" t="n">
        <v>10</v>
      </c>
      <c r="H58" s="12" t="n">
        <v>600</v>
      </c>
      <c r="I58" s="13" t="n">
        <v>0</v>
      </c>
      <c r="J58" s="12" t="n">
        <v>300</v>
      </c>
      <c r="K58" s="12" t="n">
        <f aca="false">G58*H58*(1-I58)</f>
        <v>6000</v>
      </c>
      <c r="L58" s="12" t="n">
        <f aca="false">K58-G58*J58</f>
        <v>3000</v>
      </c>
    </row>
    <row r="59" customFormat="false" ht="15" hidden="false" customHeight="false" outlineLevel="0" collapsed="false">
      <c r="A59" s="8" t="s">
        <v>117</v>
      </c>
      <c r="B59" s="11" t="n">
        <v>45690</v>
      </c>
      <c r="C59" s="8" t="n">
        <f aca="false">MONTH(B59)</f>
        <v>2</v>
      </c>
      <c r="D59" s="8" t="s">
        <v>43</v>
      </c>
      <c r="E59" s="8" t="s">
        <v>57</v>
      </c>
      <c r="F59" s="8" t="s">
        <v>86</v>
      </c>
      <c r="G59" s="8" t="n">
        <v>2</v>
      </c>
      <c r="H59" s="12" t="n">
        <v>1200</v>
      </c>
      <c r="I59" s="13" t="n">
        <v>0</v>
      </c>
      <c r="J59" s="12" t="n">
        <v>600</v>
      </c>
      <c r="K59" s="12" t="n">
        <f aca="false">G59*H59*(1-I59)</f>
        <v>2400</v>
      </c>
      <c r="L59" s="12" t="n">
        <f aca="false">K59-G59*J59</f>
        <v>1200</v>
      </c>
    </row>
    <row r="60" customFormat="false" ht="15" hidden="false" customHeight="false" outlineLevel="0" collapsed="false">
      <c r="A60" s="8" t="s">
        <v>112</v>
      </c>
      <c r="B60" s="11" t="n">
        <v>45691</v>
      </c>
      <c r="C60" s="8" t="n">
        <f aca="false">MONTH(B60)</f>
        <v>2</v>
      </c>
      <c r="D60" s="8" t="s">
        <v>39</v>
      </c>
      <c r="E60" s="8" t="s">
        <v>40</v>
      </c>
      <c r="F60" s="8" t="s">
        <v>77</v>
      </c>
      <c r="G60" s="8" t="n">
        <v>10</v>
      </c>
      <c r="H60" s="12" t="n">
        <v>400</v>
      </c>
      <c r="I60" s="13" t="n">
        <v>0</v>
      </c>
      <c r="J60" s="12" t="n">
        <v>200</v>
      </c>
      <c r="K60" s="12" t="n">
        <f aca="false">G60*H60*(1-I60)</f>
        <v>4000</v>
      </c>
      <c r="L60" s="12" t="n">
        <f aca="false">K60-G60*J60</f>
        <v>2000</v>
      </c>
    </row>
    <row r="61" customFormat="false" ht="15" hidden="false" customHeight="false" outlineLevel="0" collapsed="false">
      <c r="A61" s="8" t="s">
        <v>128</v>
      </c>
      <c r="B61" s="11" t="n">
        <v>45692</v>
      </c>
      <c r="C61" s="8" t="n">
        <f aca="false">MONTH(B61)</f>
        <v>2</v>
      </c>
      <c r="D61" s="8" t="s">
        <v>39</v>
      </c>
      <c r="E61" s="8" t="s">
        <v>44</v>
      </c>
      <c r="F61" s="8" t="s">
        <v>48</v>
      </c>
      <c r="G61" s="8" t="n">
        <v>3</v>
      </c>
      <c r="H61" s="12" t="n">
        <v>4500</v>
      </c>
      <c r="I61" s="13" t="n">
        <v>0.05</v>
      </c>
      <c r="J61" s="12" t="n">
        <v>3300</v>
      </c>
      <c r="K61" s="12" t="n">
        <f aca="false">G61*H61*(1-I61)</f>
        <v>12825</v>
      </c>
      <c r="L61" s="12" t="n">
        <f aca="false">K61-G61*J61</f>
        <v>2925</v>
      </c>
    </row>
    <row r="62" customFormat="false" ht="15" hidden="false" customHeight="false" outlineLevel="0" collapsed="false">
      <c r="A62" s="8" t="s">
        <v>142</v>
      </c>
      <c r="B62" s="11" t="n">
        <v>45693</v>
      </c>
      <c r="C62" s="8" t="n">
        <f aca="false">MONTH(B62)</f>
        <v>2</v>
      </c>
      <c r="D62" s="8" t="s">
        <v>55</v>
      </c>
      <c r="E62" s="8" t="s">
        <v>44</v>
      </c>
      <c r="F62" s="8" t="s">
        <v>60</v>
      </c>
      <c r="G62" s="8" t="n">
        <v>3</v>
      </c>
      <c r="H62" s="12" t="n">
        <v>2500</v>
      </c>
      <c r="I62" s="13" t="n">
        <v>0.05</v>
      </c>
      <c r="J62" s="12" t="n">
        <v>1600</v>
      </c>
      <c r="K62" s="12" t="n">
        <f aca="false">G62*H62*(1-I62)</f>
        <v>7125</v>
      </c>
      <c r="L62" s="12" t="n">
        <f aca="false">K62-G62*J62</f>
        <v>2325</v>
      </c>
    </row>
    <row r="63" customFormat="false" ht="15" hidden="false" customHeight="false" outlineLevel="0" collapsed="false">
      <c r="A63" s="8" t="s">
        <v>134</v>
      </c>
      <c r="B63" s="11" t="n">
        <v>45693</v>
      </c>
      <c r="C63" s="8" t="n">
        <f aca="false">MONTH(B63)</f>
        <v>2</v>
      </c>
      <c r="D63" s="8" t="s">
        <v>55</v>
      </c>
      <c r="E63" s="8" t="s">
        <v>44</v>
      </c>
      <c r="F63" s="8" t="s">
        <v>48</v>
      </c>
      <c r="G63" s="8" t="n">
        <v>3</v>
      </c>
      <c r="H63" s="12" t="n">
        <v>4500</v>
      </c>
      <c r="I63" s="13" t="n">
        <v>0.05</v>
      </c>
      <c r="J63" s="12" t="n">
        <v>3300</v>
      </c>
      <c r="K63" s="12" t="n">
        <f aca="false">G63*H63*(1-I63)</f>
        <v>12825</v>
      </c>
      <c r="L63" s="12" t="n">
        <f aca="false">K63-G63*J63</f>
        <v>2925</v>
      </c>
    </row>
    <row r="64" customFormat="false" ht="15" hidden="false" customHeight="false" outlineLevel="0" collapsed="false">
      <c r="A64" s="8" t="s">
        <v>129</v>
      </c>
      <c r="B64" s="11" t="n">
        <v>45693</v>
      </c>
      <c r="C64" s="8" t="n">
        <f aca="false">MONTH(B64)</f>
        <v>2</v>
      </c>
      <c r="D64" s="8" t="s">
        <v>47</v>
      </c>
      <c r="E64" s="8" t="s">
        <v>44</v>
      </c>
      <c r="F64" s="8" t="s">
        <v>48</v>
      </c>
      <c r="G64" s="8" t="n">
        <v>3</v>
      </c>
      <c r="H64" s="12" t="n">
        <v>4500</v>
      </c>
      <c r="I64" s="13" t="n">
        <v>0</v>
      </c>
      <c r="J64" s="12" t="n">
        <v>3300</v>
      </c>
      <c r="K64" s="12" t="n">
        <f aca="false">G64*H64*(1-I64)</f>
        <v>13500</v>
      </c>
      <c r="L64" s="12" t="n">
        <f aca="false">K64-G64*J64</f>
        <v>3600</v>
      </c>
    </row>
    <row r="65" customFormat="false" ht="15" hidden="false" customHeight="false" outlineLevel="0" collapsed="false">
      <c r="A65" s="8" t="s">
        <v>113</v>
      </c>
      <c r="B65" s="11" t="n">
        <v>45695</v>
      </c>
      <c r="C65" s="8" t="n">
        <f aca="false">MONTH(B65)</f>
        <v>2</v>
      </c>
      <c r="D65" s="8" t="s">
        <v>39</v>
      </c>
      <c r="E65" s="8" t="s">
        <v>44</v>
      </c>
      <c r="F65" s="8" t="s">
        <v>50</v>
      </c>
      <c r="G65" s="8" t="n">
        <v>2</v>
      </c>
      <c r="H65" s="12" t="n">
        <v>3000</v>
      </c>
      <c r="I65" s="13" t="n">
        <v>0</v>
      </c>
      <c r="J65" s="12" t="n">
        <v>2000</v>
      </c>
      <c r="K65" s="12" t="n">
        <f aca="false">G65*H65*(1-I65)</f>
        <v>6000</v>
      </c>
      <c r="L65" s="12" t="n">
        <f aca="false">K65-G65*J65</f>
        <v>2000</v>
      </c>
    </row>
    <row r="66" customFormat="false" ht="15" hidden="false" customHeight="false" outlineLevel="0" collapsed="false">
      <c r="A66" s="8" t="s">
        <v>125</v>
      </c>
      <c r="B66" s="11" t="n">
        <v>45695</v>
      </c>
      <c r="C66" s="8" t="n">
        <f aca="false">MONTH(B66)</f>
        <v>2</v>
      </c>
      <c r="D66" s="8" t="s">
        <v>47</v>
      </c>
      <c r="E66" s="8" t="s">
        <v>40</v>
      </c>
      <c r="F66" s="8" t="s">
        <v>104</v>
      </c>
      <c r="G66" s="8" t="n">
        <v>7</v>
      </c>
      <c r="H66" s="12" t="n">
        <v>250</v>
      </c>
      <c r="I66" s="13" t="n">
        <v>0</v>
      </c>
      <c r="J66" s="12" t="n">
        <v>100</v>
      </c>
      <c r="K66" s="12" t="n">
        <f aca="false">G66*H66*(1-I66)</f>
        <v>1750</v>
      </c>
      <c r="L66" s="12" t="n">
        <f aca="false">K66-G66*J66</f>
        <v>1050</v>
      </c>
    </row>
    <row r="67" customFormat="false" ht="15" hidden="false" customHeight="false" outlineLevel="0" collapsed="false">
      <c r="A67" s="8" t="s">
        <v>150</v>
      </c>
      <c r="B67" s="11" t="n">
        <v>45696</v>
      </c>
      <c r="C67" s="8" t="n">
        <f aca="false">MONTH(B67)</f>
        <v>2</v>
      </c>
      <c r="D67" s="8" t="s">
        <v>39</v>
      </c>
      <c r="E67" s="8" t="s">
        <v>40</v>
      </c>
      <c r="F67" s="8" t="s">
        <v>71</v>
      </c>
      <c r="G67" s="8" t="n">
        <v>2</v>
      </c>
      <c r="H67" s="12" t="n">
        <v>500</v>
      </c>
      <c r="I67" s="13" t="n">
        <v>0</v>
      </c>
      <c r="J67" s="12" t="n">
        <v>250</v>
      </c>
      <c r="K67" s="12" t="n">
        <f aca="false">G67*H67*(1-I67)</f>
        <v>1000</v>
      </c>
      <c r="L67" s="12" t="n">
        <f aca="false">K67-G67*J67</f>
        <v>500</v>
      </c>
    </row>
    <row r="68" customFormat="false" ht="15" hidden="false" customHeight="false" outlineLevel="0" collapsed="false">
      <c r="A68" s="8" t="s">
        <v>144</v>
      </c>
      <c r="B68" s="11" t="n">
        <v>45696</v>
      </c>
      <c r="C68" s="8" t="n">
        <f aca="false">MONTH(B68)</f>
        <v>2</v>
      </c>
      <c r="D68" s="8" t="s">
        <v>55</v>
      </c>
      <c r="E68" s="8" t="s">
        <v>44</v>
      </c>
      <c r="F68" s="8" t="s">
        <v>60</v>
      </c>
      <c r="G68" s="8" t="n">
        <v>1</v>
      </c>
      <c r="H68" s="12" t="n">
        <v>2500</v>
      </c>
      <c r="I68" s="13" t="n">
        <v>0.1</v>
      </c>
      <c r="J68" s="12" t="n">
        <v>1600</v>
      </c>
      <c r="K68" s="12" t="n">
        <f aca="false">G68*H68*(1-I68)</f>
        <v>2250</v>
      </c>
      <c r="L68" s="12" t="n">
        <f aca="false">K68-G68*J68</f>
        <v>650</v>
      </c>
    </row>
    <row r="69" customFormat="false" ht="15" hidden="false" customHeight="false" outlineLevel="0" collapsed="false">
      <c r="A69" s="8" t="s">
        <v>133</v>
      </c>
      <c r="B69" s="11" t="n">
        <v>45697</v>
      </c>
      <c r="C69" s="8" t="n">
        <f aca="false">MONTH(B69)</f>
        <v>2</v>
      </c>
      <c r="D69" s="8" t="s">
        <v>47</v>
      </c>
      <c r="E69" s="8" t="s">
        <v>40</v>
      </c>
      <c r="F69" s="8" t="s">
        <v>77</v>
      </c>
      <c r="G69" s="8" t="n">
        <v>3</v>
      </c>
      <c r="H69" s="12" t="n">
        <v>400</v>
      </c>
      <c r="I69" s="13" t="n">
        <v>0</v>
      </c>
      <c r="J69" s="12" t="n">
        <v>200</v>
      </c>
      <c r="K69" s="12" t="n">
        <f aca="false">G69*H69*(1-I69)</f>
        <v>1200</v>
      </c>
      <c r="L69" s="12" t="n">
        <f aca="false">K69-G69*J69</f>
        <v>600</v>
      </c>
    </row>
    <row r="70" customFormat="false" ht="15" hidden="false" customHeight="false" outlineLevel="0" collapsed="false">
      <c r="A70" s="8" t="s">
        <v>130</v>
      </c>
      <c r="B70" s="11" t="n">
        <v>45698</v>
      </c>
      <c r="C70" s="8" t="n">
        <f aca="false">MONTH(B70)</f>
        <v>2</v>
      </c>
      <c r="D70" s="8" t="s">
        <v>55</v>
      </c>
      <c r="E70" s="8" t="s">
        <v>57</v>
      </c>
      <c r="F70" s="8" t="s">
        <v>63</v>
      </c>
      <c r="G70" s="8" t="n">
        <v>1</v>
      </c>
      <c r="H70" s="12" t="n">
        <v>9000</v>
      </c>
      <c r="I70" s="13" t="n">
        <v>0</v>
      </c>
      <c r="J70" s="12" t="n">
        <v>6200</v>
      </c>
      <c r="K70" s="12" t="n">
        <f aca="false">G70*H70*(1-I70)</f>
        <v>9000</v>
      </c>
      <c r="L70" s="12" t="n">
        <f aca="false">K70-G70*J70</f>
        <v>2800</v>
      </c>
    </row>
    <row r="71" customFormat="false" ht="15" hidden="false" customHeight="false" outlineLevel="0" collapsed="false">
      <c r="A71" s="8" t="s">
        <v>131</v>
      </c>
      <c r="B71" s="11" t="n">
        <v>45698</v>
      </c>
      <c r="C71" s="8" t="n">
        <f aca="false">MONTH(B71)</f>
        <v>2</v>
      </c>
      <c r="D71" s="8" t="s">
        <v>47</v>
      </c>
      <c r="E71" s="8" t="s">
        <v>44</v>
      </c>
      <c r="F71" s="8" t="s">
        <v>45</v>
      </c>
      <c r="G71" s="8" t="n">
        <v>3</v>
      </c>
      <c r="H71" s="12" t="n">
        <v>1500</v>
      </c>
      <c r="I71" s="13" t="n">
        <v>0.1</v>
      </c>
      <c r="J71" s="12" t="n">
        <v>900</v>
      </c>
      <c r="K71" s="12" t="n">
        <f aca="false">G71*H71*(1-I71)</f>
        <v>4050</v>
      </c>
      <c r="L71" s="12" t="n">
        <f aca="false">K71-G71*J71</f>
        <v>1350</v>
      </c>
    </row>
    <row r="72" customFormat="false" ht="15" hidden="false" customHeight="false" outlineLevel="0" collapsed="false">
      <c r="A72" s="8" t="s">
        <v>151</v>
      </c>
      <c r="B72" s="11" t="n">
        <v>45698</v>
      </c>
      <c r="C72" s="8" t="n">
        <f aca="false">MONTH(B72)</f>
        <v>2</v>
      </c>
      <c r="D72" s="8" t="s">
        <v>55</v>
      </c>
      <c r="E72" s="8" t="s">
        <v>44</v>
      </c>
      <c r="F72" s="8" t="s">
        <v>50</v>
      </c>
      <c r="G72" s="8" t="n">
        <v>2</v>
      </c>
      <c r="H72" s="12" t="n">
        <v>3000</v>
      </c>
      <c r="I72" s="13" t="n">
        <v>0</v>
      </c>
      <c r="J72" s="12" t="n">
        <v>2000</v>
      </c>
      <c r="K72" s="12" t="n">
        <f aca="false">G72*H72*(1-I72)</f>
        <v>6000</v>
      </c>
      <c r="L72" s="12" t="n">
        <f aca="false">K72-G72*J72</f>
        <v>2000</v>
      </c>
    </row>
    <row r="73" customFormat="false" ht="15" hidden="false" customHeight="false" outlineLevel="0" collapsed="false">
      <c r="A73" s="8" t="s">
        <v>127</v>
      </c>
      <c r="B73" s="11" t="n">
        <v>45699</v>
      </c>
      <c r="C73" s="8" t="n">
        <f aca="false">MONTH(B73)</f>
        <v>2</v>
      </c>
      <c r="D73" s="8" t="s">
        <v>43</v>
      </c>
      <c r="E73" s="8" t="s">
        <v>44</v>
      </c>
      <c r="F73" s="8" t="s">
        <v>45</v>
      </c>
      <c r="G73" s="8" t="n">
        <v>2</v>
      </c>
      <c r="H73" s="12" t="n">
        <v>1500</v>
      </c>
      <c r="I73" s="13" t="n">
        <v>0</v>
      </c>
      <c r="J73" s="12" t="n">
        <v>900</v>
      </c>
      <c r="K73" s="12" t="n">
        <f aca="false">G73*H73*(1-I73)</f>
        <v>3000</v>
      </c>
      <c r="L73" s="12" t="n">
        <f aca="false">K73-G73*J73</f>
        <v>1200</v>
      </c>
    </row>
    <row r="74" customFormat="false" ht="15" hidden="false" customHeight="false" outlineLevel="0" collapsed="false">
      <c r="A74" s="8" t="s">
        <v>119</v>
      </c>
      <c r="B74" s="11" t="n">
        <v>45699</v>
      </c>
      <c r="C74" s="8" t="n">
        <f aca="false">MONTH(B74)</f>
        <v>2</v>
      </c>
      <c r="D74" s="8" t="s">
        <v>43</v>
      </c>
      <c r="E74" s="8" t="s">
        <v>40</v>
      </c>
      <c r="F74" s="8" t="s">
        <v>104</v>
      </c>
      <c r="G74" s="8" t="n">
        <v>2</v>
      </c>
      <c r="H74" s="12" t="n">
        <v>250</v>
      </c>
      <c r="I74" s="13" t="n">
        <v>0.1</v>
      </c>
      <c r="J74" s="12" t="n">
        <v>100</v>
      </c>
      <c r="K74" s="12" t="n">
        <f aca="false">G74*H74*(1-I74)</f>
        <v>450</v>
      </c>
      <c r="L74" s="12" t="n">
        <f aca="false">K74-G74*J74</f>
        <v>250</v>
      </c>
    </row>
    <row r="75" customFormat="false" ht="15" hidden="false" customHeight="false" outlineLevel="0" collapsed="false">
      <c r="A75" s="8" t="s">
        <v>138</v>
      </c>
      <c r="B75" s="11" t="n">
        <v>45699</v>
      </c>
      <c r="C75" s="8" t="n">
        <f aca="false">MONTH(B75)</f>
        <v>2</v>
      </c>
      <c r="D75" s="8" t="s">
        <v>55</v>
      </c>
      <c r="E75" s="8" t="s">
        <v>57</v>
      </c>
      <c r="F75" s="8" t="s">
        <v>58</v>
      </c>
      <c r="G75" s="8" t="n">
        <v>1</v>
      </c>
      <c r="H75" s="12" t="n">
        <v>5500</v>
      </c>
      <c r="I75" s="13" t="n">
        <v>0</v>
      </c>
      <c r="J75" s="12" t="n">
        <v>3600</v>
      </c>
      <c r="K75" s="12" t="n">
        <f aca="false">G75*H75*(1-I75)</f>
        <v>5500</v>
      </c>
      <c r="L75" s="12" t="n">
        <f aca="false">K75-G75*J75</f>
        <v>1900</v>
      </c>
    </row>
    <row r="76" customFormat="false" ht="15" hidden="false" customHeight="false" outlineLevel="0" collapsed="false">
      <c r="A76" s="8" t="s">
        <v>135</v>
      </c>
      <c r="B76" s="11" t="n">
        <v>45699</v>
      </c>
      <c r="C76" s="8" t="n">
        <f aca="false">MONTH(B76)</f>
        <v>2</v>
      </c>
      <c r="D76" s="8" t="s">
        <v>47</v>
      </c>
      <c r="E76" s="8" t="s">
        <v>57</v>
      </c>
      <c r="F76" s="8" t="s">
        <v>111</v>
      </c>
      <c r="G76" s="8" t="n">
        <v>1</v>
      </c>
      <c r="H76" s="12" t="n">
        <v>7000</v>
      </c>
      <c r="I76" s="13" t="n">
        <v>0.1</v>
      </c>
      <c r="J76" s="12" t="n">
        <v>4800</v>
      </c>
      <c r="K76" s="12" t="n">
        <f aca="false">G76*H76*(1-I76)</f>
        <v>6300</v>
      </c>
      <c r="L76" s="12" t="n">
        <f aca="false">K76-G76*J76</f>
        <v>1500</v>
      </c>
    </row>
    <row r="77" customFormat="false" ht="15" hidden="false" customHeight="false" outlineLevel="0" collapsed="false">
      <c r="A77" s="8" t="s">
        <v>157</v>
      </c>
      <c r="B77" s="11" t="n">
        <v>45700</v>
      </c>
      <c r="C77" s="8" t="n">
        <f aca="false">MONTH(B77)</f>
        <v>2</v>
      </c>
      <c r="D77" s="8" t="s">
        <v>39</v>
      </c>
      <c r="E77" s="8" t="s">
        <v>57</v>
      </c>
      <c r="F77" s="8" t="s">
        <v>111</v>
      </c>
      <c r="G77" s="8" t="n">
        <v>3</v>
      </c>
      <c r="H77" s="12" t="n">
        <v>7000</v>
      </c>
      <c r="I77" s="13" t="n">
        <v>0</v>
      </c>
      <c r="J77" s="12" t="n">
        <v>4800</v>
      </c>
      <c r="K77" s="12" t="n">
        <f aca="false">G77*H77*(1-I77)</f>
        <v>21000</v>
      </c>
      <c r="L77" s="12" t="n">
        <f aca="false">K77-G77*J77</f>
        <v>6600</v>
      </c>
    </row>
    <row r="78" customFormat="false" ht="15" hidden="false" customHeight="false" outlineLevel="0" collapsed="false">
      <c r="A78" s="8" t="s">
        <v>152</v>
      </c>
      <c r="B78" s="11" t="n">
        <v>45701</v>
      </c>
      <c r="C78" s="8" t="n">
        <f aca="false">MONTH(B78)</f>
        <v>2</v>
      </c>
      <c r="D78" s="8" t="s">
        <v>39</v>
      </c>
      <c r="E78" s="8" t="s">
        <v>44</v>
      </c>
      <c r="F78" s="8" t="s">
        <v>50</v>
      </c>
      <c r="G78" s="8" t="n">
        <v>3</v>
      </c>
      <c r="H78" s="12" t="n">
        <v>3000</v>
      </c>
      <c r="I78" s="13" t="n">
        <v>0</v>
      </c>
      <c r="J78" s="12" t="n">
        <v>2000</v>
      </c>
      <c r="K78" s="12" t="n">
        <f aca="false">G78*H78*(1-I78)</f>
        <v>9000</v>
      </c>
      <c r="L78" s="12" t="n">
        <f aca="false">K78-G78*J78</f>
        <v>3000</v>
      </c>
    </row>
    <row r="79" customFormat="false" ht="15" hidden="false" customHeight="false" outlineLevel="0" collapsed="false">
      <c r="A79" s="8" t="s">
        <v>126</v>
      </c>
      <c r="B79" s="11" t="n">
        <v>45701</v>
      </c>
      <c r="C79" s="8" t="n">
        <f aca="false">MONTH(B79)</f>
        <v>2</v>
      </c>
      <c r="D79" s="8" t="s">
        <v>43</v>
      </c>
      <c r="E79" s="8" t="s">
        <v>40</v>
      </c>
      <c r="F79" s="8" t="s">
        <v>41</v>
      </c>
      <c r="G79" s="8" t="n">
        <v>5</v>
      </c>
      <c r="H79" s="12" t="n">
        <v>600</v>
      </c>
      <c r="I79" s="13" t="n">
        <v>0</v>
      </c>
      <c r="J79" s="12" t="n">
        <v>300</v>
      </c>
      <c r="K79" s="12" t="n">
        <f aca="false">G79*H79*(1-I79)</f>
        <v>3000</v>
      </c>
      <c r="L79" s="12" t="n">
        <f aca="false">K79-G79*J79</f>
        <v>1500</v>
      </c>
    </row>
    <row r="80" customFormat="false" ht="15" hidden="false" customHeight="false" outlineLevel="0" collapsed="false">
      <c r="A80" s="8" t="s">
        <v>115</v>
      </c>
      <c r="B80" s="11" t="n">
        <v>45702</v>
      </c>
      <c r="C80" s="8" t="n">
        <f aca="false">MONTH(B80)</f>
        <v>2</v>
      </c>
      <c r="D80" s="8" t="s">
        <v>47</v>
      </c>
      <c r="E80" s="8" t="s">
        <v>57</v>
      </c>
      <c r="F80" s="8" t="s">
        <v>58</v>
      </c>
      <c r="G80" s="8" t="n">
        <v>2</v>
      </c>
      <c r="H80" s="12" t="n">
        <v>5500</v>
      </c>
      <c r="I80" s="13" t="n">
        <v>0</v>
      </c>
      <c r="J80" s="12" t="n">
        <v>3600</v>
      </c>
      <c r="K80" s="12" t="n">
        <f aca="false">G80*H80*(1-I80)</f>
        <v>11000</v>
      </c>
      <c r="L80" s="12" t="n">
        <f aca="false">K80-G80*J80</f>
        <v>3800</v>
      </c>
    </row>
    <row r="81" customFormat="false" ht="15" hidden="false" customHeight="false" outlineLevel="0" collapsed="false">
      <c r="A81" s="8" t="s">
        <v>136</v>
      </c>
      <c r="B81" s="11" t="n">
        <v>45704</v>
      </c>
      <c r="C81" s="8" t="n">
        <f aca="false">MONTH(B81)</f>
        <v>2</v>
      </c>
      <c r="D81" s="8" t="s">
        <v>43</v>
      </c>
      <c r="E81" s="8" t="s">
        <v>44</v>
      </c>
      <c r="F81" s="8" t="s">
        <v>50</v>
      </c>
      <c r="G81" s="8" t="n">
        <v>2</v>
      </c>
      <c r="H81" s="12" t="n">
        <v>3000</v>
      </c>
      <c r="I81" s="13" t="n">
        <v>0.05</v>
      </c>
      <c r="J81" s="12" t="n">
        <v>2000</v>
      </c>
      <c r="K81" s="12" t="n">
        <f aca="false">G81*H81*(1-I81)</f>
        <v>5700</v>
      </c>
      <c r="L81" s="12" t="n">
        <f aca="false">K81-G81*J81</f>
        <v>1700</v>
      </c>
    </row>
    <row r="82" customFormat="false" ht="15" hidden="false" customHeight="false" outlineLevel="0" collapsed="false">
      <c r="A82" s="8" t="s">
        <v>141</v>
      </c>
      <c r="B82" s="11" t="n">
        <v>45706</v>
      </c>
      <c r="C82" s="8" t="n">
        <f aca="false">MONTH(B82)</f>
        <v>2</v>
      </c>
      <c r="D82" s="8" t="s">
        <v>39</v>
      </c>
      <c r="E82" s="8" t="s">
        <v>44</v>
      </c>
      <c r="F82" s="8" t="s">
        <v>48</v>
      </c>
      <c r="G82" s="8" t="n">
        <v>3</v>
      </c>
      <c r="H82" s="12" t="n">
        <v>4500</v>
      </c>
      <c r="I82" s="13" t="n">
        <v>0</v>
      </c>
      <c r="J82" s="12" t="n">
        <v>3300</v>
      </c>
      <c r="K82" s="12" t="n">
        <f aca="false">G82*H82*(1-I82)</f>
        <v>13500</v>
      </c>
      <c r="L82" s="12" t="n">
        <f aca="false">K82-G82*J82</f>
        <v>3600</v>
      </c>
    </row>
    <row r="83" customFormat="false" ht="15" hidden="false" customHeight="false" outlineLevel="0" collapsed="false">
      <c r="A83" s="8" t="s">
        <v>123</v>
      </c>
      <c r="B83" s="11" t="n">
        <v>45707</v>
      </c>
      <c r="C83" s="8" t="n">
        <f aca="false">MONTH(B83)</f>
        <v>2</v>
      </c>
      <c r="D83" s="8" t="s">
        <v>47</v>
      </c>
      <c r="E83" s="8" t="s">
        <v>44</v>
      </c>
      <c r="F83" s="8" t="s">
        <v>50</v>
      </c>
      <c r="G83" s="8" t="n">
        <v>3</v>
      </c>
      <c r="H83" s="12" t="n">
        <v>3000</v>
      </c>
      <c r="I83" s="13" t="n">
        <v>0</v>
      </c>
      <c r="J83" s="12" t="n">
        <v>2000</v>
      </c>
      <c r="K83" s="12" t="n">
        <f aca="false">G83*H83*(1-I83)</f>
        <v>9000</v>
      </c>
      <c r="L83" s="12" t="n">
        <f aca="false">K83-G83*J83</f>
        <v>3000</v>
      </c>
    </row>
    <row r="84" customFormat="false" ht="15" hidden="false" customHeight="false" outlineLevel="0" collapsed="false">
      <c r="A84" s="8" t="s">
        <v>155</v>
      </c>
      <c r="B84" s="11" t="n">
        <v>45707</v>
      </c>
      <c r="C84" s="8" t="n">
        <f aca="false">MONTH(B84)</f>
        <v>2</v>
      </c>
      <c r="D84" s="8" t="s">
        <v>55</v>
      </c>
      <c r="E84" s="8" t="s">
        <v>44</v>
      </c>
      <c r="F84" s="8" t="s">
        <v>48</v>
      </c>
      <c r="G84" s="8" t="n">
        <v>2</v>
      </c>
      <c r="H84" s="12" t="n">
        <v>4500</v>
      </c>
      <c r="I84" s="13" t="n">
        <v>0</v>
      </c>
      <c r="J84" s="12" t="n">
        <v>3300</v>
      </c>
      <c r="K84" s="12" t="n">
        <f aca="false">G84*H84*(1-I84)</f>
        <v>9000</v>
      </c>
      <c r="L84" s="12" t="n">
        <f aca="false">K84-G84*J84</f>
        <v>2400</v>
      </c>
    </row>
    <row r="85" customFormat="false" ht="15" hidden="false" customHeight="false" outlineLevel="0" collapsed="false">
      <c r="A85" s="8" t="s">
        <v>145</v>
      </c>
      <c r="B85" s="11" t="n">
        <v>45708</v>
      </c>
      <c r="C85" s="8" t="n">
        <f aca="false">MONTH(B85)</f>
        <v>2</v>
      </c>
      <c r="D85" s="8" t="s">
        <v>39</v>
      </c>
      <c r="E85" s="8" t="s">
        <v>40</v>
      </c>
      <c r="F85" s="8" t="s">
        <v>41</v>
      </c>
      <c r="G85" s="8" t="n">
        <v>10</v>
      </c>
      <c r="H85" s="12" t="n">
        <v>600</v>
      </c>
      <c r="I85" s="13" t="n">
        <v>0</v>
      </c>
      <c r="J85" s="12" t="n">
        <v>300</v>
      </c>
      <c r="K85" s="12" t="n">
        <f aca="false">G85*H85*(1-I85)</f>
        <v>6000</v>
      </c>
      <c r="L85" s="12" t="n">
        <f aca="false">K85-G85*J85</f>
        <v>3000</v>
      </c>
    </row>
    <row r="86" customFormat="false" ht="15" hidden="false" customHeight="false" outlineLevel="0" collapsed="false">
      <c r="A86" s="8" t="s">
        <v>137</v>
      </c>
      <c r="B86" s="11" t="n">
        <v>45709</v>
      </c>
      <c r="C86" s="8" t="n">
        <f aca="false">MONTH(B86)</f>
        <v>2</v>
      </c>
      <c r="D86" s="8" t="s">
        <v>55</v>
      </c>
      <c r="E86" s="8" t="s">
        <v>57</v>
      </c>
      <c r="F86" s="8" t="s">
        <v>111</v>
      </c>
      <c r="G86" s="8" t="n">
        <v>1</v>
      </c>
      <c r="H86" s="12" t="n">
        <v>7000</v>
      </c>
      <c r="I86" s="13" t="n">
        <v>0</v>
      </c>
      <c r="J86" s="12" t="n">
        <v>4800</v>
      </c>
      <c r="K86" s="12" t="n">
        <f aca="false">G86*H86*(1-I86)</f>
        <v>7000</v>
      </c>
      <c r="L86" s="12" t="n">
        <f aca="false">K86-G86*J86</f>
        <v>2200</v>
      </c>
    </row>
    <row r="87" customFormat="false" ht="15" hidden="false" customHeight="false" outlineLevel="0" collapsed="false">
      <c r="A87" s="8" t="s">
        <v>124</v>
      </c>
      <c r="B87" s="11" t="n">
        <v>45710</v>
      </c>
      <c r="C87" s="8" t="n">
        <f aca="false">MONTH(B87)</f>
        <v>2</v>
      </c>
      <c r="D87" s="8" t="s">
        <v>39</v>
      </c>
      <c r="E87" s="8" t="s">
        <v>40</v>
      </c>
      <c r="F87" s="8" t="s">
        <v>104</v>
      </c>
      <c r="G87" s="8" t="n">
        <v>3</v>
      </c>
      <c r="H87" s="12" t="n">
        <v>250</v>
      </c>
      <c r="I87" s="13" t="n">
        <v>0</v>
      </c>
      <c r="J87" s="12" t="n">
        <v>100</v>
      </c>
      <c r="K87" s="12" t="n">
        <f aca="false">G87*H87*(1-I87)</f>
        <v>750</v>
      </c>
      <c r="L87" s="12" t="n">
        <f aca="false">K87-G87*J87</f>
        <v>450</v>
      </c>
    </row>
    <row r="88" customFormat="false" ht="15" hidden="false" customHeight="false" outlineLevel="0" collapsed="false">
      <c r="A88" s="8" t="s">
        <v>132</v>
      </c>
      <c r="B88" s="11" t="n">
        <v>45710</v>
      </c>
      <c r="C88" s="8" t="n">
        <f aca="false">MONTH(B88)</f>
        <v>2</v>
      </c>
      <c r="D88" s="8" t="s">
        <v>55</v>
      </c>
      <c r="E88" s="8" t="s">
        <v>40</v>
      </c>
      <c r="F88" s="8" t="s">
        <v>104</v>
      </c>
      <c r="G88" s="8" t="n">
        <v>10</v>
      </c>
      <c r="H88" s="12" t="n">
        <v>250</v>
      </c>
      <c r="I88" s="13" t="n">
        <v>0</v>
      </c>
      <c r="J88" s="12" t="n">
        <v>100</v>
      </c>
      <c r="K88" s="12" t="n">
        <f aca="false">G88*H88*(1-I88)</f>
        <v>2500</v>
      </c>
      <c r="L88" s="12" t="n">
        <f aca="false">K88-G88*J88</f>
        <v>1500</v>
      </c>
    </row>
    <row r="89" customFormat="false" ht="15" hidden="false" customHeight="false" outlineLevel="0" collapsed="false">
      <c r="A89" s="8" t="s">
        <v>116</v>
      </c>
      <c r="B89" s="11" t="n">
        <v>45711</v>
      </c>
      <c r="C89" s="8" t="n">
        <f aca="false">MONTH(B89)</f>
        <v>2</v>
      </c>
      <c r="D89" s="8" t="s">
        <v>55</v>
      </c>
      <c r="E89" s="8" t="s">
        <v>40</v>
      </c>
      <c r="F89" s="8" t="s">
        <v>71</v>
      </c>
      <c r="G89" s="8" t="n">
        <v>10</v>
      </c>
      <c r="H89" s="12" t="n">
        <v>500</v>
      </c>
      <c r="I89" s="13" t="n">
        <v>0.1</v>
      </c>
      <c r="J89" s="12" t="n">
        <v>250</v>
      </c>
      <c r="K89" s="12" t="n">
        <f aca="false">G89*H89*(1-I89)</f>
        <v>4500</v>
      </c>
      <c r="L89" s="12" t="n">
        <f aca="false">K89-G89*J89</f>
        <v>2000</v>
      </c>
    </row>
    <row r="90" customFormat="false" ht="15" hidden="false" customHeight="false" outlineLevel="0" collapsed="false">
      <c r="A90" s="8" t="s">
        <v>139</v>
      </c>
      <c r="B90" s="11" t="n">
        <v>45712</v>
      </c>
      <c r="C90" s="8" t="n">
        <f aca="false">MONTH(B90)</f>
        <v>2</v>
      </c>
      <c r="D90" s="8" t="s">
        <v>43</v>
      </c>
      <c r="E90" s="8" t="s">
        <v>44</v>
      </c>
      <c r="F90" s="8" t="s">
        <v>45</v>
      </c>
      <c r="G90" s="8" t="n">
        <v>2</v>
      </c>
      <c r="H90" s="12" t="n">
        <v>1500</v>
      </c>
      <c r="I90" s="13" t="n">
        <v>0</v>
      </c>
      <c r="J90" s="12" t="n">
        <v>900</v>
      </c>
      <c r="K90" s="12" t="n">
        <f aca="false">G90*H90*(1-I90)</f>
        <v>3000</v>
      </c>
      <c r="L90" s="12" t="n">
        <f aca="false">K90-G90*J90</f>
        <v>1200</v>
      </c>
    </row>
    <row r="91" customFormat="false" ht="15" hidden="false" customHeight="false" outlineLevel="0" collapsed="false">
      <c r="A91" s="8" t="s">
        <v>147</v>
      </c>
      <c r="B91" s="11" t="n">
        <v>45712</v>
      </c>
      <c r="C91" s="8" t="n">
        <f aca="false">MONTH(B91)</f>
        <v>2</v>
      </c>
      <c r="D91" s="8" t="s">
        <v>55</v>
      </c>
      <c r="E91" s="8" t="s">
        <v>44</v>
      </c>
      <c r="F91" s="8" t="s">
        <v>45</v>
      </c>
      <c r="G91" s="8" t="n">
        <v>1</v>
      </c>
      <c r="H91" s="12" t="n">
        <v>1500</v>
      </c>
      <c r="I91" s="13" t="n">
        <v>0</v>
      </c>
      <c r="J91" s="12" t="n">
        <v>900</v>
      </c>
      <c r="K91" s="12" t="n">
        <f aca="false">G91*H91*(1-I91)</f>
        <v>1500</v>
      </c>
      <c r="L91" s="12" t="n">
        <f aca="false">K91-G91*J91</f>
        <v>600</v>
      </c>
    </row>
    <row r="92" customFormat="false" ht="15" hidden="false" customHeight="false" outlineLevel="0" collapsed="false">
      <c r="A92" s="8" t="s">
        <v>149</v>
      </c>
      <c r="B92" s="11" t="n">
        <v>45714</v>
      </c>
      <c r="C92" s="8" t="n">
        <f aca="false">MONTH(B92)</f>
        <v>2</v>
      </c>
      <c r="D92" s="8" t="s">
        <v>55</v>
      </c>
      <c r="E92" s="8" t="s">
        <v>40</v>
      </c>
      <c r="F92" s="8" t="s">
        <v>71</v>
      </c>
      <c r="G92" s="8" t="n">
        <v>6</v>
      </c>
      <c r="H92" s="12" t="n">
        <v>500</v>
      </c>
      <c r="I92" s="13" t="n">
        <v>0</v>
      </c>
      <c r="J92" s="12" t="n">
        <v>250</v>
      </c>
      <c r="K92" s="12" t="n">
        <f aca="false">G92*H92*(1-I92)</f>
        <v>3000</v>
      </c>
      <c r="L92" s="12" t="n">
        <f aca="false">K92-G92*J92</f>
        <v>1500</v>
      </c>
    </row>
    <row r="93" customFormat="false" ht="15" hidden="false" customHeight="false" outlineLevel="0" collapsed="false">
      <c r="A93" s="8" t="s">
        <v>146</v>
      </c>
      <c r="B93" s="11" t="n">
        <v>45714</v>
      </c>
      <c r="C93" s="8" t="n">
        <f aca="false">MONTH(B93)</f>
        <v>2</v>
      </c>
      <c r="D93" s="8" t="s">
        <v>39</v>
      </c>
      <c r="E93" s="8" t="s">
        <v>40</v>
      </c>
      <c r="F93" s="8" t="s">
        <v>71</v>
      </c>
      <c r="G93" s="8" t="n">
        <v>5</v>
      </c>
      <c r="H93" s="12" t="n">
        <v>500</v>
      </c>
      <c r="I93" s="13" t="n">
        <v>0</v>
      </c>
      <c r="J93" s="12" t="n">
        <v>250</v>
      </c>
      <c r="K93" s="12" t="n">
        <f aca="false">G93*H93*(1-I93)</f>
        <v>2500</v>
      </c>
      <c r="L93" s="12" t="n">
        <f aca="false">K93-G93*J93</f>
        <v>1250</v>
      </c>
    </row>
    <row r="94" customFormat="false" ht="15" hidden="false" customHeight="false" outlineLevel="0" collapsed="false">
      <c r="A94" s="8" t="s">
        <v>143</v>
      </c>
      <c r="B94" s="11" t="n">
        <v>45714</v>
      </c>
      <c r="C94" s="8" t="n">
        <f aca="false">MONTH(B94)</f>
        <v>2</v>
      </c>
      <c r="D94" s="8" t="s">
        <v>39</v>
      </c>
      <c r="E94" s="8" t="s">
        <v>57</v>
      </c>
      <c r="F94" s="8" t="s">
        <v>58</v>
      </c>
      <c r="G94" s="8" t="n">
        <v>2</v>
      </c>
      <c r="H94" s="12" t="n">
        <v>5500</v>
      </c>
      <c r="I94" s="13" t="n">
        <v>0</v>
      </c>
      <c r="J94" s="12" t="n">
        <v>3600</v>
      </c>
      <c r="K94" s="12" t="n">
        <f aca="false">G94*H94*(1-I94)</f>
        <v>11000</v>
      </c>
      <c r="L94" s="12" t="n">
        <f aca="false">K94-G94*J94</f>
        <v>3800</v>
      </c>
    </row>
    <row r="95" customFormat="false" ht="15" hidden="false" customHeight="false" outlineLevel="0" collapsed="false">
      <c r="A95" s="8" t="s">
        <v>121</v>
      </c>
      <c r="B95" s="11" t="n">
        <v>45716</v>
      </c>
      <c r="C95" s="8" t="n">
        <f aca="false">MONTH(B95)</f>
        <v>2</v>
      </c>
      <c r="D95" s="8" t="s">
        <v>39</v>
      </c>
      <c r="E95" s="8" t="s">
        <v>40</v>
      </c>
      <c r="F95" s="8" t="s">
        <v>77</v>
      </c>
      <c r="G95" s="8" t="n">
        <v>10</v>
      </c>
      <c r="H95" s="12" t="n">
        <v>400</v>
      </c>
      <c r="I95" s="13" t="n">
        <v>0</v>
      </c>
      <c r="J95" s="12" t="n">
        <v>200</v>
      </c>
      <c r="K95" s="12" t="n">
        <f aca="false">G95*H95*(1-I95)</f>
        <v>4000</v>
      </c>
      <c r="L95" s="12" t="n">
        <f aca="false">K95-G95*J95</f>
        <v>2000</v>
      </c>
    </row>
    <row r="96" customFormat="false" ht="15" hidden="false" customHeight="false" outlineLevel="0" collapsed="false">
      <c r="A96" s="8" t="s">
        <v>120</v>
      </c>
      <c r="B96" s="11" t="n">
        <v>45716</v>
      </c>
      <c r="C96" s="8" t="n">
        <f aca="false">MONTH(B96)</f>
        <v>2</v>
      </c>
      <c r="D96" s="8" t="s">
        <v>39</v>
      </c>
      <c r="E96" s="8" t="s">
        <v>44</v>
      </c>
      <c r="F96" s="8" t="s">
        <v>60</v>
      </c>
      <c r="G96" s="8" t="n">
        <v>2</v>
      </c>
      <c r="H96" s="12" t="n">
        <v>2500</v>
      </c>
      <c r="I96" s="13" t="n">
        <v>0.05</v>
      </c>
      <c r="J96" s="12" t="n">
        <v>1600</v>
      </c>
      <c r="K96" s="12" t="n">
        <f aca="false">G96*H96*(1-I96)</f>
        <v>4750</v>
      </c>
      <c r="L96" s="12" t="n">
        <f aca="false">K96-G96*J96</f>
        <v>1550</v>
      </c>
    </row>
    <row r="97" customFormat="false" ht="15" hidden="false" customHeight="false" outlineLevel="0" collapsed="false">
      <c r="A97" s="8" t="s">
        <v>122</v>
      </c>
      <c r="B97" s="11" t="n">
        <v>45716</v>
      </c>
      <c r="C97" s="8" t="n">
        <f aca="false">MONTH(B97)</f>
        <v>2</v>
      </c>
      <c r="D97" s="8" t="s">
        <v>771</v>
      </c>
      <c r="E97" s="8" t="s">
        <v>44</v>
      </c>
      <c r="F97" s="8" t="s">
        <v>45</v>
      </c>
      <c r="G97" s="8" t="n">
        <v>1</v>
      </c>
      <c r="H97" s="12" t="n">
        <v>1500</v>
      </c>
      <c r="I97" s="13" t="n">
        <v>0.1</v>
      </c>
      <c r="J97" s="12" t="n">
        <v>900</v>
      </c>
      <c r="K97" s="12" t="n">
        <f aca="false">G97*H97*(1-I97)</f>
        <v>1350</v>
      </c>
      <c r="L97" s="12" t="n">
        <f aca="false">K97-G97*J97</f>
        <v>450</v>
      </c>
    </row>
    <row r="98" customFormat="false" ht="15" hidden="false" customHeight="false" outlineLevel="0" collapsed="false">
      <c r="A98" s="8" t="s">
        <v>148</v>
      </c>
      <c r="B98" s="11" t="n">
        <v>45716</v>
      </c>
      <c r="C98" s="8" t="n">
        <f aca="false">MONTH(B98)</f>
        <v>2</v>
      </c>
      <c r="D98" s="8" t="s">
        <v>43</v>
      </c>
      <c r="E98" s="8" t="s">
        <v>57</v>
      </c>
      <c r="F98" s="8" t="s">
        <v>63</v>
      </c>
      <c r="G98" s="8" t="n">
        <v>2</v>
      </c>
      <c r="H98" s="12" t="n">
        <v>9000</v>
      </c>
      <c r="I98" s="13" t="n">
        <v>0.1</v>
      </c>
      <c r="J98" s="12" t="n">
        <v>6200</v>
      </c>
      <c r="K98" s="12" t="n">
        <f aca="false">G98*H98*(1-I98)</f>
        <v>16200</v>
      </c>
      <c r="L98" s="12" t="n">
        <f aca="false">K98-G98*J98</f>
        <v>3800</v>
      </c>
    </row>
    <row r="99" customFormat="false" ht="15" hidden="false" customHeight="false" outlineLevel="0" collapsed="false">
      <c r="A99" s="8" t="s">
        <v>202</v>
      </c>
      <c r="B99" s="11" t="n">
        <v>45717</v>
      </c>
      <c r="C99" s="8" t="n">
        <f aca="false">MONTH(B99)</f>
        <v>3</v>
      </c>
      <c r="D99" s="8" t="s">
        <v>47</v>
      </c>
      <c r="E99" s="8" t="s">
        <v>57</v>
      </c>
      <c r="F99" s="8" t="s">
        <v>58</v>
      </c>
      <c r="G99" s="8" t="n">
        <v>1</v>
      </c>
      <c r="H99" s="12" t="n">
        <v>5500</v>
      </c>
      <c r="I99" s="13" t="n">
        <v>0</v>
      </c>
      <c r="J99" s="12" t="n">
        <v>3600</v>
      </c>
      <c r="K99" s="12" t="n">
        <f aca="false">G99*H99*(1-I99)</f>
        <v>5500</v>
      </c>
      <c r="L99" s="12" t="n">
        <f aca="false">K99-G99*J99</f>
        <v>1900</v>
      </c>
    </row>
    <row r="100" customFormat="false" ht="15" hidden="false" customHeight="false" outlineLevel="0" collapsed="false">
      <c r="A100" s="8" t="s">
        <v>197</v>
      </c>
      <c r="B100" s="11" t="n">
        <v>45717</v>
      </c>
      <c r="C100" s="8" t="n">
        <f aca="false">MONTH(B100)</f>
        <v>3</v>
      </c>
      <c r="D100" s="8" t="s">
        <v>55</v>
      </c>
      <c r="E100" s="8" t="s">
        <v>57</v>
      </c>
      <c r="F100" s="8" t="s">
        <v>86</v>
      </c>
      <c r="G100" s="8" t="n">
        <v>3</v>
      </c>
      <c r="H100" s="12" t="n">
        <v>1200</v>
      </c>
      <c r="I100" s="13" t="n">
        <v>0.05</v>
      </c>
      <c r="J100" s="12" t="n">
        <v>600</v>
      </c>
      <c r="K100" s="12" t="n">
        <f aca="false">G100*H100*(1-I100)</f>
        <v>3420</v>
      </c>
      <c r="L100" s="12" t="n">
        <f aca="false">K100-G100*J100</f>
        <v>1620</v>
      </c>
    </row>
    <row r="101" customFormat="false" ht="15" hidden="false" customHeight="false" outlineLevel="0" collapsed="false">
      <c r="A101" s="8" t="s">
        <v>173</v>
      </c>
      <c r="B101" s="11" t="n">
        <v>45718</v>
      </c>
      <c r="C101" s="8" t="n">
        <f aca="false">MONTH(B101)</f>
        <v>3</v>
      </c>
      <c r="D101" s="8" t="s">
        <v>55</v>
      </c>
      <c r="E101" s="8" t="s">
        <v>44</v>
      </c>
      <c r="F101" s="8" t="s">
        <v>50</v>
      </c>
      <c r="G101" s="8" t="n">
        <v>1</v>
      </c>
      <c r="H101" s="12" t="n">
        <v>3000</v>
      </c>
      <c r="I101" s="13" t="n">
        <v>0</v>
      </c>
      <c r="J101" s="12" t="n">
        <v>2000</v>
      </c>
      <c r="K101" s="12" t="n">
        <f aca="false">G101*H101*(1-I101)</f>
        <v>3000</v>
      </c>
      <c r="L101" s="12" t="n">
        <f aca="false">K101-G101*J101</f>
        <v>1000</v>
      </c>
    </row>
    <row r="102" customFormat="false" ht="15" hidden="false" customHeight="false" outlineLevel="0" collapsed="false">
      <c r="A102" s="8" t="s">
        <v>199</v>
      </c>
      <c r="B102" s="11" t="n">
        <v>45718</v>
      </c>
      <c r="C102" s="8" t="n">
        <f aca="false">MONTH(B102)</f>
        <v>3</v>
      </c>
      <c r="D102" s="8" t="s">
        <v>47</v>
      </c>
      <c r="E102" s="8" t="s">
        <v>40</v>
      </c>
      <c r="F102" s="8" t="s">
        <v>41</v>
      </c>
      <c r="G102" s="8" t="n">
        <v>9</v>
      </c>
      <c r="H102" s="12" t="n">
        <v>600</v>
      </c>
      <c r="I102" s="13" t="n">
        <v>0</v>
      </c>
      <c r="J102" s="12" t="n">
        <v>300</v>
      </c>
      <c r="K102" s="12" t="n">
        <f aca="false">G102*H102*(1-I102)</f>
        <v>5400</v>
      </c>
      <c r="L102" s="12" t="n">
        <f aca="false">K102-G102*J102</f>
        <v>2700</v>
      </c>
    </row>
    <row r="103" customFormat="false" ht="15" hidden="false" customHeight="false" outlineLevel="0" collapsed="false">
      <c r="A103" s="8" t="s">
        <v>198</v>
      </c>
      <c r="B103" s="11" t="n">
        <v>45719</v>
      </c>
      <c r="C103" s="8" t="n">
        <f aca="false">MONTH(B103)</f>
        <v>3</v>
      </c>
      <c r="D103" s="8" t="s">
        <v>55</v>
      </c>
      <c r="E103" s="8" t="s">
        <v>57</v>
      </c>
      <c r="F103" s="8" t="s">
        <v>58</v>
      </c>
      <c r="G103" s="8" t="n">
        <v>3</v>
      </c>
      <c r="H103" s="12" t="n">
        <v>5500</v>
      </c>
      <c r="I103" s="13" t="n">
        <v>0</v>
      </c>
      <c r="J103" s="12" t="n">
        <v>3600</v>
      </c>
      <c r="K103" s="12" t="n">
        <f aca="false">G103*H103*(1-I103)</f>
        <v>16500</v>
      </c>
      <c r="L103" s="12" t="n">
        <f aca="false">K103-G103*J103</f>
        <v>5700</v>
      </c>
    </row>
    <row r="104" customFormat="false" ht="15" hidden="false" customHeight="false" outlineLevel="0" collapsed="false">
      <c r="A104" s="8" t="s">
        <v>170</v>
      </c>
      <c r="B104" s="11" t="n">
        <v>45719</v>
      </c>
      <c r="C104" s="8" t="n">
        <f aca="false">MONTH(B104)</f>
        <v>3</v>
      </c>
      <c r="D104" s="8" t="s">
        <v>47</v>
      </c>
      <c r="E104" s="8" t="s">
        <v>40</v>
      </c>
      <c r="F104" s="8" t="s">
        <v>77</v>
      </c>
      <c r="G104" s="8" t="n">
        <v>4</v>
      </c>
      <c r="H104" s="12" t="n">
        <v>400</v>
      </c>
      <c r="I104" s="13" t="n">
        <v>0.1</v>
      </c>
      <c r="J104" s="12" t="n">
        <v>200</v>
      </c>
      <c r="K104" s="12" t="n">
        <f aca="false">G104*H104*(1-I104)</f>
        <v>1440</v>
      </c>
      <c r="L104" s="12" t="n">
        <f aca="false">K104-G104*J104</f>
        <v>640</v>
      </c>
    </row>
    <row r="105" customFormat="false" ht="15" hidden="false" customHeight="false" outlineLevel="0" collapsed="false">
      <c r="A105" s="8" t="s">
        <v>206</v>
      </c>
      <c r="B105" s="11" t="n">
        <v>45720</v>
      </c>
      <c r="C105" s="8" t="n">
        <f aca="false">MONTH(B105)</f>
        <v>3</v>
      </c>
      <c r="D105" s="8" t="s">
        <v>39</v>
      </c>
      <c r="E105" s="8" t="s">
        <v>44</v>
      </c>
      <c r="F105" s="8" t="s">
        <v>45</v>
      </c>
      <c r="G105" s="8" t="n">
        <v>2</v>
      </c>
      <c r="H105" s="12" t="n">
        <v>1500</v>
      </c>
      <c r="I105" s="13" t="n">
        <v>0.1</v>
      </c>
      <c r="J105" s="12" t="n">
        <v>900</v>
      </c>
      <c r="K105" s="12" t="n">
        <f aca="false">G105*H105*(1-I105)</f>
        <v>2700</v>
      </c>
      <c r="L105" s="12" t="n">
        <f aca="false">K105-G105*J105</f>
        <v>900</v>
      </c>
    </row>
    <row r="106" customFormat="false" ht="15" hidden="false" customHeight="false" outlineLevel="0" collapsed="false">
      <c r="A106" s="8" t="s">
        <v>186</v>
      </c>
      <c r="B106" s="11" t="n">
        <v>45721</v>
      </c>
      <c r="C106" s="8" t="n">
        <f aca="false">MONTH(B106)</f>
        <v>3</v>
      </c>
      <c r="D106" s="8" t="s">
        <v>55</v>
      </c>
      <c r="E106" s="8" t="s">
        <v>57</v>
      </c>
      <c r="F106" s="8" t="s">
        <v>63</v>
      </c>
      <c r="G106" s="8" t="n">
        <v>1</v>
      </c>
      <c r="H106" s="12" t="n">
        <v>9000</v>
      </c>
      <c r="I106" s="13" t="n">
        <v>0</v>
      </c>
      <c r="J106" s="12" t="n">
        <v>6200</v>
      </c>
      <c r="K106" s="12" t="n">
        <f aca="false">G106*H106*(1-I106)</f>
        <v>9000</v>
      </c>
      <c r="L106" s="12" t="n">
        <f aca="false">K106-G106*J106</f>
        <v>2800</v>
      </c>
    </row>
    <row r="107" customFormat="false" ht="15" hidden="false" customHeight="false" outlineLevel="0" collapsed="false">
      <c r="A107" s="8" t="s">
        <v>179</v>
      </c>
      <c r="B107" s="11" t="n">
        <v>45721</v>
      </c>
      <c r="C107" s="8" t="n">
        <f aca="false">MONTH(B107)</f>
        <v>3</v>
      </c>
      <c r="D107" s="8" t="s">
        <v>47</v>
      </c>
      <c r="E107" s="8" t="s">
        <v>44</v>
      </c>
      <c r="F107" s="8" t="s">
        <v>60</v>
      </c>
      <c r="G107" s="8" t="n">
        <v>1</v>
      </c>
      <c r="H107" s="12" t="n">
        <v>2500</v>
      </c>
      <c r="I107" s="13" t="n">
        <v>0</v>
      </c>
      <c r="J107" s="12" t="n">
        <v>1600</v>
      </c>
      <c r="K107" s="12" t="n">
        <f aca="false">G107*H107*(1-I107)</f>
        <v>2500</v>
      </c>
      <c r="L107" s="12" t="n">
        <f aca="false">K107-G107*J107</f>
        <v>900</v>
      </c>
    </row>
    <row r="108" customFormat="false" ht="15" hidden="false" customHeight="false" outlineLevel="0" collapsed="false">
      <c r="A108" s="8" t="s">
        <v>176</v>
      </c>
      <c r="B108" s="11" t="n">
        <v>45721</v>
      </c>
      <c r="C108" s="8" t="n">
        <f aca="false">MONTH(B108)</f>
        <v>3</v>
      </c>
      <c r="D108" s="8" t="s">
        <v>47</v>
      </c>
      <c r="E108" s="8" t="s">
        <v>40</v>
      </c>
      <c r="F108" s="8" t="s">
        <v>71</v>
      </c>
      <c r="G108" s="8" t="n">
        <v>8</v>
      </c>
      <c r="H108" s="12" t="n">
        <v>500</v>
      </c>
      <c r="I108" s="13" t="n">
        <v>0</v>
      </c>
      <c r="J108" s="12" t="n">
        <v>250</v>
      </c>
      <c r="K108" s="12" t="n">
        <f aca="false">G108*H108*(1-I108)</f>
        <v>4000</v>
      </c>
      <c r="L108" s="12" t="n">
        <f aca="false">K108-G108*J108</f>
        <v>2000</v>
      </c>
    </row>
    <row r="109" customFormat="false" ht="15" hidden="false" customHeight="false" outlineLevel="0" collapsed="false">
      <c r="A109" s="8" t="s">
        <v>196</v>
      </c>
      <c r="B109" s="11" t="n">
        <v>45722</v>
      </c>
      <c r="C109" s="8" t="n">
        <f aca="false">MONTH(B109)</f>
        <v>3</v>
      </c>
      <c r="D109" s="8" t="s">
        <v>43</v>
      </c>
      <c r="E109" s="8" t="s">
        <v>40</v>
      </c>
      <c r="F109" s="8" t="s">
        <v>41</v>
      </c>
      <c r="G109" s="8" t="n">
        <v>8</v>
      </c>
      <c r="H109" s="12" t="n">
        <v>600</v>
      </c>
      <c r="I109" s="13" t="n">
        <v>0.1</v>
      </c>
      <c r="J109" s="12" t="n">
        <v>300</v>
      </c>
      <c r="K109" s="12" t="n">
        <f aca="false">G109*H109*(1-I109)</f>
        <v>4320</v>
      </c>
      <c r="L109" s="12" t="n">
        <f aca="false">K109-G109*J109</f>
        <v>1920</v>
      </c>
    </row>
    <row r="110" customFormat="false" ht="15" hidden="false" customHeight="false" outlineLevel="0" collapsed="false">
      <c r="A110" s="8" t="s">
        <v>187</v>
      </c>
      <c r="B110" s="11" t="n">
        <v>45723</v>
      </c>
      <c r="C110" s="8" t="n">
        <f aca="false">MONTH(B110)</f>
        <v>3</v>
      </c>
      <c r="D110" s="8" t="s">
        <v>47</v>
      </c>
      <c r="E110" s="8" t="s">
        <v>44</v>
      </c>
      <c r="F110" s="8" t="s">
        <v>50</v>
      </c>
      <c r="G110" s="8" t="n">
        <v>1</v>
      </c>
      <c r="H110" s="12" t="n">
        <v>3000</v>
      </c>
      <c r="I110" s="13" t="n">
        <v>0.1</v>
      </c>
      <c r="J110" s="12" t="n">
        <v>2000</v>
      </c>
      <c r="K110" s="12" t="n">
        <f aca="false">G110*H110*(1-I110)</f>
        <v>2700</v>
      </c>
      <c r="L110" s="12" t="n">
        <f aca="false">K110-G110*J110</f>
        <v>700</v>
      </c>
    </row>
    <row r="111" customFormat="false" ht="15" hidden="false" customHeight="false" outlineLevel="0" collapsed="false">
      <c r="A111" s="8" t="s">
        <v>169</v>
      </c>
      <c r="B111" s="11" t="n">
        <v>45723</v>
      </c>
      <c r="C111" s="8" t="n">
        <f aca="false">MONTH(B111)</f>
        <v>3</v>
      </c>
      <c r="D111" s="8" t="s">
        <v>47</v>
      </c>
      <c r="E111" s="8" t="s">
        <v>57</v>
      </c>
      <c r="F111" s="8" t="s">
        <v>63</v>
      </c>
      <c r="G111" s="8" t="n">
        <v>2</v>
      </c>
      <c r="H111" s="12" t="n">
        <v>9000</v>
      </c>
      <c r="I111" s="13" t="n">
        <v>0.1</v>
      </c>
      <c r="J111" s="12" t="n">
        <v>6200</v>
      </c>
      <c r="K111" s="12" t="n">
        <f aca="false">G111*H111*(1-I111)</f>
        <v>16200</v>
      </c>
      <c r="L111" s="12" t="n">
        <f aca="false">K111-G111*J111</f>
        <v>3800</v>
      </c>
    </row>
    <row r="112" customFormat="false" ht="15" hidden="false" customHeight="false" outlineLevel="0" collapsed="false">
      <c r="A112" s="8" t="s">
        <v>177</v>
      </c>
      <c r="B112" s="11" t="n">
        <v>45724</v>
      </c>
      <c r="C112" s="8" t="n">
        <f aca="false">MONTH(B112)</f>
        <v>3</v>
      </c>
      <c r="D112" s="8" t="s">
        <v>43</v>
      </c>
      <c r="E112" s="8" t="s">
        <v>40</v>
      </c>
      <c r="F112" s="8" t="s">
        <v>41</v>
      </c>
      <c r="G112" s="8" t="n">
        <v>3</v>
      </c>
      <c r="H112" s="12" t="n">
        <v>600</v>
      </c>
      <c r="I112" s="13" t="n">
        <v>0</v>
      </c>
      <c r="J112" s="12" t="n">
        <v>300</v>
      </c>
      <c r="K112" s="12" t="n">
        <f aca="false">G112*H112*(1-I112)</f>
        <v>1800</v>
      </c>
      <c r="L112" s="12" t="n">
        <f aca="false">K112-G112*J112</f>
        <v>900</v>
      </c>
    </row>
    <row r="113" customFormat="false" ht="15" hidden="false" customHeight="false" outlineLevel="0" collapsed="false">
      <c r="A113" s="8" t="s">
        <v>193</v>
      </c>
      <c r="B113" s="11" t="n">
        <v>45724</v>
      </c>
      <c r="C113" s="8" t="n">
        <f aca="false">MONTH(B113)</f>
        <v>3</v>
      </c>
      <c r="D113" s="8" t="s">
        <v>47</v>
      </c>
      <c r="E113" s="8" t="s">
        <v>40</v>
      </c>
      <c r="F113" s="8" t="s">
        <v>71</v>
      </c>
      <c r="G113" s="8" t="n">
        <v>5</v>
      </c>
      <c r="H113" s="12" t="n">
        <v>500</v>
      </c>
      <c r="I113" s="13" t="n">
        <v>0</v>
      </c>
      <c r="J113" s="12" t="n">
        <v>250</v>
      </c>
      <c r="K113" s="12" t="n">
        <f aca="false">G113*H113*(1-I113)</f>
        <v>2500</v>
      </c>
      <c r="L113" s="12" t="n">
        <f aca="false">K113-G113*J113</f>
        <v>1250</v>
      </c>
    </row>
    <row r="114" customFormat="false" ht="15" hidden="false" customHeight="false" outlineLevel="0" collapsed="false">
      <c r="A114" s="8" t="s">
        <v>207</v>
      </c>
      <c r="B114" s="11" t="n">
        <v>45725</v>
      </c>
      <c r="C114" s="8" t="n">
        <f aca="false">MONTH(B114)</f>
        <v>3</v>
      </c>
      <c r="D114" s="8" t="s">
        <v>55</v>
      </c>
      <c r="E114" s="8" t="s">
        <v>40</v>
      </c>
      <c r="F114" s="8" t="s">
        <v>104</v>
      </c>
      <c r="G114" s="8" t="n">
        <v>9</v>
      </c>
      <c r="H114" s="12" t="n">
        <v>250</v>
      </c>
      <c r="I114" s="13" t="n">
        <v>0.1</v>
      </c>
      <c r="J114" s="12" t="n">
        <v>100</v>
      </c>
      <c r="K114" s="12" t="n">
        <f aca="false">G114*H114*(1-I114)</f>
        <v>2025</v>
      </c>
      <c r="L114" s="12" t="n">
        <f aca="false">K114-G114*J114</f>
        <v>1125</v>
      </c>
    </row>
    <row r="115" customFormat="false" ht="15" hidden="false" customHeight="false" outlineLevel="0" collapsed="false">
      <c r="A115" s="8" t="s">
        <v>159</v>
      </c>
      <c r="B115" s="11" t="n">
        <v>45725</v>
      </c>
      <c r="C115" s="8" t="n">
        <f aca="false">MONTH(B115)</f>
        <v>3</v>
      </c>
      <c r="D115" s="8" t="s">
        <v>47</v>
      </c>
      <c r="E115" s="8" t="s">
        <v>44</v>
      </c>
      <c r="F115" s="8" t="s">
        <v>48</v>
      </c>
      <c r="G115" s="8" t="n">
        <v>3</v>
      </c>
      <c r="H115" s="12" t="n">
        <v>4500</v>
      </c>
      <c r="I115" s="13" t="n">
        <v>0</v>
      </c>
      <c r="J115" s="12" t="n">
        <v>3300</v>
      </c>
      <c r="K115" s="12" t="n">
        <f aca="false">G115*H115*(1-I115)</f>
        <v>13500</v>
      </c>
      <c r="L115" s="12" t="n">
        <f aca="false">K115-G115*J115</f>
        <v>3600</v>
      </c>
    </row>
    <row r="116" customFormat="false" ht="15" hidden="false" customHeight="false" outlineLevel="0" collapsed="false">
      <c r="A116" s="8" t="s">
        <v>183</v>
      </c>
      <c r="B116" s="11" t="n">
        <v>45725</v>
      </c>
      <c r="C116" s="8" t="n">
        <f aca="false">MONTH(B116)</f>
        <v>3</v>
      </c>
      <c r="D116" s="8" t="s">
        <v>47</v>
      </c>
      <c r="E116" s="8" t="s">
        <v>57</v>
      </c>
      <c r="F116" s="8" t="s">
        <v>86</v>
      </c>
      <c r="G116" s="8" t="n">
        <v>1</v>
      </c>
      <c r="H116" s="12" t="n">
        <v>1200</v>
      </c>
      <c r="I116" s="13" t="n">
        <v>0.1</v>
      </c>
      <c r="J116" s="12" t="n">
        <v>600</v>
      </c>
      <c r="K116" s="12" t="n">
        <f aca="false">G116*H116*(1-I116)</f>
        <v>1080</v>
      </c>
      <c r="L116" s="12" t="n">
        <f aca="false">K116-G116*J116</f>
        <v>480</v>
      </c>
    </row>
    <row r="117" customFormat="false" ht="15" hidden="false" customHeight="false" outlineLevel="0" collapsed="false">
      <c r="A117" s="8" t="s">
        <v>172</v>
      </c>
      <c r="B117" s="11" t="n">
        <v>45726</v>
      </c>
      <c r="C117" s="8" t="n">
        <f aca="false">MONTH(B117)</f>
        <v>3</v>
      </c>
      <c r="D117" s="8" t="s">
        <v>55</v>
      </c>
      <c r="E117" s="8" t="s">
        <v>44</v>
      </c>
      <c r="F117" s="8" t="s">
        <v>48</v>
      </c>
      <c r="G117" s="8" t="n">
        <v>1</v>
      </c>
      <c r="H117" s="12" t="n">
        <v>4500</v>
      </c>
      <c r="I117" s="13" t="n">
        <v>0.1</v>
      </c>
      <c r="J117" s="12" t="n">
        <v>3300</v>
      </c>
      <c r="K117" s="12" t="n">
        <f aca="false">G117*H117*(1-I117)</f>
        <v>4050</v>
      </c>
      <c r="L117" s="12" t="n">
        <f aca="false">K117-G117*J117</f>
        <v>750</v>
      </c>
    </row>
    <row r="118" customFormat="false" ht="15" hidden="false" customHeight="false" outlineLevel="0" collapsed="false">
      <c r="A118" s="8" t="s">
        <v>167</v>
      </c>
      <c r="B118" s="11" t="n">
        <v>45726</v>
      </c>
      <c r="C118" s="8" t="n">
        <f aca="false">MONTH(B118)</f>
        <v>3</v>
      </c>
      <c r="D118" s="8" t="s">
        <v>47</v>
      </c>
      <c r="E118" s="8" t="s">
        <v>57</v>
      </c>
      <c r="F118" s="8" t="s">
        <v>111</v>
      </c>
      <c r="G118" s="8" t="n">
        <v>1</v>
      </c>
      <c r="H118" s="12" t="n">
        <v>7000</v>
      </c>
      <c r="I118" s="13" t="n">
        <v>0</v>
      </c>
      <c r="J118" s="12" t="n">
        <v>4800</v>
      </c>
      <c r="K118" s="12" t="n">
        <f aca="false">G118*H118*(1-I118)</f>
        <v>7000</v>
      </c>
      <c r="L118" s="12" t="n">
        <f aca="false">K118-G118*J118</f>
        <v>2200</v>
      </c>
    </row>
    <row r="119" customFormat="false" ht="15" hidden="false" customHeight="false" outlineLevel="0" collapsed="false">
      <c r="A119" s="8" t="s">
        <v>163</v>
      </c>
      <c r="B119" s="11" t="n">
        <v>45726</v>
      </c>
      <c r="C119" s="8" t="n">
        <f aca="false">MONTH(B119)</f>
        <v>3</v>
      </c>
      <c r="D119" s="8" t="s">
        <v>55</v>
      </c>
      <c r="E119" s="8" t="s">
        <v>40</v>
      </c>
      <c r="F119" s="8" t="s">
        <v>41</v>
      </c>
      <c r="G119" s="8" t="n">
        <v>6</v>
      </c>
      <c r="H119" s="12" t="n">
        <v>600</v>
      </c>
      <c r="I119" s="13" t="n">
        <v>0.05</v>
      </c>
      <c r="J119" s="12" t="n">
        <v>300</v>
      </c>
      <c r="K119" s="12" t="n">
        <f aca="false">G119*H119*(1-I119)</f>
        <v>3420</v>
      </c>
      <c r="L119" s="12" t="n">
        <f aca="false">K119-G119*J119</f>
        <v>1620</v>
      </c>
    </row>
    <row r="120" customFormat="false" ht="15" hidden="false" customHeight="false" outlineLevel="0" collapsed="false">
      <c r="A120" s="8" t="s">
        <v>164</v>
      </c>
      <c r="B120" s="11" t="n">
        <v>45726</v>
      </c>
      <c r="C120" s="8" t="n">
        <f aca="false">MONTH(B120)</f>
        <v>3</v>
      </c>
      <c r="D120" s="8" t="s">
        <v>47</v>
      </c>
      <c r="E120" s="8" t="s">
        <v>40</v>
      </c>
      <c r="F120" s="8" t="s">
        <v>41</v>
      </c>
      <c r="G120" s="8" t="n">
        <v>8</v>
      </c>
      <c r="H120" s="12" t="n">
        <v>600</v>
      </c>
      <c r="I120" s="13" t="n">
        <v>0.1</v>
      </c>
      <c r="J120" s="12" t="n">
        <v>300</v>
      </c>
      <c r="K120" s="12" t="n">
        <f aca="false">G120*H120*(1-I120)</f>
        <v>4320</v>
      </c>
      <c r="L120" s="12" t="n">
        <f aca="false">K120-G120*J120</f>
        <v>1920</v>
      </c>
    </row>
    <row r="121" customFormat="false" ht="15" hidden="false" customHeight="false" outlineLevel="0" collapsed="false">
      <c r="A121" s="8" t="s">
        <v>171</v>
      </c>
      <c r="B121" s="11" t="n">
        <v>45727</v>
      </c>
      <c r="C121" s="8" t="n">
        <f aca="false">MONTH(B121)</f>
        <v>3</v>
      </c>
      <c r="D121" s="8" t="s">
        <v>47</v>
      </c>
      <c r="E121" s="8" t="s">
        <v>57</v>
      </c>
      <c r="F121" s="8" t="s">
        <v>111</v>
      </c>
      <c r="G121" s="8" t="n">
        <v>3</v>
      </c>
      <c r="H121" s="12" t="n">
        <v>7000</v>
      </c>
      <c r="I121" s="13" t="n">
        <v>0.05</v>
      </c>
      <c r="J121" s="12" t="n">
        <v>4800</v>
      </c>
      <c r="K121" s="12" t="n">
        <f aca="false">G121*H121*(1-I121)</f>
        <v>19950</v>
      </c>
      <c r="L121" s="12" t="n">
        <f aca="false">K121-G121*J121</f>
        <v>5550</v>
      </c>
    </row>
    <row r="122" customFormat="false" ht="15" hidden="false" customHeight="false" outlineLevel="0" collapsed="false">
      <c r="A122" s="8" t="s">
        <v>200</v>
      </c>
      <c r="B122" s="11" t="n">
        <v>45727</v>
      </c>
      <c r="C122" s="8" t="n">
        <f aca="false">MONTH(B122)</f>
        <v>3</v>
      </c>
      <c r="D122" s="8" t="s">
        <v>47</v>
      </c>
      <c r="E122" s="8" t="s">
        <v>57</v>
      </c>
      <c r="F122" s="8" t="s">
        <v>111</v>
      </c>
      <c r="G122" s="8" t="n">
        <v>1</v>
      </c>
      <c r="H122" s="12" t="n">
        <v>7000</v>
      </c>
      <c r="I122" s="13" t="n">
        <v>0</v>
      </c>
      <c r="J122" s="12" t="n">
        <v>4800</v>
      </c>
      <c r="K122" s="12" t="n">
        <f aca="false">G122*H122*(1-I122)</f>
        <v>7000</v>
      </c>
      <c r="L122" s="12" t="n">
        <f aca="false">K122-G122*J122</f>
        <v>2200</v>
      </c>
    </row>
    <row r="123" customFormat="false" ht="15" hidden="false" customHeight="false" outlineLevel="0" collapsed="false">
      <c r="A123" s="8" t="s">
        <v>162</v>
      </c>
      <c r="B123" s="11" t="n">
        <v>45727</v>
      </c>
      <c r="C123" s="8" t="n">
        <f aca="false">MONTH(B123)</f>
        <v>3</v>
      </c>
      <c r="D123" s="8" t="s">
        <v>55</v>
      </c>
      <c r="E123" s="8" t="s">
        <v>44</v>
      </c>
      <c r="F123" s="8" t="s">
        <v>48</v>
      </c>
      <c r="G123" s="8" t="n">
        <v>2</v>
      </c>
      <c r="H123" s="12" t="n">
        <v>4500</v>
      </c>
      <c r="I123" s="13" t="n">
        <v>0.05</v>
      </c>
      <c r="J123" s="12" t="n">
        <v>3300</v>
      </c>
      <c r="K123" s="12" t="n">
        <f aca="false">G123*H123*(1-I123)</f>
        <v>8550</v>
      </c>
      <c r="L123" s="12" t="n">
        <f aca="false">K123-G123*J123</f>
        <v>1950</v>
      </c>
    </row>
    <row r="124" customFormat="false" ht="15" hidden="false" customHeight="false" outlineLevel="0" collapsed="false">
      <c r="A124" s="8" t="s">
        <v>194</v>
      </c>
      <c r="B124" s="11" t="n">
        <v>45727</v>
      </c>
      <c r="C124" s="8" t="n">
        <f aca="false">MONTH(B124)</f>
        <v>3</v>
      </c>
      <c r="D124" s="8" t="s">
        <v>39</v>
      </c>
      <c r="E124" s="8" t="s">
        <v>57</v>
      </c>
      <c r="F124" s="8" t="s">
        <v>111</v>
      </c>
      <c r="G124" s="8" t="n">
        <v>1</v>
      </c>
      <c r="H124" s="12" t="n">
        <v>7000</v>
      </c>
      <c r="I124" s="13" t="n">
        <v>0</v>
      </c>
      <c r="J124" s="12" t="n">
        <v>4800</v>
      </c>
      <c r="K124" s="12" t="n">
        <f aca="false">G124*H124*(1-I124)</f>
        <v>7000</v>
      </c>
      <c r="L124" s="12" t="n">
        <f aca="false">K124-G124*J124</f>
        <v>2200</v>
      </c>
    </row>
    <row r="125" customFormat="false" ht="15" hidden="false" customHeight="false" outlineLevel="0" collapsed="false">
      <c r="A125" s="8" t="s">
        <v>180</v>
      </c>
      <c r="B125" s="11" t="n">
        <v>45727</v>
      </c>
      <c r="C125" s="8" t="n">
        <f aca="false">MONTH(B125)</f>
        <v>3</v>
      </c>
      <c r="D125" s="8" t="s">
        <v>43</v>
      </c>
      <c r="E125" s="8" t="s">
        <v>57</v>
      </c>
      <c r="F125" s="8" t="s">
        <v>86</v>
      </c>
      <c r="G125" s="8" t="n">
        <v>3</v>
      </c>
      <c r="H125" s="12" t="n">
        <v>1200</v>
      </c>
      <c r="I125" s="13" t="n">
        <v>0.05</v>
      </c>
      <c r="J125" s="12" t="n">
        <v>600</v>
      </c>
      <c r="K125" s="12" t="n">
        <f aca="false">G125*H125*(1-I125)</f>
        <v>3420</v>
      </c>
      <c r="L125" s="12" t="n">
        <f aca="false">K125-G125*J125</f>
        <v>1620</v>
      </c>
    </row>
    <row r="126" customFormat="false" ht="15" hidden="false" customHeight="false" outlineLevel="0" collapsed="false">
      <c r="A126" s="8" t="s">
        <v>185</v>
      </c>
      <c r="B126" s="11" t="n">
        <v>45727</v>
      </c>
      <c r="C126" s="8" t="n">
        <f aca="false">MONTH(B126)</f>
        <v>3</v>
      </c>
      <c r="D126" s="8" t="s">
        <v>43</v>
      </c>
      <c r="E126" s="8" t="s">
        <v>44</v>
      </c>
      <c r="F126" s="8" t="s">
        <v>48</v>
      </c>
      <c r="G126" s="8" t="n">
        <v>1</v>
      </c>
      <c r="H126" s="12" t="n">
        <v>4500</v>
      </c>
      <c r="I126" s="13" t="n">
        <v>0</v>
      </c>
      <c r="J126" s="12" t="n">
        <v>3300</v>
      </c>
      <c r="K126" s="12" t="n">
        <f aca="false">G126*H126*(1-I126)</f>
        <v>4500</v>
      </c>
      <c r="L126" s="12" t="n">
        <f aca="false">K126-G126*J126</f>
        <v>1200</v>
      </c>
    </row>
    <row r="127" customFormat="false" ht="15" hidden="false" customHeight="false" outlineLevel="0" collapsed="false">
      <c r="A127" s="8" t="s">
        <v>190</v>
      </c>
      <c r="B127" s="11" t="n">
        <v>45729</v>
      </c>
      <c r="C127" s="8" t="n">
        <f aca="false">MONTH(B127)</f>
        <v>3</v>
      </c>
      <c r="D127" s="8" t="s">
        <v>55</v>
      </c>
      <c r="E127" s="8" t="s">
        <v>40</v>
      </c>
      <c r="F127" s="8" t="s">
        <v>104</v>
      </c>
      <c r="G127" s="8" t="n">
        <v>2</v>
      </c>
      <c r="H127" s="12" t="n">
        <v>250</v>
      </c>
      <c r="I127" s="13" t="n">
        <v>0.05</v>
      </c>
      <c r="J127" s="12" t="n">
        <v>100</v>
      </c>
      <c r="K127" s="12" t="n">
        <f aca="false">G127*H127*(1-I127)</f>
        <v>475</v>
      </c>
      <c r="L127" s="12" t="n">
        <f aca="false">K127-G127*J127</f>
        <v>275</v>
      </c>
    </row>
    <row r="128" customFormat="false" ht="15" hidden="false" customHeight="false" outlineLevel="0" collapsed="false">
      <c r="A128" s="8" t="s">
        <v>165</v>
      </c>
      <c r="B128" s="11" t="n">
        <v>45729</v>
      </c>
      <c r="C128" s="8" t="n">
        <f aca="false">MONTH(B128)</f>
        <v>3</v>
      </c>
      <c r="D128" s="8" t="s">
        <v>39</v>
      </c>
      <c r="E128" s="8" t="s">
        <v>40</v>
      </c>
      <c r="F128" s="8" t="s">
        <v>77</v>
      </c>
      <c r="G128" s="8" t="n">
        <v>8</v>
      </c>
      <c r="H128" s="12" t="n">
        <v>400</v>
      </c>
      <c r="I128" s="13" t="n">
        <v>0.1</v>
      </c>
      <c r="J128" s="12" t="n">
        <v>200</v>
      </c>
      <c r="K128" s="12" t="n">
        <f aca="false">G128*H128*(1-I128)</f>
        <v>2880</v>
      </c>
      <c r="L128" s="12" t="n">
        <f aca="false">K128-G128*J128</f>
        <v>1280</v>
      </c>
    </row>
    <row r="129" customFormat="false" ht="15" hidden="false" customHeight="false" outlineLevel="0" collapsed="false">
      <c r="A129" s="8" t="s">
        <v>161</v>
      </c>
      <c r="B129" s="11" t="n">
        <v>45730</v>
      </c>
      <c r="C129" s="8" t="n">
        <f aca="false">MONTH(B129)</f>
        <v>3</v>
      </c>
      <c r="D129" s="8" t="s">
        <v>43</v>
      </c>
      <c r="E129" s="8" t="s">
        <v>40</v>
      </c>
      <c r="F129" s="8" t="s">
        <v>77</v>
      </c>
      <c r="G129" s="8" t="n">
        <v>5</v>
      </c>
      <c r="H129" s="12" t="n">
        <v>400</v>
      </c>
      <c r="I129" s="13" t="n">
        <v>0</v>
      </c>
      <c r="J129" s="12" t="n">
        <v>200</v>
      </c>
      <c r="K129" s="12" t="n">
        <f aca="false">G129*H129*(1-I129)</f>
        <v>2000</v>
      </c>
      <c r="L129" s="12" t="n">
        <f aca="false">K129-G129*J129</f>
        <v>1000</v>
      </c>
    </row>
    <row r="130" customFormat="false" ht="15" hidden="false" customHeight="false" outlineLevel="0" collapsed="false">
      <c r="A130" s="8" t="s">
        <v>181</v>
      </c>
      <c r="B130" s="11" t="n">
        <v>45730</v>
      </c>
      <c r="C130" s="8" t="n">
        <f aca="false">MONTH(B130)</f>
        <v>3</v>
      </c>
      <c r="D130" s="8" t="s">
        <v>43</v>
      </c>
      <c r="E130" s="8" t="s">
        <v>57</v>
      </c>
      <c r="F130" s="8" t="s">
        <v>86</v>
      </c>
      <c r="G130" s="8" t="n">
        <v>3</v>
      </c>
      <c r="H130" s="12" t="n">
        <v>1200</v>
      </c>
      <c r="I130" s="13" t="n">
        <v>0.05</v>
      </c>
      <c r="J130" s="12" t="n">
        <v>600</v>
      </c>
      <c r="K130" s="12" t="n">
        <f aca="false">G130*H130*(1-I130)</f>
        <v>3420</v>
      </c>
      <c r="L130" s="12" t="n">
        <f aca="false">K130-G130*J130</f>
        <v>1620</v>
      </c>
    </row>
    <row r="131" customFormat="false" ht="15" hidden="false" customHeight="false" outlineLevel="0" collapsed="false">
      <c r="A131" s="8" t="s">
        <v>184</v>
      </c>
      <c r="B131" s="11" t="n">
        <v>45731</v>
      </c>
      <c r="C131" s="8" t="n">
        <f aca="false">MONTH(B131)</f>
        <v>3</v>
      </c>
      <c r="D131" s="8" t="s">
        <v>47</v>
      </c>
      <c r="E131" s="8" t="s">
        <v>40</v>
      </c>
      <c r="F131" s="8" t="s">
        <v>77</v>
      </c>
      <c r="G131" s="8" t="n">
        <v>5</v>
      </c>
      <c r="H131" s="12" t="n">
        <v>400</v>
      </c>
      <c r="I131" s="13" t="n">
        <v>0</v>
      </c>
      <c r="J131" s="12" t="n">
        <v>200</v>
      </c>
      <c r="K131" s="12" t="n">
        <f aca="false">G131*H131*(1-I131)</f>
        <v>2000</v>
      </c>
      <c r="L131" s="12" t="n">
        <f aca="false">K131-G131*J131</f>
        <v>1000</v>
      </c>
    </row>
    <row r="132" customFormat="false" ht="15" hidden="false" customHeight="false" outlineLevel="0" collapsed="false">
      <c r="A132" s="8" t="s">
        <v>178</v>
      </c>
      <c r="B132" s="11" t="n">
        <v>45731</v>
      </c>
      <c r="C132" s="8" t="n">
        <f aca="false">MONTH(B132)</f>
        <v>3</v>
      </c>
      <c r="D132" s="8" t="s">
        <v>55</v>
      </c>
      <c r="E132" s="8" t="s">
        <v>44</v>
      </c>
      <c r="F132" s="8" t="s">
        <v>45</v>
      </c>
      <c r="G132" s="8" t="n">
        <v>3</v>
      </c>
      <c r="H132" s="12" t="n">
        <v>1500</v>
      </c>
      <c r="I132" s="13" t="n">
        <v>0.05</v>
      </c>
      <c r="J132" s="12" t="n">
        <v>900</v>
      </c>
      <c r="K132" s="12" t="n">
        <f aca="false">G132*H132*(1-I132)</f>
        <v>4275</v>
      </c>
      <c r="L132" s="12" t="n">
        <f aca="false">K132-G132*J132</f>
        <v>1575</v>
      </c>
    </row>
    <row r="133" customFormat="false" ht="15" hidden="false" customHeight="false" outlineLevel="0" collapsed="false">
      <c r="A133" s="8" t="s">
        <v>174</v>
      </c>
      <c r="B133" s="11" t="n">
        <v>45731</v>
      </c>
      <c r="C133" s="8" t="n">
        <f aca="false">MONTH(B133)</f>
        <v>3</v>
      </c>
      <c r="D133" s="8" t="s">
        <v>55</v>
      </c>
      <c r="E133" s="8" t="s">
        <v>44</v>
      </c>
      <c r="F133" s="8" t="s">
        <v>50</v>
      </c>
      <c r="G133" s="8" t="n">
        <v>3</v>
      </c>
      <c r="H133" s="12" t="n">
        <v>3000</v>
      </c>
      <c r="I133" s="13" t="n">
        <v>0</v>
      </c>
      <c r="J133" s="12" t="n">
        <v>2000</v>
      </c>
      <c r="K133" s="12" t="n">
        <f aca="false">G133*H133*(1-I133)</f>
        <v>9000</v>
      </c>
      <c r="L133" s="12" t="n">
        <f aca="false">K133-G133*J133</f>
        <v>3000</v>
      </c>
    </row>
    <row r="134" customFormat="false" ht="15" hidden="false" customHeight="false" outlineLevel="0" collapsed="false">
      <c r="A134" s="8" t="s">
        <v>188</v>
      </c>
      <c r="B134" s="11" t="n">
        <v>45731</v>
      </c>
      <c r="C134" s="8" t="n">
        <f aca="false">MONTH(B134)</f>
        <v>3</v>
      </c>
      <c r="D134" s="8" t="s">
        <v>55</v>
      </c>
      <c r="E134" s="8" t="s">
        <v>44</v>
      </c>
      <c r="F134" s="8" t="s">
        <v>48</v>
      </c>
      <c r="G134" s="8" t="n">
        <v>2</v>
      </c>
      <c r="H134" s="12" t="n">
        <v>4500</v>
      </c>
      <c r="I134" s="13" t="n">
        <v>0.05</v>
      </c>
      <c r="J134" s="12" t="n">
        <v>3300</v>
      </c>
      <c r="K134" s="12" t="n">
        <f aca="false">G134*H134*(1-I134)</f>
        <v>8550</v>
      </c>
      <c r="L134" s="12" t="n">
        <f aca="false">K134-G134*J134</f>
        <v>1950</v>
      </c>
    </row>
    <row r="135" customFormat="false" ht="15" hidden="false" customHeight="false" outlineLevel="0" collapsed="false">
      <c r="A135" s="8" t="s">
        <v>158</v>
      </c>
      <c r="B135" s="11" t="n">
        <v>45733</v>
      </c>
      <c r="C135" s="8" t="n">
        <f aca="false">MONTH(B135)</f>
        <v>3</v>
      </c>
      <c r="D135" s="8" t="s">
        <v>43</v>
      </c>
      <c r="E135" s="8" t="s">
        <v>40</v>
      </c>
      <c r="F135" s="8" t="s">
        <v>71</v>
      </c>
      <c r="G135" s="8" t="n">
        <v>8</v>
      </c>
      <c r="H135" s="12" t="n">
        <v>500</v>
      </c>
      <c r="I135" s="13" t="n">
        <v>0.05</v>
      </c>
      <c r="J135" s="12" t="n">
        <v>250</v>
      </c>
      <c r="K135" s="12" t="n">
        <f aca="false">G135*H135*(1-I135)</f>
        <v>3800</v>
      </c>
      <c r="L135" s="12" t="n">
        <f aca="false">K135-G135*J135</f>
        <v>1800</v>
      </c>
    </row>
    <row r="136" customFormat="false" ht="15" hidden="false" customHeight="false" outlineLevel="0" collapsed="false">
      <c r="A136" s="8" t="s">
        <v>166</v>
      </c>
      <c r="B136" s="11" t="n">
        <v>45735</v>
      </c>
      <c r="C136" s="8" t="n">
        <f aca="false">MONTH(B136)</f>
        <v>3</v>
      </c>
      <c r="D136" s="8" t="s">
        <v>43</v>
      </c>
      <c r="E136" s="8" t="s">
        <v>40</v>
      </c>
      <c r="F136" s="8" t="s">
        <v>41</v>
      </c>
      <c r="G136" s="8" t="n">
        <v>4</v>
      </c>
      <c r="H136" s="12" t="n">
        <v>600</v>
      </c>
      <c r="I136" s="13" t="n">
        <v>0.05</v>
      </c>
      <c r="J136" s="12" t="n">
        <v>300</v>
      </c>
      <c r="K136" s="12" t="n">
        <f aca="false">G136*H136*(1-I136)</f>
        <v>2280</v>
      </c>
      <c r="L136" s="12" t="n">
        <f aca="false">K136-G136*J136</f>
        <v>1080</v>
      </c>
    </row>
    <row r="137" customFormat="false" ht="15" hidden="false" customHeight="false" outlineLevel="0" collapsed="false">
      <c r="A137" s="8" t="s">
        <v>205</v>
      </c>
      <c r="B137" s="11" t="n">
        <v>45736</v>
      </c>
      <c r="C137" s="8" t="n">
        <f aca="false">MONTH(B137)</f>
        <v>3</v>
      </c>
      <c r="D137" s="8" t="s">
        <v>55</v>
      </c>
      <c r="E137" s="8" t="s">
        <v>44</v>
      </c>
      <c r="F137" s="8" t="s">
        <v>60</v>
      </c>
      <c r="G137" s="8" t="n">
        <v>1</v>
      </c>
      <c r="H137" s="12" t="n">
        <v>2500</v>
      </c>
      <c r="I137" s="13" t="n">
        <v>0</v>
      </c>
      <c r="J137" s="12" t="n">
        <v>1600</v>
      </c>
      <c r="K137" s="12" t="n">
        <f aca="false">G137*H137*(1-I137)</f>
        <v>2500</v>
      </c>
      <c r="L137" s="12" t="n">
        <f aca="false">K137-G137*J137</f>
        <v>900</v>
      </c>
    </row>
    <row r="138" customFormat="false" ht="15" hidden="false" customHeight="false" outlineLevel="0" collapsed="false">
      <c r="A138" s="8" t="s">
        <v>168</v>
      </c>
      <c r="B138" s="11" t="n">
        <v>45737</v>
      </c>
      <c r="C138" s="8" t="n">
        <f aca="false">MONTH(B138)</f>
        <v>3</v>
      </c>
      <c r="D138" s="8" t="s">
        <v>47</v>
      </c>
      <c r="E138" s="8" t="s">
        <v>44</v>
      </c>
      <c r="F138" s="8" t="s">
        <v>50</v>
      </c>
      <c r="G138" s="8" t="n">
        <v>3</v>
      </c>
      <c r="H138" s="12" t="n">
        <v>3000</v>
      </c>
      <c r="I138" s="13" t="n">
        <v>0.05</v>
      </c>
      <c r="J138" s="12" t="n">
        <v>2000</v>
      </c>
      <c r="K138" s="12" t="n">
        <f aca="false">G138*H138*(1-I138)</f>
        <v>8550</v>
      </c>
      <c r="L138" s="12" t="n">
        <f aca="false">K138-G138*J138</f>
        <v>2550</v>
      </c>
    </row>
    <row r="139" customFormat="false" ht="15" hidden="false" customHeight="false" outlineLevel="0" collapsed="false">
      <c r="A139" s="8" t="s">
        <v>203</v>
      </c>
      <c r="B139" s="11" t="n">
        <v>45737</v>
      </c>
      <c r="C139" s="8" t="n">
        <f aca="false">MONTH(B139)</f>
        <v>3</v>
      </c>
      <c r="D139" s="8" t="s">
        <v>47</v>
      </c>
      <c r="E139" s="8" t="s">
        <v>40</v>
      </c>
      <c r="F139" s="8" t="s">
        <v>71</v>
      </c>
      <c r="G139" s="8" t="n">
        <v>7</v>
      </c>
      <c r="H139" s="12" t="n">
        <v>500</v>
      </c>
      <c r="I139" s="13" t="n">
        <v>0</v>
      </c>
      <c r="J139" s="12" t="n">
        <v>250</v>
      </c>
      <c r="K139" s="12" t="n">
        <f aca="false">G139*H139*(1-I139)</f>
        <v>3500</v>
      </c>
      <c r="L139" s="12" t="n">
        <f aca="false">K139-G139*J139</f>
        <v>1750</v>
      </c>
    </row>
    <row r="140" customFormat="false" ht="15" hidden="false" customHeight="false" outlineLevel="0" collapsed="false">
      <c r="A140" s="8" t="s">
        <v>175</v>
      </c>
      <c r="B140" s="11" t="n">
        <v>45739</v>
      </c>
      <c r="C140" s="8" t="n">
        <f aca="false">MONTH(B140)</f>
        <v>3</v>
      </c>
      <c r="D140" s="8" t="s">
        <v>55</v>
      </c>
      <c r="E140" s="8" t="s">
        <v>57</v>
      </c>
      <c r="F140" s="8" t="s">
        <v>58</v>
      </c>
      <c r="G140" s="8" t="n">
        <v>3</v>
      </c>
      <c r="H140" s="12" t="n">
        <v>5500</v>
      </c>
      <c r="I140" s="13" t="n">
        <v>0</v>
      </c>
      <c r="J140" s="12" t="n">
        <v>3600</v>
      </c>
      <c r="K140" s="12" t="n">
        <f aca="false">G140*H140*(1-I140)</f>
        <v>16500</v>
      </c>
      <c r="L140" s="12" t="n">
        <f aca="false">K140-G140*J140</f>
        <v>5700</v>
      </c>
    </row>
    <row r="141" customFormat="false" ht="15" hidden="false" customHeight="false" outlineLevel="0" collapsed="false">
      <c r="A141" s="8" t="s">
        <v>192</v>
      </c>
      <c r="B141" s="11" t="n">
        <v>45740</v>
      </c>
      <c r="C141" s="8" t="n">
        <f aca="false">MONTH(B141)</f>
        <v>3</v>
      </c>
      <c r="D141" s="8" t="s">
        <v>55</v>
      </c>
      <c r="E141" s="8" t="s">
        <v>57</v>
      </c>
      <c r="F141" s="8" t="s">
        <v>58</v>
      </c>
      <c r="G141" s="8" t="n">
        <v>2</v>
      </c>
      <c r="H141" s="12" t="n">
        <v>5500</v>
      </c>
      <c r="I141" s="13" t="n">
        <v>0.05</v>
      </c>
      <c r="J141" s="12" t="n">
        <v>3600</v>
      </c>
      <c r="K141" s="12" t="n">
        <f aca="false">G141*H141*(1-I141)</f>
        <v>10450</v>
      </c>
      <c r="L141" s="12" t="n">
        <f aca="false">K141-G141*J141</f>
        <v>3250</v>
      </c>
    </row>
    <row r="142" customFormat="false" ht="15" hidden="false" customHeight="false" outlineLevel="0" collapsed="false">
      <c r="A142" s="8" t="s">
        <v>191</v>
      </c>
      <c r="B142" s="11" t="n">
        <v>45741</v>
      </c>
      <c r="C142" s="8" t="n">
        <f aca="false">MONTH(B142)</f>
        <v>3</v>
      </c>
      <c r="D142" s="8" t="s">
        <v>39</v>
      </c>
      <c r="E142" s="8" t="s">
        <v>57</v>
      </c>
      <c r="F142" s="8" t="s">
        <v>86</v>
      </c>
      <c r="G142" s="8" t="n">
        <v>2</v>
      </c>
      <c r="H142" s="12" t="n">
        <v>1200</v>
      </c>
      <c r="I142" s="13" t="n">
        <v>0</v>
      </c>
      <c r="J142" s="12" t="n">
        <v>600</v>
      </c>
      <c r="K142" s="12" t="n">
        <f aca="false">G142*H142*(1-I142)</f>
        <v>2400</v>
      </c>
      <c r="L142" s="12" t="n">
        <f aca="false">K142-G142*J142</f>
        <v>1200</v>
      </c>
    </row>
    <row r="143" customFormat="false" ht="15" hidden="false" customHeight="false" outlineLevel="0" collapsed="false">
      <c r="A143" s="8" t="s">
        <v>189</v>
      </c>
      <c r="B143" s="11" t="n">
        <v>45741</v>
      </c>
      <c r="C143" s="8" t="n">
        <f aca="false">MONTH(B143)</f>
        <v>3</v>
      </c>
      <c r="D143" s="8" t="s">
        <v>39</v>
      </c>
      <c r="E143" s="8" t="s">
        <v>57</v>
      </c>
      <c r="F143" s="8" t="s">
        <v>58</v>
      </c>
      <c r="G143" s="8" t="n">
        <v>2</v>
      </c>
      <c r="H143" s="12" t="n">
        <v>5500</v>
      </c>
      <c r="I143" s="13" t="n">
        <v>0</v>
      </c>
      <c r="J143" s="12" t="n">
        <v>3600</v>
      </c>
      <c r="K143" s="12" t="n">
        <f aca="false">G143*H143*(1-I143)</f>
        <v>11000</v>
      </c>
      <c r="L143" s="12" t="n">
        <f aca="false">K143-G143*J143</f>
        <v>3800</v>
      </c>
    </row>
    <row r="144" customFormat="false" ht="15" hidden="false" customHeight="false" outlineLevel="0" collapsed="false">
      <c r="A144" s="8" t="s">
        <v>201</v>
      </c>
      <c r="B144" s="11" t="n">
        <v>45741</v>
      </c>
      <c r="C144" s="8" t="n">
        <f aca="false">MONTH(B144)</f>
        <v>3</v>
      </c>
      <c r="D144" s="8" t="s">
        <v>43</v>
      </c>
      <c r="E144" s="8" t="s">
        <v>57</v>
      </c>
      <c r="F144" s="8" t="s">
        <v>63</v>
      </c>
      <c r="G144" s="8" t="n">
        <v>2</v>
      </c>
      <c r="H144" s="12" t="n">
        <v>9000</v>
      </c>
      <c r="I144" s="13" t="n">
        <v>0</v>
      </c>
      <c r="J144" s="12" t="n">
        <v>6200</v>
      </c>
      <c r="K144" s="12" t="n">
        <f aca="false">G144*H144*(1-I144)</f>
        <v>18000</v>
      </c>
      <c r="L144" s="12" t="n">
        <f aca="false">K144-G144*J144</f>
        <v>5600</v>
      </c>
    </row>
    <row r="145" customFormat="false" ht="15" hidden="false" customHeight="false" outlineLevel="0" collapsed="false">
      <c r="A145" s="8" t="s">
        <v>204</v>
      </c>
      <c r="B145" s="11" t="n">
        <v>45741</v>
      </c>
      <c r="C145" s="8" t="n">
        <f aca="false">MONTH(B145)</f>
        <v>3</v>
      </c>
      <c r="D145" s="8" t="s">
        <v>43</v>
      </c>
      <c r="E145" s="8" t="s">
        <v>44</v>
      </c>
      <c r="F145" s="8" t="s">
        <v>48</v>
      </c>
      <c r="G145" s="8" t="n">
        <v>3</v>
      </c>
      <c r="H145" s="12" t="n">
        <v>4500</v>
      </c>
      <c r="I145" s="13" t="n">
        <v>0</v>
      </c>
      <c r="J145" s="12" t="n">
        <v>3300</v>
      </c>
      <c r="K145" s="12" t="n">
        <f aca="false">G145*H145*(1-I145)</f>
        <v>13500</v>
      </c>
      <c r="L145" s="12" t="n">
        <f aca="false">K145-G145*J145</f>
        <v>3600</v>
      </c>
    </row>
    <row r="146" customFormat="false" ht="15" hidden="false" customHeight="false" outlineLevel="0" collapsed="false">
      <c r="A146" s="8" t="s">
        <v>160</v>
      </c>
      <c r="B146" s="11" t="n">
        <v>45742</v>
      </c>
      <c r="C146" s="8" t="n">
        <f aca="false">MONTH(B146)</f>
        <v>3</v>
      </c>
      <c r="D146" s="8" t="s">
        <v>43</v>
      </c>
      <c r="E146" s="8" t="s">
        <v>44</v>
      </c>
      <c r="F146" s="8" t="s">
        <v>60</v>
      </c>
      <c r="G146" s="8" t="n">
        <v>1</v>
      </c>
      <c r="H146" s="12" t="n">
        <v>2500</v>
      </c>
      <c r="I146" s="13" t="n">
        <v>0.05</v>
      </c>
      <c r="J146" s="12" t="n">
        <v>1600</v>
      </c>
      <c r="K146" s="12" t="n">
        <f aca="false">G146*H146*(1-I146)</f>
        <v>2375</v>
      </c>
      <c r="L146" s="12" t="n">
        <f aca="false">K146-G146*J146</f>
        <v>775</v>
      </c>
    </row>
    <row r="147" customFormat="false" ht="15" hidden="false" customHeight="false" outlineLevel="0" collapsed="false">
      <c r="A147" s="8" t="s">
        <v>182</v>
      </c>
      <c r="B147" s="11" t="n">
        <v>45744</v>
      </c>
      <c r="C147" s="8" t="n">
        <f aca="false">MONTH(B147)</f>
        <v>3</v>
      </c>
      <c r="D147" s="8" t="s">
        <v>47</v>
      </c>
      <c r="E147" s="8" t="s">
        <v>40</v>
      </c>
      <c r="F147" s="8" t="s">
        <v>77</v>
      </c>
      <c r="G147" s="8" t="n">
        <v>4</v>
      </c>
      <c r="H147" s="12" t="n">
        <v>400</v>
      </c>
      <c r="I147" s="13" t="n">
        <v>0.1</v>
      </c>
      <c r="J147" s="12" t="n">
        <v>200</v>
      </c>
      <c r="K147" s="12" t="n">
        <f aca="false">G147*H147*(1-I147)</f>
        <v>1440</v>
      </c>
      <c r="L147" s="12" t="n">
        <f aca="false">K147-G147*J147</f>
        <v>640</v>
      </c>
    </row>
    <row r="148" customFormat="false" ht="15" hidden="false" customHeight="false" outlineLevel="0" collapsed="false">
      <c r="A148" s="8" t="s">
        <v>225</v>
      </c>
      <c r="B148" s="11" t="n">
        <v>45748</v>
      </c>
      <c r="C148" s="8" t="n">
        <f aca="false">MONTH(B148)</f>
        <v>4</v>
      </c>
      <c r="D148" s="8" t="s">
        <v>43</v>
      </c>
      <c r="E148" s="8" t="s">
        <v>40</v>
      </c>
      <c r="F148" s="8" t="s">
        <v>104</v>
      </c>
      <c r="G148" s="8" t="n">
        <v>6</v>
      </c>
      <c r="H148" s="12" t="n">
        <v>250</v>
      </c>
      <c r="I148" s="13" t="n">
        <v>0.05</v>
      </c>
      <c r="J148" s="12" t="n">
        <v>100</v>
      </c>
      <c r="K148" s="12" t="n">
        <f aca="false">G148*H148*(1-I148)</f>
        <v>1425</v>
      </c>
      <c r="L148" s="12" t="n">
        <f aca="false">K148-G148*J148</f>
        <v>825</v>
      </c>
    </row>
    <row r="149" customFormat="false" ht="15" hidden="false" customHeight="false" outlineLevel="0" collapsed="false">
      <c r="A149" s="8" t="s">
        <v>251</v>
      </c>
      <c r="B149" s="11" t="n">
        <v>45749</v>
      </c>
      <c r="C149" s="8" t="n">
        <f aca="false">MONTH(B149)</f>
        <v>4</v>
      </c>
      <c r="D149" s="8" t="s">
        <v>43</v>
      </c>
      <c r="E149" s="8" t="s">
        <v>57</v>
      </c>
      <c r="F149" s="8" t="s">
        <v>86</v>
      </c>
      <c r="G149" s="8" t="n">
        <v>2</v>
      </c>
      <c r="H149" s="12" t="n">
        <v>1200</v>
      </c>
      <c r="I149" s="13" t="n">
        <v>0</v>
      </c>
      <c r="J149" s="12" t="n">
        <v>600</v>
      </c>
      <c r="K149" s="12" t="n">
        <f aca="false">G149*H149*(1-I149)</f>
        <v>2400</v>
      </c>
      <c r="L149" s="12" t="n">
        <f aca="false">K149-G149*J149</f>
        <v>1200</v>
      </c>
    </row>
    <row r="150" customFormat="false" ht="15" hidden="false" customHeight="false" outlineLevel="0" collapsed="false">
      <c r="A150" s="8" t="s">
        <v>211</v>
      </c>
      <c r="B150" s="11" t="n">
        <v>45750</v>
      </c>
      <c r="C150" s="8" t="n">
        <f aca="false">MONTH(B150)</f>
        <v>4</v>
      </c>
      <c r="D150" s="8" t="s">
        <v>47</v>
      </c>
      <c r="E150" s="8" t="s">
        <v>57</v>
      </c>
      <c r="F150" s="8" t="s">
        <v>58</v>
      </c>
      <c r="G150" s="8" t="n">
        <v>3</v>
      </c>
      <c r="H150" s="12" t="n">
        <v>5500</v>
      </c>
      <c r="I150" s="13" t="n">
        <v>0</v>
      </c>
      <c r="J150" s="12" t="n">
        <v>3600</v>
      </c>
      <c r="K150" s="12" t="n">
        <f aca="false">G150*H150*(1-I150)</f>
        <v>16500</v>
      </c>
      <c r="L150" s="12" t="n">
        <f aca="false">K150-G150*J150</f>
        <v>5700</v>
      </c>
    </row>
    <row r="151" customFormat="false" ht="15" hidden="false" customHeight="false" outlineLevel="0" collapsed="false">
      <c r="A151" s="8" t="s">
        <v>228</v>
      </c>
      <c r="B151" s="11" t="n">
        <v>45750</v>
      </c>
      <c r="C151" s="8" t="n">
        <f aca="false">MONTH(B151)</f>
        <v>4</v>
      </c>
      <c r="D151" s="8" t="s">
        <v>43</v>
      </c>
      <c r="E151" s="8" t="s">
        <v>40</v>
      </c>
      <c r="F151" s="8" t="s">
        <v>41</v>
      </c>
      <c r="G151" s="8" t="n">
        <v>9</v>
      </c>
      <c r="H151" s="12" t="n">
        <v>600</v>
      </c>
      <c r="I151" s="13" t="n">
        <v>0</v>
      </c>
      <c r="J151" s="12" t="n">
        <v>300</v>
      </c>
      <c r="K151" s="12" t="n">
        <f aca="false">G151*H151*(1-I151)</f>
        <v>5400</v>
      </c>
      <c r="L151" s="12" t="n">
        <f aca="false">K151-G151*J151</f>
        <v>2700</v>
      </c>
    </row>
    <row r="152" customFormat="false" ht="15" hidden="false" customHeight="false" outlineLevel="0" collapsed="false">
      <c r="A152" s="8" t="s">
        <v>233</v>
      </c>
      <c r="B152" s="11" t="n">
        <v>45751</v>
      </c>
      <c r="C152" s="8" t="n">
        <f aca="false">MONTH(B152)</f>
        <v>4</v>
      </c>
      <c r="D152" s="8" t="s">
        <v>39</v>
      </c>
      <c r="E152" s="8" t="s">
        <v>44</v>
      </c>
      <c r="F152" s="8" t="s">
        <v>50</v>
      </c>
      <c r="G152" s="8" t="n">
        <v>1</v>
      </c>
      <c r="H152" s="12" t="n">
        <v>3000</v>
      </c>
      <c r="I152" s="13" t="n">
        <v>0</v>
      </c>
      <c r="J152" s="12" t="n">
        <v>2000</v>
      </c>
      <c r="K152" s="12" t="n">
        <f aca="false">G152*H152*(1-I152)</f>
        <v>3000</v>
      </c>
      <c r="L152" s="12" t="n">
        <f aca="false">K152-G152*J152</f>
        <v>1000</v>
      </c>
    </row>
    <row r="153" customFormat="false" ht="15" hidden="false" customHeight="false" outlineLevel="0" collapsed="false">
      <c r="A153" s="8" t="s">
        <v>257</v>
      </c>
      <c r="B153" s="11" t="n">
        <v>45751</v>
      </c>
      <c r="C153" s="8" t="n">
        <f aca="false">MONTH(B153)</f>
        <v>4</v>
      </c>
      <c r="D153" s="8" t="s">
        <v>55</v>
      </c>
      <c r="E153" s="8" t="s">
        <v>40</v>
      </c>
      <c r="F153" s="8" t="s">
        <v>71</v>
      </c>
      <c r="G153" s="8" t="n">
        <v>6</v>
      </c>
      <c r="H153" s="12" t="n">
        <v>500</v>
      </c>
      <c r="I153" s="13" t="n">
        <v>0</v>
      </c>
      <c r="J153" s="12" t="n">
        <v>250</v>
      </c>
      <c r="K153" s="12" t="n">
        <f aca="false">G153*H153*(1-I153)</f>
        <v>3000</v>
      </c>
      <c r="L153" s="12" t="n">
        <f aca="false">K153-G153*J153</f>
        <v>1500</v>
      </c>
    </row>
    <row r="154" customFormat="false" ht="15" hidden="false" customHeight="false" outlineLevel="0" collapsed="false">
      <c r="A154" s="8" t="s">
        <v>254</v>
      </c>
      <c r="B154" s="11" t="n">
        <v>45751</v>
      </c>
      <c r="C154" s="8" t="n">
        <f aca="false">MONTH(B154)</f>
        <v>4</v>
      </c>
      <c r="D154" s="8" t="s">
        <v>47</v>
      </c>
      <c r="E154" s="8" t="s">
        <v>40</v>
      </c>
      <c r="F154" s="8" t="s">
        <v>41</v>
      </c>
      <c r="G154" s="8" t="n">
        <v>5</v>
      </c>
      <c r="H154" s="12" t="n">
        <v>600</v>
      </c>
      <c r="I154" s="13" t="n">
        <v>0</v>
      </c>
      <c r="J154" s="12" t="n">
        <v>300</v>
      </c>
      <c r="K154" s="12" t="n">
        <f aca="false">G154*H154*(1-I154)</f>
        <v>3000</v>
      </c>
      <c r="L154" s="12" t="n">
        <f aca="false">K154-G154*J154</f>
        <v>1500</v>
      </c>
    </row>
    <row r="155" customFormat="false" ht="15" hidden="false" customHeight="false" outlineLevel="0" collapsed="false">
      <c r="A155" s="8" t="s">
        <v>209</v>
      </c>
      <c r="B155" s="11" t="n">
        <v>45751</v>
      </c>
      <c r="C155" s="8" t="n">
        <f aca="false">MONTH(B155)</f>
        <v>4</v>
      </c>
      <c r="D155" s="8" t="s">
        <v>55</v>
      </c>
      <c r="E155" s="8" t="s">
        <v>44</v>
      </c>
      <c r="F155" s="8" t="s">
        <v>48</v>
      </c>
      <c r="G155" s="8" t="n">
        <v>1</v>
      </c>
      <c r="H155" s="12" t="n">
        <v>4500</v>
      </c>
      <c r="I155" s="13" t="n">
        <v>0</v>
      </c>
      <c r="J155" s="12" t="n">
        <v>3300</v>
      </c>
      <c r="K155" s="12" t="n">
        <f aca="false">G155*H155*(1-I155)</f>
        <v>4500</v>
      </c>
      <c r="L155" s="12" t="n">
        <f aca="false">K155-G155*J155</f>
        <v>1200</v>
      </c>
    </row>
    <row r="156" customFormat="false" ht="15" hidden="false" customHeight="false" outlineLevel="0" collapsed="false">
      <c r="A156" s="8" t="s">
        <v>237</v>
      </c>
      <c r="B156" s="11" t="n">
        <v>45752</v>
      </c>
      <c r="C156" s="8" t="n">
        <f aca="false">MONTH(B156)</f>
        <v>4</v>
      </c>
      <c r="D156" s="8" t="s">
        <v>47</v>
      </c>
      <c r="E156" s="8" t="s">
        <v>44</v>
      </c>
      <c r="F156" s="8" t="s">
        <v>45</v>
      </c>
      <c r="G156" s="8" t="n">
        <v>3</v>
      </c>
      <c r="H156" s="12" t="n">
        <v>1500</v>
      </c>
      <c r="I156" s="13" t="n">
        <v>0.05</v>
      </c>
      <c r="J156" s="12" t="n">
        <v>900</v>
      </c>
      <c r="K156" s="12" t="n">
        <f aca="false">G156*H156*(1-I156)</f>
        <v>4275</v>
      </c>
      <c r="L156" s="12" t="n">
        <f aca="false">K156-G156*J156</f>
        <v>1575</v>
      </c>
    </row>
    <row r="157" customFormat="false" ht="15" hidden="false" customHeight="false" outlineLevel="0" collapsed="false">
      <c r="A157" s="8" t="s">
        <v>217</v>
      </c>
      <c r="B157" s="11" t="n">
        <v>45752</v>
      </c>
      <c r="C157" s="8" t="n">
        <f aca="false">MONTH(B157)</f>
        <v>4</v>
      </c>
      <c r="D157" s="8" t="s">
        <v>43</v>
      </c>
      <c r="E157" s="8" t="s">
        <v>57</v>
      </c>
      <c r="F157" s="8" t="s">
        <v>63</v>
      </c>
      <c r="G157" s="8" t="n">
        <v>2</v>
      </c>
      <c r="H157" s="12" t="n">
        <v>9000</v>
      </c>
      <c r="I157" s="13" t="n">
        <v>0.1</v>
      </c>
      <c r="J157" s="12" t="n">
        <v>6200</v>
      </c>
      <c r="K157" s="12" t="n">
        <f aca="false">G157*H157*(1-I157)</f>
        <v>16200</v>
      </c>
      <c r="L157" s="12" t="n">
        <f aca="false">K157-G157*J157</f>
        <v>3800</v>
      </c>
    </row>
    <row r="158" customFormat="false" ht="15" hidden="false" customHeight="false" outlineLevel="0" collapsed="false">
      <c r="A158" s="8" t="s">
        <v>243</v>
      </c>
      <c r="B158" s="11" t="n">
        <v>45752</v>
      </c>
      <c r="C158" s="8" t="n">
        <f aca="false">MONTH(B158)</f>
        <v>4</v>
      </c>
      <c r="D158" s="8" t="s">
        <v>47</v>
      </c>
      <c r="E158" s="8" t="s">
        <v>44</v>
      </c>
      <c r="F158" s="8" t="s">
        <v>48</v>
      </c>
      <c r="G158" s="8" t="n">
        <v>3</v>
      </c>
      <c r="H158" s="12" t="n">
        <v>4500</v>
      </c>
      <c r="I158" s="13" t="n">
        <v>0</v>
      </c>
      <c r="J158" s="12" t="n">
        <v>3300</v>
      </c>
      <c r="K158" s="12" t="n">
        <f aca="false">G158*H158*(1-I158)</f>
        <v>13500</v>
      </c>
      <c r="L158" s="12" t="n">
        <f aca="false">K158-G158*J158</f>
        <v>3600</v>
      </c>
    </row>
    <row r="159" customFormat="false" ht="15" hidden="false" customHeight="false" outlineLevel="0" collapsed="false">
      <c r="A159" s="8" t="s">
        <v>223</v>
      </c>
      <c r="B159" s="11" t="n">
        <v>45753</v>
      </c>
      <c r="C159" s="8" t="n">
        <f aca="false">MONTH(B159)</f>
        <v>4</v>
      </c>
      <c r="D159" s="8" t="s">
        <v>47</v>
      </c>
      <c r="E159" s="8" t="s">
        <v>57</v>
      </c>
      <c r="F159" s="8" t="s">
        <v>58</v>
      </c>
      <c r="G159" s="8" t="n">
        <v>2</v>
      </c>
      <c r="H159" s="12" t="n">
        <v>5500</v>
      </c>
      <c r="I159" s="13" t="n">
        <v>0</v>
      </c>
      <c r="J159" s="12" t="n">
        <v>3600</v>
      </c>
      <c r="K159" s="12" t="n">
        <f aca="false">G159*H159*(1-I159)</f>
        <v>11000</v>
      </c>
      <c r="L159" s="12" t="n">
        <f aca="false">K159-G159*J159</f>
        <v>3800</v>
      </c>
    </row>
    <row r="160" customFormat="false" ht="15" hidden="false" customHeight="false" outlineLevel="0" collapsed="false">
      <c r="A160" s="8" t="s">
        <v>234</v>
      </c>
      <c r="B160" s="11" t="n">
        <v>45754</v>
      </c>
      <c r="C160" s="8" t="n">
        <f aca="false">MONTH(B160)</f>
        <v>4</v>
      </c>
      <c r="D160" s="8" t="s">
        <v>47</v>
      </c>
      <c r="E160" s="8" t="s">
        <v>40</v>
      </c>
      <c r="F160" s="8" t="s">
        <v>71</v>
      </c>
      <c r="G160" s="8" t="n">
        <v>4</v>
      </c>
      <c r="H160" s="12" t="n">
        <v>500</v>
      </c>
      <c r="I160" s="13" t="n">
        <v>0</v>
      </c>
      <c r="J160" s="12" t="n">
        <v>250</v>
      </c>
      <c r="K160" s="12" t="n">
        <f aca="false">G160*H160*(1-I160)</f>
        <v>2000</v>
      </c>
      <c r="L160" s="12" t="n">
        <f aca="false">K160-G160*J160</f>
        <v>1000</v>
      </c>
    </row>
    <row r="161" customFormat="false" ht="15" hidden="false" customHeight="false" outlineLevel="0" collapsed="false">
      <c r="A161" s="8" t="s">
        <v>249</v>
      </c>
      <c r="B161" s="11" t="n">
        <v>45755</v>
      </c>
      <c r="C161" s="8" t="n">
        <f aca="false">MONTH(B161)</f>
        <v>4</v>
      </c>
      <c r="D161" s="8" t="s">
        <v>47</v>
      </c>
      <c r="E161" s="8" t="s">
        <v>44</v>
      </c>
      <c r="F161" s="8" t="s">
        <v>50</v>
      </c>
      <c r="G161" s="8" t="n">
        <v>1</v>
      </c>
      <c r="H161" s="12" t="n">
        <v>3000</v>
      </c>
      <c r="I161" s="13" t="n">
        <v>0</v>
      </c>
      <c r="J161" s="12" t="n">
        <v>2000</v>
      </c>
      <c r="K161" s="12" t="n">
        <f aca="false">G161*H161*(1-I161)</f>
        <v>3000</v>
      </c>
      <c r="L161" s="12" t="n">
        <f aca="false">K161-G161*J161</f>
        <v>1000</v>
      </c>
    </row>
    <row r="162" customFormat="false" ht="15" hidden="false" customHeight="false" outlineLevel="0" collapsed="false">
      <c r="A162" s="8" t="s">
        <v>244</v>
      </c>
      <c r="B162" s="11" t="n">
        <v>45755</v>
      </c>
      <c r="C162" s="8" t="n">
        <f aca="false">MONTH(B162)</f>
        <v>4</v>
      </c>
      <c r="D162" s="8" t="s">
        <v>55</v>
      </c>
      <c r="E162" s="8" t="s">
        <v>44</v>
      </c>
      <c r="F162" s="8" t="s">
        <v>45</v>
      </c>
      <c r="G162" s="8" t="n">
        <v>2</v>
      </c>
      <c r="H162" s="12" t="n">
        <v>1500</v>
      </c>
      <c r="I162" s="13" t="n">
        <v>0</v>
      </c>
      <c r="J162" s="12" t="n">
        <v>900</v>
      </c>
      <c r="K162" s="12" t="n">
        <f aca="false">G162*H162*(1-I162)</f>
        <v>3000</v>
      </c>
      <c r="L162" s="12" t="n">
        <f aca="false">K162-G162*J162</f>
        <v>1200</v>
      </c>
    </row>
    <row r="163" customFormat="false" ht="15" hidden="false" customHeight="false" outlineLevel="0" collapsed="false">
      <c r="A163" s="8" t="s">
        <v>224</v>
      </c>
      <c r="B163" s="11" t="n">
        <v>45756</v>
      </c>
      <c r="C163" s="8" t="n">
        <f aca="false">MONTH(B163)</f>
        <v>4</v>
      </c>
      <c r="D163" s="8" t="s">
        <v>39</v>
      </c>
      <c r="E163" s="8" t="s">
        <v>57</v>
      </c>
      <c r="F163" s="8" t="s">
        <v>86</v>
      </c>
      <c r="G163" s="8" t="n">
        <v>2</v>
      </c>
      <c r="H163" s="12" t="n">
        <v>1200</v>
      </c>
      <c r="I163" s="13" t="n">
        <v>0</v>
      </c>
      <c r="J163" s="12" t="n">
        <v>600</v>
      </c>
      <c r="K163" s="12" t="n">
        <f aca="false">G163*H163*(1-I163)</f>
        <v>2400</v>
      </c>
      <c r="L163" s="12" t="n">
        <f aca="false">K163-G163*J163</f>
        <v>1200</v>
      </c>
    </row>
    <row r="164" customFormat="false" ht="15" hidden="false" customHeight="false" outlineLevel="0" collapsed="false">
      <c r="A164" s="8" t="s">
        <v>258</v>
      </c>
      <c r="B164" s="11" t="n">
        <v>45756</v>
      </c>
      <c r="C164" s="8" t="n">
        <f aca="false">MONTH(B164)</f>
        <v>4</v>
      </c>
      <c r="D164" s="8" t="s">
        <v>43</v>
      </c>
      <c r="E164" s="8" t="s">
        <v>57</v>
      </c>
      <c r="F164" s="8" t="s">
        <v>86</v>
      </c>
      <c r="G164" s="8" t="n">
        <v>3</v>
      </c>
      <c r="H164" s="12" t="n">
        <v>1200</v>
      </c>
      <c r="I164" s="13" t="n">
        <v>0</v>
      </c>
      <c r="J164" s="12" t="n">
        <v>600</v>
      </c>
      <c r="K164" s="12" t="n">
        <f aca="false">G164*H164*(1-I164)</f>
        <v>3600</v>
      </c>
      <c r="L164" s="12" t="n">
        <f aca="false">K164-G164*J164</f>
        <v>1800</v>
      </c>
    </row>
    <row r="165" customFormat="false" ht="15" hidden="false" customHeight="false" outlineLevel="0" collapsed="false">
      <c r="A165" s="8" t="s">
        <v>218</v>
      </c>
      <c r="B165" s="11" t="n">
        <v>45756</v>
      </c>
      <c r="C165" s="8" t="n">
        <f aca="false">MONTH(B165)</f>
        <v>4</v>
      </c>
      <c r="D165" s="8" t="s">
        <v>39</v>
      </c>
      <c r="E165" s="8" t="s">
        <v>57</v>
      </c>
      <c r="F165" s="8" t="s">
        <v>58</v>
      </c>
      <c r="G165" s="8" t="n">
        <v>3</v>
      </c>
      <c r="H165" s="12" t="n">
        <v>5500</v>
      </c>
      <c r="I165" s="13" t="n">
        <v>0.1</v>
      </c>
      <c r="J165" s="12" t="n">
        <v>3600</v>
      </c>
      <c r="K165" s="12" t="n">
        <f aca="false">G165*H165*(1-I165)</f>
        <v>14850</v>
      </c>
      <c r="L165" s="12" t="n">
        <f aca="false">K165-G165*J165</f>
        <v>4050</v>
      </c>
    </row>
    <row r="166" customFormat="false" ht="15" hidden="false" customHeight="false" outlineLevel="0" collapsed="false">
      <c r="A166" s="8" t="s">
        <v>232</v>
      </c>
      <c r="B166" s="11" t="n">
        <v>45756</v>
      </c>
      <c r="C166" s="8" t="n">
        <f aca="false">MONTH(B166)</f>
        <v>4</v>
      </c>
      <c r="D166" s="8" t="s">
        <v>43</v>
      </c>
      <c r="E166" s="8" t="s">
        <v>57</v>
      </c>
      <c r="F166" s="8" t="s">
        <v>63</v>
      </c>
      <c r="G166" s="8" t="n">
        <v>2</v>
      </c>
      <c r="H166" s="12" t="n">
        <v>9000</v>
      </c>
      <c r="I166" s="13" t="n">
        <v>0</v>
      </c>
      <c r="J166" s="12" t="n">
        <v>6200</v>
      </c>
      <c r="K166" s="12" t="n">
        <f aca="false">G166*H166*(1-I166)</f>
        <v>18000</v>
      </c>
      <c r="L166" s="12" t="n">
        <f aca="false">K166-G166*J166</f>
        <v>5600</v>
      </c>
    </row>
    <row r="167" customFormat="false" ht="15" hidden="false" customHeight="false" outlineLevel="0" collapsed="false">
      <c r="A167" s="8" t="s">
        <v>247</v>
      </c>
      <c r="B167" s="11" t="n">
        <v>45757</v>
      </c>
      <c r="C167" s="8" t="n">
        <f aca="false">MONTH(B167)</f>
        <v>4</v>
      </c>
      <c r="D167" s="8" t="s">
        <v>47</v>
      </c>
      <c r="E167" s="8" t="s">
        <v>57</v>
      </c>
      <c r="F167" s="8" t="s">
        <v>86</v>
      </c>
      <c r="G167" s="8" t="n">
        <v>3</v>
      </c>
      <c r="H167" s="12" t="n">
        <v>1200</v>
      </c>
      <c r="I167" s="13" t="n">
        <v>0</v>
      </c>
      <c r="J167" s="12" t="n">
        <v>600</v>
      </c>
      <c r="K167" s="12" t="n">
        <f aca="false">G167*H167*(1-I167)</f>
        <v>3600</v>
      </c>
      <c r="L167" s="12" t="n">
        <f aca="false">K167-G167*J167</f>
        <v>1800</v>
      </c>
    </row>
    <row r="168" customFormat="false" ht="15" hidden="false" customHeight="false" outlineLevel="0" collapsed="false">
      <c r="A168" s="8" t="s">
        <v>238</v>
      </c>
      <c r="B168" s="11" t="n">
        <v>45757</v>
      </c>
      <c r="C168" s="8" t="n">
        <f aca="false">MONTH(B168)</f>
        <v>4</v>
      </c>
      <c r="D168" s="8" t="s">
        <v>39</v>
      </c>
      <c r="E168" s="8" t="s">
        <v>57</v>
      </c>
      <c r="F168" s="8" t="s">
        <v>111</v>
      </c>
      <c r="G168" s="8" t="n">
        <v>1</v>
      </c>
      <c r="H168" s="12" t="n">
        <v>7000</v>
      </c>
      <c r="I168" s="13" t="n">
        <v>0.05</v>
      </c>
      <c r="J168" s="12" t="n">
        <v>4800</v>
      </c>
      <c r="K168" s="12" t="n">
        <f aca="false">G168*H168*(1-I168)</f>
        <v>6650</v>
      </c>
      <c r="L168" s="12" t="n">
        <f aca="false">K168-G168*J168</f>
        <v>1850</v>
      </c>
    </row>
    <row r="169" customFormat="false" ht="15" hidden="false" customHeight="false" outlineLevel="0" collapsed="false">
      <c r="A169" s="8" t="s">
        <v>229</v>
      </c>
      <c r="B169" s="11" t="n">
        <v>45757</v>
      </c>
      <c r="C169" s="8" t="n">
        <f aca="false">MONTH(B169)</f>
        <v>4</v>
      </c>
      <c r="D169" s="8" t="s">
        <v>39</v>
      </c>
      <c r="E169" s="8" t="s">
        <v>57</v>
      </c>
      <c r="F169" s="8" t="s">
        <v>111</v>
      </c>
      <c r="G169" s="8" t="n">
        <v>3</v>
      </c>
      <c r="H169" s="12" t="n">
        <v>7000</v>
      </c>
      <c r="I169" s="13" t="n">
        <v>0</v>
      </c>
      <c r="J169" s="12" t="n">
        <v>4800</v>
      </c>
      <c r="K169" s="12" t="n">
        <f aca="false">G169*H169*(1-I169)</f>
        <v>21000</v>
      </c>
      <c r="L169" s="12" t="n">
        <f aca="false">K169-G169*J169</f>
        <v>6600</v>
      </c>
    </row>
    <row r="170" customFormat="false" ht="15" hidden="false" customHeight="false" outlineLevel="0" collapsed="false">
      <c r="A170" s="8" t="s">
        <v>235</v>
      </c>
      <c r="B170" s="11" t="n">
        <v>45757</v>
      </c>
      <c r="C170" s="8" t="n">
        <f aca="false">MONTH(B170)</f>
        <v>4</v>
      </c>
      <c r="D170" s="8" t="s">
        <v>47</v>
      </c>
      <c r="E170" s="8" t="s">
        <v>40</v>
      </c>
      <c r="F170" s="8" t="s">
        <v>71</v>
      </c>
      <c r="G170" s="8" t="n">
        <v>10</v>
      </c>
      <c r="H170" s="12" t="n">
        <v>500</v>
      </c>
      <c r="I170" s="13" t="n">
        <v>0.05</v>
      </c>
      <c r="J170" s="12" t="n">
        <v>250</v>
      </c>
      <c r="K170" s="12" t="n">
        <f aca="false">G170*H170*(1-I170)</f>
        <v>4750</v>
      </c>
      <c r="L170" s="12" t="n">
        <f aca="false">K170-G170*J170</f>
        <v>2250</v>
      </c>
    </row>
    <row r="171" customFormat="false" ht="15" hidden="false" customHeight="false" outlineLevel="0" collapsed="false">
      <c r="A171" s="8" t="s">
        <v>220</v>
      </c>
      <c r="B171" s="11" t="n">
        <v>45758</v>
      </c>
      <c r="C171" s="8" t="n">
        <f aca="false">MONTH(B171)</f>
        <v>4</v>
      </c>
      <c r="D171" s="8" t="s">
        <v>55</v>
      </c>
      <c r="E171" s="8" t="s">
        <v>57</v>
      </c>
      <c r="F171" s="8" t="s">
        <v>58</v>
      </c>
      <c r="G171" s="8" t="n">
        <v>3</v>
      </c>
      <c r="H171" s="12" t="n">
        <v>5500</v>
      </c>
      <c r="I171" s="13" t="n">
        <v>0</v>
      </c>
      <c r="J171" s="12" t="n">
        <v>3600</v>
      </c>
      <c r="K171" s="12" t="n">
        <f aca="false">G171*H171*(1-I171)</f>
        <v>16500</v>
      </c>
      <c r="L171" s="12" t="n">
        <f aca="false">K171-G171*J171</f>
        <v>5700</v>
      </c>
    </row>
    <row r="172" customFormat="false" ht="15" hidden="false" customHeight="false" outlineLevel="0" collapsed="false">
      <c r="A172" s="8" t="s">
        <v>231</v>
      </c>
      <c r="B172" s="11" t="n">
        <v>45758</v>
      </c>
      <c r="C172" s="8" t="n">
        <f aca="false">MONTH(B172)</f>
        <v>4</v>
      </c>
      <c r="D172" s="8" t="s">
        <v>47</v>
      </c>
      <c r="E172" s="8" t="s">
        <v>57</v>
      </c>
      <c r="F172" s="8" t="s">
        <v>63</v>
      </c>
      <c r="G172" s="8" t="n">
        <v>3</v>
      </c>
      <c r="H172" s="12" t="n">
        <v>9000</v>
      </c>
      <c r="I172" s="13" t="n">
        <v>0.05</v>
      </c>
      <c r="J172" s="12" t="n">
        <v>6200</v>
      </c>
      <c r="K172" s="12" t="n">
        <f aca="false">G172*H172*(1-I172)</f>
        <v>25650</v>
      </c>
      <c r="L172" s="12" t="n">
        <f aca="false">K172-G172*J172</f>
        <v>7050</v>
      </c>
    </row>
    <row r="173" customFormat="false" ht="15" hidden="false" customHeight="false" outlineLevel="0" collapsed="false">
      <c r="A173" s="8" t="s">
        <v>215</v>
      </c>
      <c r="B173" s="11" t="n">
        <v>45758</v>
      </c>
      <c r="C173" s="8" t="n">
        <f aca="false">MONTH(B173)</f>
        <v>4</v>
      </c>
      <c r="D173" s="8" t="s">
        <v>47</v>
      </c>
      <c r="E173" s="8" t="s">
        <v>40</v>
      </c>
      <c r="F173" s="8" t="s">
        <v>41</v>
      </c>
      <c r="G173" s="8" t="n">
        <v>10</v>
      </c>
      <c r="H173" s="12" t="n">
        <v>600</v>
      </c>
      <c r="I173" s="13" t="n">
        <v>0.1</v>
      </c>
      <c r="J173" s="12" t="n">
        <v>300</v>
      </c>
      <c r="K173" s="12" t="n">
        <f aca="false">G173*H173*(1-I173)</f>
        <v>5400</v>
      </c>
      <c r="L173" s="12" t="n">
        <f aca="false">K173-G173*J173</f>
        <v>2400</v>
      </c>
    </row>
    <row r="174" customFormat="false" ht="15" hidden="false" customHeight="false" outlineLevel="0" collapsed="false">
      <c r="A174" s="8" t="s">
        <v>236</v>
      </c>
      <c r="B174" s="11" t="n">
        <v>45759</v>
      </c>
      <c r="C174" s="8" t="n">
        <f aca="false">MONTH(B174)</f>
        <v>4</v>
      </c>
      <c r="D174" s="8" t="s">
        <v>55</v>
      </c>
      <c r="E174" s="8" t="s">
        <v>44</v>
      </c>
      <c r="F174" s="8" t="s">
        <v>48</v>
      </c>
      <c r="G174" s="8" t="n">
        <v>2</v>
      </c>
      <c r="H174" s="12" t="n">
        <v>4500</v>
      </c>
      <c r="I174" s="13" t="n">
        <v>0</v>
      </c>
      <c r="J174" s="12" t="n">
        <v>3300</v>
      </c>
      <c r="K174" s="12" t="n">
        <f aca="false">G174*H174*(1-I174)</f>
        <v>9000</v>
      </c>
      <c r="L174" s="12" t="n">
        <f aca="false">K174-G174*J174</f>
        <v>2400</v>
      </c>
    </row>
    <row r="175" customFormat="false" ht="15" hidden="false" customHeight="false" outlineLevel="0" collapsed="false">
      <c r="A175" s="8" t="s">
        <v>214</v>
      </c>
      <c r="B175" s="11" t="n">
        <v>45761</v>
      </c>
      <c r="C175" s="8" t="n">
        <f aca="false">MONTH(B175)</f>
        <v>4</v>
      </c>
      <c r="D175" s="8" t="s">
        <v>43</v>
      </c>
      <c r="E175" s="8" t="s">
        <v>40</v>
      </c>
      <c r="F175" s="8" t="s">
        <v>104</v>
      </c>
      <c r="G175" s="8" t="n">
        <v>7</v>
      </c>
      <c r="H175" s="12" t="n">
        <v>250</v>
      </c>
      <c r="I175" s="13" t="n">
        <v>0.05</v>
      </c>
      <c r="J175" s="12" t="n">
        <v>100</v>
      </c>
      <c r="K175" s="12" t="n">
        <f aca="false">G175*H175*(1-I175)</f>
        <v>1662.5</v>
      </c>
      <c r="L175" s="12" t="n">
        <f aca="false">K175-G175*J175</f>
        <v>962.5</v>
      </c>
    </row>
    <row r="176" customFormat="false" ht="15" hidden="false" customHeight="false" outlineLevel="0" collapsed="false">
      <c r="A176" s="8" t="s">
        <v>216</v>
      </c>
      <c r="B176" s="11" t="n">
        <v>45761</v>
      </c>
      <c r="C176" s="8" t="n">
        <f aca="false">MONTH(B176)</f>
        <v>4</v>
      </c>
      <c r="D176" s="8" t="s">
        <v>55</v>
      </c>
      <c r="E176" s="8" t="s">
        <v>44</v>
      </c>
      <c r="F176" s="8" t="s">
        <v>60</v>
      </c>
      <c r="G176" s="8" t="n">
        <v>2</v>
      </c>
      <c r="H176" s="12" t="n">
        <v>2500</v>
      </c>
      <c r="I176" s="13" t="n">
        <v>0</v>
      </c>
      <c r="J176" s="12" t="n">
        <v>1600</v>
      </c>
      <c r="K176" s="12" t="n">
        <f aca="false">G176*H176*(1-I176)</f>
        <v>5000</v>
      </c>
      <c r="L176" s="12" t="n">
        <f aca="false">K176-G176*J176</f>
        <v>1800</v>
      </c>
    </row>
    <row r="177" customFormat="false" ht="15" hidden="false" customHeight="false" outlineLevel="0" collapsed="false">
      <c r="A177" s="8" t="s">
        <v>250</v>
      </c>
      <c r="B177" s="11" t="n">
        <v>45761</v>
      </c>
      <c r="C177" s="8" t="n">
        <f aca="false">MONTH(B177)</f>
        <v>4</v>
      </c>
      <c r="D177" s="8" t="s">
        <v>47</v>
      </c>
      <c r="E177" s="8" t="s">
        <v>44</v>
      </c>
      <c r="F177" s="8" t="s">
        <v>45</v>
      </c>
      <c r="G177" s="8" t="n">
        <v>1</v>
      </c>
      <c r="H177" s="12" t="n">
        <v>1500</v>
      </c>
      <c r="I177" s="13" t="n">
        <v>0</v>
      </c>
      <c r="J177" s="12" t="n">
        <v>900</v>
      </c>
      <c r="K177" s="12" t="n">
        <f aca="false">G177*H177*(1-I177)</f>
        <v>1500</v>
      </c>
      <c r="L177" s="12" t="n">
        <f aca="false">K177-G177*J177</f>
        <v>600</v>
      </c>
    </row>
    <row r="178" customFormat="false" ht="15" hidden="false" customHeight="false" outlineLevel="0" collapsed="false">
      <c r="A178" s="8" t="s">
        <v>246</v>
      </c>
      <c r="B178" s="11" t="n">
        <v>45762</v>
      </c>
      <c r="C178" s="8" t="n">
        <f aca="false">MONTH(B178)</f>
        <v>4</v>
      </c>
      <c r="D178" s="8" t="s">
        <v>39</v>
      </c>
      <c r="E178" s="8" t="s">
        <v>40</v>
      </c>
      <c r="F178" s="8" t="s">
        <v>104</v>
      </c>
      <c r="G178" s="8" t="n">
        <v>10</v>
      </c>
      <c r="H178" s="12" t="n">
        <v>250</v>
      </c>
      <c r="I178" s="13" t="n">
        <v>0</v>
      </c>
      <c r="J178" s="12" t="n">
        <v>100</v>
      </c>
      <c r="K178" s="12" t="n">
        <f aca="false">G178*H178*(1-I178)</f>
        <v>2500</v>
      </c>
      <c r="L178" s="12" t="n">
        <f aca="false">K178-G178*J178</f>
        <v>1500</v>
      </c>
    </row>
    <row r="179" customFormat="false" ht="15" hidden="false" customHeight="false" outlineLevel="0" collapsed="false">
      <c r="A179" s="8" t="s">
        <v>240</v>
      </c>
      <c r="B179" s="11" t="n">
        <v>45762</v>
      </c>
      <c r="C179" s="8" t="n">
        <f aca="false">MONTH(B179)</f>
        <v>4</v>
      </c>
      <c r="D179" s="8" t="s">
        <v>47</v>
      </c>
      <c r="E179" s="8" t="s">
        <v>44</v>
      </c>
      <c r="F179" s="8" t="s">
        <v>60</v>
      </c>
      <c r="G179" s="8" t="n">
        <v>2</v>
      </c>
      <c r="H179" s="12" t="n">
        <v>2500</v>
      </c>
      <c r="I179" s="13" t="n">
        <v>0</v>
      </c>
      <c r="J179" s="12" t="n">
        <v>1600</v>
      </c>
      <c r="K179" s="12" t="n">
        <f aca="false">G179*H179*(1-I179)</f>
        <v>5000</v>
      </c>
      <c r="L179" s="12" t="n">
        <f aca="false">K179-G179*J179</f>
        <v>1800</v>
      </c>
    </row>
    <row r="180" customFormat="false" ht="15" hidden="false" customHeight="false" outlineLevel="0" collapsed="false">
      <c r="A180" s="8" t="s">
        <v>219</v>
      </c>
      <c r="B180" s="11" t="n">
        <v>45762</v>
      </c>
      <c r="C180" s="8" t="n">
        <f aca="false">MONTH(B180)</f>
        <v>4</v>
      </c>
      <c r="D180" s="8" t="s">
        <v>55</v>
      </c>
      <c r="E180" s="8" t="s">
        <v>40</v>
      </c>
      <c r="F180" s="8" t="s">
        <v>104</v>
      </c>
      <c r="G180" s="8" t="n">
        <v>10</v>
      </c>
      <c r="H180" s="12" t="n">
        <v>250</v>
      </c>
      <c r="I180" s="13" t="n">
        <v>0</v>
      </c>
      <c r="J180" s="12" t="n">
        <v>100</v>
      </c>
      <c r="K180" s="12" t="n">
        <f aca="false">G180*H180*(1-I180)</f>
        <v>2500</v>
      </c>
      <c r="L180" s="12" t="n">
        <f aca="false">K180-G180*J180</f>
        <v>1500</v>
      </c>
    </row>
    <row r="181" customFormat="false" ht="15" hidden="false" customHeight="false" outlineLevel="0" collapsed="false">
      <c r="A181" s="8" t="s">
        <v>221</v>
      </c>
      <c r="B181" s="11" t="n">
        <v>45762</v>
      </c>
      <c r="C181" s="8" t="n">
        <f aca="false">MONTH(B181)</f>
        <v>4</v>
      </c>
      <c r="D181" s="8" t="s">
        <v>55</v>
      </c>
      <c r="E181" s="8" t="s">
        <v>44</v>
      </c>
      <c r="F181" s="8" t="s">
        <v>50</v>
      </c>
      <c r="G181" s="8" t="n">
        <v>1</v>
      </c>
      <c r="H181" s="12" t="n">
        <v>3000</v>
      </c>
      <c r="I181" s="13" t="n">
        <v>0</v>
      </c>
      <c r="J181" s="12" t="n">
        <v>2000</v>
      </c>
      <c r="K181" s="12" t="n">
        <f aca="false">G181*H181*(1-I181)</f>
        <v>3000</v>
      </c>
      <c r="L181" s="12" t="n">
        <f aca="false">K181-G181*J181</f>
        <v>1000</v>
      </c>
    </row>
    <row r="182" customFormat="false" ht="15" hidden="false" customHeight="false" outlineLevel="0" collapsed="false">
      <c r="A182" s="8" t="s">
        <v>227</v>
      </c>
      <c r="B182" s="11" t="n">
        <v>45763</v>
      </c>
      <c r="C182" s="8" t="n">
        <f aca="false">MONTH(B182)</f>
        <v>4</v>
      </c>
      <c r="D182" s="8" t="s">
        <v>47</v>
      </c>
      <c r="E182" s="8" t="s">
        <v>57</v>
      </c>
      <c r="F182" s="8" t="s">
        <v>58</v>
      </c>
      <c r="G182" s="8" t="n">
        <v>1</v>
      </c>
      <c r="H182" s="12" t="n">
        <v>5500</v>
      </c>
      <c r="I182" s="13" t="n">
        <v>0.1</v>
      </c>
      <c r="J182" s="12" t="n">
        <v>3600</v>
      </c>
      <c r="K182" s="12" t="n">
        <f aca="false">G182*H182*(1-I182)</f>
        <v>4950</v>
      </c>
      <c r="L182" s="12" t="n">
        <f aca="false">K182-G182*J182</f>
        <v>1350</v>
      </c>
    </row>
    <row r="183" customFormat="false" ht="15" hidden="false" customHeight="false" outlineLevel="0" collapsed="false">
      <c r="A183" s="8" t="s">
        <v>242</v>
      </c>
      <c r="B183" s="11" t="n">
        <v>45763</v>
      </c>
      <c r="C183" s="8" t="n">
        <f aca="false">MONTH(B183)</f>
        <v>4</v>
      </c>
      <c r="D183" s="8" t="s">
        <v>39</v>
      </c>
      <c r="E183" s="8" t="s">
        <v>57</v>
      </c>
      <c r="F183" s="8" t="s">
        <v>86</v>
      </c>
      <c r="G183" s="8" t="n">
        <v>1</v>
      </c>
      <c r="H183" s="12" t="n">
        <v>1200</v>
      </c>
      <c r="I183" s="13" t="n">
        <v>0</v>
      </c>
      <c r="J183" s="12" t="n">
        <v>600</v>
      </c>
      <c r="K183" s="12" t="n">
        <f aca="false">G183*H183*(1-I183)</f>
        <v>1200</v>
      </c>
      <c r="L183" s="12" t="n">
        <f aca="false">K183-G183*J183</f>
        <v>600</v>
      </c>
    </row>
    <row r="184" customFormat="false" ht="15" hidden="false" customHeight="false" outlineLevel="0" collapsed="false">
      <c r="A184" s="8" t="s">
        <v>230</v>
      </c>
      <c r="B184" s="11" t="n">
        <v>45764</v>
      </c>
      <c r="C184" s="8" t="n">
        <f aca="false">MONTH(B184)</f>
        <v>4</v>
      </c>
      <c r="D184" s="8" t="s">
        <v>47</v>
      </c>
      <c r="E184" s="8" t="s">
        <v>40</v>
      </c>
      <c r="F184" s="8" t="s">
        <v>41</v>
      </c>
      <c r="G184" s="8" t="n">
        <v>9</v>
      </c>
      <c r="H184" s="12" t="n">
        <v>600</v>
      </c>
      <c r="I184" s="13" t="n">
        <v>0.05</v>
      </c>
      <c r="J184" s="12" t="n">
        <v>300</v>
      </c>
      <c r="K184" s="12" t="n">
        <f aca="false">G184*H184*(1-I184)</f>
        <v>5130</v>
      </c>
      <c r="L184" s="12" t="n">
        <f aca="false">K184-G184*J184</f>
        <v>2430</v>
      </c>
    </row>
    <row r="185" customFormat="false" ht="15" hidden="false" customHeight="false" outlineLevel="0" collapsed="false">
      <c r="A185" s="8" t="s">
        <v>256</v>
      </c>
      <c r="B185" s="11" t="n">
        <v>45767</v>
      </c>
      <c r="C185" s="8" t="n">
        <f aca="false">MONTH(B185)</f>
        <v>4</v>
      </c>
      <c r="D185" s="8" t="s">
        <v>39</v>
      </c>
      <c r="E185" s="8" t="s">
        <v>44</v>
      </c>
      <c r="F185" s="8" t="s">
        <v>45</v>
      </c>
      <c r="G185" s="8" t="n">
        <v>1</v>
      </c>
      <c r="H185" s="12" t="n">
        <v>1500</v>
      </c>
      <c r="I185" s="13" t="n">
        <v>0</v>
      </c>
      <c r="J185" s="12" t="n">
        <v>900</v>
      </c>
      <c r="K185" s="12" t="n">
        <f aca="false">G185*H185*(1-I185)</f>
        <v>1500</v>
      </c>
      <c r="L185" s="12" t="n">
        <f aca="false">K185-G185*J185</f>
        <v>600</v>
      </c>
    </row>
    <row r="186" customFormat="false" ht="15" hidden="false" customHeight="false" outlineLevel="0" collapsed="false">
      <c r="A186" s="8" t="s">
        <v>259</v>
      </c>
      <c r="B186" s="11" t="n">
        <v>45767</v>
      </c>
      <c r="C186" s="8" t="n">
        <f aca="false">MONTH(B186)</f>
        <v>4</v>
      </c>
      <c r="D186" s="8" t="s">
        <v>47</v>
      </c>
      <c r="E186" s="8" t="s">
        <v>40</v>
      </c>
      <c r="F186" s="8" t="s">
        <v>77</v>
      </c>
      <c r="G186" s="8" t="n">
        <v>9</v>
      </c>
      <c r="H186" s="12" t="n">
        <v>400</v>
      </c>
      <c r="I186" s="13" t="n">
        <v>0</v>
      </c>
      <c r="J186" s="12" t="n">
        <v>200</v>
      </c>
      <c r="K186" s="12" t="n">
        <f aca="false">G186*H186*(1-I186)</f>
        <v>3600</v>
      </c>
      <c r="L186" s="12" t="n">
        <f aca="false">K186-G186*J186</f>
        <v>1800</v>
      </c>
    </row>
    <row r="187" customFormat="false" ht="15" hidden="false" customHeight="false" outlineLevel="0" collapsed="false">
      <c r="A187" s="8" t="s">
        <v>245</v>
      </c>
      <c r="B187" s="11" t="n">
        <v>45767</v>
      </c>
      <c r="C187" s="8" t="n">
        <f aca="false">MONTH(B187)</f>
        <v>4</v>
      </c>
      <c r="D187" s="8" t="s">
        <v>47</v>
      </c>
      <c r="E187" s="8" t="s">
        <v>44</v>
      </c>
      <c r="F187" s="8" t="s">
        <v>48</v>
      </c>
      <c r="G187" s="8" t="n">
        <v>2</v>
      </c>
      <c r="H187" s="12" t="n">
        <v>4500</v>
      </c>
      <c r="I187" s="13" t="n">
        <v>0.05</v>
      </c>
      <c r="J187" s="12" t="n">
        <v>3300</v>
      </c>
      <c r="K187" s="12" t="n">
        <f aca="false">G187*H187*(1-I187)</f>
        <v>8550</v>
      </c>
      <c r="L187" s="12" t="n">
        <f aca="false">K187-G187*J187</f>
        <v>1950</v>
      </c>
    </row>
    <row r="188" customFormat="false" ht="15" hidden="false" customHeight="false" outlineLevel="0" collapsed="false">
      <c r="A188" s="8" t="s">
        <v>248</v>
      </c>
      <c r="B188" s="11" t="n">
        <v>45768</v>
      </c>
      <c r="C188" s="8" t="n">
        <f aca="false">MONTH(B188)</f>
        <v>4</v>
      </c>
      <c r="D188" s="8" t="s">
        <v>43</v>
      </c>
      <c r="E188" s="8" t="s">
        <v>40</v>
      </c>
      <c r="F188" s="8" t="s">
        <v>104</v>
      </c>
      <c r="G188" s="8" t="n">
        <v>3</v>
      </c>
      <c r="H188" s="12" t="n">
        <v>250</v>
      </c>
      <c r="I188" s="13" t="n">
        <v>0</v>
      </c>
      <c r="J188" s="12" t="n">
        <v>100</v>
      </c>
      <c r="K188" s="12" t="n">
        <f aca="false">G188*H188*(1-I188)</f>
        <v>750</v>
      </c>
      <c r="L188" s="12" t="n">
        <f aca="false">K188-G188*J188</f>
        <v>450</v>
      </c>
    </row>
    <row r="189" customFormat="false" ht="15" hidden="false" customHeight="false" outlineLevel="0" collapsed="false">
      <c r="A189" s="8" t="s">
        <v>210</v>
      </c>
      <c r="B189" s="11" t="n">
        <v>45769</v>
      </c>
      <c r="C189" s="8" t="n">
        <f aca="false">MONTH(B189)</f>
        <v>4</v>
      </c>
      <c r="D189" s="8" t="s">
        <v>39</v>
      </c>
      <c r="E189" s="8" t="s">
        <v>40</v>
      </c>
      <c r="F189" s="8" t="s">
        <v>104</v>
      </c>
      <c r="G189" s="8" t="n">
        <v>6</v>
      </c>
      <c r="H189" s="12" t="n">
        <v>250</v>
      </c>
      <c r="I189" s="13" t="n">
        <v>0.05</v>
      </c>
      <c r="J189" s="12" t="n">
        <v>100</v>
      </c>
      <c r="K189" s="12" t="n">
        <f aca="false">G189*H189*(1-I189)</f>
        <v>1425</v>
      </c>
      <c r="L189" s="12" t="n">
        <f aca="false">K189-G189*J189</f>
        <v>825</v>
      </c>
    </row>
    <row r="190" customFormat="false" ht="15" hidden="false" customHeight="false" outlineLevel="0" collapsed="false">
      <c r="A190" s="8" t="s">
        <v>222</v>
      </c>
      <c r="B190" s="11" t="n">
        <v>45769</v>
      </c>
      <c r="C190" s="8" t="n">
        <f aca="false">MONTH(B190)</f>
        <v>4</v>
      </c>
      <c r="D190" s="8" t="s">
        <v>43</v>
      </c>
      <c r="E190" s="8" t="s">
        <v>44</v>
      </c>
      <c r="F190" s="8" t="s">
        <v>50</v>
      </c>
      <c r="G190" s="8" t="n">
        <v>3</v>
      </c>
      <c r="H190" s="12" t="n">
        <v>3000</v>
      </c>
      <c r="I190" s="13" t="n">
        <v>0.05</v>
      </c>
      <c r="J190" s="12" t="n">
        <v>2000</v>
      </c>
      <c r="K190" s="12" t="n">
        <f aca="false">G190*H190*(1-I190)</f>
        <v>8550</v>
      </c>
      <c r="L190" s="12" t="n">
        <f aca="false">K190-G190*J190</f>
        <v>2550</v>
      </c>
    </row>
    <row r="191" customFormat="false" ht="15" hidden="false" customHeight="false" outlineLevel="0" collapsed="false">
      <c r="A191" s="8" t="s">
        <v>208</v>
      </c>
      <c r="B191" s="11" t="n">
        <v>45770</v>
      </c>
      <c r="C191" s="8" t="n">
        <f aca="false">MONTH(B191)</f>
        <v>4</v>
      </c>
      <c r="D191" s="8" t="s">
        <v>39</v>
      </c>
      <c r="E191" s="8" t="s">
        <v>57</v>
      </c>
      <c r="F191" s="8" t="s">
        <v>63</v>
      </c>
      <c r="G191" s="8" t="n">
        <v>3</v>
      </c>
      <c r="H191" s="12" t="n">
        <v>9000</v>
      </c>
      <c r="I191" s="13" t="n">
        <v>0.1</v>
      </c>
      <c r="J191" s="12" t="n">
        <v>6200</v>
      </c>
      <c r="K191" s="12" t="n">
        <f aca="false">G191*H191*(1-I191)</f>
        <v>24300</v>
      </c>
      <c r="L191" s="12" t="n">
        <f aca="false">K191-G191*J191</f>
        <v>5700</v>
      </c>
    </row>
    <row r="192" customFormat="false" ht="15" hidden="false" customHeight="false" outlineLevel="0" collapsed="false">
      <c r="A192" s="8" t="s">
        <v>212</v>
      </c>
      <c r="B192" s="11" t="n">
        <v>45770</v>
      </c>
      <c r="C192" s="8" t="n">
        <f aca="false">MONTH(B192)</f>
        <v>4</v>
      </c>
      <c r="D192" s="8" t="s">
        <v>43</v>
      </c>
      <c r="E192" s="8" t="s">
        <v>40</v>
      </c>
      <c r="F192" s="8" t="s">
        <v>104</v>
      </c>
      <c r="G192" s="8" t="n">
        <v>5</v>
      </c>
      <c r="H192" s="12" t="n">
        <v>250</v>
      </c>
      <c r="I192" s="13" t="n">
        <v>0</v>
      </c>
      <c r="J192" s="12" t="n">
        <v>100</v>
      </c>
      <c r="K192" s="12" t="n">
        <f aca="false">G192*H192*(1-I192)</f>
        <v>1250</v>
      </c>
      <c r="L192" s="12" t="n">
        <f aca="false">K192-G192*J192</f>
        <v>750</v>
      </c>
    </row>
    <row r="193" customFormat="false" ht="15" hidden="false" customHeight="false" outlineLevel="0" collapsed="false">
      <c r="A193" s="8" t="s">
        <v>226</v>
      </c>
      <c r="B193" s="11" t="n">
        <v>45771</v>
      </c>
      <c r="C193" s="8" t="n">
        <f aca="false">MONTH(B193)</f>
        <v>4</v>
      </c>
      <c r="D193" s="8" t="s">
        <v>55</v>
      </c>
      <c r="E193" s="8" t="s">
        <v>40</v>
      </c>
      <c r="F193" s="8" t="s">
        <v>77</v>
      </c>
      <c r="G193" s="8" t="n">
        <v>3</v>
      </c>
      <c r="H193" s="12" t="n">
        <v>400</v>
      </c>
      <c r="I193" s="13" t="n">
        <v>0</v>
      </c>
      <c r="J193" s="12" t="n">
        <v>200</v>
      </c>
      <c r="K193" s="12" t="n">
        <f aca="false">G193*H193*(1-I193)</f>
        <v>1200</v>
      </c>
      <c r="L193" s="12" t="n">
        <f aca="false">K193-G193*J193</f>
        <v>600</v>
      </c>
    </row>
    <row r="194" customFormat="false" ht="15" hidden="false" customHeight="false" outlineLevel="0" collapsed="false">
      <c r="A194" s="8" t="s">
        <v>213</v>
      </c>
      <c r="B194" s="11" t="n">
        <v>45773</v>
      </c>
      <c r="C194" s="8" t="n">
        <f aca="false">MONTH(B194)</f>
        <v>4</v>
      </c>
      <c r="D194" s="8" t="s">
        <v>55</v>
      </c>
      <c r="E194" s="8" t="s">
        <v>57</v>
      </c>
      <c r="F194" s="8" t="s">
        <v>111</v>
      </c>
      <c r="G194" s="8" t="n">
        <v>3</v>
      </c>
      <c r="H194" s="12" t="n">
        <v>7000</v>
      </c>
      <c r="I194" s="13" t="n">
        <v>0</v>
      </c>
      <c r="J194" s="12" t="n">
        <v>4800</v>
      </c>
      <c r="K194" s="12" t="n">
        <f aca="false">G194*H194*(1-I194)</f>
        <v>21000</v>
      </c>
      <c r="L194" s="12" t="n">
        <f aca="false">K194-G194*J194</f>
        <v>6600</v>
      </c>
    </row>
    <row r="195" customFormat="false" ht="15" hidden="false" customHeight="false" outlineLevel="0" collapsed="false">
      <c r="A195" s="8" t="s">
        <v>253</v>
      </c>
      <c r="B195" s="11" t="n">
        <v>45773</v>
      </c>
      <c r="C195" s="8" t="n">
        <f aca="false">MONTH(B195)</f>
        <v>4</v>
      </c>
      <c r="D195" s="8" t="s">
        <v>39</v>
      </c>
      <c r="E195" s="8" t="s">
        <v>57</v>
      </c>
      <c r="F195" s="8" t="s">
        <v>86</v>
      </c>
      <c r="G195" s="8" t="n">
        <v>1</v>
      </c>
      <c r="H195" s="12" t="n">
        <v>1200</v>
      </c>
      <c r="I195" s="13" t="n">
        <v>0</v>
      </c>
      <c r="J195" s="12" t="n">
        <v>600</v>
      </c>
      <c r="K195" s="12" t="n">
        <f aca="false">G195*H195*(1-I195)</f>
        <v>1200</v>
      </c>
      <c r="L195" s="12" t="n">
        <f aca="false">K195-G195*J195</f>
        <v>600</v>
      </c>
    </row>
    <row r="196" customFormat="false" ht="15" hidden="false" customHeight="false" outlineLevel="0" collapsed="false">
      <c r="A196" s="8" t="s">
        <v>255</v>
      </c>
      <c r="B196" s="11" t="n">
        <v>45774</v>
      </c>
      <c r="C196" s="8" t="n">
        <f aca="false">MONTH(B196)</f>
        <v>4</v>
      </c>
      <c r="D196" s="8" t="s">
        <v>39</v>
      </c>
      <c r="E196" s="8" t="s">
        <v>40</v>
      </c>
      <c r="F196" s="8" t="s">
        <v>77</v>
      </c>
      <c r="G196" s="8" t="n">
        <v>4</v>
      </c>
      <c r="H196" s="12" t="n">
        <v>400</v>
      </c>
      <c r="I196" s="13" t="n">
        <v>0</v>
      </c>
      <c r="J196" s="12" t="n">
        <v>200</v>
      </c>
      <c r="K196" s="12" t="n">
        <f aca="false">G196*H196*(1-I196)</f>
        <v>1600</v>
      </c>
      <c r="L196" s="12" t="n">
        <f aca="false">K196-G196*J196</f>
        <v>800</v>
      </c>
    </row>
    <row r="197" customFormat="false" ht="15" hidden="false" customHeight="false" outlineLevel="0" collapsed="false">
      <c r="A197" s="8" t="s">
        <v>252</v>
      </c>
      <c r="B197" s="11" t="n">
        <v>45775</v>
      </c>
      <c r="C197" s="8" t="n">
        <f aca="false">MONTH(B197)</f>
        <v>4</v>
      </c>
      <c r="D197" s="8" t="s">
        <v>47</v>
      </c>
      <c r="E197" s="8" t="s">
        <v>44</v>
      </c>
      <c r="F197" s="8" t="s">
        <v>50</v>
      </c>
      <c r="G197" s="8" t="n">
        <v>2</v>
      </c>
      <c r="H197" s="12" t="n">
        <v>3000</v>
      </c>
      <c r="I197" s="13" t="n">
        <v>0.1</v>
      </c>
      <c r="J197" s="12" t="n">
        <v>2000</v>
      </c>
      <c r="K197" s="12" t="n">
        <f aca="false">G197*H197*(1-I197)</f>
        <v>5400</v>
      </c>
      <c r="L197" s="12" t="n">
        <f aca="false">K197-G197*J197</f>
        <v>1400</v>
      </c>
    </row>
    <row r="198" customFormat="false" ht="15" hidden="false" customHeight="false" outlineLevel="0" collapsed="false">
      <c r="A198" s="8" t="s">
        <v>241</v>
      </c>
      <c r="B198" s="11" t="n">
        <v>45775</v>
      </c>
      <c r="C198" s="8" t="n">
        <f aca="false">MONTH(B198)</f>
        <v>4</v>
      </c>
      <c r="D198" s="8" t="s">
        <v>39</v>
      </c>
      <c r="E198" s="8" t="s">
        <v>57</v>
      </c>
      <c r="F198" s="8" t="s">
        <v>63</v>
      </c>
      <c r="G198" s="8" t="n">
        <v>1</v>
      </c>
      <c r="H198" s="12" t="n">
        <v>9000</v>
      </c>
      <c r="I198" s="13" t="n">
        <v>0</v>
      </c>
      <c r="J198" s="12" t="n">
        <v>6200</v>
      </c>
      <c r="K198" s="12" t="n">
        <f aca="false">G198*H198*(1-I198)</f>
        <v>9000</v>
      </c>
      <c r="L198" s="12" t="n">
        <f aca="false">K198-G198*J198</f>
        <v>2800</v>
      </c>
    </row>
    <row r="199" customFormat="false" ht="15" hidden="false" customHeight="false" outlineLevel="0" collapsed="false">
      <c r="A199" s="8" t="s">
        <v>239</v>
      </c>
      <c r="B199" s="11" t="n">
        <v>45775</v>
      </c>
      <c r="C199" s="8" t="n">
        <f aca="false">MONTH(B199)</f>
        <v>4</v>
      </c>
      <c r="D199" s="8" t="s">
        <v>55</v>
      </c>
      <c r="E199" s="8" t="s">
        <v>40</v>
      </c>
      <c r="F199" s="8" t="s">
        <v>71</v>
      </c>
      <c r="G199" s="8" t="n">
        <v>9</v>
      </c>
      <c r="H199" s="12" t="n">
        <v>500</v>
      </c>
      <c r="I199" s="13" t="n">
        <v>0</v>
      </c>
      <c r="J199" s="12" t="n">
        <v>250</v>
      </c>
      <c r="K199" s="12" t="n">
        <f aca="false">G199*H199*(1-I199)</f>
        <v>4500</v>
      </c>
      <c r="L199" s="12" t="n">
        <f aca="false">K199-G199*J199</f>
        <v>2250</v>
      </c>
    </row>
    <row r="200" customFormat="false" ht="15" hidden="false" customHeight="false" outlineLevel="0" collapsed="false">
      <c r="A200" s="8" t="s">
        <v>274</v>
      </c>
      <c r="B200" s="11" t="n">
        <v>45778</v>
      </c>
      <c r="C200" s="8" t="n">
        <f aca="false">MONTH(B200)</f>
        <v>5</v>
      </c>
      <c r="D200" s="8" t="s">
        <v>55</v>
      </c>
      <c r="E200" s="8" t="s">
        <v>57</v>
      </c>
      <c r="F200" s="8" t="s">
        <v>86</v>
      </c>
      <c r="G200" s="8" t="n">
        <v>2</v>
      </c>
      <c r="H200" s="12" t="n">
        <v>1200</v>
      </c>
      <c r="I200" s="13" t="n">
        <v>0</v>
      </c>
      <c r="J200" s="12" t="n">
        <v>600</v>
      </c>
      <c r="K200" s="12" t="n">
        <f aca="false">G200*H200*(1-I200)</f>
        <v>2400</v>
      </c>
      <c r="L200" s="12" t="n">
        <f aca="false">K200-G200*J200</f>
        <v>1200</v>
      </c>
    </row>
    <row r="201" customFormat="false" ht="15" hidden="false" customHeight="false" outlineLevel="0" collapsed="false">
      <c r="A201" s="8" t="s">
        <v>299</v>
      </c>
      <c r="B201" s="11" t="n">
        <v>45778</v>
      </c>
      <c r="C201" s="8" t="n">
        <f aca="false">MONTH(B201)</f>
        <v>5</v>
      </c>
      <c r="D201" s="8" t="s">
        <v>47</v>
      </c>
      <c r="E201" s="8" t="s">
        <v>44</v>
      </c>
      <c r="F201" s="8" t="s">
        <v>48</v>
      </c>
      <c r="G201" s="8" t="n">
        <v>3</v>
      </c>
      <c r="H201" s="12" t="n">
        <v>4500</v>
      </c>
      <c r="I201" s="13" t="n">
        <v>0</v>
      </c>
      <c r="J201" s="12" t="n">
        <v>3300</v>
      </c>
      <c r="K201" s="12" t="n">
        <f aca="false">G201*H201*(1-I201)</f>
        <v>13500</v>
      </c>
      <c r="L201" s="12" t="n">
        <f aca="false">K201-G201*J201</f>
        <v>3600</v>
      </c>
    </row>
    <row r="202" customFormat="false" ht="15" hidden="false" customHeight="false" outlineLevel="0" collapsed="false">
      <c r="A202" s="8" t="s">
        <v>296</v>
      </c>
      <c r="B202" s="11" t="n">
        <v>45779</v>
      </c>
      <c r="C202" s="8" t="n">
        <f aca="false">MONTH(B202)</f>
        <v>5</v>
      </c>
      <c r="D202" s="8" t="s">
        <v>55</v>
      </c>
      <c r="E202" s="8" t="s">
        <v>40</v>
      </c>
      <c r="F202" s="8" t="s">
        <v>71</v>
      </c>
      <c r="G202" s="8" t="n">
        <v>9</v>
      </c>
      <c r="H202" s="12" t="n">
        <v>500</v>
      </c>
      <c r="I202" s="13" t="n">
        <v>0.05</v>
      </c>
      <c r="J202" s="12" t="n">
        <v>250</v>
      </c>
      <c r="K202" s="12" t="n">
        <f aca="false">G202*H202*(1-I202)</f>
        <v>4275</v>
      </c>
      <c r="L202" s="12" t="n">
        <f aca="false">K202-G202*J202</f>
        <v>2025</v>
      </c>
    </row>
    <row r="203" customFormat="false" ht="15" hidden="false" customHeight="false" outlineLevel="0" collapsed="false">
      <c r="A203" s="8" t="s">
        <v>292</v>
      </c>
      <c r="B203" s="11" t="n">
        <v>45780</v>
      </c>
      <c r="C203" s="8" t="n">
        <f aca="false">MONTH(B203)</f>
        <v>5</v>
      </c>
      <c r="D203" s="8" t="s">
        <v>47</v>
      </c>
      <c r="E203" s="8" t="s">
        <v>44</v>
      </c>
      <c r="F203" s="8" t="s">
        <v>45</v>
      </c>
      <c r="G203" s="8" t="n">
        <v>3</v>
      </c>
      <c r="H203" s="12" t="n">
        <v>1500</v>
      </c>
      <c r="I203" s="13" t="n">
        <v>0</v>
      </c>
      <c r="J203" s="12" t="n">
        <v>900</v>
      </c>
      <c r="K203" s="12" t="n">
        <f aca="false">G203*H203*(1-I203)</f>
        <v>4500</v>
      </c>
      <c r="L203" s="12" t="n">
        <f aca="false">K203-G203*J203</f>
        <v>1800</v>
      </c>
    </row>
    <row r="204" customFormat="false" ht="15" hidden="false" customHeight="false" outlineLevel="0" collapsed="false">
      <c r="A204" s="8" t="s">
        <v>276</v>
      </c>
      <c r="B204" s="11" t="n">
        <v>45780</v>
      </c>
      <c r="C204" s="8" t="n">
        <f aca="false">MONTH(B204)</f>
        <v>5</v>
      </c>
      <c r="D204" s="8" t="s">
        <v>771</v>
      </c>
      <c r="E204" s="8" t="s">
        <v>57</v>
      </c>
      <c r="F204" s="8" t="s">
        <v>111</v>
      </c>
      <c r="G204" s="8" t="n">
        <v>3</v>
      </c>
      <c r="H204" s="12" t="n">
        <v>7000</v>
      </c>
      <c r="I204" s="13" t="n">
        <v>0</v>
      </c>
      <c r="J204" s="12" t="n">
        <v>4800</v>
      </c>
      <c r="K204" s="12" t="n">
        <f aca="false">G204*H204*(1-I204)</f>
        <v>21000</v>
      </c>
      <c r="L204" s="12" t="n">
        <f aca="false">K204-G204*J204</f>
        <v>6600</v>
      </c>
    </row>
    <row r="205" customFormat="false" ht="15" hidden="false" customHeight="false" outlineLevel="0" collapsed="false">
      <c r="A205" s="8" t="s">
        <v>277</v>
      </c>
      <c r="B205" s="11" t="n">
        <v>45781</v>
      </c>
      <c r="C205" s="8" t="n">
        <f aca="false">MONTH(B205)</f>
        <v>5</v>
      </c>
      <c r="D205" s="8" t="s">
        <v>55</v>
      </c>
      <c r="E205" s="8" t="s">
        <v>44</v>
      </c>
      <c r="F205" s="8" t="s">
        <v>50</v>
      </c>
      <c r="G205" s="8" t="n">
        <v>1</v>
      </c>
      <c r="H205" s="12" t="n">
        <v>3000</v>
      </c>
      <c r="I205" s="13" t="n">
        <v>0</v>
      </c>
      <c r="J205" s="12" t="n">
        <v>2000</v>
      </c>
      <c r="K205" s="12" t="n">
        <f aca="false">G205*H205*(1-I205)</f>
        <v>3000</v>
      </c>
      <c r="L205" s="12" t="n">
        <f aca="false">K205-G205*J205</f>
        <v>1000</v>
      </c>
    </row>
    <row r="206" customFormat="false" ht="15" hidden="false" customHeight="false" outlineLevel="0" collapsed="false">
      <c r="A206" s="8" t="s">
        <v>266</v>
      </c>
      <c r="B206" s="11" t="n">
        <v>45781</v>
      </c>
      <c r="C206" s="8" t="n">
        <f aca="false">MONTH(B206)</f>
        <v>5</v>
      </c>
      <c r="D206" s="8" t="s">
        <v>47</v>
      </c>
      <c r="E206" s="8" t="s">
        <v>57</v>
      </c>
      <c r="F206" s="8" t="s">
        <v>63</v>
      </c>
      <c r="G206" s="8" t="n">
        <v>2</v>
      </c>
      <c r="H206" s="12" t="n">
        <v>9000</v>
      </c>
      <c r="I206" s="13" t="n">
        <v>0.1</v>
      </c>
      <c r="J206" s="12" t="n">
        <v>6200</v>
      </c>
      <c r="K206" s="12" t="n">
        <f aca="false">G206*H206*(1-I206)</f>
        <v>16200</v>
      </c>
      <c r="L206" s="12" t="n">
        <f aca="false">K206-G206*J206</f>
        <v>3800</v>
      </c>
    </row>
    <row r="207" customFormat="false" ht="15" hidden="false" customHeight="false" outlineLevel="0" collapsed="false">
      <c r="A207" s="8" t="s">
        <v>289</v>
      </c>
      <c r="B207" s="11" t="n">
        <v>45782</v>
      </c>
      <c r="C207" s="8" t="n">
        <f aca="false">MONTH(B207)</f>
        <v>5</v>
      </c>
      <c r="D207" s="8" t="s">
        <v>55</v>
      </c>
      <c r="E207" s="8" t="s">
        <v>40</v>
      </c>
      <c r="F207" s="8" t="s">
        <v>41</v>
      </c>
      <c r="G207" s="8" t="n">
        <v>9</v>
      </c>
      <c r="H207" s="12" t="n">
        <v>600</v>
      </c>
      <c r="I207" s="13" t="n">
        <v>0</v>
      </c>
      <c r="J207" s="12" t="n">
        <v>300</v>
      </c>
      <c r="K207" s="12" t="n">
        <f aca="false">G207*H207*(1-I207)</f>
        <v>5400</v>
      </c>
      <c r="L207" s="12" t="n">
        <f aca="false">K207-G207*J207</f>
        <v>2700</v>
      </c>
    </row>
    <row r="208" customFormat="false" ht="15" hidden="false" customHeight="false" outlineLevel="0" collapsed="false">
      <c r="A208" s="8" t="s">
        <v>302</v>
      </c>
      <c r="B208" s="11" t="n">
        <v>45783</v>
      </c>
      <c r="C208" s="8" t="n">
        <f aca="false">MONTH(B208)</f>
        <v>5</v>
      </c>
      <c r="D208" s="8" t="s">
        <v>43</v>
      </c>
      <c r="E208" s="8" t="s">
        <v>40</v>
      </c>
      <c r="F208" s="8" t="s">
        <v>104</v>
      </c>
      <c r="G208" s="8" t="n">
        <v>4</v>
      </c>
      <c r="H208" s="12" t="n">
        <v>250</v>
      </c>
      <c r="I208" s="13" t="n">
        <v>0</v>
      </c>
      <c r="J208" s="12" t="n">
        <v>100</v>
      </c>
      <c r="K208" s="12" t="n">
        <f aca="false">G208*H208*(1-I208)</f>
        <v>1000</v>
      </c>
      <c r="L208" s="12" t="n">
        <f aca="false">K208-G208*J208</f>
        <v>600</v>
      </c>
    </row>
    <row r="209" customFormat="false" ht="15" hidden="false" customHeight="false" outlineLevel="0" collapsed="false">
      <c r="A209" s="8" t="s">
        <v>275</v>
      </c>
      <c r="B209" s="11" t="n">
        <v>45783</v>
      </c>
      <c r="C209" s="8" t="n">
        <f aca="false">MONTH(B209)</f>
        <v>5</v>
      </c>
      <c r="D209" s="8" t="s">
        <v>43</v>
      </c>
      <c r="E209" s="8" t="s">
        <v>40</v>
      </c>
      <c r="F209" s="8" t="s">
        <v>41</v>
      </c>
      <c r="G209" s="8" t="n">
        <v>5</v>
      </c>
      <c r="H209" s="12" t="n">
        <v>600</v>
      </c>
      <c r="I209" s="13" t="n">
        <v>0.1</v>
      </c>
      <c r="J209" s="12" t="n">
        <v>300</v>
      </c>
      <c r="K209" s="12" t="n">
        <f aca="false">G209*H209*(1-I209)</f>
        <v>2700</v>
      </c>
      <c r="L209" s="12" t="n">
        <f aca="false">K209-G209*J209</f>
        <v>1200</v>
      </c>
    </row>
    <row r="210" customFormat="false" ht="15" hidden="false" customHeight="false" outlineLevel="0" collapsed="false">
      <c r="A210" s="8" t="s">
        <v>280</v>
      </c>
      <c r="B210" s="11" t="n">
        <v>45784</v>
      </c>
      <c r="C210" s="8" t="n">
        <f aca="false">MONTH(B210)</f>
        <v>5</v>
      </c>
      <c r="D210" s="8" t="s">
        <v>47</v>
      </c>
      <c r="E210" s="8" t="s">
        <v>44</v>
      </c>
      <c r="F210" s="8" t="s">
        <v>50</v>
      </c>
      <c r="G210" s="8" t="n">
        <v>1</v>
      </c>
      <c r="H210" s="12" t="n">
        <v>3000</v>
      </c>
      <c r="I210" s="13" t="n">
        <v>0</v>
      </c>
      <c r="J210" s="12" t="n">
        <v>2000</v>
      </c>
      <c r="K210" s="12" t="n">
        <f aca="false">G210*H210*(1-I210)</f>
        <v>3000</v>
      </c>
      <c r="L210" s="12" t="n">
        <f aca="false">K210-G210*J210</f>
        <v>1000</v>
      </c>
    </row>
    <row r="211" customFormat="false" ht="15" hidden="false" customHeight="false" outlineLevel="0" collapsed="false">
      <c r="A211" s="8" t="s">
        <v>304</v>
      </c>
      <c r="B211" s="11" t="n">
        <v>45785</v>
      </c>
      <c r="C211" s="8" t="n">
        <f aca="false">MONTH(B211)</f>
        <v>5</v>
      </c>
      <c r="D211" s="8" t="s">
        <v>47</v>
      </c>
      <c r="E211" s="8" t="s">
        <v>44</v>
      </c>
      <c r="F211" s="8" t="s">
        <v>50</v>
      </c>
      <c r="G211" s="8" t="n">
        <v>3</v>
      </c>
      <c r="H211" s="12" t="n">
        <v>3000</v>
      </c>
      <c r="I211" s="13" t="n">
        <v>0</v>
      </c>
      <c r="J211" s="12" t="n">
        <v>2000</v>
      </c>
      <c r="K211" s="12" t="n">
        <f aca="false">G211*H211*(1-I211)</f>
        <v>9000</v>
      </c>
      <c r="L211" s="12" t="n">
        <f aca="false">K211-G211*J211</f>
        <v>3000</v>
      </c>
    </row>
    <row r="212" customFormat="false" ht="15" hidden="false" customHeight="false" outlineLevel="0" collapsed="false">
      <c r="A212" s="8" t="s">
        <v>286</v>
      </c>
      <c r="B212" s="11" t="n">
        <v>45785</v>
      </c>
      <c r="C212" s="8" t="n">
        <f aca="false">MONTH(B212)</f>
        <v>5</v>
      </c>
      <c r="D212" s="8" t="s">
        <v>55</v>
      </c>
      <c r="E212" s="8" t="s">
        <v>57</v>
      </c>
      <c r="F212" s="8" t="s">
        <v>86</v>
      </c>
      <c r="G212" s="8" t="n">
        <v>1</v>
      </c>
      <c r="H212" s="12" t="n">
        <v>1200</v>
      </c>
      <c r="I212" s="13" t="n">
        <v>0.1</v>
      </c>
      <c r="J212" s="12" t="n">
        <v>600</v>
      </c>
      <c r="K212" s="12" t="n">
        <f aca="false">G212*H212*(1-I212)</f>
        <v>1080</v>
      </c>
      <c r="L212" s="12" t="n">
        <f aca="false">K212-G212*J212</f>
        <v>480</v>
      </c>
    </row>
    <row r="213" customFormat="false" ht="15" hidden="false" customHeight="false" outlineLevel="0" collapsed="false">
      <c r="A213" s="8" t="s">
        <v>308</v>
      </c>
      <c r="B213" s="11" t="n">
        <v>45786</v>
      </c>
      <c r="C213" s="8" t="n">
        <f aca="false">MONTH(B213)</f>
        <v>5</v>
      </c>
      <c r="D213" s="8" t="s">
        <v>43</v>
      </c>
      <c r="E213" s="8" t="s">
        <v>57</v>
      </c>
      <c r="F213" s="8" t="s">
        <v>111</v>
      </c>
      <c r="G213" s="8" t="n">
        <v>2</v>
      </c>
      <c r="H213" s="12" t="n">
        <v>7000</v>
      </c>
      <c r="I213" s="13" t="n">
        <v>0.1</v>
      </c>
      <c r="J213" s="12" t="n">
        <v>4800</v>
      </c>
      <c r="K213" s="12" t="n">
        <f aca="false">G213*H213*(1-I213)</f>
        <v>12600</v>
      </c>
      <c r="L213" s="12" t="n">
        <f aca="false">K213-G213*J213</f>
        <v>3000</v>
      </c>
    </row>
    <row r="214" customFormat="false" ht="15" hidden="false" customHeight="false" outlineLevel="0" collapsed="false">
      <c r="A214" s="8" t="s">
        <v>281</v>
      </c>
      <c r="B214" s="11" t="n">
        <v>45786</v>
      </c>
      <c r="C214" s="8" t="n">
        <f aca="false">MONTH(B214)</f>
        <v>5</v>
      </c>
      <c r="D214" s="8" t="s">
        <v>47</v>
      </c>
      <c r="E214" s="8" t="s">
        <v>40</v>
      </c>
      <c r="F214" s="8" t="s">
        <v>104</v>
      </c>
      <c r="G214" s="8" t="n">
        <v>4</v>
      </c>
      <c r="H214" s="12" t="n">
        <v>250</v>
      </c>
      <c r="I214" s="13" t="n">
        <v>0</v>
      </c>
      <c r="J214" s="12" t="n">
        <v>100</v>
      </c>
      <c r="K214" s="12" t="n">
        <f aca="false">G214*H214*(1-I214)</f>
        <v>1000</v>
      </c>
      <c r="L214" s="12" t="n">
        <f aca="false">K214-G214*J214</f>
        <v>600</v>
      </c>
    </row>
    <row r="215" customFormat="false" ht="15" hidden="false" customHeight="false" outlineLevel="0" collapsed="false">
      <c r="A215" s="8" t="s">
        <v>273</v>
      </c>
      <c r="B215" s="11" t="n">
        <v>45787</v>
      </c>
      <c r="C215" s="8" t="n">
        <f aca="false">MONTH(B215)</f>
        <v>5</v>
      </c>
      <c r="D215" s="8" t="s">
        <v>39</v>
      </c>
      <c r="E215" s="8" t="s">
        <v>44</v>
      </c>
      <c r="F215" s="8" t="s">
        <v>60</v>
      </c>
      <c r="G215" s="8" t="n">
        <v>3</v>
      </c>
      <c r="H215" s="12" t="n">
        <v>2500</v>
      </c>
      <c r="I215" s="13" t="n">
        <v>0</v>
      </c>
      <c r="J215" s="12" t="n">
        <v>1600</v>
      </c>
      <c r="K215" s="12" t="n">
        <f aca="false">G215*H215*(1-I215)</f>
        <v>7500</v>
      </c>
      <c r="L215" s="12" t="n">
        <f aca="false">K215-G215*J215</f>
        <v>2700</v>
      </c>
    </row>
    <row r="216" customFormat="false" ht="15" hidden="false" customHeight="false" outlineLevel="0" collapsed="false">
      <c r="A216" s="8" t="s">
        <v>267</v>
      </c>
      <c r="B216" s="11" t="n">
        <v>45787</v>
      </c>
      <c r="C216" s="8" t="n">
        <f aca="false">MONTH(B216)</f>
        <v>5</v>
      </c>
      <c r="D216" s="8" t="s">
        <v>47</v>
      </c>
      <c r="E216" s="8" t="s">
        <v>44</v>
      </c>
      <c r="F216" s="8" t="s">
        <v>45</v>
      </c>
      <c r="G216" s="8" t="n">
        <v>3</v>
      </c>
      <c r="H216" s="12" t="n">
        <v>1500</v>
      </c>
      <c r="I216" s="13" t="n">
        <v>0</v>
      </c>
      <c r="J216" s="12" t="n">
        <v>900</v>
      </c>
      <c r="K216" s="12" t="n">
        <f aca="false">G216*H216*(1-I216)</f>
        <v>4500</v>
      </c>
      <c r="L216" s="12" t="n">
        <f aca="false">K216-G216*J216</f>
        <v>1800</v>
      </c>
    </row>
    <row r="217" customFormat="false" ht="15" hidden="false" customHeight="false" outlineLevel="0" collapsed="false">
      <c r="A217" s="8" t="s">
        <v>278</v>
      </c>
      <c r="B217" s="11" t="n">
        <v>45787</v>
      </c>
      <c r="C217" s="8" t="n">
        <f aca="false">MONTH(B217)</f>
        <v>5</v>
      </c>
      <c r="D217" s="8" t="s">
        <v>55</v>
      </c>
      <c r="E217" s="8" t="s">
        <v>40</v>
      </c>
      <c r="F217" s="8" t="s">
        <v>41</v>
      </c>
      <c r="G217" s="8" t="n">
        <v>9</v>
      </c>
      <c r="H217" s="12" t="n">
        <v>600</v>
      </c>
      <c r="I217" s="13" t="n">
        <v>0.1</v>
      </c>
      <c r="J217" s="12" t="n">
        <v>300</v>
      </c>
      <c r="K217" s="12" t="n">
        <f aca="false">G217*H217*(1-I217)</f>
        <v>4860</v>
      </c>
      <c r="L217" s="12" t="n">
        <f aca="false">K217-G217*J217</f>
        <v>2160</v>
      </c>
    </row>
    <row r="218" customFormat="false" ht="15" hidden="false" customHeight="false" outlineLevel="0" collapsed="false">
      <c r="A218" s="8" t="s">
        <v>287</v>
      </c>
      <c r="B218" s="11" t="n">
        <v>45788</v>
      </c>
      <c r="C218" s="8" t="n">
        <f aca="false">MONTH(B218)</f>
        <v>5</v>
      </c>
      <c r="D218" s="8" t="s">
        <v>47</v>
      </c>
      <c r="E218" s="8" t="s">
        <v>40</v>
      </c>
      <c r="F218" s="8" t="s">
        <v>104</v>
      </c>
      <c r="G218" s="8" t="n">
        <v>8</v>
      </c>
      <c r="H218" s="12" t="n">
        <v>250</v>
      </c>
      <c r="I218" s="13" t="n">
        <v>0</v>
      </c>
      <c r="J218" s="12" t="n">
        <v>100</v>
      </c>
      <c r="K218" s="12" t="n">
        <f aca="false">G218*H218*(1-I218)</f>
        <v>2000</v>
      </c>
      <c r="L218" s="12" t="n">
        <f aca="false">K218-G218*J218</f>
        <v>1200</v>
      </c>
    </row>
    <row r="219" customFormat="false" ht="15" hidden="false" customHeight="false" outlineLevel="0" collapsed="false">
      <c r="A219" s="8" t="s">
        <v>310</v>
      </c>
      <c r="B219" s="11" t="n">
        <v>45789</v>
      </c>
      <c r="C219" s="8" t="n">
        <f aca="false">MONTH(B219)</f>
        <v>5</v>
      </c>
      <c r="D219" s="8" t="s">
        <v>39</v>
      </c>
      <c r="E219" s="8" t="s">
        <v>57</v>
      </c>
      <c r="F219" s="8" t="s">
        <v>86</v>
      </c>
      <c r="G219" s="8" t="n">
        <v>2</v>
      </c>
      <c r="H219" s="12" t="n">
        <v>1200</v>
      </c>
      <c r="I219" s="13" t="n">
        <v>0.05</v>
      </c>
      <c r="J219" s="12" t="n">
        <v>600</v>
      </c>
      <c r="K219" s="12" t="n">
        <f aca="false">G219*H219*(1-I219)</f>
        <v>2280</v>
      </c>
      <c r="L219" s="12" t="n">
        <f aca="false">K219-G219*J219</f>
        <v>1080</v>
      </c>
    </row>
    <row r="220" customFormat="false" ht="15" hidden="false" customHeight="false" outlineLevel="0" collapsed="false">
      <c r="A220" s="8" t="s">
        <v>300</v>
      </c>
      <c r="B220" s="11" t="n">
        <v>45789</v>
      </c>
      <c r="C220" s="8" t="n">
        <f aca="false">MONTH(B220)</f>
        <v>5</v>
      </c>
      <c r="D220" s="8" t="s">
        <v>47</v>
      </c>
      <c r="E220" s="8" t="s">
        <v>44</v>
      </c>
      <c r="F220" s="8" t="s">
        <v>60</v>
      </c>
      <c r="G220" s="8" t="n">
        <v>1</v>
      </c>
      <c r="H220" s="12" t="n">
        <v>2500</v>
      </c>
      <c r="I220" s="13" t="n">
        <v>0</v>
      </c>
      <c r="J220" s="12" t="n">
        <v>1600</v>
      </c>
      <c r="K220" s="12" t="n">
        <f aca="false">G220*H220*(1-I220)</f>
        <v>2500</v>
      </c>
      <c r="L220" s="12" t="n">
        <f aca="false">K220-G220*J220</f>
        <v>900</v>
      </c>
    </row>
    <row r="221" customFormat="false" ht="15" hidden="false" customHeight="false" outlineLevel="0" collapsed="false">
      <c r="A221" s="8" t="s">
        <v>285</v>
      </c>
      <c r="B221" s="11" t="n">
        <v>45790</v>
      </c>
      <c r="C221" s="8" t="n">
        <f aca="false">MONTH(B221)</f>
        <v>5</v>
      </c>
      <c r="D221" s="8" t="s">
        <v>47</v>
      </c>
      <c r="E221" s="8" t="s">
        <v>57</v>
      </c>
      <c r="F221" s="8" t="s">
        <v>86</v>
      </c>
      <c r="G221" s="8" t="n">
        <v>3</v>
      </c>
      <c r="H221" s="12" t="n">
        <v>1200</v>
      </c>
      <c r="I221" s="13" t="n">
        <v>0.05</v>
      </c>
      <c r="J221" s="12" t="n">
        <v>600</v>
      </c>
      <c r="K221" s="12" t="n">
        <f aca="false">G221*H221*(1-I221)</f>
        <v>3420</v>
      </c>
      <c r="L221" s="12" t="n">
        <f aca="false">K221-G221*J221</f>
        <v>1620</v>
      </c>
    </row>
    <row r="222" customFormat="false" ht="15" hidden="false" customHeight="false" outlineLevel="0" collapsed="false">
      <c r="A222" s="8" t="s">
        <v>301</v>
      </c>
      <c r="B222" s="11" t="n">
        <v>45791</v>
      </c>
      <c r="C222" s="8" t="n">
        <f aca="false">MONTH(B222)</f>
        <v>5</v>
      </c>
      <c r="D222" s="8" t="s">
        <v>47</v>
      </c>
      <c r="E222" s="8" t="s">
        <v>57</v>
      </c>
      <c r="F222" s="8" t="s">
        <v>63</v>
      </c>
      <c r="G222" s="8" t="n">
        <v>1</v>
      </c>
      <c r="H222" s="12" t="n">
        <v>9000</v>
      </c>
      <c r="I222" s="13" t="n">
        <v>0.05</v>
      </c>
      <c r="J222" s="12" t="n">
        <v>6200</v>
      </c>
      <c r="K222" s="12" t="n">
        <f aca="false">G222*H222*(1-I222)</f>
        <v>8550</v>
      </c>
      <c r="L222" s="12" t="n">
        <f aca="false">K222-G222*J222</f>
        <v>2350</v>
      </c>
    </row>
    <row r="223" customFormat="false" ht="15" hidden="false" customHeight="false" outlineLevel="0" collapsed="false">
      <c r="A223" s="8" t="s">
        <v>268</v>
      </c>
      <c r="B223" s="11" t="n">
        <v>45792</v>
      </c>
      <c r="C223" s="8" t="n">
        <f aca="false">MONTH(B223)</f>
        <v>5</v>
      </c>
      <c r="D223" s="8" t="s">
        <v>55</v>
      </c>
      <c r="E223" s="8" t="s">
        <v>40</v>
      </c>
      <c r="F223" s="8" t="s">
        <v>41</v>
      </c>
      <c r="G223" s="8" t="n">
        <v>10</v>
      </c>
      <c r="H223" s="12" t="n">
        <v>600</v>
      </c>
      <c r="I223" s="13" t="n">
        <v>0</v>
      </c>
      <c r="J223" s="12" t="n">
        <v>300</v>
      </c>
      <c r="K223" s="12" t="n">
        <f aca="false">G223*H223*(1-I223)</f>
        <v>6000</v>
      </c>
      <c r="L223" s="12" t="n">
        <f aca="false">K223-G223*J223</f>
        <v>3000</v>
      </c>
    </row>
    <row r="224" customFormat="false" ht="15" hidden="false" customHeight="false" outlineLevel="0" collapsed="false">
      <c r="A224" s="8" t="s">
        <v>272</v>
      </c>
      <c r="B224" s="11" t="n">
        <v>45792</v>
      </c>
      <c r="C224" s="8" t="n">
        <f aca="false">MONTH(B224)</f>
        <v>5</v>
      </c>
      <c r="D224" s="8" t="s">
        <v>43</v>
      </c>
      <c r="E224" s="8" t="s">
        <v>57</v>
      </c>
      <c r="F224" s="8" t="s">
        <v>63</v>
      </c>
      <c r="G224" s="8" t="n">
        <v>2</v>
      </c>
      <c r="H224" s="12" t="n">
        <v>9000</v>
      </c>
      <c r="I224" s="13" t="n">
        <v>0.1</v>
      </c>
      <c r="J224" s="12" t="n">
        <v>6200</v>
      </c>
      <c r="K224" s="12" t="n">
        <f aca="false">G224*H224*(1-I224)</f>
        <v>16200</v>
      </c>
      <c r="L224" s="12" t="n">
        <f aca="false">K224-G224*J224</f>
        <v>3800</v>
      </c>
    </row>
    <row r="225" customFormat="false" ht="15" hidden="false" customHeight="false" outlineLevel="0" collapsed="false">
      <c r="A225" s="8" t="s">
        <v>265</v>
      </c>
      <c r="B225" s="11" t="n">
        <v>45793</v>
      </c>
      <c r="C225" s="8" t="n">
        <f aca="false">MONTH(B225)</f>
        <v>5</v>
      </c>
      <c r="D225" s="8" t="s">
        <v>43</v>
      </c>
      <c r="E225" s="8" t="s">
        <v>57</v>
      </c>
      <c r="F225" s="8" t="s">
        <v>58</v>
      </c>
      <c r="G225" s="8" t="n">
        <v>2</v>
      </c>
      <c r="H225" s="12" t="n">
        <v>5500</v>
      </c>
      <c r="I225" s="13" t="n">
        <v>0</v>
      </c>
      <c r="J225" s="12" t="n">
        <v>3600</v>
      </c>
      <c r="K225" s="12" t="n">
        <f aca="false">G225*H225*(1-I225)</f>
        <v>11000</v>
      </c>
      <c r="L225" s="12" t="n">
        <f aca="false">K225-G225*J225</f>
        <v>3800</v>
      </c>
    </row>
    <row r="226" customFormat="false" ht="15" hidden="false" customHeight="false" outlineLevel="0" collapsed="false">
      <c r="A226" s="8" t="s">
        <v>279</v>
      </c>
      <c r="B226" s="11" t="n">
        <v>45793</v>
      </c>
      <c r="C226" s="8" t="n">
        <f aca="false">MONTH(B226)</f>
        <v>5</v>
      </c>
      <c r="D226" s="8" t="s">
        <v>43</v>
      </c>
      <c r="E226" s="8" t="s">
        <v>40</v>
      </c>
      <c r="F226" s="8" t="s">
        <v>77</v>
      </c>
      <c r="G226" s="8" t="n">
        <v>8</v>
      </c>
      <c r="H226" s="12" t="n">
        <v>400</v>
      </c>
      <c r="I226" s="13" t="n">
        <v>0</v>
      </c>
      <c r="J226" s="12" t="n">
        <v>200</v>
      </c>
      <c r="K226" s="12" t="n">
        <f aca="false">G226*H226*(1-I226)</f>
        <v>3200</v>
      </c>
      <c r="L226" s="12" t="n">
        <f aca="false">K226-G226*J226</f>
        <v>1600</v>
      </c>
    </row>
    <row r="227" customFormat="false" ht="15" hidden="false" customHeight="false" outlineLevel="0" collapsed="false">
      <c r="A227" s="8" t="s">
        <v>263</v>
      </c>
      <c r="B227" s="11" t="n">
        <v>45794</v>
      </c>
      <c r="C227" s="8" t="n">
        <f aca="false">MONTH(B227)</f>
        <v>5</v>
      </c>
      <c r="D227" s="8" t="s">
        <v>47</v>
      </c>
      <c r="E227" s="8" t="s">
        <v>57</v>
      </c>
      <c r="F227" s="8" t="s">
        <v>111</v>
      </c>
      <c r="G227" s="8" t="n">
        <v>1</v>
      </c>
      <c r="H227" s="12" t="n">
        <v>7000</v>
      </c>
      <c r="I227" s="13" t="n">
        <v>0</v>
      </c>
      <c r="J227" s="12" t="n">
        <v>4800</v>
      </c>
      <c r="K227" s="12" t="n">
        <f aca="false">G227*H227*(1-I227)</f>
        <v>7000</v>
      </c>
      <c r="L227" s="12" t="n">
        <f aca="false">K227-G227*J227</f>
        <v>2200</v>
      </c>
    </row>
    <row r="228" customFormat="false" ht="15" hidden="false" customHeight="false" outlineLevel="0" collapsed="false">
      <c r="A228" s="8" t="s">
        <v>271</v>
      </c>
      <c r="B228" s="11" t="n">
        <v>45794</v>
      </c>
      <c r="C228" s="8" t="n">
        <f aca="false">MONTH(B228)</f>
        <v>5</v>
      </c>
      <c r="D228" s="8" t="s">
        <v>47</v>
      </c>
      <c r="E228" s="8" t="s">
        <v>40</v>
      </c>
      <c r="F228" s="8" t="s">
        <v>77</v>
      </c>
      <c r="G228" s="8" t="n">
        <v>2</v>
      </c>
      <c r="H228" s="12" t="n">
        <v>400</v>
      </c>
      <c r="I228" s="13" t="n">
        <v>0</v>
      </c>
      <c r="J228" s="12" t="n">
        <v>200</v>
      </c>
      <c r="K228" s="12" t="n">
        <f aca="false">G228*H228*(1-I228)</f>
        <v>800</v>
      </c>
      <c r="L228" s="12" t="n">
        <f aca="false">K228-G228*J228</f>
        <v>400</v>
      </c>
    </row>
    <row r="229" customFormat="false" ht="15" hidden="false" customHeight="false" outlineLevel="0" collapsed="false">
      <c r="A229" s="8" t="s">
        <v>284</v>
      </c>
      <c r="B229" s="11" t="n">
        <v>45795</v>
      </c>
      <c r="C229" s="8" t="n">
        <f aca="false">MONTH(B229)</f>
        <v>5</v>
      </c>
      <c r="D229" s="8" t="s">
        <v>47</v>
      </c>
      <c r="E229" s="8" t="s">
        <v>40</v>
      </c>
      <c r="F229" s="8" t="s">
        <v>41</v>
      </c>
      <c r="G229" s="8" t="n">
        <v>4</v>
      </c>
      <c r="H229" s="12" t="n">
        <v>600</v>
      </c>
      <c r="I229" s="13" t="n">
        <v>0</v>
      </c>
      <c r="J229" s="12" t="n">
        <v>300</v>
      </c>
      <c r="K229" s="12" t="n">
        <f aca="false">G229*H229*(1-I229)</f>
        <v>2400</v>
      </c>
      <c r="L229" s="12" t="n">
        <f aca="false">K229-G229*J229</f>
        <v>1200</v>
      </c>
    </row>
    <row r="230" customFormat="false" ht="15" hidden="false" customHeight="false" outlineLevel="0" collapsed="false">
      <c r="A230" s="8" t="s">
        <v>283</v>
      </c>
      <c r="B230" s="11" t="n">
        <v>45796</v>
      </c>
      <c r="C230" s="8" t="n">
        <f aca="false">MONTH(B230)</f>
        <v>5</v>
      </c>
      <c r="D230" s="8" t="s">
        <v>771</v>
      </c>
      <c r="E230" s="8" t="s">
        <v>44</v>
      </c>
      <c r="F230" s="8" t="s">
        <v>60</v>
      </c>
      <c r="G230" s="8" t="n">
        <v>2</v>
      </c>
      <c r="H230" s="12" t="n">
        <v>2500</v>
      </c>
      <c r="I230" s="13" t="n">
        <v>0.05</v>
      </c>
      <c r="J230" s="12" t="n">
        <v>1600</v>
      </c>
      <c r="K230" s="12" t="n">
        <f aca="false">G230*H230*(1-I230)</f>
        <v>4750</v>
      </c>
      <c r="L230" s="12" t="n">
        <f aca="false">K230-G230*J230</f>
        <v>1550</v>
      </c>
    </row>
    <row r="231" customFormat="false" ht="15" hidden="false" customHeight="false" outlineLevel="0" collapsed="false">
      <c r="A231" s="8" t="s">
        <v>264</v>
      </c>
      <c r="B231" s="11" t="n">
        <v>45796</v>
      </c>
      <c r="C231" s="8" t="n">
        <f aca="false">MONTH(B231)</f>
        <v>5</v>
      </c>
      <c r="D231" s="8" t="s">
        <v>47</v>
      </c>
      <c r="E231" s="8" t="s">
        <v>40</v>
      </c>
      <c r="F231" s="8" t="s">
        <v>41</v>
      </c>
      <c r="G231" s="8" t="n">
        <v>6</v>
      </c>
      <c r="H231" s="12" t="n">
        <v>600</v>
      </c>
      <c r="I231" s="13" t="n">
        <v>0</v>
      </c>
      <c r="J231" s="12" t="n">
        <v>300</v>
      </c>
      <c r="K231" s="12" t="n">
        <f aca="false">G231*H231*(1-I231)</f>
        <v>3600</v>
      </c>
      <c r="L231" s="12" t="n">
        <f aca="false">K231-G231*J231</f>
        <v>1800</v>
      </c>
    </row>
    <row r="232" customFormat="false" ht="15" hidden="false" customHeight="false" outlineLevel="0" collapsed="false">
      <c r="A232" s="8" t="s">
        <v>307</v>
      </c>
      <c r="B232" s="11" t="n">
        <v>45796</v>
      </c>
      <c r="C232" s="8" t="n">
        <f aca="false">MONTH(B232)</f>
        <v>5</v>
      </c>
      <c r="D232" s="8" t="s">
        <v>39</v>
      </c>
      <c r="E232" s="8" t="s">
        <v>40</v>
      </c>
      <c r="F232" s="8" t="s">
        <v>77</v>
      </c>
      <c r="G232" s="8" t="n">
        <v>9</v>
      </c>
      <c r="H232" s="12" t="n">
        <v>400</v>
      </c>
      <c r="I232" s="13" t="n">
        <v>0</v>
      </c>
      <c r="J232" s="12" t="n">
        <v>200</v>
      </c>
      <c r="K232" s="12" t="n">
        <f aca="false">G232*H232*(1-I232)</f>
        <v>3600</v>
      </c>
      <c r="L232" s="12" t="n">
        <f aca="false">K232-G232*J232</f>
        <v>1800</v>
      </c>
    </row>
    <row r="233" customFormat="false" ht="15" hidden="false" customHeight="false" outlineLevel="0" collapsed="false">
      <c r="A233" s="8" t="s">
        <v>314</v>
      </c>
      <c r="B233" s="11" t="n">
        <v>45797</v>
      </c>
      <c r="C233" s="8" t="n">
        <f aca="false">MONTH(B233)</f>
        <v>5</v>
      </c>
      <c r="D233" s="8" t="s">
        <v>55</v>
      </c>
      <c r="E233" s="8" t="s">
        <v>57</v>
      </c>
      <c r="F233" s="8" t="s">
        <v>86</v>
      </c>
      <c r="G233" s="8" t="n">
        <v>2</v>
      </c>
      <c r="H233" s="12" t="n">
        <v>1200</v>
      </c>
      <c r="I233" s="13" t="n">
        <v>0</v>
      </c>
      <c r="J233" s="12" t="n">
        <v>600</v>
      </c>
      <c r="K233" s="12" t="n">
        <f aca="false">G233*H233*(1-I233)</f>
        <v>2400</v>
      </c>
      <c r="L233" s="12" t="n">
        <f aca="false">K233-G233*J233</f>
        <v>1200</v>
      </c>
    </row>
    <row r="234" customFormat="false" ht="15" hidden="false" customHeight="false" outlineLevel="0" collapsed="false">
      <c r="A234" s="8" t="s">
        <v>293</v>
      </c>
      <c r="B234" s="11" t="n">
        <v>45797</v>
      </c>
      <c r="C234" s="8" t="n">
        <f aca="false">MONTH(B234)</f>
        <v>5</v>
      </c>
      <c r="D234" s="8" t="s">
        <v>43</v>
      </c>
      <c r="E234" s="8" t="s">
        <v>57</v>
      </c>
      <c r="F234" s="8" t="s">
        <v>86</v>
      </c>
      <c r="G234" s="8" t="n">
        <v>2</v>
      </c>
      <c r="H234" s="12" t="n">
        <v>1200</v>
      </c>
      <c r="I234" s="13" t="n">
        <v>0</v>
      </c>
      <c r="J234" s="12" t="n">
        <v>600</v>
      </c>
      <c r="K234" s="12" t="n">
        <f aca="false">G234*H234*(1-I234)</f>
        <v>2400</v>
      </c>
      <c r="L234" s="12" t="n">
        <f aca="false">K234-G234*J234</f>
        <v>1200</v>
      </c>
    </row>
    <row r="235" customFormat="false" ht="15" hidden="false" customHeight="false" outlineLevel="0" collapsed="false">
      <c r="A235" s="8" t="s">
        <v>260</v>
      </c>
      <c r="B235" s="11" t="n">
        <v>45797</v>
      </c>
      <c r="C235" s="8" t="n">
        <f aca="false">MONTH(B235)</f>
        <v>5</v>
      </c>
      <c r="D235" s="8" t="s">
        <v>55</v>
      </c>
      <c r="E235" s="8" t="s">
        <v>44</v>
      </c>
      <c r="F235" s="8" t="s">
        <v>60</v>
      </c>
      <c r="G235" s="8" t="n">
        <v>3</v>
      </c>
      <c r="H235" s="12" t="n">
        <v>2500</v>
      </c>
      <c r="I235" s="13" t="n">
        <v>0</v>
      </c>
      <c r="J235" s="12" t="n">
        <v>1600</v>
      </c>
      <c r="K235" s="12" t="n">
        <f aca="false">G235*H235*(1-I235)</f>
        <v>7500</v>
      </c>
      <c r="L235" s="12" t="n">
        <f aca="false">K235-G235*J235</f>
        <v>2700</v>
      </c>
    </row>
    <row r="236" customFormat="false" ht="15" hidden="false" customHeight="false" outlineLevel="0" collapsed="false">
      <c r="A236" s="8" t="s">
        <v>295</v>
      </c>
      <c r="B236" s="11" t="n">
        <v>45798</v>
      </c>
      <c r="C236" s="8" t="n">
        <f aca="false">MONTH(B236)</f>
        <v>5</v>
      </c>
      <c r="D236" s="8" t="s">
        <v>55</v>
      </c>
      <c r="E236" s="8" t="s">
        <v>40</v>
      </c>
      <c r="F236" s="8" t="s">
        <v>41</v>
      </c>
      <c r="G236" s="8" t="n">
        <v>8</v>
      </c>
      <c r="H236" s="12" t="n">
        <v>600</v>
      </c>
      <c r="I236" s="13" t="n">
        <v>0</v>
      </c>
      <c r="J236" s="12" t="n">
        <v>300</v>
      </c>
      <c r="K236" s="12" t="n">
        <f aca="false">G236*H236*(1-I236)</f>
        <v>4800</v>
      </c>
      <c r="L236" s="12" t="n">
        <f aca="false">K236-G236*J236</f>
        <v>2400</v>
      </c>
    </row>
    <row r="237" customFormat="false" ht="15" hidden="false" customHeight="false" outlineLevel="0" collapsed="false">
      <c r="A237" s="8" t="s">
        <v>305</v>
      </c>
      <c r="B237" s="11" t="n">
        <v>45799</v>
      </c>
      <c r="C237" s="8" t="n">
        <f aca="false">MONTH(B237)</f>
        <v>5</v>
      </c>
      <c r="D237" s="8" t="s">
        <v>43</v>
      </c>
      <c r="E237" s="8" t="s">
        <v>57</v>
      </c>
      <c r="F237" s="8" t="s">
        <v>86</v>
      </c>
      <c r="G237" s="8" t="n">
        <v>2</v>
      </c>
      <c r="H237" s="12" t="n">
        <v>1200</v>
      </c>
      <c r="I237" s="13" t="n">
        <v>0</v>
      </c>
      <c r="J237" s="12" t="n">
        <v>600</v>
      </c>
      <c r="K237" s="12" t="n">
        <f aca="false">G237*H237*(1-I237)</f>
        <v>2400</v>
      </c>
      <c r="L237" s="12" t="n">
        <f aca="false">K237-G237*J237</f>
        <v>1200</v>
      </c>
    </row>
    <row r="238" customFormat="false" ht="15" hidden="false" customHeight="false" outlineLevel="0" collapsed="false">
      <c r="A238" s="8" t="s">
        <v>306</v>
      </c>
      <c r="B238" s="11" t="n">
        <v>45799</v>
      </c>
      <c r="C238" s="8" t="n">
        <f aca="false">MONTH(B238)</f>
        <v>5</v>
      </c>
      <c r="D238" s="8" t="s">
        <v>55</v>
      </c>
      <c r="E238" s="8" t="s">
        <v>44</v>
      </c>
      <c r="F238" s="8" t="s">
        <v>60</v>
      </c>
      <c r="G238" s="8" t="n">
        <v>2</v>
      </c>
      <c r="H238" s="12" t="n">
        <v>2500</v>
      </c>
      <c r="I238" s="13" t="n">
        <v>0</v>
      </c>
      <c r="J238" s="12" t="n">
        <v>1600</v>
      </c>
      <c r="K238" s="12" t="n">
        <f aca="false">G238*H238*(1-I238)</f>
        <v>5000</v>
      </c>
      <c r="L238" s="12" t="n">
        <f aca="false">K238-G238*J238</f>
        <v>1800</v>
      </c>
    </row>
    <row r="239" customFormat="false" ht="15" hidden="false" customHeight="false" outlineLevel="0" collapsed="false">
      <c r="A239" s="8" t="s">
        <v>303</v>
      </c>
      <c r="B239" s="11" t="n">
        <v>45799</v>
      </c>
      <c r="C239" s="8" t="n">
        <f aca="false">MONTH(B239)</f>
        <v>5</v>
      </c>
      <c r="D239" s="8" t="s">
        <v>43</v>
      </c>
      <c r="E239" s="8" t="s">
        <v>44</v>
      </c>
      <c r="F239" s="8" t="s">
        <v>48</v>
      </c>
      <c r="G239" s="8" t="n">
        <v>2</v>
      </c>
      <c r="H239" s="12" t="n">
        <v>4500</v>
      </c>
      <c r="I239" s="13" t="n">
        <v>0.05</v>
      </c>
      <c r="J239" s="12" t="n">
        <v>3300</v>
      </c>
      <c r="K239" s="12" t="n">
        <f aca="false">G239*H239*(1-I239)</f>
        <v>8550</v>
      </c>
      <c r="L239" s="12" t="n">
        <f aca="false">K239-G239*J239</f>
        <v>1950</v>
      </c>
    </row>
    <row r="240" customFormat="false" ht="15" hidden="false" customHeight="false" outlineLevel="0" collapsed="false">
      <c r="A240" s="8" t="s">
        <v>288</v>
      </c>
      <c r="B240" s="11" t="n">
        <v>45799</v>
      </c>
      <c r="C240" s="8" t="n">
        <f aca="false">MONTH(B240)</f>
        <v>5</v>
      </c>
      <c r="D240" s="8" t="s">
        <v>47</v>
      </c>
      <c r="E240" s="8" t="s">
        <v>40</v>
      </c>
      <c r="F240" s="8" t="s">
        <v>71</v>
      </c>
      <c r="G240" s="8" t="n">
        <v>8</v>
      </c>
      <c r="H240" s="12" t="n">
        <v>500</v>
      </c>
      <c r="I240" s="13" t="n">
        <v>0</v>
      </c>
      <c r="J240" s="12" t="n">
        <v>250</v>
      </c>
      <c r="K240" s="12" t="n">
        <f aca="false">G240*H240*(1-I240)</f>
        <v>4000</v>
      </c>
      <c r="L240" s="12" t="n">
        <f aca="false">K240-G240*J240</f>
        <v>2000</v>
      </c>
    </row>
    <row r="241" customFormat="false" ht="15" hidden="false" customHeight="false" outlineLevel="0" collapsed="false">
      <c r="A241" s="8" t="s">
        <v>298</v>
      </c>
      <c r="B241" s="11" t="n">
        <v>45800</v>
      </c>
      <c r="C241" s="8" t="n">
        <f aca="false">MONTH(B241)</f>
        <v>5</v>
      </c>
      <c r="D241" s="8" t="s">
        <v>47</v>
      </c>
      <c r="E241" s="8" t="s">
        <v>44</v>
      </c>
      <c r="F241" s="8" t="s">
        <v>48</v>
      </c>
      <c r="G241" s="8" t="n">
        <v>1</v>
      </c>
      <c r="H241" s="12" t="n">
        <v>4500</v>
      </c>
      <c r="I241" s="13" t="n">
        <v>0.1</v>
      </c>
      <c r="J241" s="12" t="n">
        <v>3300</v>
      </c>
      <c r="K241" s="12" t="n">
        <f aca="false">G241*H241*(1-I241)</f>
        <v>4050</v>
      </c>
      <c r="L241" s="12" t="n">
        <f aca="false">K241-G241*J241</f>
        <v>750</v>
      </c>
    </row>
    <row r="242" customFormat="false" ht="15" hidden="false" customHeight="false" outlineLevel="0" collapsed="false">
      <c r="A242" s="8" t="s">
        <v>297</v>
      </c>
      <c r="B242" s="11" t="n">
        <v>45801</v>
      </c>
      <c r="C242" s="8" t="n">
        <f aca="false">MONTH(B242)</f>
        <v>5</v>
      </c>
      <c r="D242" s="8" t="s">
        <v>39</v>
      </c>
      <c r="E242" s="8" t="s">
        <v>40</v>
      </c>
      <c r="F242" s="8" t="s">
        <v>104</v>
      </c>
      <c r="G242" s="8" t="n">
        <v>6</v>
      </c>
      <c r="H242" s="12" t="n">
        <v>250</v>
      </c>
      <c r="I242" s="13" t="n">
        <v>0</v>
      </c>
      <c r="J242" s="12" t="n">
        <v>100</v>
      </c>
      <c r="K242" s="12" t="n">
        <f aca="false">G242*H242*(1-I242)</f>
        <v>1500</v>
      </c>
      <c r="L242" s="12" t="n">
        <f aca="false">K242-G242*J242</f>
        <v>900</v>
      </c>
    </row>
    <row r="243" customFormat="false" ht="15" hidden="false" customHeight="false" outlineLevel="0" collapsed="false">
      <c r="A243" s="8" t="s">
        <v>313</v>
      </c>
      <c r="B243" s="11" t="n">
        <v>45801</v>
      </c>
      <c r="C243" s="8" t="n">
        <f aca="false">MONTH(B243)</f>
        <v>5</v>
      </c>
      <c r="D243" s="8" t="s">
        <v>43</v>
      </c>
      <c r="E243" s="8" t="s">
        <v>40</v>
      </c>
      <c r="F243" s="8" t="s">
        <v>41</v>
      </c>
      <c r="G243" s="8" t="n">
        <v>2</v>
      </c>
      <c r="H243" s="12" t="n">
        <v>600</v>
      </c>
      <c r="I243" s="13" t="n">
        <v>0.05</v>
      </c>
      <c r="J243" s="12" t="n">
        <v>300</v>
      </c>
      <c r="K243" s="12" t="n">
        <f aca="false">G243*H243*(1-I243)</f>
        <v>1140</v>
      </c>
      <c r="L243" s="12" t="n">
        <f aca="false">K243-G243*J243</f>
        <v>540</v>
      </c>
    </row>
    <row r="244" customFormat="false" ht="15" hidden="false" customHeight="false" outlineLevel="0" collapsed="false">
      <c r="A244" s="8" t="s">
        <v>291</v>
      </c>
      <c r="B244" s="11" t="n">
        <v>45801</v>
      </c>
      <c r="C244" s="8" t="n">
        <f aca="false">MONTH(B244)</f>
        <v>5</v>
      </c>
      <c r="D244" s="8" t="s">
        <v>39</v>
      </c>
      <c r="E244" s="8" t="s">
        <v>57</v>
      </c>
      <c r="F244" s="8" t="s">
        <v>86</v>
      </c>
      <c r="G244" s="8" t="n">
        <v>2</v>
      </c>
      <c r="H244" s="12" t="n">
        <v>1200</v>
      </c>
      <c r="I244" s="13" t="n">
        <v>0</v>
      </c>
      <c r="J244" s="12" t="n">
        <v>600</v>
      </c>
      <c r="K244" s="12" t="n">
        <f aca="false">G244*H244*(1-I244)</f>
        <v>2400</v>
      </c>
      <c r="L244" s="12" t="n">
        <f aca="false">K244-G244*J244</f>
        <v>1200</v>
      </c>
    </row>
    <row r="245" customFormat="false" ht="15" hidden="false" customHeight="false" outlineLevel="0" collapsed="false">
      <c r="A245" s="8" t="s">
        <v>269</v>
      </c>
      <c r="B245" s="11" t="n">
        <v>45802</v>
      </c>
      <c r="C245" s="8" t="n">
        <f aca="false">MONTH(B245)</f>
        <v>5</v>
      </c>
      <c r="D245" s="8" t="s">
        <v>47</v>
      </c>
      <c r="E245" s="8" t="s">
        <v>44</v>
      </c>
      <c r="F245" s="8" t="s">
        <v>48</v>
      </c>
      <c r="G245" s="8" t="n">
        <v>2</v>
      </c>
      <c r="H245" s="12" t="n">
        <v>4500</v>
      </c>
      <c r="I245" s="13" t="n">
        <v>0</v>
      </c>
      <c r="J245" s="12" t="n">
        <v>3300</v>
      </c>
      <c r="K245" s="12" t="n">
        <f aca="false">G245*H245*(1-I245)</f>
        <v>9000</v>
      </c>
      <c r="L245" s="12" t="n">
        <f aca="false">K245-G245*J245</f>
        <v>2400</v>
      </c>
    </row>
    <row r="246" customFormat="false" ht="15" hidden="false" customHeight="false" outlineLevel="0" collapsed="false">
      <c r="A246" s="8" t="s">
        <v>311</v>
      </c>
      <c r="B246" s="11" t="n">
        <v>45804</v>
      </c>
      <c r="C246" s="8" t="n">
        <f aca="false">MONTH(B246)</f>
        <v>5</v>
      </c>
      <c r="D246" s="8" t="s">
        <v>47</v>
      </c>
      <c r="E246" s="8" t="s">
        <v>40</v>
      </c>
      <c r="F246" s="8" t="s">
        <v>104</v>
      </c>
      <c r="G246" s="8" t="n">
        <v>6</v>
      </c>
      <c r="H246" s="12" t="n">
        <v>250</v>
      </c>
      <c r="I246" s="13" t="n">
        <v>0</v>
      </c>
      <c r="J246" s="12" t="n">
        <v>100</v>
      </c>
      <c r="K246" s="12" t="n">
        <f aca="false">G246*H246*(1-I246)</f>
        <v>1500</v>
      </c>
      <c r="L246" s="12" t="n">
        <f aca="false">K246-G246*J246</f>
        <v>900</v>
      </c>
    </row>
    <row r="247" customFormat="false" ht="15" hidden="false" customHeight="false" outlineLevel="0" collapsed="false">
      <c r="A247" s="8" t="s">
        <v>261</v>
      </c>
      <c r="B247" s="11" t="n">
        <v>45804</v>
      </c>
      <c r="C247" s="8" t="n">
        <f aca="false">MONTH(B247)</f>
        <v>5</v>
      </c>
      <c r="D247" s="8" t="s">
        <v>39</v>
      </c>
      <c r="E247" s="8" t="s">
        <v>57</v>
      </c>
      <c r="F247" s="8" t="s">
        <v>111</v>
      </c>
      <c r="G247" s="8" t="n">
        <v>1</v>
      </c>
      <c r="H247" s="12" t="n">
        <v>7000</v>
      </c>
      <c r="I247" s="13" t="n">
        <v>0.1</v>
      </c>
      <c r="J247" s="12" t="n">
        <v>4800</v>
      </c>
      <c r="K247" s="12" t="n">
        <f aca="false">G247*H247*(1-I247)</f>
        <v>6300</v>
      </c>
      <c r="L247" s="12" t="n">
        <f aca="false">K247-G247*J247</f>
        <v>1500</v>
      </c>
    </row>
    <row r="248" customFormat="false" ht="15" hidden="false" customHeight="false" outlineLevel="0" collapsed="false">
      <c r="A248" s="8" t="s">
        <v>262</v>
      </c>
      <c r="B248" s="11" t="n">
        <v>45804</v>
      </c>
      <c r="C248" s="8" t="n">
        <f aca="false">MONTH(B248)</f>
        <v>5</v>
      </c>
      <c r="D248" s="8" t="s">
        <v>47</v>
      </c>
      <c r="E248" s="8" t="s">
        <v>40</v>
      </c>
      <c r="F248" s="8" t="s">
        <v>104</v>
      </c>
      <c r="G248" s="8" t="n">
        <v>2</v>
      </c>
      <c r="H248" s="12" t="n">
        <v>250</v>
      </c>
      <c r="I248" s="13" t="n">
        <v>0.1</v>
      </c>
      <c r="J248" s="12" t="n">
        <v>100</v>
      </c>
      <c r="K248" s="12" t="n">
        <f aca="false">G248*H248*(1-I248)</f>
        <v>450</v>
      </c>
      <c r="L248" s="12" t="n">
        <f aca="false">K248-G248*J248</f>
        <v>250</v>
      </c>
    </row>
    <row r="249" customFormat="false" ht="15" hidden="false" customHeight="false" outlineLevel="0" collapsed="false">
      <c r="A249" s="8" t="s">
        <v>282</v>
      </c>
      <c r="B249" s="11" t="n">
        <v>45804</v>
      </c>
      <c r="C249" s="8" t="n">
        <f aca="false">MONTH(B249)</f>
        <v>5</v>
      </c>
      <c r="D249" s="8" t="s">
        <v>47</v>
      </c>
      <c r="E249" s="8" t="s">
        <v>57</v>
      </c>
      <c r="F249" s="8" t="s">
        <v>58</v>
      </c>
      <c r="G249" s="8" t="n">
        <v>3</v>
      </c>
      <c r="H249" s="12" t="n">
        <v>5500</v>
      </c>
      <c r="I249" s="13" t="n">
        <v>0</v>
      </c>
      <c r="J249" s="12" t="n">
        <v>3600</v>
      </c>
      <c r="K249" s="12" t="n">
        <f aca="false">G249*H249*(1-I249)</f>
        <v>16500</v>
      </c>
      <c r="L249" s="12" t="n">
        <f aca="false">K249-G249*J249</f>
        <v>5700</v>
      </c>
    </row>
    <row r="250" customFormat="false" ht="15" hidden="false" customHeight="false" outlineLevel="0" collapsed="false">
      <c r="A250" s="8" t="s">
        <v>309</v>
      </c>
      <c r="B250" s="11" t="n">
        <v>45805</v>
      </c>
      <c r="C250" s="8" t="n">
        <f aca="false">MONTH(B250)</f>
        <v>5</v>
      </c>
      <c r="D250" s="8" t="s">
        <v>55</v>
      </c>
      <c r="E250" s="8" t="s">
        <v>57</v>
      </c>
      <c r="F250" s="8" t="s">
        <v>86</v>
      </c>
      <c r="G250" s="8" t="n">
        <v>1</v>
      </c>
      <c r="H250" s="12" t="n">
        <v>1200</v>
      </c>
      <c r="I250" s="13" t="n">
        <v>0</v>
      </c>
      <c r="J250" s="12" t="n">
        <v>600</v>
      </c>
      <c r="K250" s="12" t="n">
        <f aca="false">G250*H250*(1-I250)</f>
        <v>1200</v>
      </c>
      <c r="L250" s="12" t="n">
        <f aca="false">K250-G250*J250</f>
        <v>600</v>
      </c>
    </row>
    <row r="251" customFormat="false" ht="15" hidden="false" customHeight="false" outlineLevel="0" collapsed="false">
      <c r="A251" s="8" t="s">
        <v>290</v>
      </c>
      <c r="B251" s="11" t="n">
        <v>45805</v>
      </c>
      <c r="C251" s="8" t="n">
        <f aca="false">MONTH(B251)</f>
        <v>5</v>
      </c>
      <c r="D251" s="8" t="s">
        <v>55</v>
      </c>
      <c r="E251" s="8" t="s">
        <v>40</v>
      </c>
      <c r="F251" s="8" t="s">
        <v>77</v>
      </c>
      <c r="G251" s="8" t="n">
        <v>7</v>
      </c>
      <c r="H251" s="12" t="n">
        <v>400</v>
      </c>
      <c r="I251" s="13" t="n">
        <v>0</v>
      </c>
      <c r="J251" s="12" t="n">
        <v>200</v>
      </c>
      <c r="K251" s="12" t="n">
        <f aca="false">G251*H251*(1-I251)</f>
        <v>2800</v>
      </c>
      <c r="L251" s="12" t="n">
        <f aca="false">K251-G251*J251</f>
        <v>1400</v>
      </c>
    </row>
    <row r="252" customFormat="false" ht="15" hidden="false" customHeight="false" outlineLevel="0" collapsed="false">
      <c r="A252" s="8" t="s">
        <v>312</v>
      </c>
      <c r="B252" s="11" t="n">
        <v>45805</v>
      </c>
      <c r="C252" s="8" t="n">
        <f aca="false">MONTH(B252)</f>
        <v>5</v>
      </c>
      <c r="D252" s="8" t="s">
        <v>47</v>
      </c>
      <c r="E252" s="8" t="s">
        <v>40</v>
      </c>
      <c r="F252" s="8" t="s">
        <v>41</v>
      </c>
      <c r="G252" s="8" t="n">
        <v>2</v>
      </c>
      <c r="H252" s="12" t="n">
        <v>600</v>
      </c>
      <c r="I252" s="13" t="n">
        <v>0.05</v>
      </c>
      <c r="J252" s="12" t="n">
        <v>300</v>
      </c>
      <c r="K252" s="12" t="n">
        <f aca="false">G252*H252*(1-I252)</f>
        <v>1140</v>
      </c>
      <c r="L252" s="12" t="n">
        <f aca="false">K252-G252*J252</f>
        <v>540</v>
      </c>
    </row>
    <row r="253" customFormat="false" ht="15" hidden="false" customHeight="false" outlineLevel="0" collapsed="false">
      <c r="A253" s="8" t="s">
        <v>294</v>
      </c>
      <c r="B253" s="11" t="n">
        <v>45805</v>
      </c>
      <c r="C253" s="8" t="n">
        <f aca="false">MONTH(B253)</f>
        <v>5</v>
      </c>
      <c r="D253" s="8" t="s">
        <v>47</v>
      </c>
      <c r="E253" s="8" t="s">
        <v>40</v>
      </c>
      <c r="F253" s="8" t="s">
        <v>71</v>
      </c>
      <c r="G253" s="8" t="n">
        <v>3</v>
      </c>
      <c r="H253" s="12" t="n">
        <v>500</v>
      </c>
      <c r="I253" s="13" t="n">
        <v>0</v>
      </c>
      <c r="J253" s="12" t="n">
        <v>250</v>
      </c>
      <c r="K253" s="12" t="n">
        <f aca="false">G253*H253*(1-I253)</f>
        <v>1500</v>
      </c>
      <c r="L253" s="12" t="n">
        <f aca="false">K253-G253*J253</f>
        <v>750</v>
      </c>
    </row>
    <row r="254" customFormat="false" ht="15" hidden="false" customHeight="false" outlineLevel="0" collapsed="false">
      <c r="A254" s="8" t="s">
        <v>270</v>
      </c>
      <c r="B254" s="11" t="n">
        <v>45805</v>
      </c>
      <c r="C254" s="8" t="n">
        <f aca="false">MONTH(B254)</f>
        <v>5</v>
      </c>
      <c r="D254" s="8" t="s">
        <v>55</v>
      </c>
      <c r="E254" s="8" t="s">
        <v>57</v>
      </c>
      <c r="F254" s="8" t="s">
        <v>58</v>
      </c>
      <c r="G254" s="8" t="n">
        <v>1</v>
      </c>
      <c r="H254" s="12" t="n">
        <v>5500</v>
      </c>
      <c r="I254" s="13" t="n">
        <v>0.1</v>
      </c>
      <c r="J254" s="12" t="n">
        <v>3600</v>
      </c>
      <c r="K254" s="12" t="n">
        <f aca="false">G254*H254*(1-I254)</f>
        <v>4950</v>
      </c>
      <c r="L254" s="12" t="n">
        <f aca="false">K254-G254*J254</f>
        <v>1350</v>
      </c>
    </row>
    <row r="255" customFormat="false" ht="15" hidden="false" customHeight="false" outlineLevel="0" collapsed="false">
      <c r="A255" s="8" t="s">
        <v>346</v>
      </c>
      <c r="B255" s="11" t="n">
        <v>45809</v>
      </c>
      <c r="C255" s="8" t="n">
        <f aca="false">MONTH(B255)</f>
        <v>6</v>
      </c>
      <c r="D255" s="8" t="s">
        <v>39</v>
      </c>
      <c r="E255" s="8" t="s">
        <v>44</v>
      </c>
      <c r="F255" s="8" t="s">
        <v>45</v>
      </c>
      <c r="G255" s="8" t="n">
        <v>1</v>
      </c>
      <c r="H255" s="12" t="n">
        <v>1500</v>
      </c>
      <c r="I255" s="13" t="n">
        <v>0</v>
      </c>
      <c r="J255" s="12" t="n">
        <v>900</v>
      </c>
      <c r="K255" s="12" t="n">
        <f aca="false">G255*H255*(1-I255)</f>
        <v>1500</v>
      </c>
      <c r="L255" s="12" t="n">
        <f aca="false">K255-G255*J255</f>
        <v>600</v>
      </c>
    </row>
    <row r="256" customFormat="false" ht="15" hidden="false" customHeight="false" outlineLevel="0" collapsed="false">
      <c r="A256" s="8" t="s">
        <v>352</v>
      </c>
      <c r="B256" s="11" t="n">
        <v>45809</v>
      </c>
      <c r="C256" s="8" t="n">
        <f aca="false">MONTH(B256)</f>
        <v>6</v>
      </c>
      <c r="D256" s="8" t="s">
        <v>47</v>
      </c>
      <c r="E256" s="8" t="s">
        <v>40</v>
      </c>
      <c r="F256" s="8" t="s">
        <v>41</v>
      </c>
      <c r="G256" s="8" t="n">
        <v>9</v>
      </c>
      <c r="H256" s="12" t="n">
        <v>600</v>
      </c>
      <c r="I256" s="13" t="n">
        <v>0.1</v>
      </c>
      <c r="J256" s="12" t="n">
        <v>300</v>
      </c>
      <c r="K256" s="12" t="n">
        <f aca="false">G256*H256*(1-I256)</f>
        <v>4860</v>
      </c>
      <c r="L256" s="12" t="n">
        <f aca="false">K256-G256*J256</f>
        <v>2160</v>
      </c>
    </row>
    <row r="257" customFormat="false" ht="15" hidden="false" customHeight="false" outlineLevel="0" collapsed="false">
      <c r="A257" s="8" t="s">
        <v>317</v>
      </c>
      <c r="B257" s="11" t="n">
        <v>45810</v>
      </c>
      <c r="C257" s="8" t="n">
        <f aca="false">MONTH(B257)</f>
        <v>6</v>
      </c>
      <c r="D257" s="8" t="s">
        <v>43</v>
      </c>
      <c r="E257" s="8" t="s">
        <v>40</v>
      </c>
      <c r="F257" s="8" t="s">
        <v>41</v>
      </c>
      <c r="G257" s="8" t="n">
        <v>6</v>
      </c>
      <c r="H257" s="12" t="n">
        <v>600</v>
      </c>
      <c r="I257" s="13" t="n">
        <v>0</v>
      </c>
      <c r="J257" s="12" t="n">
        <v>300</v>
      </c>
      <c r="K257" s="12" t="n">
        <f aca="false">G257*H257*(1-I257)</f>
        <v>3600</v>
      </c>
      <c r="L257" s="12" t="n">
        <f aca="false">K257-G257*J257</f>
        <v>1800</v>
      </c>
    </row>
    <row r="258" customFormat="false" ht="15" hidden="false" customHeight="false" outlineLevel="0" collapsed="false">
      <c r="A258" s="8" t="s">
        <v>338</v>
      </c>
      <c r="B258" s="11" t="n">
        <v>45810</v>
      </c>
      <c r="C258" s="8" t="n">
        <f aca="false">MONTH(B258)</f>
        <v>6</v>
      </c>
      <c r="D258" s="8" t="s">
        <v>47</v>
      </c>
      <c r="E258" s="8" t="s">
        <v>57</v>
      </c>
      <c r="F258" s="8" t="s">
        <v>63</v>
      </c>
      <c r="G258" s="8" t="n">
        <v>3</v>
      </c>
      <c r="H258" s="12" t="n">
        <v>9000</v>
      </c>
      <c r="I258" s="13" t="n">
        <v>0</v>
      </c>
      <c r="J258" s="12" t="n">
        <v>6200</v>
      </c>
      <c r="K258" s="12" t="n">
        <f aca="false">G258*H258*(1-I258)</f>
        <v>27000</v>
      </c>
      <c r="L258" s="12" t="n">
        <f aca="false">K258-G258*J258</f>
        <v>8400</v>
      </c>
    </row>
    <row r="259" customFormat="false" ht="15" hidden="false" customHeight="false" outlineLevel="0" collapsed="false">
      <c r="A259" s="8" t="s">
        <v>339</v>
      </c>
      <c r="B259" s="11" t="n">
        <v>45811</v>
      </c>
      <c r="C259" s="8" t="n">
        <f aca="false">MONTH(B259)</f>
        <v>6</v>
      </c>
      <c r="D259" s="8" t="s">
        <v>47</v>
      </c>
      <c r="E259" s="8" t="s">
        <v>57</v>
      </c>
      <c r="F259" s="8" t="s">
        <v>58</v>
      </c>
      <c r="G259" s="8" t="n">
        <v>1</v>
      </c>
      <c r="H259" s="12" t="n">
        <v>5500</v>
      </c>
      <c r="I259" s="13" t="n">
        <v>0</v>
      </c>
      <c r="J259" s="12" t="n">
        <v>3600</v>
      </c>
      <c r="K259" s="12" t="n">
        <f aca="false">G259*H259*(1-I259)</f>
        <v>5500</v>
      </c>
      <c r="L259" s="12" t="n">
        <f aca="false">K259-G259*J259</f>
        <v>1900</v>
      </c>
    </row>
    <row r="260" customFormat="false" ht="15" hidden="false" customHeight="false" outlineLevel="0" collapsed="false">
      <c r="A260" s="8" t="s">
        <v>324</v>
      </c>
      <c r="B260" s="11" t="n">
        <v>45811</v>
      </c>
      <c r="C260" s="8" t="n">
        <f aca="false">MONTH(B260)</f>
        <v>6</v>
      </c>
      <c r="D260" s="8" t="s">
        <v>55</v>
      </c>
      <c r="E260" s="8" t="s">
        <v>40</v>
      </c>
      <c r="F260" s="8" t="s">
        <v>41</v>
      </c>
      <c r="G260" s="8" t="n">
        <v>10</v>
      </c>
      <c r="H260" s="12" t="n">
        <v>600</v>
      </c>
      <c r="I260" s="13" t="n">
        <v>0</v>
      </c>
      <c r="J260" s="12" t="n">
        <v>300</v>
      </c>
      <c r="K260" s="12" t="n">
        <f aca="false">G260*H260*(1-I260)</f>
        <v>6000</v>
      </c>
      <c r="L260" s="12" t="n">
        <f aca="false">K260-G260*J260</f>
        <v>3000</v>
      </c>
    </row>
    <row r="261" customFormat="false" ht="15" hidden="false" customHeight="false" outlineLevel="0" collapsed="false">
      <c r="A261" s="8" t="s">
        <v>354</v>
      </c>
      <c r="B261" s="11" t="n">
        <v>45811</v>
      </c>
      <c r="C261" s="8" t="n">
        <f aca="false">MONTH(B261)</f>
        <v>6</v>
      </c>
      <c r="D261" s="8" t="s">
        <v>47</v>
      </c>
      <c r="E261" s="8" t="s">
        <v>44</v>
      </c>
      <c r="F261" s="8" t="s">
        <v>48</v>
      </c>
      <c r="G261" s="8" t="n">
        <v>2</v>
      </c>
      <c r="H261" s="12" t="n">
        <v>4500</v>
      </c>
      <c r="I261" s="13" t="n">
        <v>0</v>
      </c>
      <c r="J261" s="12" t="n">
        <v>3300</v>
      </c>
      <c r="K261" s="12" t="n">
        <f aca="false">G261*H261*(1-I261)</f>
        <v>9000</v>
      </c>
      <c r="L261" s="12" t="n">
        <f aca="false">K261-G261*J261</f>
        <v>2400</v>
      </c>
    </row>
    <row r="262" customFormat="false" ht="15" hidden="false" customHeight="false" outlineLevel="0" collapsed="false">
      <c r="A262" s="8" t="s">
        <v>358</v>
      </c>
      <c r="B262" s="11" t="n">
        <v>45812</v>
      </c>
      <c r="C262" s="8" t="n">
        <f aca="false">MONTH(B262)</f>
        <v>6</v>
      </c>
      <c r="D262" s="8" t="s">
        <v>43</v>
      </c>
      <c r="E262" s="8" t="s">
        <v>40</v>
      </c>
      <c r="F262" s="8" t="s">
        <v>77</v>
      </c>
      <c r="G262" s="8" t="n">
        <v>3</v>
      </c>
      <c r="H262" s="12" t="n">
        <v>400</v>
      </c>
      <c r="I262" s="13" t="n">
        <v>0.1</v>
      </c>
      <c r="J262" s="12" t="n">
        <v>200</v>
      </c>
      <c r="K262" s="12" t="n">
        <f aca="false">G262*H262*(1-I262)</f>
        <v>1080</v>
      </c>
      <c r="L262" s="12" t="n">
        <f aca="false">K262-G262*J262</f>
        <v>480</v>
      </c>
    </row>
    <row r="263" customFormat="false" ht="15" hidden="false" customHeight="false" outlineLevel="0" collapsed="false">
      <c r="A263" s="8" t="s">
        <v>316</v>
      </c>
      <c r="B263" s="11" t="n">
        <v>45812</v>
      </c>
      <c r="C263" s="8" t="n">
        <f aca="false">MONTH(B263)</f>
        <v>6</v>
      </c>
      <c r="D263" s="8" t="s">
        <v>43</v>
      </c>
      <c r="E263" s="8" t="s">
        <v>40</v>
      </c>
      <c r="F263" s="8" t="s">
        <v>41</v>
      </c>
      <c r="G263" s="8" t="n">
        <v>4</v>
      </c>
      <c r="H263" s="12" t="n">
        <v>600</v>
      </c>
      <c r="I263" s="13" t="n">
        <v>0.1</v>
      </c>
      <c r="J263" s="12" t="n">
        <v>300</v>
      </c>
      <c r="K263" s="12" t="n">
        <f aca="false">G263*H263*(1-I263)</f>
        <v>2160</v>
      </c>
      <c r="L263" s="12" t="n">
        <f aca="false">K263-G263*J263</f>
        <v>960</v>
      </c>
    </row>
    <row r="264" customFormat="false" ht="15" hidden="false" customHeight="false" outlineLevel="0" collapsed="false">
      <c r="A264" s="8" t="s">
        <v>350</v>
      </c>
      <c r="B264" s="11" t="n">
        <v>45812</v>
      </c>
      <c r="C264" s="8" t="n">
        <f aca="false">MONTH(B264)</f>
        <v>6</v>
      </c>
      <c r="D264" s="8" t="s">
        <v>43</v>
      </c>
      <c r="E264" s="8" t="s">
        <v>57</v>
      </c>
      <c r="F264" s="8" t="s">
        <v>86</v>
      </c>
      <c r="G264" s="8" t="n">
        <v>3</v>
      </c>
      <c r="H264" s="12" t="n">
        <v>1200</v>
      </c>
      <c r="I264" s="13" t="n">
        <v>0.05</v>
      </c>
      <c r="J264" s="12" t="n">
        <v>600</v>
      </c>
      <c r="K264" s="12" t="n">
        <f aca="false">G264*H264*(1-I264)</f>
        <v>3420</v>
      </c>
      <c r="L264" s="12" t="n">
        <f aca="false">K264-G264*J264</f>
        <v>1620</v>
      </c>
    </row>
    <row r="265" customFormat="false" ht="15" hidden="false" customHeight="false" outlineLevel="0" collapsed="false">
      <c r="A265" s="8" t="s">
        <v>319</v>
      </c>
      <c r="B265" s="11" t="n">
        <v>45813</v>
      </c>
      <c r="C265" s="8" t="n">
        <f aca="false">MONTH(B265)</f>
        <v>6</v>
      </c>
      <c r="D265" s="8" t="s">
        <v>43</v>
      </c>
      <c r="E265" s="8" t="s">
        <v>57</v>
      </c>
      <c r="F265" s="8" t="s">
        <v>63</v>
      </c>
      <c r="G265" s="8" t="n">
        <v>1</v>
      </c>
      <c r="H265" s="12" t="n">
        <v>9000</v>
      </c>
      <c r="I265" s="13" t="n">
        <v>0</v>
      </c>
      <c r="J265" s="12" t="n">
        <v>6200</v>
      </c>
      <c r="K265" s="12" t="n">
        <f aca="false">G265*H265*(1-I265)</f>
        <v>9000</v>
      </c>
      <c r="L265" s="12" t="n">
        <f aca="false">K265-G265*J265</f>
        <v>2800</v>
      </c>
    </row>
    <row r="266" customFormat="false" ht="15" hidden="false" customHeight="false" outlineLevel="0" collapsed="false">
      <c r="A266" s="8" t="s">
        <v>362</v>
      </c>
      <c r="B266" s="11" t="n">
        <v>45813</v>
      </c>
      <c r="C266" s="8" t="n">
        <f aca="false">MONTH(B266)</f>
        <v>6</v>
      </c>
      <c r="D266" s="8" t="s">
        <v>47</v>
      </c>
      <c r="E266" s="8" t="s">
        <v>57</v>
      </c>
      <c r="F266" s="8" t="s">
        <v>58</v>
      </c>
      <c r="G266" s="8" t="n">
        <v>2</v>
      </c>
      <c r="H266" s="12" t="n">
        <v>5500</v>
      </c>
      <c r="I266" s="13" t="n">
        <v>0</v>
      </c>
      <c r="J266" s="12" t="n">
        <v>3600</v>
      </c>
      <c r="K266" s="12" t="n">
        <f aca="false">G266*H266*(1-I266)</f>
        <v>11000</v>
      </c>
      <c r="L266" s="12" t="n">
        <f aca="false">K266-G266*J266</f>
        <v>3800</v>
      </c>
    </row>
    <row r="267" customFormat="false" ht="15" hidden="false" customHeight="false" outlineLevel="0" collapsed="false">
      <c r="A267" s="8" t="s">
        <v>341</v>
      </c>
      <c r="B267" s="11" t="n">
        <v>45815</v>
      </c>
      <c r="C267" s="8" t="n">
        <f aca="false">MONTH(B267)</f>
        <v>6</v>
      </c>
      <c r="D267" s="8" t="s">
        <v>39</v>
      </c>
      <c r="E267" s="8" t="s">
        <v>57</v>
      </c>
      <c r="F267" s="8" t="s">
        <v>63</v>
      </c>
      <c r="G267" s="8" t="n">
        <v>1</v>
      </c>
      <c r="H267" s="12" t="n">
        <v>9000</v>
      </c>
      <c r="I267" s="13" t="n">
        <v>0.05</v>
      </c>
      <c r="J267" s="12" t="n">
        <v>6200</v>
      </c>
      <c r="K267" s="12" t="n">
        <f aca="false">G267*H267*(1-I267)</f>
        <v>8550</v>
      </c>
      <c r="L267" s="12" t="n">
        <f aca="false">K267-G267*J267</f>
        <v>2350</v>
      </c>
    </row>
    <row r="268" customFormat="false" ht="15" hidden="false" customHeight="false" outlineLevel="0" collapsed="false">
      <c r="A268" s="8" t="s">
        <v>355</v>
      </c>
      <c r="B268" s="11" t="n">
        <v>45817</v>
      </c>
      <c r="C268" s="8" t="n">
        <f aca="false">MONTH(B268)</f>
        <v>6</v>
      </c>
      <c r="D268" s="8" t="s">
        <v>43</v>
      </c>
      <c r="E268" s="8" t="s">
        <v>57</v>
      </c>
      <c r="F268" s="8" t="s">
        <v>63</v>
      </c>
      <c r="G268" s="8" t="n">
        <v>1</v>
      </c>
      <c r="H268" s="12" t="n">
        <v>9000</v>
      </c>
      <c r="I268" s="13" t="n">
        <v>0</v>
      </c>
      <c r="J268" s="12" t="n">
        <v>6200</v>
      </c>
      <c r="K268" s="12" t="n">
        <f aca="false">G268*H268*(1-I268)</f>
        <v>9000</v>
      </c>
      <c r="L268" s="12" t="n">
        <f aca="false">K268-G268*J268</f>
        <v>2800</v>
      </c>
    </row>
    <row r="269" customFormat="false" ht="15" hidden="false" customHeight="false" outlineLevel="0" collapsed="false">
      <c r="A269" s="8" t="s">
        <v>315</v>
      </c>
      <c r="B269" s="11" t="n">
        <v>45817</v>
      </c>
      <c r="C269" s="8" t="n">
        <f aca="false">MONTH(B269)</f>
        <v>6</v>
      </c>
      <c r="D269" s="8" t="s">
        <v>39</v>
      </c>
      <c r="E269" s="8" t="s">
        <v>57</v>
      </c>
      <c r="F269" s="8" t="s">
        <v>63</v>
      </c>
      <c r="G269" s="8" t="n">
        <v>1</v>
      </c>
      <c r="H269" s="12" t="n">
        <v>9000</v>
      </c>
      <c r="I269" s="13" t="n">
        <v>0.05</v>
      </c>
      <c r="J269" s="12" t="n">
        <v>6200</v>
      </c>
      <c r="K269" s="12" t="n">
        <f aca="false">G269*H269*(1-I269)</f>
        <v>8550</v>
      </c>
      <c r="L269" s="12" t="n">
        <f aca="false">K269-G269*J269</f>
        <v>2350</v>
      </c>
    </row>
    <row r="270" customFormat="false" ht="15" hidden="false" customHeight="false" outlineLevel="0" collapsed="false">
      <c r="A270" s="8" t="s">
        <v>344</v>
      </c>
      <c r="B270" s="11" t="n">
        <v>45817</v>
      </c>
      <c r="C270" s="8" t="n">
        <f aca="false">MONTH(B270)</f>
        <v>6</v>
      </c>
      <c r="D270" s="8" t="s">
        <v>43</v>
      </c>
      <c r="E270" s="8" t="s">
        <v>44</v>
      </c>
      <c r="F270" s="8" t="s">
        <v>45</v>
      </c>
      <c r="G270" s="8" t="n">
        <v>3</v>
      </c>
      <c r="H270" s="12" t="n">
        <v>1500</v>
      </c>
      <c r="I270" s="13" t="n">
        <v>0</v>
      </c>
      <c r="J270" s="12" t="n">
        <v>900</v>
      </c>
      <c r="K270" s="12" t="n">
        <f aca="false">G270*H270*(1-I270)</f>
        <v>4500</v>
      </c>
      <c r="L270" s="12" t="n">
        <f aca="false">K270-G270*J270</f>
        <v>1800</v>
      </c>
    </row>
    <row r="271" customFormat="false" ht="15" hidden="false" customHeight="false" outlineLevel="0" collapsed="false">
      <c r="A271" s="8" t="s">
        <v>318</v>
      </c>
      <c r="B271" s="11" t="n">
        <v>45818</v>
      </c>
      <c r="C271" s="8" t="n">
        <f aca="false">MONTH(B271)</f>
        <v>6</v>
      </c>
      <c r="D271" s="8" t="s">
        <v>47</v>
      </c>
      <c r="E271" s="8" t="s">
        <v>40</v>
      </c>
      <c r="F271" s="8" t="s">
        <v>104</v>
      </c>
      <c r="G271" s="8" t="n">
        <v>4</v>
      </c>
      <c r="H271" s="12" t="n">
        <v>250</v>
      </c>
      <c r="I271" s="13" t="n">
        <v>0</v>
      </c>
      <c r="J271" s="12" t="n">
        <v>100</v>
      </c>
      <c r="K271" s="12" t="n">
        <f aca="false">G271*H271*(1-I271)</f>
        <v>1000</v>
      </c>
      <c r="L271" s="12" t="n">
        <f aca="false">K271-G271*J271</f>
        <v>600</v>
      </c>
    </row>
    <row r="272" customFormat="false" ht="15" hidden="false" customHeight="false" outlineLevel="0" collapsed="false">
      <c r="A272" s="8" t="s">
        <v>356</v>
      </c>
      <c r="B272" s="11" t="n">
        <v>45819</v>
      </c>
      <c r="C272" s="8" t="n">
        <f aca="false">MONTH(B272)</f>
        <v>6</v>
      </c>
      <c r="D272" s="8" t="s">
        <v>43</v>
      </c>
      <c r="E272" s="8" t="s">
        <v>40</v>
      </c>
      <c r="F272" s="8" t="s">
        <v>104</v>
      </c>
      <c r="G272" s="8" t="n">
        <v>10</v>
      </c>
      <c r="H272" s="12" t="n">
        <v>250</v>
      </c>
      <c r="I272" s="13" t="n">
        <v>0.1</v>
      </c>
      <c r="J272" s="12" t="n">
        <v>100</v>
      </c>
      <c r="K272" s="12" t="n">
        <f aca="false">G272*H272*(1-I272)</f>
        <v>2250</v>
      </c>
      <c r="L272" s="12" t="n">
        <f aca="false">K272-G272*J272</f>
        <v>1250</v>
      </c>
    </row>
    <row r="273" customFormat="false" ht="15" hidden="false" customHeight="false" outlineLevel="0" collapsed="false">
      <c r="A273" s="8" t="s">
        <v>361</v>
      </c>
      <c r="B273" s="11" t="n">
        <v>45819</v>
      </c>
      <c r="C273" s="8" t="n">
        <f aca="false">MONTH(B273)</f>
        <v>6</v>
      </c>
      <c r="D273" s="8" t="s">
        <v>47</v>
      </c>
      <c r="E273" s="8" t="s">
        <v>57</v>
      </c>
      <c r="F273" s="8" t="s">
        <v>86</v>
      </c>
      <c r="G273" s="8" t="n">
        <v>3</v>
      </c>
      <c r="H273" s="12" t="n">
        <v>1200</v>
      </c>
      <c r="I273" s="13" t="n">
        <v>0</v>
      </c>
      <c r="J273" s="12" t="n">
        <v>600</v>
      </c>
      <c r="K273" s="12" t="n">
        <f aca="false">G273*H273*(1-I273)</f>
        <v>3600</v>
      </c>
      <c r="L273" s="12" t="n">
        <f aca="false">K273-G273*J273</f>
        <v>1800</v>
      </c>
    </row>
    <row r="274" customFormat="false" ht="15" hidden="false" customHeight="false" outlineLevel="0" collapsed="false">
      <c r="A274" s="8" t="s">
        <v>360</v>
      </c>
      <c r="B274" s="11" t="n">
        <v>45819</v>
      </c>
      <c r="C274" s="8" t="n">
        <f aca="false">MONTH(B274)</f>
        <v>6</v>
      </c>
      <c r="D274" s="8" t="s">
        <v>47</v>
      </c>
      <c r="E274" s="8" t="s">
        <v>44</v>
      </c>
      <c r="F274" s="8" t="s">
        <v>50</v>
      </c>
      <c r="G274" s="8" t="n">
        <v>1</v>
      </c>
      <c r="H274" s="12" t="n">
        <v>3000</v>
      </c>
      <c r="I274" s="13" t="n">
        <v>0</v>
      </c>
      <c r="J274" s="12" t="n">
        <v>2000</v>
      </c>
      <c r="K274" s="12" t="n">
        <f aca="false">G274*H274*(1-I274)</f>
        <v>3000</v>
      </c>
      <c r="L274" s="12" t="n">
        <f aca="false">K274-G274*J274</f>
        <v>1000</v>
      </c>
    </row>
    <row r="275" customFormat="false" ht="15" hidden="false" customHeight="false" outlineLevel="0" collapsed="false">
      <c r="A275" s="8" t="s">
        <v>347</v>
      </c>
      <c r="B275" s="11" t="n">
        <v>45819</v>
      </c>
      <c r="C275" s="8" t="n">
        <f aca="false">MONTH(B275)</f>
        <v>6</v>
      </c>
      <c r="D275" s="8" t="s">
        <v>43</v>
      </c>
      <c r="E275" s="8" t="s">
        <v>57</v>
      </c>
      <c r="F275" s="8" t="s">
        <v>63</v>
      </c>
      <c r="G275" s="8" t="n">
        <v>1</v>
      </c>
      <c r="H275" s="12" t="n">
        <v>9000</v>
      </c>
      <c r="I275" s="13" t="n">
        <v>0.05</v>
      </c>
      <c r="J275" s="12" t="n">
        <v>6200</v>
      </c>
      <c r="K275" s="12" t="n">
        <f aca="false">G275*H275*(1-I275)</f>
        <v>8550</v>
      </c>
      <c r="L275" s="12" t="n">
        <f aca="false">K275-G275*J275</f>
        <v>2350</v>
      </c>
    </row>
    <row r="276" customFormat="false" ht="15" hidden="false" customHeight="false" outlineLevel="0" collapsed="false">
      <c r="A276" s="8" t="s">
        <v>328</v>
      </c>
      <c r="B276" s="11" t="n">
        <v>45819</v>
      </c>
      <c r="C276" s="8" t="n">
        <f aca="false">MONTH(B276)</f>
        <v>6</v>
      </c>
      <c r="D276" s="8" t="s">
        <v>47</v>
      </c>
      <c r="E276" s="8" t="s">
        <v>44</v>
      </c>
      <c r="F276" s="8" t="s">
        <v>50</v>
      </c>
      <c r="G276" s="8" t="n">
        <v>3</v>
      </c>
      <c r="H276" s="12" t="n">
        <v>3000</v>
      </c>
      <c r="I276" s="13" t="n">
        <v>0.05</v>
      </c>
      <c r="J276" s="12" t="n">
        <v>2000</v>
      </c>
      <c r="K276" s="12" t="n">
        <f aca="false">G276*H276*(1-I276)</f>
        <v>8550</v>
      </c>
      <c r="L276" s="12" t="n">
        <f aca="false">K276-G276*J276</f>
        <v>2550</v>
      </c>
    </row>
    <row r="277" customFormat="false" ht="15" hidden="false" customHeight="false" outlineLevel="0" collapsed="false">
      <c r="A277" s="8" t="s">
        <v>332</v>
      </c>
      <c r="B277" s="11" t="n">
        <v>45821</v>
      </c>
      <c r="C277" s="8" t="n">
        <f aca="false">MONTH(B277)</f>
        <v>6</v>
      </c>
      <c r="D277" s="8" t="s">
        <v>39</v>
      </c>
      <c r="E277" s="8" t="s">
        <v>44</v>
      </c>
      <c r="F277" s="8" t="s">
        <v>48</v>
      </c>
      <c r="G277" s="8" t="n">
        <v>3</v>
      </c>
      <c r="H277" s="12" t="n">
        <v>4500</v>
      </c>
      <c r="I277" s="13" t="n">
        <v>0</v>
      </c>
      <c r="J277" s="12" t="n">
        <v>3300</v>
      </c>
      <c r="K277" s="12" t="n">
        <f aca="false">G277*H277*(1-I277)</f>
        <v>13500</v>
      </c>
      <c r="L277" s="12" t="n">
        <f aca="false">K277-G277*J277</f>
        <v>3600</v>
      </c>
    </row>
    <row r="278" customFormat="false" ht="15" hidden="false" customHeight="false" outlineLevel="0" collapsed="false">
      <c r="A278" s="8" t="s">
        <v>335</v>
      </c>
      <c r="B278" s="11" t="n">
        <v>45822</v>
      </c>
      <c r="C278" s="8" t="n">
        <f aca="false">MONTH(B278)</f>
        <v>6</v>
      </c>
      <c r="D278" s="8" t="s">
        <v>39</v>
      </c>
      <c r="E278" s="8" t="s">
        <v>40</v>
      </c>
      <c r="F278" s="8" t="s">
        <v>41</v>
      </c>
      <c r="G278" s="8" t="n">
        <v>9</v>
      </c>
      <c r="H278" s="12" t="n">
        <v>600</v>
      </c>
      <c r="I278" s="13" t="n">
        <v>0.05</v>
      </c>
      <c r="J278" s="12" t="n">
        <v>300</v>
      </c>
      <c r="K278" s="12" t="n">
        <f aca="false">G278*H278*(1-I278)</f>
        <v>5130</v>
      </c>
      <c r="L278" s="12" t="n">
        <f aca="false">K278-G278*J278</f>
        <v>2430</v>
      </c>
    </row>
    <row r="279" customFormat="false" ht="15" hidden="false" customHeight="false" outlineLevel="0" collapsed="false">
      <c r="A279" s="8" t="s">
        <v>334</v>
      </c>
      <c r="B279" s="11" t="n">
        <v>45822</v>
      </c>
      <c r="C279" s="8" t="n">
        <f aca="false">MONTH(B279)</f>
        <v>6</v>
      </c>
      <c r="D279" s="8" t="s">
        <v>47</v>
      </c>
      <c r="E279" s="8" t="s">
        <v>57</v>
      </c>
      <c r="F279" s="8" t="s">
        <v>58</v>
      </c>
      <c r="G279" s="8" t="n">
        <v>3</v>
      </c>
      <c r="H279" s="12" t="n">
        <v>5500</v>
      </c>
      <c r="I279" s="13" t="n">
        <v>0</v>
      </c>
      <c r="J279" s="12" t="n">
        <v>3600</v>
      </c>
      <c r="K279" s="12" t="n">
        <f aca="false">G279*H279*(1-I279)</f>
        <v>16500</v>
      </c>
      <c r="L279" s="12" t="n">
        <f aca="false">K279-G279*J279</f>
        <v>5700</v>
      </c>
    </row>
    <row r="280" customFormat="false" ht="15" hidden="false" customHeight="false" outlineLevel="0" collapsed="false">
      <c r="A280" s="8" t="s">
        <v>330</v>
      </c>
      <c r="B280" s="11" t="n">
        <v>45822</v>
      </c>
      <c r="C280" s="8" t="n">
        <f aca="false">MONTH(B280)</f>
        <v>6</v>
      </c>
      <c r="D280" s="8" t="s">
        <v>55</v>
      </c>
      <c r="E280" s="8" t="s">
        <v>57</v>
      </c>
      <c r="F280" s="8" t="s">
        <v>86</v>
      </c>
      <c r="G280" s="8" t="n">
        <v>2</v>
      </c>
      <c r="H280" s="12" t="n">
        <v>1200</v>
      </c>
      <c r="I280" s="13" t="n">
        <v>0.1</v>
      </c>
      <c r="J280" s="12" t="n">
        <v>600</v>
      </c>
      <c r="K280" s="12" t="n">
        <f aca="false">G280*H280*(1-I280)</f>
        <v>2160</v>
      </c>
      <c r="L280" s="12" t="n">
        <f aca="false">K280-G280*J280</f>
        <v>960</v>
      </c>
    </row>
    <row r="281" customFormat="false" ht="15" hidden="false" customHeight="false" outlineLevel="0" collapsed="false">
      <c r="A281" s="8" t="s">
        <v>336</v>
      </c>
      <c r="B281" s="11" t="n">
        <v>45823</v>
      </c>
      <c r="C281" s="8" t="n">
        <f aca="false">MONTH(B281)</f>
        <v>6</v>
      </c>
      <c r="D281" s="8" t="s">
        <v>39</v>
      </c>
      <c r="E281" s="8" t="s">
        <v>57</v>
      </c>
      <c r="F281" s="8" t="s">
        <v>111</v>
      </c>
      <c r="G281" s="8" t="n">
        <v>2</v>
      </c>
      <c r="H281" s="12" t="n">
        <v>7000</v>
      </c>
      <c r="I281" s="13" t="n">
        <v>0</v>
      </c>
      <c r="J281" s="12" t="n">
        <v>4800</v>
      </c>
      <c r="K281" s="12" t="n">
        <f aca="false">G281*H281*(1-I281)</f>
        <v>14000</v>
      </c>
      <c r="L281" s="12" t="n">
        <f aca="false">K281-G281*J281</f>
        <v>4400</v>
      </c>
    </row>
    <row r="282" customFormat="false" ht="15" hidden="false" customHeight="false" outlineLevel="0" collapsed="false">
      <c r="A282" s="8" t="s">
        <v>322</v>
      </c>
      <c r="B282" s="11" t="n">
        <v>45823</v>
      </c>
      <c r="C282" s="8" t="n">
        <f aca="false">MONTH(B282)</f>
        <v>6</v>
      </c>
      <c r="D282" s="8" t="s">
        <v>43</v>
      </c>
      <c r="E282" s="8" t="s">
        <v>57</v>
      </c>
      <c r="F282" s="8" t="s">
        <v>111</v>
      </c>
      <c r="G282" s="8" t="n">
        <v>2</v>
      </c>
      <c r="H282" s="12" t="n">
        <v>7000</v>
      </c>
      <c r="I282" s="13" t="n">
        <v>0</v>
      </c>
      <c r="J282" s="12" t="n">
        <v>4800</v>
      </c>
      <c r="K282" s="12" t="n">
        <f aca="false">G282*H282*(1-I282)</f>
        <v>14000</v>
      </c>
      <c r="L282" s="12" t="n">
        <f aca="false">K282-G282*J282</f>
        <v>4400</v>
      </c>
    </row>
    <row r="283" customFormat="false" ht="15" hidden="false" customHeight="false" outlineLevel="0" collapsed="false">
      <c r="A283" s="8" t="s">
        <v>357</v>
      </c>
      <c r="B283" s="11" t="n">
        <v>45823</v>
      </c>
      <c r="C283" s="8" t="n">
        <f aca="false">MONTH(B283)</f>
        <v>6</v>
      </c>
      <c r="D283" s="8" t="s">
        <v>55</v>
      </c>
      <c r="E283" s="8" t="s">
        <v>57</v>
      </c>
      <c r="F283" s="8" t="s">
        <v>58</v>
      </c>
      <c r="G283" s="8" t="n">
        <v>3</v>
      </c>
      <c r="H283" s="12" t="n">
        <v>5500</v>
      </c>
      <c r="I283" s="13" t="n">
        <v>0</v>
      </c>
      <c r="J283" s="12" t="n">
        <v>3600</v>
      </c>
      <c r="K283" s="12" t="n">
        <f aca="false">G283*H283*(1-I283)</f>
        <v>16500</v>
      </c>
      <c r="L283" s="12" t="n">
        <f aca="false">K283-G283*J283</f>
        <v>5700</v>
      </c>
    </row>
    <row r="284" customFormat="false" ht="15" hidden="false" customHeight="false" outlineLevel="0" collapsed="false">
      <c r="A284" s="8" t="s">
        <v>325</v>
      </c>
      <c r="B284" s="11" t="n">
        <v>45823</v>
      </c>
      <c r="C284" s="8" t="n">
        <f aca="false">MONTH(B284)</f>
        <v>6</v>
      </c>
      <c r="D284" s="8" t="s">
        <v>39</v>
      </c>
      <c r="E284" s="8" t="s">
        <v>57</v>
      </c>
      <c r="F284" s="8" t="s">
        <v>58</v>
      </c>
      <c r="G284" s="8" t="n">
        <v>3</v>
      </c>
      <c r="H284" s="12" t="n">
        <v>5500</v>
      </c>
      <c r="I284" s="13" t="n">
        <v>0</v>
      </c>
      <c r="J284" s="12" t="n">
        <v>3600</v>
      </c>
      <c r="K284" s="12" t="n">
        <f aca="false">G284*H284*(1-I284)</f>
        <v>16500</v>
      </c>
      <c r="L284" s="12" t="n">
        <f aca="false">K284-G284*J284</f>
        <v>5700</v>
      </c>
    </row>
    <row r="285" customFormat="false" ht="15" hidden="false" customHeight="false" outlineLevel="0" collapsed="false">
      <c r="A285" s="8" t="s">
        <v>349</v>
      </c>
      <c r="B285" s="11" t="n">
        <v>45824</v>
      </c>
      <c r="C285" s="8" t="n">
        <f aca="false">MONTH(B285)</f>
        <v>6</v>
      </c>
      <c r="D285" s="8" t="s">
        <v>47</v>
      </c>
      <c r="E285" s="8" t="s">
        <v>57</v>
      </c>
      <c r="F285" s="8" t="s">
        <v>58</v>
      </c>
      <c r="G285" s="8" t="n">
        <v>3</v>
      </c>
      <c r="H285" s="12" t="n">
        <v>5500</v>
      </c>
      <c r="I285" s="13" t="n">
        <v>0</v>
      </c>
      <c r="J285" s="12" t="n">
        <v>3600</v>
      </c>
      <c r="K285" s="12" t="n">
        <f aca="false">G285*H285*(1-I285)</f>
        <v>16500</v>
      </c>
      <c r="L285" s="12" t="n">
        <f aca="false">K285-G285*J285</f>
        <v>5700</v>
      </c>
    </row>
    <row r="286" customFormat="false" ht="15" hidden="false" customHeight="false" outlineLevel="0" collapsed="false">
      <c r="A286" s="8" t="s">
        <v>331</v>
      </c>
      <c r="B286" s="11" t="n">
        <v>45824</v>
      </c>
      <c r="C286" s="8" t="n">
        <f aca="false">MONTH(B286)</f>
        <v>6</v>
      </c>
      <c r="D286" s="8" t="s">
        <v>39</v>
      </c>
      <c r="E286" s="8" t="s">
        <v>44</v>
      </c>
      <c r="F286" s="8" t="s">
        <v>48</v>
      </c>
      <c r="G286" s="8" t="n">
        <v>1</v>
      </c>
      <c r="H286" s="12" t="n">
        <v>4500</v>
      </c>
      <c r="I286" s="13" t="n">
        <v>0</v>
      </c>
      <c r="J286" s="12" t="n">
        <v>3300</v>
      </c>
      <c r="K286" s="12" t="n">
        <f aca="false">G286*H286*(1-I286)</f>
        <v>4500</v>
      </c>
      <c r="L286" s="12" t="n">
        <f aca="false">K286-G286*J286</f>
        <v>1200</v>
      </c>
    </row>
    <row r="287" customFormat="false" ht="15" hidden="false" customHeight="false" outlineLevel="0" collapsed="false">
      <c r="A287" s="8" t="s">
        <v>320</v>
      </c>
      <c r="B287" s="11" t="n">
        <v>45825</v>
      </c>
      <c r="C287" s="8" t="n">
        <f aca="false">MONTH(B287)</f>
        <v>6</v>
      </c>
      <c r="D287" s="8" t="s">
        <v>55</v>
      </c>
      <c r="E287" s="8" t="s">
        <v>40</v>
      </c>
      <c r="F287" s="8" t="s">
        <v>77</v>
      </c>
      <c r="G287" s="8" t="n">
        <v>7</v>
      </c>
      <c r="H287" s="12" t="n">
        <v>400</v>
      </c>
      <c r="I287" s="13" t="n">
        <v>0.05</v>
      </c>
      <c r="J287" s="12" t="n">
        <v>200</v>
      </c>
      <c r="K287" s="12" t="n">
        <f aca="false">G287*H287*(1-I287)</f>
        <v>2660</v>
      </c>
      <c r="L287" s="12" t="n">
        <f aca="false">K287-G287*J287</f>
        <v>1260</v>
      </c>
    </row>
    <row r="288" customFormat="false" ht="15" hidden="false" customHeight="false" outlineLevel="0" collapsed="false">
      <c r="A288" s="8" t="s">
        <v>333</v>
      </c>
      <c r="B288" s="11" t="n">
        <v>45826</v>
      </c>
      <c r="C288" s="8" t="n">
        <f aca="false">MONTH(B288)</f>
        <v>6</v>
      </c>
      <c r="D288" s="8" t="s">
        <v>47</v>
      </c>
      <c r="E288" s="8" t="s">
        <v>57</v>
      </c>
      <c r="F288" s="8" t="s">
        <v>86</v>
      </c>
      <c r="G288" s="8" t="n">
        <v>3</v>
      </c>
      <c r="H288" s="12" t="n">
        <v>1200</v>
      </c>
      <c r="I288" s="13" t="n">
        <v>0.1</v>
      </c>
      <c r="J288" s="12" t="n">
        <v>600</v>
      </c>
      <c r="K288" s="12" t="n">
        <f aca="false">G288*H288*(1-I288)</f>
        <v>3240</v>
      </c>
      <c r="L288" s="12" t="n">
        <f aca="false">K288-G288*J288</f>
        <v>1440</v>
      </c>
    </row>
    <row r="289" customFormat="false" ht="15" hidden="false" customHeight="false" outlineLevel="0" collapsed="false">
      <c r="A289" s="8" t="s">
        <v>342</v>
      </c>
      <c r="B289" s="11" t="n">
        <v>45827</v>
      </c>
      <c r="C289" s="8" t="n">
        <f aca="false">MONTH(B289)</f>
        <v>6</v>
      </c>
      <c r="D289" s="8" t="s">
        <v>55</v>
      </c>
      <c r="E289" s="8" t="s">
        <v>44</v>
      </c>
      <c r="F289" s="8" t="s">
        <v>48</v>
      </c>
      <c r="G289" s="8" t="n">
        <v>3</v>
      </c>
      <c r="H289" s="12" t="n">
        <v>4500</v>
      </c>
      <c r="I289" s="13" t="n">
        <v>0</v>
      </c>
      <c r="J289" s="12" t="n">
        <v>3300</v>
      </c>
      <c r="K289" s="12" t="n">
        <f aca="false">G289*H289*(1-I289)</f>
        <v>13500</v>
      </c>
      <c r="L289" s="12" t="n">
        <f aca="false">K289-G289*J289</f>
        <v>3600</v>
      </c>
    </row>
    <row r="290" customFormat="false" ht="15" hidden="false" customHeight="false" outlineLevel="0" collapsed="false">
      <c r="A290" s="8" t="s">
        <v>326</v>
      </c>
      <c r="B290" s="11" t="n">
        <v>45827</v>
      </c>
      <c r="C290" s="8" t="n">
        <f aca="false">MONTH(B290)</f>
        <v>6</v>
      </c>
      <c r="D290" s="8" t="s">
        <v>43</v>
      </c>
      <c r="E290" s="8" t="s">
        <v>57</v>
      </c>
      <c r="F290" s="8" t="s">
        <v>63</v>
      </c>
      <c r="G290" s="8" t="n">
        <v>3</v>
      </c>
      <c r="H290" s="12" t="n">
        <v>9000</v>
      </c>
      <c r="I290" s="13" t="n">
        <v>0</v>
      </c>
      <c r="J290" s="12" t="n">
        <v>6200</v>
      </c>
      <c r="K290" s="12" t="n">
        <f aca="false">G290*H290*(1-I290)</f>
        <v>27000</v>
      </c>
      <c r="L290" s="12" t="n">
        <f aca="false">K290-G290*J290</f>
        <v>8400</v>
      </c>
    </row>
    <row r="291" customFormat="false" ht="15" hidden="false" customHeight="false" outlineLevel="0" collapsed="false">
      <c r="A291" s="8" t="s">
        <v>337</v>
      </c>
      <c r="B291" s="11" t="n">
        <v>45830</v>
      </c>
      <c r="C291" s="8" t="n">
        <f aca="false">MONTH(B291)</f>
        <v>6</v>
      </c>
      <c r="D291" s="8" t="s">
        <v>55</v>
      </c>
      <c r="E291" s="8" t="s">
        <v>57</v>
      </c>
      <c r="F291" s="8" t="s">
        <v>86</v>
      </c>
      <c r="G291" s="8" t="n">
        <v>2</v>
      </c>
      <c r="H291" s="12" t="n">
        <v>1200</v>
      </c>
      <c r="I291" s="13" t="n">
        <v>0</v>
      </c>
      <c r="J291" s="12" t="n">
        <v>600</v>
      </c>
      <c r="K291" s="12" t="n">
        <f aca="false">G291*H291*(1-I291)</f>
        <v>2400</v>
      </c>
      <c r="L291" s="12" t="n">
        <f aca="false">K291-G291*J291</f>
        <v>1200</v>
      </c>
    </row>
    <row r="292" customFormat="false" ht="15" hidden="false" customHeight="false" outlineLevel="0" collapsed="false">
      <c r="A292" s="8" t="s">
        <v>327</v>
      </c>
      <c r="B292" s="11" t="n">
        <v>45830</v>
      </c>
      <c r="C292" s="8" t="n">
        <f aca="false">MONTH(B292)</f>
        <v>6</v>
      </c>
      <c r="D292" s="8" t="s">
        <v>55</v>
      </c>
      <c r="E292" s="8" t="s">
        <v>57</v>
      </c>
      <c r="F292" s="8" t="s">
        <v>58</v>
      </c>
      <c r="G292" s="8" t="n">
        <v>2</v>
      </c>
      <c r="H292" s="12" t="n">
        <v>5500</v>
      </c>
      <c r="I292" s="13" t="n">
        <v>0</v>
      </c>
      <c r="J292" s="12" t="n">
        <v>3600</v>
      </c>
      <c r="K292" s="12" t="n">
        <f aca="false">G292*H292*(1-I292)</f>
        <v>11000</v>
      </c>
      <c r="L292" s="12" t="n">
        <f aca="false">K292-G292*J292</f>
        <v>3800</v>
      </c>
    </row>
    <row r="293" customFormat="false" ht="15" hidden="false" customHeight="false" outlineLevel="0" collapsed="false">
      <c r="A293" s="8" t="s">
        <v>353</v>
      </c>
      <c r="B293" s="11" t="n">
        <v>45830</v>
      </c>
      <c r="C293" s="8" t="n">
        <f aca="false">MONTH(B293)</f>
        <v>6</v>
      </c>
      <c r="D293" s="8" t="s">
        <v>55</v>
      </c>
      <c r="E293" s="8" t="s">
        <v>44</v>
      </c>
      <c r="F293" s="8" t="s">
        <v>60</v>
      </c>
      <c r="G293" s="8" t="n">
        <v>2</v>
      </c>
      <c r="H293" s="12" t="n">
        <v>2500</v>
      </c>
      <c r="I293" s="13" t="n">
        <v>0</v>
      </c>
      <c r="J293" s="12" t="n">
        <v>1600</v>
      </c>
      <c r="K293" s="12" t="n">
        <f aca="false">G293*H293*(1-I293)</f>
        <v>5000</v>
      </c>
      <c r="L293" s="12" t="n">
        <f aca="false">K293-G293*J293</f>
        <v>1800</v>
      </c>
    </row>
    <row r="294" customFormat="false" ht="15" hidden="false" customHeight="false" outlineLevel="0" collapsed="false">
      <c r="A294" s="8" t="s">
        <v>348</v>
      </c>
      <c r="B294" s="11" t="n">
        <v>45832</v>
      </c>
      <c r="C294" s="8" t="n">
        <f aca="false">MONTH(B294)</f>
        <v>6</v>
      </c>
      <c r="D294" s="8" t="s">
        <v>39</v>
      </c>
      <c r="E294" s="8" t="s">
        <v>44</v>
      </c>
      <c r="F294" s="8" t="s">
        <v>60</v>
      </c>
      <c r="G294" s="8" t="n">
        <v>1</v>
      </c>
      <c r="H294" s="12" t="n">
        <v>2500</v>
      </c>
      <c r="I294" s="13" t="n">
        <v>0</v>
      </c>
      <c r="J294" s="12" t="n">
        <v>1600</v>
      </c>
      <c r="K294" s="12" t="n">
        <f aca="false">G294*H294*(1-I294)</f>
        <v>2500</v>
      </c>
      <c r="L294" s="12" t="n">
        <f aca="false">K294-G294*J294</f>
        <v>900</v>
      </c>
    </row>
    <row r="295" customFormat="false" ht="15" hidden="false" customHeight="false" outlineLevel="0" collapsed="false">
      <c r="A295" s="8" t="s">
        <v>351</v>
      </c>
      <c r="B295" s="11" t="n">
        <v>45832</v>
      </c>
      <c r="C295" s="8" t="n">
        <f aca="false">MONTH(B295)</f>
        <v>6</v>
      </c>
      <c r="D295" s="8" t="s">
        <v>47</v>
      </c>
      <c r="E295" s="8" t="s">
        <v>57</v>
      </c>
      <c r="F295" s="8" t="s">
        <v>86</v>
      </c>
      <c r="G295" s="8" t="n">
        <v>3</v>
      </c>
      <c r="H295" s="12" t="n">
        <v>1200</v>
      </c>
      <c r="I295" s="13" t="n">
        <v>0</v>
      </c>
      <c r="J295" s="12" t="n">
        <v>600</v>
      </c>
      <c r="K295" s="12" t="n">
        <f aca="false">G295*H295*(1-I295)</f>
        <v>3600</v>
      </c>
      <c r="L295" s="12" t="n">
        <f aca="false">K295-G295*J295</f>
        <v>1800</v>
      </c>
    </row>
    <row r="296" customFormat="false" ht="15" hidden="false" customHeight="false" outlineLevel="0" collapsed="false">
      <c r="A296" s="8" t="s">
        <v>323</v>
      </c>
      <c r="B296" s="11" t="n">
        <v>45832</v>
      </c>
      <c r="C296" s="8" t="n">
        <f aca="false">MONTH(B296)</f>
        <v>6</v>
      </c>
      <c r="D296" s="8" t="s">
        <v>39</v>
      </c>
      <c r="E296" s="8" t="s">
        <v>44</v>
      </c>
      <c r="F296" s="8" t="s">
        <v>48</v>
      </c>
      <c r="G296" s="8" t="n">
        <v>1</v>
      </c>
      <c r="H296" s="12" t="n">
        <v>4500</v>
      </c>
      <c r="I296" s="13" t="n">
        <v>0.1</v>
      </c>
      <c r="J296" s="12" t="n">
        <v>3300</v>
      </c>
      <c r="K296" s="12" t="n">
        <f aca="false">G296*H296*(1-I296)</f>
        <v>4050</v>
      </c>
      <c r="L296" s="12" t="n">
        <f aca="false">K296-G296*J296</f>
        <v>750</v>
      </c>
    </row>
    <row r="297" customFormat="false" ht="15" hidden="false" customHeight="false" outlineLevel="0" collapsed="false">
      <c r="A297" s="8" t="s">
        <v>343</v>
      </c>
      <c r="B297" s="11" t="n">
        <v>45833</v>
      </c>
      <c r="C297" s="8" t="n">
        <f aca="false">MONTH(B297)</f>
        <v>6</v>
      </c>
      <c r="D297" s="8" t="s">
        <v>55</v>
      </c>
      <c r="E297" s="8" t="s">
        <v>44</v>
      </c>
      <c r="F297" s="8" t="s">
        <v>50</v>
      </c>
      <c r="G297" s="8" t="n">
        <v>1</v>
      </c>
      <c r="H297" s="12" t="n">
        <v>3000</v>
      </c>
      <c r="I297" s="13" t="n">
        <v>0</v>
      </c>
      <c r="J297" s="12" t="n">
        <v>2000</v>
      </c>
      <c r="K297" s="12" t="n">
        <f aca="false">G297*H297*(1-I297)</f>
        <v>3000</v>
      </c>
      <c r="L297" s="12" t="n">
        <f aca="false">K297-G297*J297</f>
        <v>1000</v>
      </c>
    </row>
    <row r="298" customFormat="false" ht="15" hidden="false" customHeight="false" outlineLevel="0" collapsed="false">
      <c r="A298" s="8" t="s">
        <v>345</v>
      </c>
      <c r="B298" s="11" t="n">
        <v>45834</v>
      </c>
      <c r="C298" s="8" t="n">
        <f aca="false">MONTH(B298)</f>
        <v>6</v>
      </c>
      <c r="D298" s="8" t="s">
        <v>55</v>
      </c>
      <c r="E298" s="8" t="s">
        <v>44</v>
      </c>
      <c r="F298" s="8" t="s">
        <v>45</v>
      </c>
      <c r="G298" s="8" t="n">
        <v>3</v>
      </c>
      <c r="H298" s="12" t="n">
        <v>1500</v>
      </c>
      <c r="I298" s="13" t="n">
        <v>0</v>
      </c>
      <c r="J298" s="12" t="n">
        <v>900</v>
      </c>
      <c r="K298" s="12" t="n">
        <f aca="false">G298*H298*(1-I298)</f>
        <v>4500</v>
      </c>
      <c r="L298" s="12" t="n">
        <f aca="false">K298-G298*J298</f>
        <v>1800</v>
      </c>
    </row>
    <row r="299" customFormat="false" ht="15" hidden="false" customHeight="false" outlineLevel="0" collapsed="false">
      <c r="A299" s="8" t="s">
        <v>321</v>
      </c>
      <c r="B299" s="11" t="n">
        <v>45834</v>
      </c>
      <c r="C299" s="8" t="n">
        <f aca="false">MONTH(B299)</f>
        <v>6</v>
      </c>
      <c r="D299" s="8" t="s">
        <v>55</v>
      </c>
      <c r="E299" s="8" t="s">
        <v>57</v>
      </c>
      <c r="F299" s="8" t="s">
        <v>111</v>
      </c>
      <c r="G299" s="8" t="n">
        <v>2</v>
      </c>
      <c r="H299" s="12" t="n">
        <v>7000</v>
      </c>
      <c r="I299" s="13" t="n">
        <v>0</v>
      </c>
      <c r="J299" s="12" t="n">
        <v>4800</v>
      </c>
      <c r="K299" s="12" t="n">
        <f aca="false">G299*H299*(1-I299)</f>
        <v>14000</v>
      </c>
      <c r="L299" s="12" t="n">
        <f aca="false">K299-G299*J299</f>
        <v>4400</v>
      </c>
    </row>
    <row r="300" customFormat="false" ht="15" hidden="false" customHeight="false" outlineLevel="0" collapsed="false">
      <c r="A300" s="8" t="s">
        <v>340</v>
      </c>
      <c r="B300" s="11" t="n">
        <v>45834</v>
      </c>
      <c r="C300" s="8" t="n">
        <f aca="false">MONTH(B300)</f>
        <v>6</v>
      </c>
      <c r="D300" s="8" t="s">
        <v>39</v>
      </c>
      <c r="E300" s="8" t="s">
        <v>40</v>
      </c>
      <c r="F300" s="8" t="s">
        <v>41</v>
      </c>
      <c r="G300" s="8" t="n">
        <v>2</v>
      </c>
      <c r="H300" s="12" t="n">
        <v>600</v>
      </c>
      <c r="I300" s="13" t="n">
        <v>0</v>
      </c>
      <c r="J300" s="12" t="n">
        <v>300</v>
      </c>
      <c r="K300" s="12" t="n">
        <f aca="false">G300*H300*(1-I300)</f>
        <v>1200</v>
      </c>
      <c r="L300" s="12" t="n">
        <f aca="false">K300-G300*J300</f>
        <v>600</v>
      </c>
    </row>
    <row r="301" customFormat="false" ht="15" hidden="false" customHeight="false" outlineLevel="0" collapsed="false">
      <c r="A301" s="8" t="s">
        <v>363</v>
      </c>
      <c r="B301" s="11" t="n">
        <v>45835</v>
      </c>
      <c r="C301" s="8" t="n">
        <f aca="false">MONTH(B301)</f>
        <v>6</v>
      </c>
      <c r="D301" s="8" t="s">
        <v>55</v>
      </c>
      <c r="E301" s="8" t="s">
        <v>40</v>
      </c>
      <c r="F301" s="8" t="s">
        <v>41</v>
      </c>
      <c r="G301" s="8" t="n">
        <v>3</v>
      </c>
      <c r="H301" s="12" t="n">
        <v>600</v>
      </c>
      <c r="I301" s="13" t="n">
        <v>0</v>
      </c>
      <c r="J301" s="12" t="n">
        <v>300</v>
      </c>
      <c r="K301" s="12" t="n">
        <f aca="false">G301*H301*(1-I301)</f>
        <v>1800</v>
      </c>
      <c r="L301" s="12" t="n">
        <f aca="false">K301-G301*J301</f>
        <v>900</v>
      </c>
    </row>
    <row r="302" customFormat="false" ht="15" hidden="false" customHeight="false" outlineLevel="0" collapsed="false">
      <c r="A302" s="8" t="s">
        <v>329</v>
      </c>
      <c r="B302" s="11" t="n">
        <v>45835</v>
      </c>
      <c r="C302" s="8" t="n">
        <f aca="false">MONTH(B302)</f>
        <v>6</v>
      </c>
      <c r="D302" s="8" t="s">
        <v>39</v>
      </c>
      <c r="E302" s="8" t="s">
        <v>40</v>
      </c>
      <c r="F302" s="8" t="s">
        <v>104</v>
      </c>
      <c r="G302" s="8" t="n">
        <v>3</v>
      </c>
      <c r="H302" s="12" t="n">
        <v>250</v>
      </c>
      <c r="I302" s="13" t="n">
        <v>0.1</v>
      </c>
      <c r="J302" s="12" t="n">
        <v>100</v>
      </c>
      <c r="K302" s="12" t="n">
        <f aca="false">G302*H302*(1-I302)</f>
        <v>675</v>
      </c>
      <c r="L302" s="12" t="n">
        <f aca="false">K302-G302*J302</f>
        <v>375</v>
      </c>
    </row>
    <row r="303" customFormat="false" ht="15" hidden="false" customHeight="false" outlineLevel="0" collapsed="false">
      <c r="A303" s="8" t="s">
        <v>359</v>
      </c>
      <c r="B303" s="11" t="n">
        <v>45836</v>
      </c>
      <c r="C303" s="8" t="n">
        <f aca="false">MONTH(B303)</f>
        <v>6</v>
      </c>
      <c r="D303" s="8" t="s">
        <v>43</v>
      </c>
      <c r="E303" s="8" t="s">
        <v>40</v>
      </c>
      <c r="F303" s="8" t="s">
        <v>41</v>
      </c>
      <c r="G303" s="8" t="n">
        <v>10</v>
      </c>
      <c r="H303" s="12" t="n">
        <v>600</v>
      </c>
      <c r="I303" s="13" t="n">
        <v>0.1</v>
      </c>
      <c r="J303" s="12" t="n">
        <v>300</v>
      </c>
      <c r="K303" s="12" t="n">
        <f aca="false">G303*H303*(1-I303)</f>
        <v>5400</v>
      </c>
      <c r="L303" s="12" t="n">
        <f aca="false">K303-G303*J303</f>
        <v>2400</v>
      </c>
    </row>
    <row r="304" customFormat="false" ht="15" hidden="false" customHeight="false" outlineLevel="0" collapsed="false">
      <c r="A304" s="8" t="s">
        <v>376</v>
      </c>
      <c r="B304" s="11" t="n">
        <v>45839</v>
      </c>
      <c r="C304" s="8" t="n">
        <f aca="false">MONTH(B304)</f>
        <v>7</v>
      </c>
      <c r="D304" s="8" t="s">
        <v>39</v>
      </c>
      <c r="E304" s="8" t="s">
        <v>57</v>
      </c>
      <c r="F304" s="8" t="s">
        <v>58</v>
      </c>
      <c r="G304" s="8" t="n">
        <v>3</v>
      </c>
      <c r="H304" s="12" t="n">
        <v>5500</v>
      </c>
      <c r="I304" s="13" t="n">
        <v>0.1</v>
      </c>
      <c r="J304" s="12" t="n">
        <v>3600</v>
      </c>
      <c r="K304" s="12" t="n">
        <f aca="false">G304*H304*(1-I304)</f>
        <v>14850</v>
      </c>
      <c r="L304" s="12" t="n">
        <f aca="false">K304-G304*J304</f>
        <v>4050</v>
      </c>
    </row>
    <row r="305" customFormat="false" ht="15" hidden="false" customHeight="false" outlineLevel="0" collapsed="false">
      <c r="A305" s="8" t="s">
        <v>385</v>
      </c>
      <c r="B305" s="11" t="n">
        <v>45840</v>
      </c>
      <c r="C305" s="8" t="n">
        <f aca="false">MONTH(B305)</f>
        <v>7</v>
      </c>
      <c r="D305" s="8" t="s">
        <v>39</v>
      </c>
      <c r="E305" s="8" t="s">
        <v>57</v>
      </c>
      <c r="F305" s="8" t="s">
        <v>111</v>
      </c>
      <c r="G305" s="8" t="n">
        <v>2</v>
      </c>
      <c r="H305" s="12" t="n">
        <v>7000</v>
      </c>
      <c r="I305" s="13" t="n">
        <v>0.05</v>
      </c>
      <c r="J305" s="12" t="n">
        <v>4800</v>
      </c>
      <c r="K305" s="12" t="n">
        <f aca="false">G305*H305*(1-I305)</f>
        <v>13300</v>
      </c>
      <c r="L305" s="12" t="n">
        <f aca="false">K305-G305*J305</f>
        <v>3700</v>
      </c>
    </row>
    <row r="306" customFormat="false" ht="15" hidden="false" customHeight="false" outlineLevel="0" collapsed="false">
      <c r="A306" s="8" t="s">
        <v>367</v>
      </c>
      <c r="B306" s="11" t="n">
        <v>45840</v>
      </c>
      <c r="C306" s="8" t="n">
        <f aca="false">MONTH(B306)</f>
        <v>7</v>
      </c>
      <c r="D306" s="8" t="s">
        <v>55</v>
      </c>
      <c r="E306" s="8" t="s">
        <v>40</v>
      </c>
      <c r="F306" s="8" t="s">
        <v>41</v>
      </c>
      <c r="G306" s="8" t="n">
        <v>8</v>
      </c>
      <c r="H306" s="12" t="n">
        <v>600</v>
      </c>
      <c r="I306" s="13" t="n">
        <v>0.1</v>
      </c>
      <c r="J306" s="12" t="n">
        <v>300</v>
      </c>
      <c r="K306" s="12" t="n">
        <f aca="false">G306*H306*(1-I306)</f>
        <v>4320</v>
      </c>
      <c r="L306" s="12" t="n">
        <f aca="false">K306-G306*J306</f>
        <v>1920</v>
      </c>
    </row>
    <row r="307" customFormat="false" ht="15" hidden="false" customHeight="false" outlineLevel="0" collapsed="false">
      <c r="A307" s="8" t="s">
        <v>406</v>
      </c>
      <c r="B307" s="11" t="n">
        <v>45840</v>
      </c>
      <c r="C307" s="8" t="n">
        <f aca="false">MONTH(B307)</f>
        <v>7</v>
      </c>
      <c r="D307" s="8" t="s">
        <v>39</v>
      </c>
      <c r="E307" s="8" t="s">
        <v>40</v>
      </c>
      <c r="F307" s="8" t="s">
        <v>77</v>
      </c>
      <c r="G307" s="8" t="n">
        <v>9</v>
      </c>
      <c r="H307" s="12" t="n">
        <v>400</v>
      </c>
      <c r="I307" s="13" t="n">
        <v>0</v>
      </c>
      <c r="J307" s="12" t="n">
        <v>200</v>
      </c>
      <c r="K307" s="12" t="n">
        <f aca="false">G307*H307*(1-I307)</f>
        <v>3600</v>
      </c>
      <c r="L307" s="12" t="n">
        <f aca="false">K307-G307*J307</f>
        <v>1800</v>
      </c>
    </row>
    <row r="308" customFormat="false" ht="15" hidden="false" customHeight="false" outlineLevel="0" collapsed="false">
      <c r="A308" s="8" t="s">
        <v>379</v>
      </c>
      <c r="B308" s="11" t="n">
        <v>45841</v>
      </c>
      <c r="C308" s="8" t="n">
        <f aca="false">MONTH(B308)</f>
        <v>7</v>
      </c>
      <c r="D308" s="8" t="s">
        <v>43</v>
      </c>
      <c r="E308" s="8" t="s">
        <v>57</v>
      </c>
      <c r="F308" s="8" t="s">
        <v>63</v>
      </c>
      <c r="G308" s="8" t="n">
        <v>3</v>
      </c>
      <c r="H308" s="12" t="n">
        <v>9000</v>
      </c>
      <c r="I308" s="13" t="n">
        <v>0.05</v>
      </c>
      <c r="J308" s="12" t="n">
        <v>6200</v>
      </c>
      <c r="K308" s="12" t="n">
        <f aca="false">G308*H308*(1-I308)</f>
        <v>25650</v>
      </c>
      <c r="L308" s="12" t="n">
        <f aca="false">K308-G308*J308</f>
        <v>7050</v>
      </c>
    </row>
    <row r="309" customFormat="false" ht="15" hidden="false" customHeight="false" outlineLevel="0" collapsed="false">
      <c r="A309" s="8" t="s">
        <v>370</v>
      </c>
      <c r="B309" s="11" t="n">
        <v>45842</v>
      </c>
      <c r="C309" s="8" t="n">
        <f aca="false">MONTH(B309)</f>
        <v>7</v>
      </c>
      <c r="D309" s="8" t="s">
        <v>47</v>
      </c>
      <c r="E309" s="8" t="s">
        <v>44</v>
      </c>
      <c r="F309" s="8" t="s">
        <v>48</v>
      </c>
      <c r="G309" s="8" t="n">
        <v>3</v>
      </c>
      <c r="H309" s="12" t="n">
        <v>4500</v>
      </c>
      <c r="I309" s="13" t="n">
        <v>0</v>
      </c>
      <c r="J309" s="12" t="n">
        <v>3300</v>
      </c>
      <c r="K309" s="12" t="n">
        <f aca="false">G309*H309*(1-I309)</f>
        <v>13500</v>
      </c>
      <c r="L309" s="12" t="n">
        <f aca="false">K309-G309*J309</f>
        <v>3600</v>
      </c>
    </row>
    <row r="310" customFormat="false" ht="15" hidden="false" customHeight="false" outlineLevel="0" collapsed="false">
      <c r="A310" s="8" t="s">
        <v>393</v>
      </c>
      <c r="B310" s="11" t="n">
        <v>45844</v>
      </c>
      <c r="C310" s="8" t="n">
        <f aca="false">MONTH(B310)</f>
        <v>7</v>
      </c>
      <c r="D310" s="8" t="s">
        <v>39</v>
      </c>
      <c r="E310" s="8" t="s">
        <v>57</v>
      </c>
      <c r="F310" s="8" t="s">
        <v>111</v>
      </c>
      <c r="G310" s="8" t="n">
        <v>1</v>
      </c>
      <c r="H310" s="12" t="n">
        <v>7000</v>
      </c>
      <c r="I310" s="13" t="n">
        <v>0</v>
      </c>
      <c r="J310" s="12" t="n">
        <v>4800</v>
      </c>
      <c r="K310" s="12" t="n">
        <f aca="false">G310*H310*(1-I310)</f>
        <v>7000</v>
      </c>
      <c r="L310" s="12" t="n">
        <f aca="false">K310-G310*J310</f>
        <v>2200</v>
      </c>
    </row>
    <row r="311" customFormat="false" ht="15" hidden="false" customHeight="false" outlineLevel="0" collapsed="false">
      <c r="A311" s="8" t="s">
        <v>401</v>
      </c>
      <c r="B311" s="11" t="n">
        <v>45844</v>
      </c>
      <c r="C311" s="8" t="n">
        <f aca="false">MONTH(B311)</f>
        <v>7</v>
      </c>
      <c r="D311" s="8" t="s">
        <v>43</v>
      </c>
      <c r="E311" s="8" t="s">
        <v>44</v>
      </c>
      <c r="F311" s="8" t="s">
        <v>45</v>
      </c>
      <c r="G311" s="8" t="n">
        <v>3</v>
      </c>
      <c r="H311" s="12" t="n">
        <v>1500</v>
      </c>
      <c r="I311" s="13" t="n">
        <v>0</v>
      </c>
      <c r="J311" s="12" t="n">
        <v>900</v>
      </c>
      <c r="K311" s="12" t="n">
        <f aca="false">G311*H311*(1-I311)</f>
        <v>4500</v>
      </c>
      <c r="L311" s="12" t="n">
        <f aca="false">K311-G311*J311</f>
        <v>1800</v>
      </c>
    </row>
    <row r="312" customFormat="false" ht="15" hidden="false" customHeight="false" outlineLevel="0" collapsed="false">
      <c r="A312" s="8" t="s">
        <v>373</v>
      </c>
      <c r="B312" s="11" t="n">
        <v>45844</v>
      </c>
      <c r="C312" s="8" t="n">
        <f aca="false">MONTH(B312)</f>
        <v>7</v>
      </c>
      <c r="D312" s="8" t="s">
        <v>55</v>
      </c>
      <c r="E312" s="8" t="s">
        <v>40</v>
      </c>
      <c r="F312" s="8" t="s">
        <v>41</v>
      </c>
      <c r="G312" s="8" t="n">
        <v>6</v>
      </c>
      <c r="H312" s="12" t="n">
        <v>600</v>
      </c>
      <c r="I312" s="13" t="n">
        <v>0</v>
      </c>
      <c r="J312" s="12" t="n">
        <v>300</v>
      </c>
      <c r="K312" s="12" t="n">
        <f aca="false">G312*H312*(1-I312)</f>
        <v>3600</v>
      </c>
      <c r="L312" s="12" t="n">
        <f aca="false">K312-G312*J312</f>
        <v>1800</v>
      </c>
    </row>
    <row r="313" customFormat="false" ht="15" hidden="false" customHeight="false" outlineLevel="0" collapsed="false">
      <c r="A313" s="8" t="s">
        <v>399</v>
      </c>
      <c r="B313" s="11" t="n">
        <v>45846</v>
      </c>
      <c r="C313" s="8" t="n">
        <f aca="false">MONTH(B313)</f>
        <v>7</v>
      </c>
      <c r="D313" s="8" t="s">
        <v>47</v>
      </c>
      <c r="E313" s="8" t="s">
        <v>57</v>
      </c>
      <c r="F313" s="8" t="s">
        <v>63</v>
      </c>
      <c r="G313" s="8" t="n">
        <v>3</v>
      </c>
      <c r="H313" s="12" t="n">
        <v>9000</v>
      </c>
      <c r="I313" s="13" t="n">
        <v>0</v>
      </c>
      <c r="J313" s="12" t="n">
        <v>6200</v>
      </c>
      <c r="K313" s="12" t="n">
        <f aca="false">G313*H313*(1-I313)</f>
        <v>27000</v>
      </c>
      <c r="L313" s="12" t="n">
        <f aca="false">K313-G313*J313</f>
        <v>8400</v>
      </c>
    </row>
    <row r="314" customFormat="false" ht="15" hidden="false" customHeight="false" outlineLevel="0" collapsed="false">
      <c r="A314" s="8" t="s">
        <v>383</v>
      </c>
      <c r="B314" s="11" t="n">
        <v>45848</v>
      </c>
      <c r="C314" s="8" t="n">
        <f aca="false">MONTH(B314)</f>
        <v>7</v>
      </c>
      <c r="D314" s="8" t="s">
        <v>39</v>
      </c>
      <c r="E314" s="8" t="s">
        <v>40</v>
      </c>
      <c r="F314" s="8" t="s">
        <v>77</v>
      </c>
      <c r="G314" s="8" t="n">
        <v>8</v>
      </c>
      <c r="H314" s="12" t="n">
        <v>400</v>
      </c>
      <c r="I314" s="13" t="n">
        <v>0</v>
      </c>
      <c r="J314" s="12" t="n">
        <v>200</v>
      </c>
      <c r="K314" s="12" t="n">
        <f aca="false">G314*H314*(1-I314)</f>
        <v>3200</v>
      </c>
      <c r="L314" s="12" t="n">
        <f aca="false">K314-G314*J314</f>
        <v>1600</v>
      </c>
    </row>
    <row r="315" customFormat="false" ht="15" hidden="false" customHeight="false" outlineLevel="0" collapsed="false">
      <c r="A315" s="8" t="s">
        <v>403</v>
      </c>
      <c r="B315" s="11" t="n">
        <v>45849</v>
      </c>
      <c r="C315" s="8" t="n">
        <f aca="false">MONTH(B315)</f>
        <v>7</v>
      </c>
      <c r="D315" s="8" t="s">
        <v>43</v>
      </c>
      <c r="E315" s="8" t="s">
        <v>40</v>
      </c>
      <c r="F315" s="8" t="s">
        <v>41</v>
      </c>
      <c r="G315" s="8" t="n">
        <v>7</v>
      </c>
      <c r="H315" s="12" t="n">
        <v>600</v>
      </c>
      <c r="I315" s="13" t="n">
        <v>0.1</v>
      </c>
      <c r="J315" s="12" t="n">
        <v>300</v>
      </c>
      <c r="K315" s="12" t="n">
        <f aca="false">G315*H315*(1-I315)</f>
        <v>3780</v>
      </c>
      <c r="L315" s="12" t="n">
        <f aca="false">K315-G315*J315</f>
        <v>1680</v>
      </c>
    </row>
    <row r="316" customFormat="false" ht="15" hidden="false" customHeight="false" outlineLevel="0" collapsed="false">
      <c r="A316" s="8" t="s">
        <v>396</v>
      </c>
      <c r="B316" s="11" t="n">
        <v>45849</v>
      </c>
      <c r="C316" s="8" t="n">
        <f aca="false">MONTH(B316)</f>
        <v>7</v>
      </c>
      <c r="D316" s="8" t="s">
        <v>47</v>
      </c>
      <c r="E316" s="8" t="s">
        <v>44</v>
      </c>
      <c r="F316" s="8" t="s">
        <v>48</v>
      </c>
      <c r="G316" s="8" t="n">
        <v>2</v>
      </c>
      <c r="H316" s="12" t="n">
        <v>4500</v>
      </c>
      <c r="I316" s="13" t="n">
        <v>0.1</v>
      </c>
      <c r="J316" s="12" t="n">
        <v>3300</v>
      </c>
      <c r="K316" s="12" t="n">
        <f aca="false">G316*H316*(1-I316)</f>
        <v>8100</v>
      </c>
      <c r="L316" s="12" t="n">
        <f aca="false">K316-G316*J316</f>
        <v>1500</v>
      </c>
    </row>
    <row r="317" customFormat="false" ht="15" hidden="false" customHeight="false" outlineLevel="0" collapsed="false">
      <c r="A317" s="8" t="s">
        <v>374</v>
      </c>
      <c r="B317" s="11" t="n">
        <v>45850</v>
      </c>
      <c r="C317" s="8" t="n">
        <f aca="false">MONTH(B317)</f>
        <v>7</v>
      </c>
      <c r="D317" s="8" t="s">
        <v>43</v>
      </c>
      <c r="E317" s="8" t="s">
        <v>57</v>
      </c>
      <c r="F317" s="8" t="s">
        <v>111</v>
      </c>
      <c r="G317" s="8" t="n">
        <v>2</v>
      </c>
      <c r="H317" s="12" t="n">
        <v>7000</v>
      </c>
      <c r="I317" s="13" t="n">
        <v>0</v>
      </c>
      <c r="J317" s="12" t="n">
        <v>4800</v>
      </c>
      <c r="K317" s="12" t="n">
        <f aca="false">G317*H317*(1-I317)</f>
        <v>14000</v>
      </c>
      <c r="L317" s="12" t="n">
        <f aca="false">K317-G317*J317</f>
        <v>4400</v>
      </c>
    </row>
    <row r="318" customFormat="false" ht="15" hidden="false" customHeight="false" outlineLevel="0" collapsed="false">
      <c r="A318" s="8" t="s">
        <v>405</v>
      </c>
      <c r="B318" s="11" t="n">
        <v>45850</v>
      </c>
      <c r="C318" s="8" t="n">
        <f aca="false">MONTH(B318)</f>
        <v>7</v>
      </c>
      <c r="D318" s="8" t="s">
        <v>43</v>
      </c>
      <c r="E318" s="8" t="s">
        <v>57</v>
      </c>
      <c r="F318" s="8" t="s">
        <v>111</v>
      </c>
      <c r="G318" s="8" t="n">
        <v>3</v>
      </c>
      <c r="H318" s="12" t="n">
        <v>7000</v>
      </c>
      <c r="I318" s="13" t="n">
        <v>0</v>
      </c>
      <c r="J318" s="12" t="n">
        <v>4800</v>
      </c>
      <c r="K318" s="12" t="n">
        <f aca="false">G318*H318*(1-I318)</f>
        <v>21000</v>
      </c>
      <c r="L318" s="12" t="n">
        <f aca="false">K318-G318*J318</f>
        <v>6600</v>
      </c>
    </row>
    <row r="319" customFormat="false" ht="15" hidden="false" customHeight="false" outlineLevel="0" collapsed="false">
      <c r="A319" s="8" t="s">
        <v>366</v>
      </c>
      <c r="B319" s="11" t="n">
        <v>45850</v>
      </c>
      <c r="C319" s="8" t="n">
        <f aca="false">MONTH(B319)</f>
        <v>7</v>
      </c>
      <c r="D319" s="8" t="s">
        <v>47</v>
      </c>
      <c r="E319" s="8" t="s">
        <v>40</v>
      </c>
      <c r="F319" s="8" t="s">
        <v>77</v>
      </c>
      <c r="G319" s="8" t="n">
        <v>3</v>
      </c>
      <c r="H319" s="12" t="n">
        <v>400</v>
      </c>
      <c r="I319" s="13" t="n">
        <v>0</v>
      </c>
      <c r="J319" s="12" t="n">
        <v>200</v>
      </c>
      <c r="K319" s="12" t="n">
        <f aca="false">G319*H319*(1-I319)</f>
        <v>1200</v>
      </c>
      <c r="L319" s="12" t="n">
        <f aca="false">K319-G319*J319</f>
        <v>600</v>
      </c>
    </row>
    <row r="320" customFormat="false" ht="15" hidden="false" customHeight="false" outlineLevel="0" collapsed="false">
      <c r="A320" s="8" t="s">
        <v>377</v>
      </c>
      <c r="B320" s="11" t="n">
        <v>45852</v>
      </c>
      <c r="C320" s="8" t="n">
        <f aca="false">MONTH(B320)</f>
        <v>7</v>
      </c>
      <c r="D320" s="8" t="s">
        <v>43</v>
      </c>
      <c r="E320" s="8" t="s">
        <v>44</v>
      </c>
      <c r="F320" s="8" t="s">
        <v>48</v>
      </c>
      <c r="G320" s="8" t="n">
        <v>1</v>
      </c>
      <c r="H320" s="12" t="n">
        <v>4500</v>
      </c>
      <c r="I320" s="13" t="n">
        <v>0</v>
      </c>
      <c r="J320" s="12" t="n">
        <v>3300</v>
      </c>
      <c r="K320" s="12" t="n">
        <f aca="false">G320*H320*(1-I320)</f>
        <v>4500</v>
      </c>
      <c r="L320" s="12" t="n">
        <f aca="false">K320-G320*J320</f>
        <v>1200</v>
      </c>
    </row>
    <row r="321" customFormat="false" ht="15" hidden="false" customHeight="false" outlineLevel="0" collapsed="false">
      <c r="A321" s="8" t="s">
        <v>394</v>
      </c>
      <c r="B321" s="11" t="n">
        <v>45852</v>
      </c>
      <c r="C321" s="8" t="n">
        <f aca="false">MONTH(B321)</f>
        <v>7</v>
      </c>
      <c r="D321" s="8" t="s">
        <v>47</v>
      </c>
      <c r="E321" s="8" t="s">
        <v>40</v>
      </c>
      <c r="F321" s="8" t="s">
        <v>104</v>
      </c>
      <c r="G321" s="8" t="n">
        <v>7</v>
      </c>
      <c r="H321" s="12" t="n">
        <v>250</v>
      </c>
      <c r="I321" s="13" t="n">
        <v>0</v>
      </c>
      <c r="J321" s="12" t="n">
        <v>100</v>
      </c>
      <c r="K321" s="12" t="n">
        <f aca="false">G321*H321*(1-I321)</f>
        <v>1750</v>
      </c>
      <c r="L321" s="12" t="n">
        <f aca="false">K321-G321*J321</f>
        <v>1050</v>
      </c>
    </row>
    <row r="322" customFormat="false" ht="15" hidden="false" customHeight="false" outlineLevel="0" collapsed="false">
      <c r="A322" s="8" t="s">
        <v>392</v>
      </c>
      <c r="B322" s="11" t="n">
        <v>45852</v>
      </c>
      <c r="C322" s="8" t="n">
        <f aca="false">MONTH(B322)</f>
        <v>7</v>
      </c>
      <c r="D322" s="8" t="s">
        <v>47</v>
      </c>
      <c r="E322" s="8" t="s">
        <v>57</v>
      </c>
      <c r="F322" s="8" t="s">
        <v>58</v>
      </c>
      <c r="G322" s="8" t="n">
        <v>3</v>
      </c>
      <c r="H322" s="12" t="n">
        <v>5500</v>
      </c>
      <c r="I322" s="13" t="n">
        <v>0.1</v>
      </c>
      <c r="J322" s="12" t="n">
        <v>3600</v>
      </c>
      <c r="K322" s="12" t="n">
        <f aca="false">G322*H322*(1-I322)</f>
        <v>14850</v>
      </c>
      <c r="L322" s="12" t="n">
        <f aca="false">K322-G322*J322</f>
        <v>4050</v>
      </c>
    </row>
    <row r="323" customFormat="false" ht="15" hidden="false" customHeight="false" outlineLevel="0" collapsed="false">
      <c r="A323" s="8" t="s">
        <v>390</v>
      </c>
      <c r="B323" s="11" t="n">
        <v>45852</v>
      </c>
      <c r="C323" s="8" t="n">
        <f aca="false">MONTH(B323)</f>
        <v>7</v>
      </c>
      <c r="D323" s="8" t="s">
        <v>39</v>
      </c>
      <c r="E323" s="8" t="s">
        <v>57</v>
      </c>
      <c r="F323" s="8" t="s">
        <v>63</v>
      </c>
      <c r="G323" s="8" t="n">
        <v>3</v>
      </c>
      <c r="H323" s="12" t="n">
        <v>9000</v>
      </c>
      <c r="I323" s="13" t="n">
        <v>0</v>
      </c>
      <c r="J323" s="12" t="n">
        <v>6200</v>
      </c>
      <c r="K323" s="12" t="n">
        <f aca="false">G323*H323*(1-I323)</f>
        <v>27000</v>
      </c>
      <c r="L323" s="12" t="n">
        <f aca="false">K323-G323*J323</f>
        <v>8400</v>
      </c>
    </row>
    <row r="324" customFormat="false" ht="15" hidden="false" customHeight="false" outlineLevel="0" collapsed="false">
      <c r="A324" s="8" t="s">
        <v>408</v>
      </c>
      <c r="B324" s="11" t="n">
        <v>45853</v>
      </c>
      <c r="C324" s="8" t="n">
        <f aca="false">MONTH(B324)</f>
        <v>7</v>
      </c>
      <c r="D324" s="8" t="s">
        <v>43</v>
      </c>
      <c r="E324" s="8" t="s">
        <v>44</v>
      </c>
      <c r="F324" s="8" t="s">
        <v>48</v>
      </c>
      <c r="G324" s="8" t="n">
        <v>3</v>
      </c>
      <c r="H324" s="12" t="n">
        <v>4500</v>
      </c>
      <c r="I324" s="13" t="n">
        <v>0</v>
      </c>
      <c r="J324" s="12" t="n">
        <v>3300</v>
      </c>
      <c r="K324" s="12" t="n">
        <f aca="false">G324*H324*(1-I324)</f>
        <v>13500</v>
      </c>
      <c r="L324" s="12" t="n">
        <f aca="false">K324-G324*J324</f>
        <v>3600</v>
      </c>
    </row>
    <row r="325" customFormat="false" ht="15" hidden="false" customHeight="false" outlineLevel="0" collapsed="false">
      <c r="A325" s="8" t="s">
        <v>387</v>
      </c>
      <c r="B325" s="11" t="n">
        <v>45854</v>
      </c>
      <c r="C325" s="8" t="n">
        <f aca="false">MONTH(B325)</f>
        <v>7</v>
      </c>
      <c r="D325" s="8" t="s">
        <v>47</v>
      </c>
      <c r="E325" s="8" t="s">
        <v>57</v>
      </c>
      <c r="F325" s="8" t="s">
        <v>111</v>
      </c>
      <c r="G325" s="8" t="n">
        <v>1</v>
      </c>
      <c r="H325" s="12" t="n">
        <v>7000</v>
      </c>
      <c r="I325" s="13" t="n">
        <v>0</v>
      </c>
      <c r="J325" s="12" t="n">
        <v>4800</v>
      </c>
      <c r="K325" s="12" t="n">
        <f aca="false">G325*H325*(1-I325)</f>
        <v>7000</v>
      </c>
      <c r="L325" s="12" t="n">
        <f aca="false">K325-G325*J325</f>
        <v>2200</v>
      </c>
    </row>
    <row r="326" customFormat="false" ht="15" hidden="false" customHeight="false" outlineLevel="0" collapsed="false">
      <c r="A326" s="8" t="s">
        <v>381</v>
      </c>
      <c r="B326" s="11" t="n">
        <v>45854</v>
      </c>
      <c r="C326" s="8" t="n">
        <f aca="false">MONTH(B326)</f>
        <v>7</v>
      </c>
      <c r="D326" s="8" t="s">
        <v>47</v>
      </c>
      <c r="E326" s="8" t="s">
        <v>44</v>
      </c>
      <c r="F326" s="8" t="s">
        <v>48</v>
      </c>
      <c r="G326" s="8" t="n">
        <v>3</v>
      </c>
      <c r="H326" s="12" t="n">
        <v>4500</v>
      </c>
      <c r="I326" s="13" t="n">
        <v>0</v>
      </c>
      <c r="J326" s="12" t="n">
        <v>3300</v>
      </c>
      <c r="K326" s="12" t="n">
        <f aca="false">G326*H326*(1-I326)</f>
        <v>13500</v>
      </c>
      <c r="L326" s="12" t="n">
        <f aca="false">K326-G326*J326</f>
        <v>3600</v>
      </c>
    </row>
    <row r="327" customFormat="false" ht="15" hidden="false" customHeight="false" outlineLevel="0" collapsed="false">
      <c r="A327" s="8" t="s">
        <v>397</v>
      </c>
      <c r="B327" s="11" t="n">
        <v>45855</v>
      </c>
      <c r="C327" s="8" t="n">
        <f aca="false">MONTH(B327)</f>
        <v>7</v>
      </c>
      <c r="D327" s="8" t="s">
        <v>47</v>
      </c>
      <c r="E327" s="8" t="s">
        <v>44</v>
      </c>
      <c r="F327" s="8" t="s">
        <v>50</v>
      </c>
      <c r="G327" s="8" t="n">
        <v>1</v>
      </c>
      <c r="H327" s="12" t="n">
        <v>3000</v>
      </c>
      <c r="I327" s="13" t="n">
        <v>0</v>
      </c>
      <c r="J327" s="12" t="n">
        <v>2000</v>
      </c>
      <c r="K327" s="12" t="n">
        <f aca="false">G327*H327*(1-I327)</f>
        <v>3000</v>
      </c>
      <c r="L327" s="12" t="n">
        <f aca="false">K327-G327*J327</f>
        <v>1000</v>
      </c>
    </row>
    <row r="328" customFormat="false" ht="15" hidden="false" customHeight="false" outlineLevel="0" collapsed="false">
      <c r="A328" s="8" t="s">
        <v>388</v>
      </c>
      <c r="B328" s="11" t="n">
        <v>45856</v>
      </c>
      <c r="C328" s="8" t="n">
        <f aca="false">MONTH(B328)</f>
        <v>7</v>
      </c>
      <c r="D328" s="8" t="s">
        <v>47</v>
      </c>
      <c r="E328" s="8" t="s">
        <v>40</v>
      </c>
      <c r="F328" s="8" t="s">
        <v>71</v>
      </c>
      <c r="G328" s="8" t="n">
        <v>4</v>
      </c>
      <c r="H328" s="12" t="n">
        <v>500</v>
      </c>
      <c r="I328" s="13" t="n">
        <v>0</v>
      </c>
      <c r="J328" s="12" t="n">
        <v>250</v>
      </c>
      <c r="K328" s="12" t="n">
        <f aca="false">G328*H328*(1-I328)</f>
        <v>2000</v>
      </c>
      <c r="L328" s="12" t="n">
        <f aca="false">K328-G328*J328</f>
        <v>1000</v>
      </c>
    </row>
    <row r="329" customFormat="false" ht="15" hidden="false" customHeight="false" outlineLevel="0" collapsed="false">
      <c r="A329" s="8" t="s">
        <v>368</v>
      </c>
      <c r="B329" s="11" t="n">
        <v>45857</v>
      </c>
      <c r="C329" s="8" t="n">
        <f aca="false">MONTH(B329)</f>
        <v>7</v>
      </c>
      <c r="D329" s="8" t="s">
        <v>43</v>
      </c>
      <c r="E329" s="8" t="s">
        <v>57</v>
      </c>
      <c r="F329" s="8" t="s">
        <v>111</v>
      </c>
      <c r="G329" s="8" t="n">
        <v>2</v>
      </c>
      <c r="H329" s="12" t="n">
        <v>7000</v>
      </c>
      <c r="I329" s="13" t="n">
        <v>0</v>
      </c>
      <c r="J329" s="12" t="n">
        <v>4800</v>
      </c>
      <c r="K329" s="12" t="n">
        <f aca="false">G329*H329*(1-I329)</f>
        <v>14000</v>
      </c>
      <c r="L329" s="12" t="n">
        <f aca="false">K329-G329*J329</f>
        <v>4400</v>
      </c>
    </row>
    <row r="330" customFormat="false" ht="15" hidden="false" customHeight="false" outlineLevel="0" collapsed="false">
      <c r="A330" s="8" t="s">
        <v>391</v>
      </c>
      <c r="B330" s="11" t="n">
        <v>45857</v>
      </c>
      <c r="C330" s="8" t="n">
        <f aca="false">MONTH(B330)</f>
        <v>7</v>
      </c>
      <c r="D330" s="8" t="s">
        <v>47</v>
      </c>
      <c r="E330" s="8" t="s">
        <v>44</v>
      </c>
      <c r="F330" s="8" t="s">
        <v>60</v>
      </c>
      <c r="G330" s="8" t="n">
        <v>1</v>
      </c>
      <c r="H330" s="12" t="n">
        <v>2500</v>
      </c>
      <c r="I330" s="13" t="n">
        <v>0</v>
      </c>
      <c r="J330" s="12" t="n">
        <v>1600</v>
      </c>
      <c r="K330" s="12" t="n">
        <f aca="false">G330*H330*(1-I330)</f>
        <v>2500</v>
      </c>
      <c r="L330" s="12" t="n">
        <f aca="false">K330-G330*J330</f>
        <v>900</v>
      </c>
    </row>
    <row r="331" customFormat="false" ht="15" hidden="false" customHeight="false" outlineLevel="0" collapsed="false">
      <c r="A331" s="8" t="s">
        <v>402</v>
      </c>
      <c r="B331" s="11" t="n">
        <v>45857</v>
      </c>
      <c r="C331" s="8" t="n">
        <f aca="false">MONTH(B331)</f>
        <v>7</v>
      </c>
      <c r="D331" s="8" t="s">
        <v>47</v>
      </c>
      <c r="E331" s="8" t="s">
        <v>40</v>
      </c>
      <c r="F331" s="8" t="s">
        <v>41</v>
      </c>
      <c r="G331" s="8" t="n">
        <v>9</v>
      </c>
      <c r="H331" s="12" t="n">
        <v>600</v>
      </c>
      <c r="I331" s="13" t="n">
        <v>0.1</v>
      </c>
      <c r="J331" s="12" t="n">
        <v>300</v>
      </c>
      <c r="K331" s="12" t="n">
        <f aca="false">G331*H331*(1-I331)</f>
        <v>4860</v>
      </c>
      <c r="L331" s="12" t="n">
        <f aca="false">K331-G331*J331</f>
        <v>2160</v>
      </c>
    </row>
    <row r="332" customFormat="false" ht="15" hidden="false" customHeight="false" outlineLevel="0" collapsed="false">
      <c r="A332" s="8" t="s">
        <v>365</v>
      </c>
      <c r="B332" s="11" t="n">
        <v>45857</v>
      </c>
      <c r="C332" s="8" t="n">
        <f aca="false">MONTH(B332)</f>
        <v>7</v>
      </c>
      <c r="D332" s="8" t="s">
        <v>55</v>
      </c>
      <c r="E332" s="8" t="s">
        <v>57</v>
      </c>
      <c r="F332" s="8" t="s">
        <v>63</v>
      </c>
      <c r="G332" s="8" t="n">
        <v>3</v>
      </c>
      <c r="H332" s="12" t="n">
        <v>9000</v>
      </c>
      <c r="I332" s="13" t="n">
        <v>0</v>
      </c>
      <c r="J332" s="12" t="n">
        <v>6200</v>
      </c>
      <c r="K332" s="12" t="n">
        <f aca="false">G332*H332*(1-I332)</f>
        <v>27000</v>
      </c>
      <c r="L332" s="12" t="n">
        <f aca="false">K332-G332*J332</f>
        <v>8400</v>
      </c>
    </row>
    <row r="333" customFormat="false" ht="15" hidden="false" customHeight="false" outlineLevel="0" collapsed="false">
      <c r="A333" s="8" t="s">
        <v>372</v>
      </c>
      <c r="B333" s="11" t="n">
        <v>45858</v>
      </c>
      <c r="C333" s="8" t="n">
        <f aca="false">MONTH(B333)</f>
        <v>7</v>
      </c>
      <c r="D333" s="8" t="s">
        <v>43</v>
      </c>
      <c r="E333" s="8" t="s">
        <v>40</v>
      </c>
      <c r="F333" s="8" t="s">
        <v>104</v>
      </c>
      <c r="G333" s="8" t="n">
        <v>10</v>
      </c>
      <c r="H333" s="12" t="n">
        <v>250</v>
      </c>
      <c r="I333" s="13" t="n">
        <v>0</v>
      </c>
      <c r="J333" s="12" t="n">
        <v>100</v>
      </c>
      <c r="K333" s="12" t="n">
        <f aca="false">G333*H333*(1-I333)</f>
        <v>2500</v>
      </c>
      <c r="L333" s="12" t="n">
        <f aca="false">K333-G333*J333</f>
        <v>1500</v>
      </c>
    </row>
    <row r="334" customFormat="false" ht="15" hidden="false" customHeight="false" outlineLevel="0" collapsed="false">
      <c r="A334" s="8" t="s">
        <v>400</v>
      </c>
      <c r="B334" s="11" t="n">
        <v>45858</v>
      </c>
      <c r="C334" s="8" t="n">
        <f aca="false">MONTH(B334)</f>
        <v>7</v>
      </c>
      <c r="D334" s="8" t="s">
        <v>39</v>
      </c>
      <c r="E334" s="8" t="s">
        <v>44</v>
      </c>
      <c r="F334" s="8" t="s">
        <v>48</v>
      </c>
      <c r="G334" s="8" t="n">
        <v>1</v>
      </c>
      <c r="H334" s="12" t="n">
        <v>4500</v>
      </c>
      <c r="I334" s="13" t="n">
        <v>0</v>
      </c>
      <c r="J334" s="12" t="n">
        <v>3300</v>
      </c>
      <c r="K334" s="12" t="n">
        <f aca="false">G334*H334*(1-I334)</f>
        <v>4500</v>
      </c>
      <c r="L334" s="12" t="n">
        <f aca="false">K334-G334*J334</f>
        <v>1200</v>
      </c>
    </row>
    <row r="335" customFormat="false" ht="15" hidden="false" customHeight="false" outlineLevel="0" collapsed="false">
      <c r="A335" s="8" t="s">
        <v>407</v>
      </c>
      <c r="B335" s="11" t="n">
        <v>45859</v>
      </c>
      <c r="C335" s="8" t="n">
        <f aca="false">MONTH(B335)</f>
        <v>7</v>
      </c>
      <c r="D335" s="8" t="s">
        <v>47</v>
      </c>
      <c r="E335" s="8" t="s">
        <v>44</v>
      </c>
      <c r="F335" s="8" t="s">
        <v>60</v>
      </c>
      <c r="G335" s="8" t="n">
        <v>2</v>
      </c>
      <c r="H335" s="12" t="n">
        <v>2500</v>
      </c>
      <c r="I335" s="13" t="n">
        <v>0</v>
      </c>
      <c r="J335" s="12" t="n">
        <v>1600</v>
      </c>
      <c r="K335" s="12" t="n">
        <f aca="false">G335*H335*(1-I335)</f>
        <v>5000</v>
      </c>
      <c r="L335" s="12" t="n">
        <f aca="false">K335-G335*J335</f>
        <v>1800</v>
      </c>
    </row>
    <row r="336" customFormat="false" ht="15" hidden="false" customHeight="false" outlineLevel="0" collapsed="false">
      <c r="A336" s="8" t="s">
        <v>404</v>
      </c>
      <c r="B336" s="11" t="n">
        <v>45859</v>
      </c>
      <c r="C336" s="8" t="n">
        <f aca="false">MONTH(B336)</f>
        <v>7</v>
      </c>
      <c r="D336" s="8" t="s">
        <v>47</v>
      </c>
      <c r="E336" s="8" t="s">
        <v>44</v>
      </c>
      <c r="F336" s="8" t="s">
        <v>45</v>
      </c>
      <c r="G336" s="8" t="n">
        <v>2</v>
      </c>
      <c r="H336" s="12" t="n">
        <v>1500</v>
      </c>
      <c r="I336" s="13" t="n">
        <v>0</v>
      </c>
      <c r="J336" s="12" t="n">
        <v>900</v>
      </c>
      <c r="K336" s="12" t="n">
        <f aca="false">G336*H336*(1-I336)</f>
        <v>3000</v>
      </c>
      <c r="L336" s="12" t="n">
        <f aca="false">K336-G336*J336</f>
        <v>1200</v>
      </c>
    </row>
    <row r="337" customFormat="false" ht="15" hidden="false" customHeight="false" outlineLevel="0" collapsed="false">
      <c r="A337" s="8" t="s">
        <v>384</v>
      </c>
      <c r="B337" s="11" t="n">
        <v>45860</v>
      </c>
      <c r="C337" s="8" t="n">
        <f aca="false">MONTH(B337)</f>
        <v>7</v>
      </c>
      <c r="D337" s="8" t="s">
        <v>43</v>
      </c>
      <c r="E337" s="8" t="s">
        <v>40</v>
      </c>
      <c r="F337" s="8" t="s">
        <v>41</v>
      </c>
      <c r="G337" s="8" t="n">
        <v>9</v>
      </c>
      <c r="H337" s="12" t="n">
        <v>600</v>
      </c>
      <c r="I337" s="13" t="n">
        <v>0.05</v>
      </c>
      <c r="J337" s="12" t="n">
        <v>300</v>
      </c>
      <c r="K337" s="12" t="n">
        <f aca="false">G337*H337*(1-I337)</f>
        <v>5130</v>
      </c>
      <c r="L337" s="12" t="n">
        <f aca="false">K337-G337*J337</f>
        <v>2430</v>
      </c>
    </row>
    <row r="338" customFormat="false" ht="15" hidden="false" customHeight="false" outlineLevel="0" collapsed="false">
      <c r="A338" s="8" t="s">
        <v>375</v>
      </c>
      <c r="B338" s="11" t="n">
        <v>45860</v>
      </c>
      <c r="C338" s="8" t="n">
        <f aca="false">MONTH(B338)</f>
        <v>7</v>
      </c>
      <c r="D338" s="8" t="s">
        <v>39</v>
      </c>
      <c r="E338" s="8" t="s">
        <v>44</v>
      </c>
      <c r="F338" s="8" t="s">
        <v>60</v>
      </c>
      <c r="G338" s="8" t="n">
        <v>1</v>
      </c>
      <c r="H338" s="12" t="n">
        <v>2500</v>
      </c>
      <c r="I338" s="13" t="n">
        <v>0.05</v>
      </c>
      <c r="J338" s="12" t="n">
        <v>1600</v>
      </c>
      <c r="K338" s="12" t="n">
        <f aca="false">G338*H338*(1-I338)</f>
        <v>2375</v>
      </c>
      <c r="L338" s="12" t="n">
        <f aca="false">K338-G338*J338</f>
        <v>775</v>
      </c>
    </row>
    <row r="339" customFormat="false" ht="15" hidden="false" customHeight="false" outlineLevel="0" collapsed="false">
      <c r="A339" s="8" t="s">
        <v>380</v>
      </c>
      <c r="B339" s="11" t="n">
        <v>45860</v>
      </c>
      <c r="C339" s="8" t="n">
        <f aca="false">MONTH(B339)</f>
        <v>7</v>
      </c>
      <c r="D339" s="8" t="s">
        <v>39</v>
      </c>
      <c r="E339" s="8" t="s">
        <v>44</v>
      </c>
      <c r="F339" s="8" t="s">
        <v>60</v>
      </c>
      <c r="G339" s="8" t="n">
        <v>3</v>
      </c>
      <c r="H339" s="12" t="n">
        <v>2500</v>
      </c>
      <c r="I339" s="13" t="n">
        <v>0</v>
      </c>
      <c r="J339" s="12" t="n">
        <v>1600</v>
      </c>
      <c r="K339" s="12" t="n">
        <f aca="false">G339*H339*(1-I339)</f>
        <v>7500</v>
      </c>
      <c r="L339" s="12" t="n">
        <f aca="false">K339-G339*J339</f>
        <v>2700</v>
      </c>
    </row>
    <row r="340" customFormat="false" ht="15" hidden="false" customHeight="false" outlineLevel="0" collapsed="false">
      <c r="A340" s="8" t="s">
        <v>364</v>
      </c>
      <c r="B340" s="11" t="n">
        <v>45862</v>
      </c>
      <c r="C340" s="8" t="n">
        <f aca="false">MONTH(B340)</f>
        <v>7</v>
      </c>
      <c r="D340" s="8" t="s">
        <v>39</v>
      </c>
      <c r="E340" s="8" t="s">
        <v>44</v>
      </c>
      <c r="F340" s="8" t="s">
        <v>48</v>
      </c>
      <c r="G340" s="8" t="n">
        <v>1</v>
      </c>
      <c r="H340" s="12" t="n">
        <v>4500</v>
      </c>
      <c r="I340" s="13" t="n">
        <v>0.1</v>
      </c>
      <c r="J340" s="12" t="n">
        <v>3300</v>
      </c>
      <c r="K340" s="12" t="n">
        <f aca="false">G340*H340*(1-I340)</f>
        <v>4050</v>
      </c>
      <c r="L340" s="12" t="n">
        <f aca="false">K340-G340*J340</f>
        <v>750</v>
      </c>
    </row>
    <row r="341" customFormat="false" ht="15" hidden="false" customHeight="false" outlineLevel="0" collapsed="false">
      <c r="A341" s="8" t="s">
        <v>378</v>
      </c>
      <c r="B341" s="11" t="n">
        <v>45862</v>
      </c>
      <c r="C341" s="8" t="n">
        <f aca="false">MONTH(B341)</f>
        <v>7</v>
      </c>
      <c r="D341" s="8" t="s">
        <v>47</v>
      </c>
      <c r="E341" s="8" t="s">
        <v>57</v>
      </c>
      <c r="F341" s="8" t="s">
        <v>86</v>
      </c>
      <c r="G341" s="8" t="n">
        <v>2</v>
      </c>
      <c r="H341" s="12" t="n">
        <v>1200</v>
      </c>
      <c r="I341" s="13" t="n">
        <v>0</v>
      </c>
      <c r="J341" s="12" t="n">
        <v>600</v>
      </c>
      <c r="K341" s="12" t="n">
        <f aca="false">G341*H341*(1-I341)</f>
        <v>2400</v>
      </c>
      <c r="L341" s="12" t="n">
        <f aca="false">K341-G341*J341</f>
        <v>1200</v>
      </c>
    </row>
    <row r="342" customFormat="false" ht="15" hidden="false" customHeight="false" outlineLevel="0" collapsed="false">
      <c r="A342" s="8" t="s">
        <v>371</v>
      </c>
      <c r="B342" s="11" t="n">
        <v>45863</v>
      </c>
      <c r="C342" s="8" t="n">
        <f aca="false">MONTH(B342)</f>
        <v>7</v>
      </c>
      <c r="D342" s="8" t="s">
        <v>47</v>
      </c>
      <c r="E342" s="8" t="s">
        <v>57</v>
      </c>
      <c r="F342" s="8" t="s">
        <v>111</v>
      </c>
      <c r="G342" s="8" t="n">
        <v>2</v>
      </c>
      <c r="H342" s="12" t="n">
        <v>7000</v>
      </c>
      <c r="I342" s="13" t="n">
        <v>0.05</v>
      </c>
      <c r="J342" s="12" t="n">
        <v>4800</v>
      </c>
      <c r="K342" s="12" t="n">
        <f aca="false">G342*H342*(1-I342)</f>
        <v>13300</v>
      </c>
      <c r="L342" s="12" t="n">
        <f aca="false">K342-G342*J342</f>
        <v>3700</v>
      </c>
    </row>
    <row r="343" customFormat="false" ht="15" hidden="false" customHeight="false" outlineLevel="0" collapsed="false">
      <c r="A343" s="8" t="s">
        <v>398</v>
      </c>
      <c r="B343" s="11" t="n">
        <v>45863</v>
      </c>
      <c r="C343" s="8" t="n">
        <f aca="false">MONTH(B343)</f>
        <v>7</v>
      </c>
      <c r="D343" s="8" t="s">
        <v>39</v>
      </c>
      <c r="E343" s="8" t="s">
        <v>40</v>
      </c>
      <c r="F343" s="8" t="s">
        <v>41</v>
      </c>
      <c r="G343" s="8" t="n">
        <v>10</v>
      </c>
      <c r="H343" s="12" t="n">
        <v>600</v>
      </c>
      <c r="I343" s="13" t="n">
        <v>0</v>
      </c>
      <c r="J343" s="12" t="n">
        <v>300</v>
      </c>
      <c r="K343" s="12" t="n">
        <f aca="false">G343*H343*(1-I343)</f>
        <v>6000</v>
      </c>
      <c r="L343" s="12" t="n">
        <f aca="false">K343-G343*J343</f>
        <v>3000</v>
      </c>
    </row>
    <row r="344" customFormat="false" ht="15" hidden="false" customHeight="false" outlineLevel="0" collapsed="false">
      <c r="A344" s="8" t="s">
        <v>382</v>
      </c>
      <c r="B344" s="11" t="n">
        <v>45863</v>
      </c>
      <c r="C344" s="8" t="n">
        <f aca="false">MONTH(B344)</f>
        <v>7</v>
      </c>
      <c r="D344" s="8" t="s">
        <v>47</v>
      </c>
      <c r="E344" s="8" t="s">
        <v>40</v>
      </c>
      <c r="F344" s="8" t="s">
        <v>104</v>
      </c>
      <c r="G344" s="8" t="n">
        <v>6</v>
      </c>
      <c r="H344" s="12" t="n">
        <v>250</v>
      </c>
      <c r="I344" s="13" t="n">
        <v>0</v>
      </c>
      <c r="J344" s="12" t="n">
        <v>100</v>
      </c>
      <c r="K344" s="12" t="n">
        <f aca="false">G344*H344*(1-I344)</f>
        <v>1500</v>
      </c>
      <c r="L344" s="12" t="n">
        <f aca="false">K344-G344*J344</f>
        <v>900</v>
      </c>
    </row>
    <row r="345" customFormat="false" ht="15" hidden="false" customHeight="false" outlineLevel="0" collapsed="false">
      <c r="A345" s="8" t="s">
        <v>386</v>
      </c>
      <c r="B345" s="11" t="n">
        <v>45863</v>
      </c>
      <c r="C345" s="8" t="n">
        <f aca="false">MONTH(B345)</f>
        <v>7</v>
      </c>
      <c r="D345" s="8" t="s">
        <v>39</v>
      </c>
      <c r="E345" s="8" t="s">
        <v>44</v>
      </c>
      <c r="F345" s="8" t="s">
        <v>60</v>
      </c>
      <c r="G345" s="8" t="n">
        <v>1</v>
      </c>
      <c r="H345" s="12" t="n">
        <v>2500</v>
      </c>
      <c r="I345" s="13" t="n">
        <v>0</v>
      </c>
      <c r="J345" s="12" t="n">
        <v>1600</v>
      </c>
      <c r="K345" s="12" t="n">
        <f aca="false">G345*H345*(1-I345)</f>
        <v>2500</v>
      </c>
      <c r="L345" s="12" t="n">
        <f aca="false">K345-G345*J345</f>
        <v>900</v>
      </c>
    </row>
    <row r="346" customFormat="false" ht="15" hidden="false" customHeight="false" outlineLevel="0" collapsed="false">
      <c r="A346" s="8" t="s">
        <v>409</v>
      </c>
      <c r="B346" s="11" t="n">
        <v>45864</v>
      </c>
      <c r="C346" s="8" t="n">
        <f aca="false">MONTH(B346)</f>
        <v>7</v>
      </c>
      <c r="D346" s="8" t="s">
        <v>47</v>
      </c>
      <c r="E346" s="8" t="s">
        <v>40</v>
      </c>
      <c r="F346" s="8" t="s">
        <v>104</v>
      </c>
      <c r="G346" s="8" t="n">
        <v>2</v>
      </c>
      <c r="H346" s="12" t="n">
        <v>250</v>
      </c>
      <c r="I346" s="13" t="n">
        <v>0</v>
      </c>
      <c r="J346" s="12" t="n">
        <v>100</v>
      </c>
      <c r="K346" s="12" t="n">
        <f aca="false">G346*H346*(1-I346)</f>
        <v>500</v>
      </c>
      <c r="L346" s="12" t="n">
        <f aca="false">K346-G346*J346</f>
        <v>300</v>
      </c>
    </row>
    <row r="347" customFormat="false" ht="15" hidden="false" customHeight="false" outlineLevel="0" collapsed="false">
      <c r="A347" s="8" t="s">
        <v>389</v>
      </c>
      <c r="B347" s="11" t="n">
        <v>45864</v>
      </c>
      <c r="C347" s="8" t="n">
        <f aca="false">MONTH(B347)</f>
        <v>7</v>
      </c>
      <c r="D347" s="8" t="s">
        <v>43</v>
      </c>
      <c r="E347" s="8" t="s">
        <v>40</v>
      </c>
      <c r="F347" s="8" t="s">
        <v>71</v>
      </c>
      <c r="G347" s="8" t="n">
        <v>10</v>
      </c>
      <c r="H347" s="12" t="n">
        <v>500</v>
      </c>
      <c r="I347" s="13" t="n">
        <v>0.1</v>
      </c>
      <c r="J347" s="12" t="n">
        <v>250</v>
      </c>
      <c r="K347" s="12" t="n">
        <f aca="false">G347*H347*(1-I347)</f>
        <v>4500</v>
      </c>
      <c r="L347" s="12" t="n">
        <f aca="false">K347-G347*J347</f>
        <v>2000</v>
      </c>
    </row>
    <row r="348" customFormat="false" ht="15" hidden="false" customHeight="false" outlineLevel="0" collapsed="false">
      <c r="A348" s="8" t="s">
        <v>369</v>
      </c>
      <c r="B348" s="11" t="n">
        <v>45866</v>
      </c>
      <c r="C348" s="8" t="n">
        <f aca="false">MONTH(B348)</f>
        <v>7</v>
      </c>
      <c r="D348" s="8" t="s">
        <v>39</v>
      </c>
      <c r="E348" s="8" t="s">
        <v>40</v>
      </c>
      <c r="F348" s="8" t="s">
        <v>77</v>
      </c>
      <c r="G348" s="8" t="n">
        <v>9</v>
      </c>
      <c r="H348" s="12" t="n">
        <v>400</v>
      </c>
      <c r="I348" s="13" t="n">
        <v>0</v>
      </c>
      <c r="J348" s="12" t="n">
        <v>200</v>
      </c>
      <c r="K348" s="12" t="n">
        <f aca="false">G348*H348*(1-I348)</f>
        <v>3600</v>
      </c>
      <c r="L348" s="12" t="n">
        <f aca="false">K348-G348*J348</f>
        <v>1800</v>
      </c>
    </row>
    <row r="349" customFormat="false" ht="15" hidden="false" customHeight="false" outlineLevel="0" collapsed="false">
      <c r="A349" s="8" t="s">
        <v>457</v>
      </c>
      <c r="B349" s="11" t="n">
        <v>45870</v>
      </c>
      <c r="C349" s="8" t="n">
        <f aca="false">MONTH(B349)</f>
        <v>8</v>
      </c>
      <c r="D349" s="8" t="s">
        <v>47</v>
      </c>
      <c r="E349" s="8" t="s">
        <v>40</v>
      </c>
      <c r="F349" s="8" t="s">
        <v>77</v>
      </c>
      <c r="G349" s="8" t="n">
        <v>10</v>
      </c>
      <c r="H349" s="12" t="n">
        <v>400</v>
      </c>
      <c r="I349" s="13" t="n">
        <v>0.05</v>
      </c>
      <c r="J349" s="12" t="n">
        <v>200</v>
      </c>
      <c r="K349" s="12" t="n">
        <f aca="false">G349*H349*(1-I349)</f>
        <v>3800</v>
      </c>
      <c r="L349" s="12" t="n">
        <f aca="false">K349-G349*J349</f>
        <v>1800</v>
      </c>
    </row>
    <row r="350" customFormat="false" ht="15" hidden="false" customHeight="false" outlineLevel="0" collapsed="false">
      <c r="A350" s="8" t="s">
        <v>442</v>
      </c>
      <c r="B350" s="11" t="n">
        <v>45871</v>
      </c>
      <c r="C350" s="8" t="n">
        <f aca="false">MONTH(B350)</f>
        <v>8</v>
      </c>
      <c r="D350" s="8" t="s">
        <v>55</v>
      </c>
      <c r="E350" s="8" t="s">
        <v>57</v>
      </c>
      <c r="F350" s="8" t="s">
        <v>86</v>
      </c>
      <c r="G350" s="8" t="n">
        <v>1</v>
      </c>
      <c r="H350" s="12" t="n">
        <v>1200</v>
      </c>
      <c r="I350" s="13" t="n">
        <v>0</v>
      </c>
      <c r="J350" s="12" t="n">
        <v>600</v>
      </c>
      <c r="K350" s="12" t="n">
        <f aca="false">G350*H350*(1-I350)</f>
        <v>1200</v>
      </c>
      <c r="L350" s="12" t="n">
        <f aca="false">K350-G350*J350</f>
        <v>600</v>
      </c>
    </row>
    <row r="351" customFormat="false" ht="15" hidden="false" customHeight="false" outlineLevel="0" collapsed="false">
      <c r="A351" s="8" t="s">
        <v>445</v>
      </c>
      <c r="B351" s="11" t="n">
        <v>45871</v>
      </c>
      <c r="C351" s="8" t="n">
        <f aca="false">MONTH(B351)</f>
        <v>8</v>
      </c>
      <c r="D351" s="8" t="s">
        <v>43</v>
      </c>
      <c r="E351" s="8" t="s">
        <v>40</v>
      </c>
      <c r="F351" s="8" t="s">
        <v>71</v>
      </c>
      <c r="G351" s="8" t="n">
        <v>4</v>
      </c>
      <c r="H351" s="12" t="n">
        <v>500</v>
      </c>
      <c r="I351" s="13" t="n">
        <v>0</v>
      </c>
      <c r="J351" s="12" t="n">
        <v>250</v>
      </c>
      <c r="K351" s="12" t="n">
        <f aca="false">G351*H351*(1-I351)</f>
        <v>2000</v>
      </c>
      <c r="L351" s="12" t="n">
        <f aca="false">K351-G351*J351</f>
        <v>1000</v>
      </c>
    </row>
    <row r="352" customFormat="false" ht="15" hidden="false" customHeight="false" outlineLevel="0" collapsed="false">
      <c r="A352" s="8" t="s">
        <v>426</v>
      </c>
      <c r="B352" s="11" t="n">
        <v>45872</v>
      </c>
      <c r="C352" s="8" t="n">
        <f aca="false">MONTH(B352)</f>
        <v>8</v>
      </c>
      <c r="D352" s="8" t="s">
        <v>771</v>
      </c>
      <c r="E352" s="8" t="s">
        <v>57</v>
      </c>
      <c r="F352" s="8" t="s">
        <v>86</v>
      </c>
      <c r="G352" s="8" t="n">
        <v>1</v>
      </c>
      <c r="H352" s="12" t="n">
        <v>1200</v>
      </c>
      <c r="I352" s="13" t="n">
        <v>0</v>
      </c>
      <c r="J352" s="12" t="n">
        <v>600</v>
      </c>
      <c r="K352" s="12" t="n">
        <f aca="false">G352*H352*(1-I352)</f>
        <v>1200</v>
      </c>
      <c r="L352" s="12" t="n">
        <f aca="false">K352-G352*J352</f>
        <v>600</v>
      </c>
    </row>
    <row r="353" customFormat="false" ht="15" hidden="false" customHeight="false" outlineLevel="0" collapsed="false">
      <c r="A353" s="8" t="s">
        <v>443</v>
      </c>
      <c r="B353" s="11" t="n">
        <v>45872</v>
      </c>
      <c r="C353" s="8" t="n">
        <f aca="false">MONTH(B353)</f>
        <v>8</v>
      </c>
      <c r="D353" s="8" t="s">
        <v>47</v>
      </c>
      <c r="E353" s="8" t="s">
        <v>57</v>
      </c>
      <c r="F353" s="8" t="s">
        <v>58</v>
      </c>
      <c r="G353" s="8" t="n">
        <v>1</v>
      </c>
      <c r="H353" s="12" t="n">
        <v>5500</v>
      </c>
      <c r="I353" s="13" t="n">
        <v>0</v>
      </c>
      <c r="J353" s="12" t="n">
        <v>3600</v>
      </c>
      <c r="K353" s="12" t="n">
        <f aca="false">G353*H353*(1-I353)</f>
        <v>5500</v>
      </c>
      <c r="L353" s="12" t="n">
        <f aca="false">K353-G353*J353</f>
        <v>1900</v>
      </c>
    </row>
    <row r="354" customFormat="false" ht="15" hidden="false" customHeight="false" outlineLevel="0" collapsed="false">
      <c r="A354" s="8" t="s">
        <v>416</v>
      </c>
      <c r="B354" s="11" t="n">
        <v>45872</v>
      </c>
      <c r="C354" s="8" t="n">
        <f aca="false">MONTH(B354)</f>
        <v>8</v>
      </c>
      <c r="D354" s="8" t="s">
        <v>43</v>
      </c>
      <c r="E354" s="8" t="s">
        <v>44</v>
      </c>
      <c r="F354" s="8" t="s">
        <v>60</v>
      </c>
      <c r="G354" s="8" t="n">
        <v>3</v>
      </c>
      <c r="H354" s="12" t="n">
        <v>2500</v>
      </c>
      <c r="I354" s="13" t="n">
        <v>0</v>
      </c>
      <c r="J354" s="12" t="n">
        <v>1600</v>
      </c>
      <c r="K354" s="12" t="n">
        <f aca="false">G354*H354*(1-I354)</f>
        <v>7500</v>
      </c>
      <c r="L354" s="12" t="n">
        <f aca="false">K354-G354*J354</f>
        <v>2700</v>
      </c>
    </row>
    <row r="355" customFormat="false" ht="15" hidden="false" customHeight="false" outlineLevel="0" collapsed="false">
      <c r="A355" s="8" t="s">
        <v>411</v>
      </c>
      <c r="B355" s="11" t="n">
        <v>45873</v>
      </c>
      <c r="C355" s="8" t="n">
        <f aca="false">MONTH(B355)</f>
        <v>8</v>
      </c>
      <c r="D355" s="8" t="s">
        <v>39</v>
      </c>
      <c r="E355" s="8" t="s">
        <v>40</v>
      </c>
      <c r="F355" s="8" t="s">
        <v>77</v>
      </c>
      <c r="G355" s="8" t="n">
        <v>2</v>
      </c>
      <c r="H355" s="12" t="n">
        <v>400</v>
      </c>
      <c r="I355" s="13" t="n">
        <v>0</v>
      </c>
      <c r="J355" s="12" t="n">
        <v>200</v>
      </c>
      <c r="K355" s="12" t="n">
        <f aca="false">G355*H355*(1-I355)</f>
        <v>800</v>
      </c>
      <c r="L355" s="12" t="n">
        <f aca="false">K355-G355*J355</f>
        <v>400</v>
      </c>
    </row>
    <row r="356" customFormat="false" ht="15" hidden="false" customHeight="false" outlineLevel="0" collapsed="false">
      <c r="A356" s="8" t="s">
        <v>461</v>
      </c>
      <c r="B356" s="11" t="n">
        <v>45874</v>
      </c>
      <c r="C356" s="8" t="n">
        <f aca="false">MONTH(B356)</f>
        <v>8</v>
      </c>
      <c r="D356" s="8" t="s">
        <v>43</v>
      </c>
      <c r="E356" s="8" t="s">
        <v>44</v>
      </c>
      <c r="F356" s="8" t="s">
        <v>48</v>
      </c>
      <c r="G356" s="8" t="n">
        <v>3</v>
      </c>
      <c r="H356" s="12" t="n">
        <v>4500</v>
      </c>
      <c r="I356" s="13" t="n">
        <v>0</v>
      </c>
      <c r="J356" s="12" t="n">
        <v>3300</v>
      </c>
      <c r="K356" s="12" t="n">
        <f aca="false">G356*H356*(1-I356)</f>
        <v>13500</v>
      </c>
      <c r="L356" s="12" t="n">
        <f aca="false">K356-G356*J356</f>
        <v>3600</v>
      </c>
    </row>
    <row r="357" customFormat="false" ht="15" hidden="false" customHeight="false" outlineLevel="0" collapsed="false">
      <c r="A357" s="8" t="s">
        <v>419</v>
      </c>
      <c r="B357" s="11" t="n">
        <v>45874</v>
      </c>
      <c r="C357" s="8" t="n">
        <f aca="false">MONTH(B357)</f>
        <v>8</v>
      </c>
      <c r="D357" s="8" t="s">
        <v>47</v>
      </c>
      <c r="E357" s="8" t="s">
        <v>44</v>
      </c>
      <c r="F357" s="8" t="s">
        <v>45</v>
      </c>
      <c r="G357" s="8" t="n">
        <v>3</v>
      </c>
      <c r="H357" s="12" t="n">
        <v>1500</v>
      </c>
      <c r="I357" s="13" t="n">
        <v>0.1</v>
      </c>
      <c r="J357" s="12" t="n">
        <v>900</v>
      </c>
      <c r="K357" s="12" t="n">
        <f aca="false">G357*H357*(1-I357)</f>
        <v>4050</v>
      </c>
      <c r="L357" s="12" t="n">
        <f aca="false">K357-G357*J357</f>
        <v>1350</v>
      </c>
    </row>
    <row r="358" customFormat="false" ht="15" hidden="false" customHeight="false" outlineLevel="0" collapsed="false">
      <c r="A358" s="8" t="s">
        <v>448</v>
      </c>
      <c r="B358" s="11" t="n">
        <v>45876</v>
      </c>
      <c r="C358" s="8" t="n">
        <f aca="false">MONTH(B358)</f>
        <v>8</v>
      </c>
      <c r="D358" s="8" t="s">
        <v>55</v>
      </c>
      <c r="E358" s="8" t="s">
        <v>44</v>
      </c>
      <c r="F358" s="8" t="s">
        <v>60</v>
      </c>
      <c r="G358" s="8" t="n">
        <v>1</v>
      </c>
      <c r="H358" s="12" t="n">
        <v>2500</v>
      </c>
      <c r="I358" s="13" t="n">
        <v>0</v>
      </c>
      <c r="J358" s="12" t="n">
        <v>1600</v>
      </c>
      <c r="K358" s="12" t="n">
        <f aca="false">G358*H358*(1-I358)</f>
        <v>2500</v>
      </c>
      <c r="L358" s="12" t="n">
        <f aca="false">K358-G358*J358</f>
        <v>900</v>
      </c>
    </row>
    <row r="359" customFormat="false" ht="15" hidden="false" customHeight="false" outlineLevel="0" collapsed="false">
      <c r="A359" s="8" t="s">
        <v>432</v>
      </c>
      <c r="B359" s="11" t="n">
        <v>45877</v>
      </c>
      <c r="C359" s="8" t="n">
        <f aca="false">MONTH(B359)</f>
        <v>8</v>
      </c>
      <c r="D359" s="8" t="s">
        <v>47</v>
      </c>
      <c r="E359" s="8" t="s">
        <v>44</v>
      </c>
      <c r="F359" s="8" t="s">
        <v>60</v>
      </c>
      <c r="G359" s="8" t="n">
        <v>3</v>
      </c>
      <c r="H359" s="12" t="n">
        <v>2500</v>
      </c>
      <c r="I359" s="13" t="n">
        <v>0.1</v>
      </c>
      <c r="J359" s="12" t="n">
        <v>1600</v>
      </c>
      <c r="K359" s="12" t="n">
        <f aca="false">G359*H359*(1-I359)</f>
        <v>6750</v>
      </c>
      <c r="L359" s="12" t="n">
        <f aca="false">K359-G359*J359</f>
        <v>1950</v>
      </c>
    </row>
    <row r="360" customFormat="false" ht="15" hidden="false" customHeight="false" outlineLevel="0" collapsed="false">
      <c r="A360" s="8" t="s">
        <v>453</v>
      </c>
      <c r="B360" s="11" t="n">
        <v>45877</v>
      </c>
      <c r="C360" s="8" t="n">
        <f aca="false">MONTH(B360)</f>
        <v>8</v>
      </c>
      <c r="D360" s="8" t="s">
        <v>39</v>
      </c>
      <c r="E360" s="8" t="s">
        <v>40</v>
      </c>
      <c r="F360" s="8" t="s">
        <v>77</v>
      </c>
      <c r="G360" s="8" t="n">
        <v>10</v>
      </c>
      <c r="H360" s="12" t="n">
        <v>400</v>
      </c>
      <c r="I360" s="13" t="n">
        <v>0.05</v>
      </c>
      <c r="J360" s="12" t="n">
        <v>200</v>
      </c>
      <c r="K360" s="12" t="n">
        <f aca="false">G360*H360*(1-I360)</f>
        <v>3800</v>
      </c>
      <c r="L360" s="12" t="n">
        <f aca="false">K360-G360*J360</f>
        <v>1800</v>
      </c>
    </row>
    <row r="361" customFormat="false" ht="15" hidden="false" customHeight="false" outlineLevel="0" collapsed="false">
      <c r="A361" s="8" t="s">
        <v>433</v>
      </c>
      <c r="B361" s="11" t="n">
        <v>45877</v>
      </c>
      <c r="C361" s="8" t="n">
        <f aca="false">MONTH(B361)</f>
        <v>8</v>
      </c>
      <c r="D361" s="8" t="s">
        <v>43</v>
      </c>
      <c r="E361" s="8" t="s">
        <v>57</v>
      </c>
      <c r="F361" s="8" t="s">
        <v>86</v>
      </c>
      <c r="G361" s="8" t="n">
        <v>3</v>
      </c>
      <c r="H361" s="12" t="n">
        <v>1200</v>
      </c>
      <c r="I361" s="13" t="n">
        <v>0</v>
      </c>
      <c r="J361" s="12" t="n">
        <v>600</v>
      </c>
      <c r="K361" s="12" t="n">
        <f aca="false">G361*H361*(1-I361)</f>
        <v>3600</v>
      </c>
      <c r="L361" s="12" t="n">
        <f aca="false">K361-G361*J361</f>
        <v>1800</v>
      </c>
    </row>
    <row r="362" customFormat="false" ht="15" hidden="false" customHeight="false" outlineLevel="0" collapsed="false">
      <c r="A362" s="8" t="s">
        <v>421</v>
      </c>
      <c r="B362" s="11" t="n">
        <v>45879</v>
      </c>
      <c r="C362" s="8" t="n">
        <f aca="false">MONTH(B362)</f>
        <v>8</v>
      </c>
      <c r="D362" s="8" t="s">
        <v>39</v>
      </c>
      <c r="E362" s="8" t="s">
        <v>57</v>
      </c>
      <c r="F362" s="8" t="s">
        <v>58</v>
      </c>
      <c r="G362" s="8" t="n">
        <v>3</v>
      </c>
      <c r="H362" s="12" t="n">
        <v>5500</v>
      </c>
      <c r="I362" s="13" t="n">
        <v>0</v>
      </c>
      <c r="J362" s="12" t="n">
        <v>3600</v>
      </c>
      <c r="K362" s="12" t="n">
        <f aca="false">G362*H362*(1-I362)</f>
        <v>16500</v>
      </c>
      <c r="L362" s="12" t="n">
        <f aca="false">K362-G362*J362</f>
        <v>5700</v>
      </c>
    </row>
    <row r="363" customFormat="false" ht="15" hidden="false" customHeight="false" outlineLevel="0" collapsed="false">
      <c r="A363" s="8" t="s">
        <v>417</v>
      </c>
      <c r="B363" s="11" t="n">
        <v>45879</v>
      </c>
      <c r="C363" s="8" t="n">
        <f aca="false">MONTH(B363)</f>
        <v>8</v>
      </c>
      <c r="D363" s="8" t="s">
        <v>39</v>
      </c>
      <c r="E363" s="8" t="s">
        <v>57</v>
      </c>
      <c r="F363" s="8" t="s">
        <v>63</v>
      </c>
      <c r="G363" s="8" t="n">
        <v>3</v>
      </c>
      <c r="H363" s="12" t="n">
        <v>9000</v>
      </c>
      <c r="I363" s="13" t="n">
        <v>0</v>
      </c>
      <c r="J363" s="12" t="n">
        <v>6200</v>
      </c>
      <c r="K363" s="12" t="n">
        <f aca="false">G363*H363*(1-I363)</f>
        <v>27000</v>
      </c>
      <c r="L363" s="12" t="n">
        <f aca="false">K363-G363*J363</f>
        <v>8400</v>
      </c>
    </row>
    <row r="364" customFormat="false" ht="15" hidden="false" customHeight="false" outlineLevel="0" collapsed="false">
      <c r="A364" s="8" t="s">
        <v>439</v>
      </c>
      <c r="B364" s="11" t="n">
        <v>45879</v>
      </c>
      <c r="C364" s="8" t="n">
        <f aca="false">MONTH(B364)</f>
        <v>8</v>
      </c>
      <c r="D364" s="8" t="s">
        <v>43</v>
      </c>
      <c r="E364" s="8" t="s">
        <v>44</v>
      </c>
      <c r="F364" s="8" t="s">
        <v>48</v>
      </c>
      <c r="G364" s="8" t="n">
        <v>3</v>
      </c>
      <c r="H364" s="12" t="n">
        <v>4500</v>
      </c>
      <c r="I364" s="13" t="n">
        <v>0</v>
      </c>
      <c r="J364" s="12" t="n">
        <v>3300</v>
      </c>
      <c r="K364" s="12" t="n">
        <f aca="false">G364*H364*(1-I364)</f>
        <v>13500</v>
      </c>
      <c r="L364" s="12" t="n">
        <f aca="false">K364-G364*J364</f>
        <v>3600</v>
      </c>
    </row>
    <row r="365" customFormat="false" ht="15" hidden="false" customHeight="false" outlineLevel="0" collapsed="false">
      <c r="A365" s="8" t="s">
        <v>450</v>
      </c>
      <c r="B365" s="11" t="n">
        <v>45879</v>
      </c>
      <c r="C365" s="8" t="n">
        <f aca="false">MONTH(B365)</f>
        <v>8</v>
      </c>
      <c r="D365" s="8" t="s">
        <v>39</v>
      </c>
      <c r="E365" s="8" t="s">
        <v>57</v>
      </c>
      <c r="F365" s="8" t="s">
        <v>58</v>
      </c>
      <c r="G365" s="8" t="n">
        <v>2</v>
      </c>
      <c r="H365" s="12" t="n">
        <v>5500</v>
      </c>
      <c r="I365" s="13" t="n">
        <v>0</v>
      </c>
      <c r="J365" s="12" t="n">
        <v>3600</v>
      </c>
      <c r="K365" s="12" t="n">
        <f aca="false">G365*H365*(1-I365)</f>
        <v>11000</v>
      </c>
      <c r="L365" s="12" t="n">
        <f aca="false">K365-G365*J365</f>
        <v>3800</v>
      </c>
    </row>
    <row r="366" customFormat="false" ht="15" hidden="false" customHeight="false" outlineLevel="0" collapsed="false">
      <c r="A366" s="8" t="s">
        <v>424</v>
      </c>
      <c r="B366" s="11" t="n">
        <v>45881</v>
      </c>
      <c r="C366" s="8" t="n">
        <f aca="false">MONTH(B366)</f>
        <v>8</v>
      </c>
      <c r="D366" s="8" t="s">
        <v>47</v>
      </c>
      <c r="E366" s="8" t="s">
        <v>40</v>
      </c>
      <c r="F366" s="8" t="s">
        <v>41</v>
      </c>
      <c r="G366" s="8" t="n">
        <v>7</v>
      </c>
      <c r="H366" s="12" t="n">
        <v>600</v>
      </c>
      <c r="I366" s="13" t="n">
        <v>0</v>
      </c>
      <c r="J366" s="12" t="n">
        <v>300</v>
      </c>
      <c r="K366" s="12" t="n">
        <f aca="false">G366*H366*(1-I366)</f>
        <v>4200</v>
      </c>
      <c r="L366" s="12" t="n">
        <f aca="false">K366-G366*J366</f>
        <v>2100</v>
      </c>
    </row>
    <row r="367" customFormat="false" ht="15" hidden="false" customHeight="false" outlineLevel="0" collapsed="false">
      <c r="A367" s="8" t="s">
        <v>434</v>
      </c>
      <c r="B367" s="11" t="n">
        <v>45881</v>
      </c>
      <c r="C367" s="8" t="n">
        <f aca="false">MONTH(B367)</f>
        <v>8</v>
      </c>
      <c r="D367" s="8" t="s">
        <v>39</v>
      </c>
      <c r="E367" s="8" t="s">
        <v>40</v>
      </c>
      <c r="F367" s="8" t="s">
        <v>77</v>
      </c>
      <c r="G367" s="8" t="n">
        <v>9</v>
      </c>
      <c r="H367" s="12" t="n">
        <v>400</v>
      </c>
      <c r="I367" s="13" t="n">
        <v>0</v>
      </c>
      <c r="J367" s="12" t="n">
        <v>200</v>
      </c>
      <c r="K367" s="12" t="n">
        <f aca="false">G367*H367*(1-I367)</f>
        <v>3600</v>
      </c>
      <c r="L367" s="12" t="n">
        <f aca="false">K367-G367*J367</f>
        <v>1800</v>
      </c>
    </row>
    <row r="368" customFormat="false" ht="15" hidden="false" customHeight="false" outlineLevel="0" collapsed="false">
      <c r="A368" s="8" t="s">
        <v>414</v>
      </c>
      <c r="B368" s="11" t="n">
        <v>45881</v>
      </c>
      <c r="C368" s="8" t="n">
        <f aca="false">MONTH(B368)</f>
        <v>8</v>
      </c>
      <c r="D368" s="8" t="s">
        <v>47</v>
      </c>
      <c r="E368" s="8" t="s">
        <v>40</v>
      </c>
      <c r="F368" s="8" t="s">
        <v>77</v>
      </c>
      <c r="G368" s="8" t="n">
        <v>4</v>
      </c>
      <c r="H368" s="12" t="n">
        <v>400</v>
      </c>
      <c r="I368" s="13" t="n">
        <v>0</v>
      </c>
      <c r="J368" s="12" t="n">
        <v>200</v>
      </c>
      <c r="K368" s="12" t="n">
        <f aca="false">G368*H368*(1-I368)</f>
        <v>1600</v>
      </c>
      <c r="L368" s="12" t="n">
        <f aca="false">K368-G368*J368</f>
        <v>800</v>
      </c>
    </row>
    <row r="369" customFormat="false" ht="15" hidden="false" customHeight="false" outlineLevel="0" collapsed="false">
      <c r="A369" s="8" t="s">
        <v>458</v>
      </c>
      <c r="B369" s="11" t="n">
        <v>45882</v>
      </c>
      <c r="C369" s="8" t="n">
        <f aca="false">MONTH(B369)</f>
        <v>8</v>
      </c>
      <c r="D369" s="8" t="s">
        <v>55</v>
      </c>
      <c r="E369" s="8" t="s">
        <v>57</v>
      </c>
      <c r="F369" s="8" t="s">
        <v>58</v>
      </c>
      <c r="G369" s="8" t="n">
        <v>1</v>
      </c>
      <c r="H369" s="12" t="n">
        <v>5500</v>
      </c>
      <c r="I369" s="13" t="n">
        <v>0.1</v>
      </c>
      <c r="J369" s="12" t="n">
        <v>3600</v>
      </c>
      <c r="K369" s="12" t="n">
        <f aca="false">G369*H369*(1-I369)</f>
        <v>4950</v>
      </c>
      <c r="L369" s="12" t="n">
        <f aca="false">K369-G369*J369</f>
        <v>1350</v>
      </c>
    </row>
    <row r="370" customFormat="false" ht="15" hidden="false" customHeight="false" outlineLevel="0" collapsed="false">
      <c r="A370" s="8" t="s">
        <v>436</v>
      </c>
      <c r="B370" s="11" t="n">
        <v>45883</v>
      </c>
      <c r="C370" s="8" t="n">
        <f aca="false">MONTH(B370)</f>
        <v>8</v>
      </c>
      <c r="D370" s="8" t="s">
        <v>43</v>
      </c>
      <c r="E370" s="8" t="s">
        <v>57</v>
      </c>
      <c r="F370" s="8" t="s">
        <v>111</v>
      </c>
      <c r="G370" s="8" t="n">
        <v>3</v>
      </c>
      <c r="H370" s="12" t="n">
        <v>7000</v>
      </c>
      <c r="I370" s="13" t="n">
        <v>0.05</v>
      </c>
      <c r="J370" s="12" t="n">
        <v>4800</v>
      </c>
      <c r="K370" s="12" t="n">
        <f aca="false">G370*H370*(1-I370)</f>
        <v>19950</v>
      </c>
      <c r="L370" s="12" t="n">
        <f aca="false">K370-G370*J370</f>
        <v>5550</v>
      </c>
    </row>
    <row r="371" customFormat="false" ht="15" hidden="false" customHeight="false" outlineLevel="0" collapsed="false">
      <c r="A371" s="8" t="s">
        <v>431</v>
      </c>
      <c r="B371" s="11" t="n">
        <v>45884</v>
      </c>
      <c r="C371" s="8" t="n">
        <f aca="false">MONTH(B371)</f>
        <v>8</v>
      </c>
      <c r="D371" s="8" t="s">
        <v>55</v>
      </c>
      <c r="E371" s="8" t="s">
        <v>40</v>
      </c>
      <c r="F371" s="8" t="s">
        <v>104</v>
      </c>
      <c r="G371" s="8" t="n">
        <v>4</v>
      </c>
      <c r="H371" s="12" t="n">
        <v>250</v>
      </c>
      <c r="I371" s="13" t="n">
        <v>0.1</v>
      </c>
      <c r="J371" s="12" t="n">
        <v>100</v>
      </c>
      <c r="K371" s="12" t="n">
        <f aca="false">G371*H371*(1-I371)</f>
        <v>900</v>
      </c>
      <c r="L371" s="12" t="n">
        <f aca="false">K371-G371*J371</f>
        <v>500</v>
      </c>
    </row>
    <row r="372" customFormat="false" ht="15" hidden="false" customHeight="false" outlineLevel="0" collapsed="false">
      <c r="A372" s="8" t="s">
        <v>413</v>
      </c>
      <c r="B372" s="11" t="n">
        <v>45884</v>
      </c>
      <c r="C372" s="8" t="n">
        <f aca="false">MONTH(B372)</f>
        <v>8</v>
      </c>
      <c r="D372" s="8" t="s">
        <v>39</v>
      </c>
      <c r="E372" s="8" t="s">
        <v>44</v>
      </c>
      <c r="F372" s="8" t="s">
        <v>45</v>
      </c>
      <c r="G372" s="8" t="n">
        <v>3</v>
      </c>
      <c r="H372" s="12" t="n">
        <v>1500</v>
      </c>
      <c r="I372" s="13" t="n">
        <v>0</v>
      </c>
      <c r="J372" s="12" t="n">
        <v>900</v>
      </c>
      <c r="K372" s="12" t="n">
        <f aca="false">G372*H372*(1-I372)</f>
        <v>4500</v>
      </c>
      <c r="L372" s="12" t="n">
        <f aca="false">K372-G372*J372</f>
        <v>1800</v>
      </c>
    </row>
    <row r="373" customFormat="false" ht="15" hidden="false" customHeight="false" outlineLevel="0" collapsed="false">
      <c r="A373" s="8" t="s">
        <v>410</v>
      </c>
      <c r="B373" s="11" t="n">
        <v>45885</v>
      </c>
      <c r="C373" s="8" t="n">
        <f aca="false">MONTH(B373)</f>
        <v>8</v>
      </c>
      <c r="D373" s="8" t="s">
        <v>43</v>
      </c>
      <c r="E373" s="8" t="s">
        <v>40</v>
      </c>
      <c r="F373" s="8" t="s">
        <v>104</v>
      </c>
      <c r="G373" s="8" t="n">
        <v>7</v>
      </c>
      <c r="H373" s="12" t="n">
        <v>250</v>
      </c>
      <c r="I373" s="13" t="n">
        <v>0.05</v>
      </c>
      <c r="J373" s="12" t="n">
        <v>100</v>
      </c>
      <c r="K373" s="12" t="n">
        <f aca="false">G373*H373*(1-I373)</f>
        <v>1662.5</v>
      </c>
      <c r="L373" s="12" t="n">
        <f aca="false">K373-G373*J373</f>
        <v>962.5</v>
      </c>
    </row>
    <row r="374" customFormat="false" ht="15" hidden="false" customHeight="false" outlineLevel="0" collapsed="false">
      <c r="A374" s="8" t="s">
        <v>456</v>
      </c>
      <c r="B374" s="11" t="n">
        <v>45886</v>
      </c>
      <c r="C374" s="8" t="n">
        <f aca="false">MONTH(B374)</f>
        <v>8</v>
      </c>
      <c r="D374" s="8" t="s">
        <v>39</v>
      </c>
      <c r="E374" s="8" t="s">
        <v>40</v>
      </c>
      <c r="F374" s="8" t="s">
        <v>41</v>
      </c>
      <c r="G374" s="8" t="n">
        <v>7</v>
      </c>
      <c r="H374" s="12" t="n">
        <v>600</v>
      </c>
      <c r="I374" s="13" t="n">
        <v>0</v>
      </c>
      <c r="J374" s="12" t="n">
        <v>300</v>
      </c>
      <c r="K374" s="12" t="n">
        <f aca="false">G374*H374*(1-I374)</f>
        <v>4200</v>
      </c>
      <c r="L374" s="12" t="n">
        <f aca="false">K374-G374*J374</f>
        <v>2100</v>
      </c>
    </row>
    <row r="375" customFormat="false" ht="15" hidden="false" customHeight="false" outlineLevel="0" collapsed="false">
      <c r="A375" s="8" t="s">
        <v>449</v>
      </c>
      <c r="B375" s="11" t="n">
        <v>45886</v>
      </c>
      <c r="C375" s="8" t="n">
        <f aca="false">MONTH(B375)</f>
        <v>8</v>
      </c>
      <c r="D375" s="8" t="s">
        <v>47</v>
      </c>
      <c r="E375" s="8" t="s">
        <v>44</v>
      </c>
      <c r="F375" s="8" t="s">
        <v>45</v>
      </c>
      <c r="G375" s="8" t="n">
        <v>3</v>
      </c>
      <c r="H375" s="12" t="n">
        <v>1500</v>
      </c>
      <c r="I375" s="13" t="n">
        <v>0.05</v>
      </c>
      <c r="J375" s="12" t="n">
        <v>900</v>
      </c>
      <c r="K375" s="12" t="n">
        <f aca="false">G375*H375*(1-I375)</f>
        <v>4275</v>
      </c>
      <c r="L375" s="12" t="n">
        <f aca="false">K375-G375*J375</f>
        <v>1575</v>
      </c>
    </row>
    <row r="376" customFormat="false" ht="15" hidden="false" customHeight="false" outlineLevel="0" collapsed="false">
      <c r="A376" s="8" t="s">
        <v>440</v>
      </c>
      <c r="B376" s="11" t="n">
        <v>45886</v>
      </c>
      <c r="C376" s="8" t="n">
        <f aca="false">MONTH(B376)</f>
        <v>8</v>
      </c>
      <c r="D376" s="8" t="s">
        <v>43</v>
      </c>
      <c r="E376" s="8" t="s">
        <v>44</v>
      </c>
      <c r="F376" s="8" t="s">
        <v>48</v>
      </c>
      <c r="G376" s="8" t="n">
        <v>2</v>
      </c>
      <c r="H376" s="12" t="n">
        <v>4500</v>
      </c>
      <c r="I376" s="13" t="n">
        <v>0</v>
      </c>
      <c r="J376" s="12" t="n">
        <v>3300</v>
      </c>
      <c r="K376" s="12" t="n">
        <f aca="false">G376*H376*(1-I376)</f>
        <v>9000</v>
      </c>
      <c r="L376" s="12" t="n">
        <f aca="false">K376-G376*J376</f>
        <v>2400</v>
      </c>
    </row>
    <row r="377" customFormat="false" ht="15" hidden="false" customHeight="false" outlineLevel="0" collapsed="false">
      <c r="A377" s="8" t="s">
        <v>438</v>
      </c>
      <c r="B377" s="11" t="n">
        <v>45887</v>
      </c>
      <c r="C377" s="8" t="n">
        <f aca="false">MONTH(B377)</f>
        <v>8</v>
      </c>
      <c r="D377" s="8" t="s">
        <v>39</v>
      </c>
      <c r="E377" s="8" t="s">
        <v>57</v>
      </c>
      <c r="F377" s="8" t="s">
        <v>111</v>
      </c>
      <c r="G377" s="8" t="n">
        <v>2</v>
      </c>
      <c r="H377" s="12" t="n">
        <v>7000</v>
      </c>
      <c r="I377" s="13" t="n">
        <v>0</v>
      </c>
      <c r="J377" s="12" t="n">
        <v>4800</v>
      </c>
      <c r="K377" s="12" t="n">
        <f aca="false">G377*H377*(1-I377)</f>
        <v>14000</v>
      </c>
      <c r="L377" s="12" t="n">
        <f aca="false">K377-G377*J377</f>
        <v>4400</v>
      </c>
    </row>
    <row r="378" customFormat="false" ht="15" hidden="false" customHeight="false" outlineLevel="0" collapsed="false">
      <c r="A378" s="8" t="s">
        <v>447</v>
      </c>
      <c r="B378" s="11" t="n">
        <v>45889</v>
      </c>
      <c r="C378" s="8" t="n">
        <f aca="false">MONTH(B378)</f>
        <v>8</v>
      </c>
      <c r="D378" s="8" t="s">
        <v>43</v>
      </c>
      <c r="E378" s="8" t="s">
        <v>44</v>
      </c>
      <c r="F378" s="8" t="s">
        <v>45</v>
      </c>
      <c r="G378" s="8" t="n">
        <v>2</v>
      </c>
      <c r="H378" s="12" t="n">
        <v>1500</v>
      </c>
      <c r="I378" s="13" t="n">
        <v>0</v>
      </c>
      <c r="J378" s="12" t="n">
        <v>900</v>
      </c>
      <c r="K378" s="12" t="n">
        <f aca="false">G378*H378*(1-I378)</f>
        <v>3000</v>
      </c>
      <c r="L378" s="12" t="n">
        <f aca="false">K378-G378*J378</f>
        <v>1200</v>
      </c>
    </row>
    <row r="379" customFormat="false" ht="15" hidden="false" customHeight="false" outlineLevel="0" collapsed="false">
      <c r="A379" s="8" t="s">
        <v>454</v>
      </c>
      <c r="B379" s="11" t="n">
        <v>45889</v>
      </c>
      <c r="C379" s="8" t="n">
        <f aca="false">MONTH(B379)</f>
        <v>8</v>
      </c>
      <c r="D379" s="8" t="s">
        <v>39</v>
      </c>
      <c r="E379" s="8" t="s">
        <v>40</v>
      </c>
      <c r="F379" s="8" t="s">
        <v>71</v>
      </c>
      <c r="G379" s="8" t="n">
        <v>8</v>
      </c>
      <c r="H379" s="12" t="n">
        <v>500</v>
      </c>
      <c r="I379" s="13" t="n">
        <v>0</v>
      </c>
      <c r="J379" s="12" t="n">
        <v>250</v>
      </c>
      <c r="K379" s="12" t="n">
        <f aca="false">G379*H379*(1-I379)</f>
        <v>4000</v>
      </c>
      <c r="L379" s="12" t="n">
        <f aca="false">K379-G379*J379</f>
        <v>2000</v>
      </c>
    </row>
    <row r="380" customFormat="false" ht="15" hidden="false" customHeight="false" outlineLevel="0" collapsed="false">
      <c r="A380" s="8" t="s">
        <v>415</v>
      </c>
      <c r="B380" s="11" t="n">
        <v>45889</v>
      </c>
      <c r="C380" s="8" t="n">
        <f aca="false">MONTH(B380)</f>
        <v>8</v>
      </c>
      <c r="D380" s="8" t="s">
        <v>47</v>
      </c>
      <c r="E380" s="8" t="s">
        <v>57</v>
      </c>
      <c r="F380" s="8" t="s">
        <v>111</v>
      </c>
      <c r="G380" s="8" t="n">
        <v>2</v>
      </c>
      <c r="H380" s="12" t="n">
        <v>7000</v>
      </c>
      <c r="I380" s="13" t="n">
        <v>0.1</v>
      </c>
      <c r="J380" s="12" t="n">
        <v>4800</v>
      </c>
      <c r="K380" s="12" t="n">
        <f aca="false">G380*H380*(1-I380)</f>
        <v>12600</v>
      </c>
      <c r="L380" s="12" t="n">
        <f aca="false">K380-G380*J380</f>
        <v>3000</v>
      </c>
    </row>
    <row r="381" customFormat="false" ht="15" hidden="false" customHeight="false" outlineLevel="0" collapsed="false">
      <c r="A381" s="8" t="s">
        <v>429</v>
      </c>
      <c r="B381" s="11" t="n">
        <v>45889</v>
      </c>
      <c r="C381" s="8" t="n">
        <f aca="false">MONTH(B381)</f>
        <v>8</v>
      </c>
      <c r="D381" s="8" t="s">
        <v>55</v>
      </c>
      <c r="E381" s="8" t="s">
        <v>57</v>
      </c>
      <c r="F381" s="8" t="s">
        <v>63</v>
      </c>
      <c r="G381" s="8" t="n">
        <v>3</v>
      </c>
      <c r="H381" s="12" t="n">
        <v>9000</v>
      </c>
      <c r="I381" s="13" t="n">
        <v>0</v>
      </c>
      <c r="J381" s="12" t="n">
        <v>6200</v>
      </c>
      <c r="K381" s="12" t="n">
        <f aca="false">G381*H381*(1-I381)</f>
        <v>27000</v>
      </c>
      <c r="L381" s="12" t="n">
        <f aca="false">K381-G381*J381</f>
        <v>8400</v>
      </c>
    </row>
    <row r="382" customFormat="false" ht="15" hidden="false" customHeight="false" outlineLevel="0" collapsed="false">
      <c r="A382" s="8" t="s">
        <v>452</v>
      </c>
      <c r="B382" s="11" t="n">
        <v>45889</v>
      </c>
      <c r="C382" s="8" t="n">
        <f aca="false">MONTH(B382)</f>
        <v>8</v>
      </c>
      <c r="D382" s="8" t="s">
        <v>47</v>
      </c>
      <c r="E382" s="8" t="s">
        <v>40</v>
      </c>
      <c r="F382" s="8" t="s">
        <v>104</v>
      </c>
      <c r="G382" s="8" t="n">
        <v>3</v>
      </c>
      <c r="H382" s="12" t="n">
        <v>250</v>
      </c>
      <c r="I382" s="13" t="n">
        <v>0</v>
      </c>
      <c r="J382" s="12" t="n">
        <v>100</v>
      </c>
      <c r="K382" s="12" t="n">
        <f aca="false">G382*H382*(1-I382)</f>
        <v>750</v>
      </c>
      <c r="L382" s="12" t="n">
        <f aca="false">K382-G382*J382</f>
        <v>450</v>
      </c>
    </row>
    <row r="383" customFormat="false" ht="15" hidden="false" customHeight="false" outlineLevel="0" collapsed="false">
      <c r="A383" s="8" t="s">
        <v>423</v>
      </c>
      <c r="B383" s="11" t="n">
        <v>45890</v>
      </c>
      <c r="C383" s="8" t="n">
        <f aca="false">MONTH(B383)</f>
        <v>8</v>
      </c>
      <c r="D383" s="8" t="s">
        <v>55</v>
      </c>
      <c r="E383" s="8" t="s">
        <v>40</v>
      </c>
      <c r="F383" s="8" t="s">
        <v>71</v>
      </c>
      <c r="G383" s="8" t="n">
        <v>10</v>
      </c>
      <c r="H383" s="12" t="n">
        <v>500</v>
      </c>
      <c r="I383" s="13" t="n">
        <v>0</v>
      </c>
      <c r="J383" s="12" t="n">
        <v>250</v>
      </c>
      <c r="K383" s="12" t="n">
        <f aca="false">G383*H383*(1-I383)</f>
        <v>5000</v>
      </c>
      <c r="L383" s="12" t="n">
        <f aca="false">K383-G383*J383</f>
        <v>2500</v>
      </c>
    </row>
    <row r="384" customFormat="false" ht="15" hidden="false" customHeight="false" outlineLevel="0" collapsed="false">
      <c r="A384" s="8" t="s">
        <v>460</v>
      </c>
      <c r="B384" s="11" t="n">
        <v>45890</v>
      </c>
      <c r="C384" s="8" t="n">
        <f aca="false">MONTH(B384)</f>
        <v>8</v>
      </c>
      <c r="D384" s="8" t="s">
        <v>47</v>
      </c>
      <c r="E384" s="8" t="s">
        <v>44</v>
      </c>
      <c r="F384" s="8" t="s">
        <v>48</v>
      </c>
      <c r="G384" s="8" t="n">
        <v>3</v>
      </c>
      <c r="H384" s="12" t="n">
        <v>4500</v>
      </c>
      <c r="I384" s="13" t="n">
        <v>0.1</v>
      </c>
      <c r="J384" s="12" t="n">
        <v>3300</v>
      </c>
      <c r="K384" s="12" t="n">
        <f aca="false">G384*H384*(1-I384)</f>
        <v>12150</v>
      </c>
      <c r="L384" s="12" t="n">
        <f aca="false">K384-G384*J384</f>
        <v>2250</v>
      </c>
    </row>
    <row r="385" customFormat="false" ht="15" hidden="false" customHeight="false" outlineLevel="0" collapsed="false">
      <c r="A385" s="8" t="s">
        <v>412</v>
      </c>
      <c r="B385" s="11" t="n">
        <v>45890</v>
      </c>
      <c r="C385" s="8" t="n">
        <f aca="false">MONTH(B385)</f>
        <v>8</v>
      </c>
      <c r="D385" s="8" t="s">
        <v>55</v>
      </c>
      <c r="E385" s="8" t="s">
        <v>57</v>
      </c>
      <c r="F385" s="8" t="s">
        <v>63</v>
      </c>
      <c r="G385" s="8" t="n">
        <v>1</v>
      </c>
      <c r="H385" s="12" t="n">
        <v>9000</v>
      </c>
      <c r="I385" s="13" t="n">
        <v>0.05</v>
      </c>
      <c r="J385" s="12" t="n">
        <v>6200</v>
      </c>
      <c r="K385" s="12" t="n">
        <f aca="false">G385*H385*(1-I385)</f>
        <v>8550</v>
      </c>
      <c r="L385" s="12" t="n">
        <f aca="false">K385-G385*J385</f>
        <v>2350</v>
      </c>
    </row>
    <row r="386" customFormat="false" ht="15" hidden="false" customHeight="false" outlineLevel="0" collapsed="false">
      <c r="A386" s="8" t="s">
        <v>455</v>
      </c>
      <c r="B386" s="11" t="n">
        <v>45891</v>
      </c>
      <c r="C386" s="8" t="n">
        <f aca="false">MONTH(B386)</f>
        <v>8</v>
      </c>
      <c r="D386" s="8" t="s">
        <v>39</v>
      </c>
      <c r="E386" s="8" t="s">
        <v>57</v>
      </c>
      <c r="F386" s="8" t="s">
        <v>63</v>
      </c>
      <c r="G386" s="8" t="n">
        <v>2</v>
      </c>
      <c r="H386" s="12" t="n">
        <v>9000</v>
      </c>
      <c r="I386" s="13" t="n">
        <v>0</v>
      </c>
      <c r="J386" s="12" t="n">
        <v>6200</v>
      </c>
      <c r="K386" s="12" t="n">
        <f aca="false">G386*H386*(1-I386)</f>
        <v>18000</v>
      </c>
      <c r="L386" s="12" t="n">
        <f aca="false">K386-G386*J386</f>
        <v>5600</v>
      </c>
    </row>
    <row r="387" customFormat="false" ht="15" hidden="false" customHeight="false" outlineLevel="0" collapsed="false">
      <c r="A387" s="8" t="s">
        <v>422</v>
      </c>
      <c r="B387" s="11" t="n">
        <v>45891</v>
      </c>
      <c r="C387" s="8" t="n">
        <f aca="false">MONTH(B387)</f>
        <v>8</v>
      </c>
      <c r="D387" s="8" t="s">
        <v>47</v>
      </c>
      <c r="E387" s="8" t="s">
        <v>40</v>
      </c>
      <c r="F387" s="8" t="s">
        <v>77</v>
      </c>
      <c r="G387" s="8" t="n">
        <v>7</v>
      </c>
      <c r="H387" s="12" t="n">
        <v>400</v>
      </c>
      <c r="I387" s="13" t="n">
        <v>0</v>
      </c>
      <c r="J387" s="12" t="n">
        <v>200</v>
      </c>
      <c r="K387" s="12" t="n">
        <f aca="false">G387*H387*(1-I387)</f>
        <v>2800</v>
      </c>
      <c r="L387" s="12" t="n">
        <f aca="false">K387-G387*J387</f>
        <v>1400</v>
      </c>
    </row>
    <row r="388" customFormat="false" ht="15" hidden="false" customHeight="false" outlineLevel="0" collapsed="false">
      <c r="A388" s="8" t="s">
        <v>428</v>
      </c>
      <c r="B388" s="11" t="n">
        <v>45891</v>
      </c>
      <c r="C388" s="8" t="n">
        <f aca="false">MONTH(B388)</f>
        <v>8</v>
      </c>
      <c r="D388" s="8" t="s">
        <v>55</v>
      </c>
      <c r="E388" s="8" t="s">
        <v>40</v>
      </c>
      <c r="F388" s="8" t="s">
        <v>77</v>
      </c>
      <c r="G388" s="8" t="n">
        <v>10</v>
      </c>
      <c r="H388" s="12" t="n">
        <v>400</v>
      </c>
      <c r="I388" s="13" t="n">
        <v>0</v>
      </c>
      <c r="J388" s="12" t="n">
        <v>200</v>
      </c>
      <c r="K388" s="12" t="n">
        <f aca="false">G388*H388*(1-I388)</f>
        <v>4000</v>
      </c>
      <c r="L388" s="12" t="n">
        <f aca="false">K388-G388*J388</f>
        <v>2000</v>
      </c>
    </row>
    <row r="389" customFormat="false" ht="15" hidden="false" customHeight="false" outlineLevel="0" collapsed="false">
      <c r="A389" s="8" t="s">
        <v>420</v>
      </c>
      <c r="B389" s="11" t="n">
        <v>45891</v>
      </c>
      <c r="C389" s="8" t="n">
        <f aca="false">MONTH(B389)</f>
        <v>8</v>
      </c>
      <c r="D389" s="8" t="s">
        <v>47</v>
      </c>
      <c r="E389" s="8" t="s">
        <v>57</v>
      </c>
      <c r="F389" s="8" t="s">
        <v>63</v>
      </c>
      <c r="G389" s="8" t="n">
        <v>3</v>
      </c>
      <c r="H389" s="12" t="n">
        <v>9000</v>
      </c>
      <c r="I389" s="13" t="n">
        <v>0.1</v>
      </c>
      <c r="J389" s="12" t="n">
        <v>6200</v>
      </c>
      <c r="K389" s="12" t="n">
        <f aca="false">G389*H389*(1-I389)</f>
        <v>24300</v>
      </c>
      <c r="L389" s="12" t="n">
        <f aca="false">K389-G389*J389</f>
        <v>5700</v>
      </c>
    </row>
    <row r="390" customFormat="false" ht="15" hidden="false" customHeight="false" outlineLevel="0" collapsed="false">
      <c r="A390" s="8" t="s">
        <v>430</v>
      </c>
      <c r="B390" s="11" t="n">
        <v>45894</v>
      </c>
      <c r="C390" s="8" t="n">
        <f aca="false">MONTH(B390)</f>
        <v>8</v>
      </c>
      <c r="D390" s="8" t="s">
        <v>39</v>
      </c>
      <c r="E390" s="8" t="s">
        <v>57</v>
      </c>
      <c r="F390" s="8" t="s">
        <v>58</v>
      </c>
      <c r="G390" s="8" t="n">
        <v>1</v>
      </c>
      <c r="H390" s="12" t="n">
        <v>5500</v>
      </c>
      <c r="I390" s="13" t="n">
        <v>0.1</v>
      </c>
      <c r="J390" s="12" t="n">
        <v>3600</v>
      </c>
      <c r="K390" s="12" t="n">
        <f aca="false">G390*H390*(1-I390)</f>
        <v>4950</v>
      </c>
      <c r="L390" s="12" t="n">
        <f aca="false">K390-G390*J390</f>
        <v>1350</v>
      </c>
    </row>
    <row r="391" customFormat="false" ht="15" hidden="false" customHeight="false" outlineLevel="0" collapsed="false">
      <c r="A391" s="8" t="s">
        <v>425</v>
      </c>
      <c r="B391" s="11" t="n">
        <v>45894</v>
      </c>
      <c r="C391" s="8" t="n">
        <f aca="false">MONTH(B391)</f>
        <v>8</v>
      </c>
      <c r="D391" s="8" t="s">
        <v>39</v>
      </c>
      <c r="E391" s="8" t="s">
        <v>57</v>
      </c>
      <c r="F391" s="8" t="s">
        <v>111</v>
      </c>
      <c r="G391" s="8" t="n">
        <v>1</v>
      </c>
      <c r="H391" s="12" t="n">
        <v>7000</v>
      </c>
      <c r="I391" s="13" t="n">
        <v>0</v>
      </c>
      <c r="J391" s="12" t="n">
        <v>4800</v>
      </c>
      <c r="K391" s="12" t="n">
        <f aca="false">G391*H391*(1-I391)</f>
        <v>7000</v>
      </c>
      <c r="L391" s="12" t="n">
        <f aca="false">K391-G391*J391</f>
        <v>2200</v>
      </c>
    </row>
    <row r="392" customFormat="false" ht="15" hidden="false" customHeight="false" outlineLevel="0" collapsed="false">
      <c r="A392" s="8" t="s">
        <v>427</v>
      </c>
      <c r="B392" s="11" t="n">
        <v>45894</v>
      </c>
      <c r="C392" s="8" t="n">
        <f aca="false">MONTH(B392)</f>
        <v>8</v>
      </c>
      <c r="D392" s="8" t="s">
        <v>55</v>
      </c>
      <c r="E392" s="8" t="s">
        <v>57</v>
      </c>
      <c r="F392" s="8" t="s">
        <v>111</v>
      </c>
      <c r="G392" s="8" t="n">
        <v>1</v>
      </c>
      <c r="H392" s="12" t="n">
        <v>7000</v>
      </c>
      <c r="I392" s="13" t="n">
        <v>0.05</v>
      </c>
      <c r="J392" s="12" t="n">
        <v>4800</v>
      </c>
      <c r="K392" s="12" t="n">
        <f aca="false">G392*H392*(1-I392)</f>
        <v>6650</v>
      </c>
      <c r="L392" s="12" t="n">
        <f aca="false">K392-G392*J392</f>
        <v>1850</v>
      </c>
    </row>
    <row r="393" customFormat="false" ht="15" hidden="false" customHeight="false" outlineLevel="0" collapsed="false">
      <c r="A393" s="8" t="s">
        <v>435</v>
      </c>
      <c r="B393" s="11" t="n">
        <v>45894</v>
      </c>
      <c r="C393" s="8" t="n">
        <f aca="false">MONTH(B393)</f>
        <v>8</v>
      </c>
      <c r="D393" s="8" t="s">
        <v>55</v>
      </c>
      <c r="E393" s="8" t="s">
        <v>40</v>
      </c>
      <c r="F393" s="8" t="s">
        <v>41</v>
      </c>
      <c r="G393" s="8" t="n">
        <v>9</v>
      </c>
      <c r="H393" s="12" t="n">
        <v>600</v>
      </c>
      <c r="I393" s="13" t="n">
        <v>0</v>
      </c>
      <c r="J393" s="12" t="n">
        <v>300</v>
      </c>
      <c r="K393" s="12" t="n">
        <f aca="false">G393*H393*(1-I393)</f>
        <v>5400</v>
      </c>
      <c r="L393" s="12" t="n">
        <f aca="false">K393-G393*J393</f>
        <v>2700</v>
      </c>
    </row>
    <row r="394" customFormat="false" ht="15" hidden="false" customHeight="false" outlineLevel="0" collapsed="false">
      <c r="A394" s="8" t="s">
        <v>459</v>
      </c>
      <c r="B394" s="11" t="n">
        <v>45895</v>
      </c>
      <c r="C394" s="8" t="n">
        <f aca="false">MONTH(B394)</f>
        <v>8</v>
      </c>
      <c r="D394" s="8" t="s">
        <v>47</v>
      </c>
      <c r="E394" s="8" t="s">
        <v>57</v>
      </c>
      <c r="F394" s="8" t="s">
        <v>63</v>
      </c>
      <c r="G394" s="8" t="n">
        <v>1</v>
      </c>
      <c r="H394" s="12" t="n">
        <v>9000</v>
      </c>
      <c r="I394" s="13" t="n">
        <v>0</v>
      </c>
      <c r="J394" s="12" t="n">
        <v>6200</v>
      </c>
      <c r="K394" s="12" t="n">
        <f aca="false">G394*H394*(1-I394)</f>
        <v>9000</v>
      </c>
      <c r="L394" s="12" t="n">
        <f aca="false">K394-G394*J394</f>
        <v>2800</v>
      </c>
    </row>
    <row r="395" customFormat="false" ht="15" hidden="false" customHeight="false" outlineLevel="0" collapsed="false">
      <c r="A395" s="8" t="s">
        <v>451</v>
      </c>
      <c r="B395" s="11" t="n">
        <v>45895</v>
      </c>
      <c r="C395" s="8" t="n">
        <f aca="false">MONTH(B395)</f>
        <v>8</v>
      </c>
      <c r="D395" s="8" t="s">
        <v>39</v>
      </c>
      <c r="E395" s="8" t="s">
        <v>44</v>
      </c>
      <c r="F395" s="8" t="s">
        <v>48</v>
      </c>
      <c r="G395" s="8" t="n">
        <v>2</v>
      </c>
      <c r="H395" s="12" t="n">
        <v>4500</v>
      </c>
      <c r="I395" s="13" t="n">
        <v>0.1</v>
      </c>
      <c r="J395" s="12" t="n">
        <v>3300</v>
      </c>
      <c r="K395" s="12" t="n">
        <f aca="false">G395*H395*(1-I395)</f>
        <v>8100</v>
      </c>
      <c r="L395" s="12" t="n">
        <f aca="false">K395-G395*J395</f>
        <v>1500</v>
      </c>
    </row>
    <row r="396" customFormat="false" ht="15" hidden="false" customHeight="false" outlineLevel="0" collapsed="false">
      <c r="A396" s="8" t="s">
        <v>446</v>
      </c>
      <c r="B396" s="11" t="n">
        <v>45896</v>
      </c>
      <c r="C396" s="8" t="n">
        <f aca="false">MONTH(B396)</f>
        <v>8</v>
      </c>
      <c r="D396" s="8" t="s">
        <v>55</v>
      </c>
      <c r="E396" s="8" t="s">
        <v>57</v>
      </c>
      <c r="F396" s="8" t="s">
        <v>111</v>
      </c>
      <c r="G396" s="8" t="n">
        <v>2</v>
      </c>
      <c r="H396" s="12" t="n">
        <v>7000</v>
      </c>
      <c r="I396" s="13" t="n">
        <v>0.1</v>
      </c>
      <c r="J396" s="12" t="n">
        <v>4800</v>
      </c>
      <c r="K396" s="12" t="n">
        <f aca="false">G396*H396*(1-I396)</f>
        <v>12600</v>
      </c>
      <c r="L396" s="12" t="n">
        <f aca="false">K396-G396*J396</f>
        <v>3000</v>
      </c>
    </row>
    <row r="397" customFormat="false" ht="15" hidden="false" customHeight="false" outlineLevel="0" collapsed="false">
      <c r="A397" s="8" t="s">
        <v>444</v>
      </c>
      <c r="B397" s="11" t="n">
        <v>45896</v>
      </c>
      <c r="C397" s="8" t="n">
        <f aca="false">MONTH(B397)</f>
        <v>8</v>
      </c>
      <c r="D397" s="8" t="s">
        <v>39</v>
      </c>
      <c r="E397" s="8" t="s">
        <v>57</v>
      </c>
      <c r="F397" s="8" t="s">
        <v>63</v>
      </c>
      <c r="G397" s="8" t="n">
        <v>2</v>
      </c>
      <c r="H397" s="12" t="n">
        <v>9000</v>
      </c>
      <c r="I397" s="13" t="n">
        <v>0</v>
      </c>
      <c r="J397" s="12" t="n">
        <v>6200</v>
      </c>
      <c r="K397" s="12" t="n">
        <f aca="false">G397*H397*(1-I397)</f>
        <v>18000</v>
      </c>
      <c r="L397" s="12" t="n">
        <f aca="false">K397-G397*J397</f>
        <v>5600</v>
      </c>
    </row>
    <row r="398" customFormat="false" ht="15" hidden="false" customHeight="false" outlineLevel="0" collapsed="false">
      <c r="A398" s="8" t="s">
        <v>441</v>
      </c>
      <c r="B398" s="11" t="n">
        <v>45896</v>
      </c>
      <c r="C398" s="8" t="n">
        <f aca="false">MONTH(B398)</f>
        <v>8</v>
      </c>
      <c r="D398" s="8" t="s">
        <v>55</v>
      </c>
      <c r="E398" s="8" t="s">
        <v>44</v>
      </c>
      <c r="F398" s="8" t="s">
        <v>45</v>
      </c>
      <c r="G398" s="8" t="n">
        <v>1</v>
      </c>
      <c r="H398" s="12" t="n">
        <v>1500</v>
      </c>
      <c r="I398" s="13" t="n">
        <v>0</v>
      </c>
      <c r="J398" s="12" t="n">
        <v>900</v>
      </c>
      <c r="K398" s="12" t="n">
        <f aca="false">G398*H398*(1-I398)</f>
        <v>1500</v>
      </c>
      <c r="L398" s="12" t="n">
        <f aca="false">K398-G398*J398</f>
        <v>600</v>
      </c>
    </row>
    <row r="399" customFormat="false" ht="15" hidden="false" customHeight="false" outlineLevel="0" collapsed="false">
      <c r="A399" s="8" t="s">
        <v>418</v>
      </c>
      <c r="B399" s="11" t="n">
        <v>45897</v>
      </c>
      <c r="C399" s="8" t="n">
        <f aca="false">MONTH(B399)</f>
        <v>8</v>
      </c>
      <c r="D399" s="8" t="s">
        <v>43</v>
      </c>
      <c r="E399" s="8" t="s">
        <v>57</v>
      </c>
      <c r="F399" s="8" t="s">
        <v>111</v>
      </c>
      <c r="G399" s="8" t="n">
        <v>3</v>
      </c>
      <c r="H399" s="12" t="n">
        <v>7000</v>
      </c>
      <c r="I399" s="13" t="n">
        <v>0.05</v>
      </c>
      <c r="J399" s="12" t="n">
        <v>4800</v>
      </c>
      <c r="K399" s="12" t="n">
        <f aca="false">G399*H399*(1-I399)</f>
        <v>19950</v>
      </c>
      <c r="L399" s="12" t="n">
        <f aca="false">K399-G399*J399</f>
        <v>5550</v>
      </c>
    </row>
    <row r="400" customFormat="false" ht="15" hidden="false" customHeight="false" outlineLevel="0" collapsed="false">
      <c r="A400" s="8" t="s">
        <v>437</v>
      </c>
      <c r="B400" s="11" t="n">
        <v>45897</v>
      </c>
      <c r="C400" s="8" t="n">
        <f aca="false">MONTH(B400)</f>
        <v>8</v>
      </c>
      <c r="D400" s="8" t="s">
        <v>55</v>
      </c>
      <c r="E400" s="8" t="s">
        <v>44</v>
      </c>
      <c r="F400" s="8" t="s">
        <v>45</v>
      </c>
      <c r="G400" s="8" t="n">
        <v>3</v>
      </c>
      <c r="H400" s="12" t="n">
        <v>1500</v>
      </c>
      <c r="I400" s="13" t="n">
        <v>0</v>
      </c>
      <c r="J400" s="12" t="n">
        <v>900</v>
      </c>
      <c r="K400" s="12" t="n">
        <f aca="false">G400*H400*(1-I400)</f>
        <v>4500</v>
      </c>
      <c r="L400" s="12" t="n">
        <f aca="false">K400-G400*J400</f>
        <v>1800</v>
      </c>
    </row>
    <row r="401" customFormat="false" ht="15" hidden="false" customHeight="false" outlineLevel="0" collapsed="false">
      <c r="A401" s="8" t="s">
        <v>509</v>
      </c>
      <c r="B401" s="11" t="n">
        <v>45902</v>
      </c>
      <c r="C401" s="8" t="n">
        <f aca="false">MONTH(B401)</f>
        <v>9</v>
      </c>
      <c r="D401" s="8" t="s">
        <v>43</v>
      </c>
      <c r="E401" s="8" t="s">
        <v>40</v>
      </c>
      <c r="F401" s="8" t="s">
        <v>104</v>
      </c>
      <c r="G401" s="8" t="n">
        <v>7</v>
      </c>
      <c r="H401" s="12" t="n">
        <v>250</v>
      </c>
      <c r="I401" s="13" t="n">
        <v>0.05</v>
      </c>
      <c r="J401" s="12" t="n">
        <v>100</v>
      </c>
      <c r="K401" s="12" t="n">
        <f aca="false">G401*H401*(1-I401)</f>
        <v>1662.5</v>
      </c>
      <c r="L401" s="12" t="n">
        <f aca="false">K401-G401*J401</f>
        <v>962.5</v>
      </c>
    </row>
    <row r="402" customFormat="false" ht="15" hidden="false" customHeight="false" outlineLevel="0" collapsed="false">
      <c r="A402" s="8" t="s">
        <v>481</v>
      </c>
      <c r="B402" s="11" t="n">
        <v>45902</v>
      </c>
      <c r="C402" s="8" t="n">
        <f aca="false">MONTH(B402)</f>
        <v>9</v>
      </c>
      <c r="D402" s="8" t="s">
        <v>47</v>
      </c>
      <c r="E402" s="8" t="s">
        <v>40</v>
      </c>
      <c r="F402" s="8" t="s">
        <v>41</v>
      </c>
      <c r="G402" s="8" t="n">
        <v>8</v>
      </c>
      <c r="H402" s="12" t="n">
        <v>600</v>
      </c>
      <c r="I402" s="13" t="n">
        <v>0.05</v>
      </c>
      <c r="J402" s="12" t="n">
        <v>300</v>
      </c>
      <c r="K402" s="12" t="n">
        <f aca="false">G402*H402*(1-I402)</f>
        <v>4560</v>
      </c>
      <c r="L402" s="12" t="n">
        <f aca="false">K402-G402*J402</f>
        <v>2160</v>
      </c>
    </row>
    <row r="403" customFormat="false" ht="15" hidden="false" customHeight="false" outlineLevel="0" collapsed="false">
      <c r="A403" s="8" t="s">
        <v>473</v>
      </c>
      <c r="B403" s="11" t="n">
        <v>45903</v>
      </c>
      <c r="C403" s="8" t="n">
        <f aca="false">MONTH(B403)</f>
        <v>9</v>
      </c>
      <c r="D403" s="8" t="s">
        <v>47</v>
      </c>
      <c r="E403" s="8" t="s">
        <v>44</v>
      </c>
      <c r="F403" s="8" t="s">
        <v>45</v>
      </c>
      <c r="G403" s="8" t="n">
        <v>2</v>
      </c>
      <c r="H403" s="12" t="n">
        <v>1500</v>
      </c>
      <c r="I403" s="13" t="n">
        <v>0</v>
      </c>
      <c r="J403" s="12" t="n">
        <v>900</v>
      </c>
      <c r="K403" s="12" t="n">
        <f aca="false">G403*H403*(1-I403)</f>
        <v>3000</v>
      </c>
      <c r="L403" s="12" t="n">
        <f aca="false">K403-G403*J403</f>
        <v>1200</v>
      </c>
    </row>
    <row r="404" customFormat="false" ht="15" hidden="false" customHeight="false" outlineLevel="0" collapsed="false">
      <c r="A404" s="8" t="s">
        <v>507</v>
      </c>
      <c r="B404" s="11" t="n">
        <v>45903</v>
      </c>
      <c r="C404" s="8" t="n">
        <f aca="false">MONTH(B404)</f>
        <v>9</v>
      </c>
      <c r="D404" s="8" t="s">
        <v>43</v>
      </c>
      <c r="E404" s="8" t="s">
        <v>44</v>
      </c>
      <c r="F404" s="8" t="s">
        <v>45</v>
      </c>
      <c r="G404" s="8" t="n">
        <v>3</v>
      </c>
      <c r="H404" s="12" t="n">
        <v>1500</v>
      </c>
      <c r="I404" s="13" t="n">
        <v>0.05</v>
      </c>
      <c r="J404" s="12" t="n">
        <v>900</v>
      </c>
      <c r="K404" s="12" t="n">
        <f aca="false">G404*H404*(1-I404)</f>
        <v>4275</v>
      </c>
      <c r="L404" s="12" t="n">
        <f aca="false">K404-G404*J404</f>
        <v>1575</v>
      </c>
    </row>
    <row r="405" customFormat="false" ht="15" hidden="false" customHeight="false" outlineLevel="0" collapsed="false">
      <c r="A405" s="8" t="s">
        <v>499</v>
      </c>
      <c r="B405" s="11" t="n">
        <v>45903</v>
      </c>
      <c r="C405" s="8" t="n">
        <f aca="false">MONTH(B405)</f>
        <v>9</v>
      </c>
      <c r="D405" s="8" t="s">
        <v>47</v>
      </c>
      <c r="E405" s="8" t="s">
        <v>57</v>
      </c>
      <c r="F405" s="8" t="s">
        <v>86</v>
      </c>
      <c r="G405" s="8" t="n">
        <v>2</v>
      </c>
      <c r="H405" s="12" t="n">
        <v>1200</v>
      </c>
      <c r="I405" s="13" t="n">
        <v>0.05</v>
      </c>
      <c r="J405" s="12" t="n">
        <v>600</v>
      </c>
      <c r="K405" s="12" t="n">
        <f aca="false">G405*H405*(1-I405)</f>
        <v>2280</v>
      </c>
      <c r="L405" s="12" t="n">
        <f aca="false">K405-G405*J405</f>
        <v>1080</v>
      </c>
    </row>
    <row r="406" customFormat="false" ht="15" hidden="false" customHeight="false" outlineLevel="0" collapsed="false">
      <c r="A406" s="8" t="s">
        <v>468</v>
      </c>
      <c r="B406" s="11" t="n">
        <v>45904</v>
      </c>
      <c r="C406" s="8" t="n">
        <f aca="false">MONTH(B406)</f>
        <v>9</v>
      </c>
      <c r="D406" s="8" t="s">
        <v>55</v>
      </c>
      <c r="E406" s="8" t="s">
        <v>44</v>
      </c>
      <c r="F406" s="8" t="s">
        <v>60</v>
      </c>
      <c r="G406" s="8" t="n">
        <v>2</v>
      </c>
      <c r="H406" s="12" t="n">
        <v>2500</v>
      </c>
      <c r="I406" s="13" t="n">
        <v>0</v>
      </c>
      <c r="J406" s="12" t="n">
        <v>1600</v>
      </c>
      <c r="K406" s="12" t="n">
        <f aca="false">G406*H406*(1-I406)</f>
        <v>5000</v>
      </c>
      <c r="L406" s="12" t="n">
        <f aca="false">K406-G406*J406</f>
        <v>1800</v>
      </c>
    </row>
    <row r="407" customFormat="false" ht="15" hidden="false" customHeight="false" outlineLevel="0" collapsed="false">
      <c r="A407" s="8" t="s">
        <v>489</v>
      </c>
      <c r="B407" s="11" t="n">
        <v>45904</v>
      </c>
      <c r="C407" s="8" t="n">
        <f aca="false">MONTH(B407)</f>
        <v>9</v>
      </c>
      <c r="D407" s="8" t="s">
        <v>55</v>
      </c>
      <c r="E407" s="8" t="s">
        <v>40</v>
      </c>
      <c r="F407" s="8" t="s">
        <v>71</v>
      </c>
      <c r="G407" s="8" t="n">
        <v>9</v>
      </c>
      <c r="H407" s="12" t="n">
        <v>500</v>
      </c>
      <c r="I407" s="13" t="n">
        <v>0</v>
      </c>
      <c r="J407" s="12" t="n">
        <v>250</v>
      </c>
      <c r="K407" s="12" t="n">
        <f aca="false">G407*H407*(1-I407)</f>
        <v>4500</v>
      </c>
      <c r="L407" s="12" t="n">
        <f aca="false">K407-G407*J407</f>
        <v>2250</v>
      </c>
    </row>
    <row r="408" customFormat="false" ht="15" hidden="false" customHeight="false" outlineLevel="0" collapsed="false">
      <c r="A408" s="8" t="s">
        <v>517</v>
      </c>
      <c r="B408" s="11" t="n">
        <v>45905</v>
      </c>
      <c r="C408" s="8" t="n">
        <f aca="false">MONTH(B408)</f>
        <v>9</v>
      </c>
      <c r="D408" s="8" t="s">
        <v>47</v>
      </c>
      <c r="E408" s="8" t="s">
        <v>40</v>
      </c>
      <c r="F408" s="8" t="s">
        <v>71</v>
      </c>
      <c r="G408" s="8" t="n">
        <v>7</v>
      </c>
      <c r="H408" s="12" t="n">
        <v>500</v>
      </c>
      <c r="I408" s="13" t="n">
        <v>0</v>
      </c>
      <c r="J408" s="12" t="n">
        <v>250</v>
      </c>
      <c r="K408" s="12" t="n">
        <f aca="false">G408*H408*(1-I408)</f>
        <v>3500</v>
      </c>
      <c r="L408" s="12" t="n">
        <f aca="false">K408-G408*J408</f>
        <v>1750</v>
      </c>
    </row>
    <row r="409" customFormat="false" ht="15" hidden="false" customHeight="false" outlineLevel="0" collapsed="false">
      <c r="A409" s="8" t="s">
        <v>519</v>
      </c>
      <c r="B409" s="11" t="n">
        <v>45905</v>
      </c>
      <c r="C409" s="8" t="n">
        <f aca="false">MONTH(B409)</f>
        <v>9</v>
      </c>
      <c r="D409" s="8" t="s">
        <v>39</v>
      </c>
      <c r="E409" s="8" t="s">
        <v>57</v>
      </c>
      <c r="F409" s="8" t="s">
        <v>86</v>
      </c>
      <c r="G409" s="8" t="n">
        <v>2</v>
      </c>
      <c r="H409" s="12" t="n">
        <v>1200</v>
      </c>
      <c r="I409" s="13" t="n">
        <v>0</v>
      </c>
      <c r="J409" s="12" t="n">
        <v>600</v>
      </c>
      <c r="K409" s="12" t="n">
        <f aca="false">G409*H409*(1-I409)</f>
        <v>2400</v>
      </c>
      <c r="L409" s="12" t="n">
        <f aca="false">K409-G409*J409</f>
        <v>1200</v>
      </c>
    </row>
    <row r="410" customFormat="false" ht="15" hidden="false" customHeight="false" outlineLevel="0" collapsed="false">
      <c r="A410" s="8" t="s">
        <v>462</v>
      </c>
      <c r="B410" s="11" t="n">
        <v>45906</v>
      </c>
      <c r="C410" s="8" t="n">
        <f aca="false">MONTH(B410)</f>
        <v>9</v>
      </c>
      <c r="D410" s="8" t="s">
        <v>47</v>
      </c>
      <c r="E410" s="8" t="s">
        <v>44</v>
      </c>
      <c r="F410" s="8" t="s">
        <v>60</v>
      </c>
      <c r="G410" s="8" t="n">
        <v>2</v>
      </c>
      <c r="H410" s="12" t="n">
        <v>2500</v>
      </c>
      <c r="I410" s="13" t="n">
        <v>0.1</v>
      </c>
      <c r="J410" s="12" t="n">
        <v>1600</v>
      </c>
      <c r="K410" s="12" t="n">
        <f aca="false">G410*H410*(1-I410)</f>
        <v>4500</v>
      </c>
      <c r="L410" s="12" t="n">
        <f aca="false">K410-G410*J410</f>
        <v>1300</v>
      </c>
    </row>
    <row r="411" customFormat="false" ht="15" hidden="false" customHeight="false" outlineLevel="0" collapsed="false">
      <c r="A411" s="8" t="s">
        <v>463</v>
      </c>
      <c r="B411" s="11" t="n">
        <v>45906</v>
      </c>
      <c r="C411" s="8" t="n">
        <f aca="false">MONTH(B411)</f>
        <v>9</v>
      </c>
      <c r="D411" s="8" t="s">
        <v>47</v>
      </c>
      <c r="E411" s="8" t="s">
        <v>40</v>
      </c>
      <c r="F411" s="8" t="s">
        <v>41</v>
      </c>
      <c r="G411" s="8" t="n">
        <v>9</v>
      </c>
      <c r="H411" s="12" t="n">
        <v>600</v>
      </c>
      <c r="I411" s="13" t="n">
        <v>0.1</v>
      </c>
      <c r="J411" s="12" t="n">
        <v>300</v>
      </c>
      <c r="K411" s="12" t="n">
        <f aca="false">G411*H411*(1-I411)</f>
        <v>4860</v>
      </c>
      <c r="L411" s="12" t="n">
        <f aca="false">K411-G411*J411</f>
        <v>2160</v>
      </c>
    </row>
    <row r="412" customFormat="false" ht="15" hidden="false" customHeight="false" outlineLevel="0" collapsed="false">
      <c r="A412" s="8" t="s">
        <v>518</v>
      </c>
      <c r="B412" s="11" t="n">
        <v>45908</v>
      </c>
      <c r="C412" s="8" t="n">
        <f aca="false">MONTH(B412)</f>
        <v>9</v>
      </c>
      <c r="D412" s="8" t="s">
        <v>47</v>
      </c>
      <c r="E412" s="8" t="s">
        <v>57</v>
      </c>
      <c r="F412" s="8" t="s">
        <v>63</v>
      </c>
      <c r="G412" s="8" t="n">
        <v>1</v>
      </c>
      <c r="H412" s="12" t="n">
        <v>9000</v>
      </c>
      <c r="I412" s="13" t="n">
        <v>0</v>
      </c>
      <c r="J412" s="12" t="n">
        <v>6200</v>
      </c>
      <c r="K412" s="12" t="n">
        <f aca="false">G412*H412*(1-I412)</f>
        <v>9000</v>
      </c>
      <c r="L412" s="12" t="n">
        <f aca="false">K412-G412*J412</f>
        <v>2800</v>
      </c>
    </row>
    <row r="413" customFormat="false" ht="15" hidden="false" customHeight="false" outlineLevel="0" collapsed="false">
      <c r="A413" s="8" t="s">
        <v>494</v>
      </c>
      <c r="B413" s="11" t="n">
        <v>45908</v>
      </c>
      <c r="C413" s="8" t="n">
        <f aca="false">MONTH(B413)</f>
        <v>9</v>
      </c>
      <c r="D413" s="8" t="s">
        <v>39</v>
      </c>
      <c r="E413" s="8" t="s">
        <v>40</v>
      </c>
      <c r="F413" s="8" t="s">
        <v>41</v>
      </c>
      <c r="G413" s="8" t="n">
        <v>7</v>
      </c>
      <c r="H413" s="12" t="n">
        <v>600</v>
      </c>
      <c r="I413" s="13" t="n">
        <v>0.05</v>
      </c>
      <c r="J413" s="12" t="n">
        <v>300</v>
      </c>
      <c r="K413" s="12" t="n">
        <f aca="false">G413*H413*(1-I413)</f>
        <v>3990</v>
      </c>
      <c r="L413" s="12" t="n">
        <f aca="false">K413-G413*J413</f>
        <v>1890</v>
      </c>
    </row>
    <row r="414" customFormat="false" ht="15" hidden="false" customHeight="false" outlineLevel="0" collapsed="false">
      <c r="A414" s="8" t="s">
        <v>485</v>
      </c>
      <c r="B414" s="11" t="n">
        <v>45908</v>
      </c>
      <c r="C414" s="8" t="n">
        <f aca="false">MONTH(B414)</f>
        <v>9</v>
      </c>
      <c r="D414" s="8" t="s">
        <v>47</v>
      </c>
      <c r="E414" s="8" t="s">
        <v>57</v>
      </c>
      <c r="F414" s="8" t="s">
        <v>63</v>
      </c>
      <c r="G414" s="8" t="n">
        <v>3</v>
      </c>
      <c r="H414" s="12" t="n">
        <v>9000</v>
      </c>
      <c r="I414" s="13" t="n">
        <v>0</v>
      </c>
      <c r="J414" s="12" t="n">
        <v>6200</v>
      </c>
      <c r="K414" s="12" t="n">
        <f aca="false">G414*H414*(1-I414)</f>
        <v>27000</v>
      </c>
      <c r="L414" s="12" t="n">
        <f aca="false">K414-G414*J414</f>
        <v>8400</v>
      </c>
    </row>
    <row r="415" customFormat="false" ht="15" hidden="false" customHeight="false" outlineLevel="0" collapsed="false">
      <c r="A415" s="8" t="s">
        <v>510</v>
      </c>
      <c r="B415" s="11" t="n">
        <v>45909</v>
      </c>
      <c r="C415" s="8" t="n">
        <f aca="false">MONTH(B415)</f>
        <v>9</v>
      </c>
      <c r="D415" s="8" t="s">
        <v>39</v>
      </c>
      <c r="E415" s="8" t="s">
        <v>44</v>
      </c>
      <c r="F415" s="8" t="s">
        <v>60</v>
      </c>
      <c r="G415" s="8" t="n">
        <v>3</v>
      </c>
      <c r="H415" s="12" t="n">
        <v>2500</v>
      </c>
      <c r="I415" s="13" t="n">
        <v>0.05</v>
      </c>
      <c r="J415" s="12" t="n">
        <v>1600</v>
      </c>
      <c r="K415" s="12" t="n">
        <f aca="false">G415*H415*(1-I415)</f>
        <v>7125</v>
      </c>
      <c r="L415" s="12" t="n">
        <f aca="false">K415-G415*J415</f>
        <v>2325</v>
      </c>
    </row>
    <row r="416" customFormat="false" ht="15" hidden="false" customHeight="false" outlineLevel="0" collapsed="false">
      <c r="A416" s="8" t="s">
        <v>466</v>
      </c>
      <c r="B416" s="11" t="n">
        <v>45909</v>
      </c>
      <c r="C416" s="8" t="n">
        <f aca="false">MONTH(B416)</f>
        <v>9</v>
      </c>
      <c r="D416" s="8" t="s">
        <v>47</v>
      </c>
      <c r="E416" s="8" t="s">
        <v>57</v>
      </c>
      <c r="F416" s="8" t="s">
        <v>111</v>
      </c>
      <c r="G416" s="8" t="n">
        <v>3</v>
      </c>
      <c r="H416" s="12" t="n">
        <v>7000</v>
      </c>
      <c r="I416" s="13" t="n">
        <v>0</v>
      </c>
      <c r="J416" s="12" t="n">
        <v>4800</v>
      </c>
      <c r="K416" s="12" t="n">
        <f aca="false">G416*H416*(1-I416)</f>
        <v>21000</v>
      </c>
      <c r="L416" s="12" t="n">
        <f aca="false">K416-G416*J416</f>
        <v>6600</v>
      </c>
    </row>
    <row r="417" customFormat="false" ht="15" hidden="false" customHeight="false" outlineLevel="0" collapsed="false">
      <c r="A417" s="8" t="s">
        <v>506</v>
      </c>
      <c r="B417" s="11" t="n">
        <v>45909</v>
      </c>
      <c r="C417" s="8" t="n">
        <f aca="false">MONTH(B417)</f>
        <v>9</v>
      </c>
      <c r="D417" s="8" t="s">
        <v>47</v>
      </c>
      <c r="E417" s="8" t="s">
        <v>44</v>
      </c>
      <c r="F417" s="8" t="s">
        <v>48</v>
      </c>
      <c r="G417" s="8" t="n">
        <v>3</v>
      </c>
      <c r="H417" s="12" t="n">
        <v>4500</v>
      </c>
      <c r="I417" s="13" t="n">
        <v>0.05</v>
      </c>
      <c r="J417" s="12" t="n">
        <v>3300</v>
      </c>
      <c r="K417" s="12" t="n">
        <f aca="false">G417*H417*(1-I417)</f>
        <v>12825</v>
      </c>
      <c r="L417" s="12" t="n">
        <f aca="false">K417-G417*J417</f>
        <v>2925</v>
      </c>
    </row>
    <row r="418" customFormat="false" ht="15" hidden="false" customHeight="false" outlineLevel="0" collapsed="false">
      <c r="A418" s="8" t="s">
        <v>464</v>
      </c>
      <c r="B418" s="11" t="n">
        <v>45910</v>
      </c>
      <c r="C418" s="8" t="n">
        <f aca="false">MONTH(B418)</f>
        <v>9</v>
      </c>
      <c r="D418" s="8" t="s">
        <v>39</v>
      </c>
      <c r="E418" s="8" t="s">
        <v>44</v>
      </c>
      <c r="F418" s="8" t="s">
        <v>45</v>
      </c>
      <c r="G418" s="8" t="n">
        <v>2</v>
      </c>
      <c r="H418" s="12" t="n">
        <v>1500</v>
      </c>
      <c r="I418" s="13" t="n">
        <v>0</v>
      </c>
      <c r="J418" s="12" t="n">
        <v>900</v>
      </c>
      <c r="K418" s="12" t="n">
        <f aca="false">G418*H418*(1-I418)</f>
        <v>3000</v>
      </c>
      <c r="L418" s="12" t="n">
        <f aca="false">K418-G418*J418</f>
        <v>1200</v>
      </c>
    </row>
    <row r="419" customFormat="false" ht="15" hidden="false" customHeight="false" outlineLevel="0" collapsed="false">
      <c r="A419" s="8" t="s">
        <v>512</v>
      </c>
      <c r="B419" s="11" t="n">
        <v>45910</v>
      </c>
      <c r="C419" s="8" t="n">
        <f aca="false">MONTH(B419)</f>
        <v>9</v>
      </c>
      <c r="D419" s="8" t="s">
        <v>47</v>
      </c>
      <c r="E419" s="8" t="s">
        <v>44</v>
      </c>
      <c r="F419" s="8" t="s">
        <v>60</v>
      </c>
      <c r="G419" s="8" t="n">
        <v>3</v>
      </c>
      <c r="H419" s="12" t="n">
        <v>2500</v>
      </c>
      <c r="I419" s="13" t="n">
        <v>0.05</v>
      </c>
      <c r="J419" s="12" t="n">
        <v>1600</v>
      </c>
      <c r="K419" s="12" t="n">
        <f aca="false">G419*H419*(1-I419)</f>
        <v>7125</v>
      </c>
      <c r="L419" s="12" t="n">
        <f aca="false">K419-G419*J419</f>
        <v>2325</v>
      </c>
    </row>
    <row r="420" customFormat="false" ht="15" hidden="false" customHeight="false" outlineLevel="0" collapsed="false">
      <c r="A420" s="8" t="s">
        <v>488</v>
      </c>
      <c r="B420" s="11" t="n">
        <v>45910</v>
      </c>
      <c r="C420" s="8" t="n">
        <f aca="false">MONTH(B420)</f>
        <v>9</v>
      </c>
      <c r="D420" s="8" t="s">
        <v>43</v>
      </c>
      <c r="E420" s="8" t="s">
        <v>57</v>
      </c>
      <c r="F420" s="8" t="s">
        <v>111</v>
      </c>
      <c r="G420" s="8" t="n">
        <v>1</v>
      </c>
      <c r="H420" s="12" t="n">
        <v>7000</v>
      </c>
      <c r="I420" s="13" t="n">
        <v>0.05</v>
      </c>
      <c r="J420" s="12" t="n">
        <v>4800</v>
      </c>
      <c r="K420" s="12" t="n">
        <f aca="false">G420*H420*(1-I420)</f>
        <v>6650</v>
      </c>
      <c r="L420" s="12" t="n">
        <f aca="false">K420-G420*J420</f>
        <v>1850</v>
      </c>
    </row>
    <row r="421" customFormat="false" ht="15" hidden="false" customHeight="false" outlineLevel="0" collapsed="false">
      <c r="A421" s="8" t="s">
        <v>492</v>
      </c>
      <c r="B421" s="11" t="n">
        <v>45910</v>
      </c>
      <c r="C421" s="8" t="n">
        <f aca="false">MONTH(B421)</f>
        <v>9</v>
      </c>
      <c r="D421" s="8" t="s">
        <v>43</v>
      </c>
      <c r="E421" s="8" t="s">
        <v>57</v>
      </c>
      <c r="F421" s="8" t="s">
        <v>63</v>
      </c>
      <c r="G421" s="8" t="n">
        <v>3</v>
      </c>
      <c r="H421" s="12" t="n">
        <v>9000</v>
      </c>
      <c r="I421" s="13" t="n">
        <v>0.05</v>
      </c>
      <c r="J421" s="12" t="n">
        <v>6200</v>
      </c>
      <c r="K421" s="12" t="n">
        <f aca="false">G421*H421*(1-I421)</f>
        <v>25650</v>
      </c>
      <c r="L421" s="12" t="n">
        <f aca="false">K421-G421*J421</f>
        <v>7050</v>
      </c>
    </row>
    <row r="422" customFormat="false" ht="15" hidden="false" customHeight="false" outlineLevel="0" collapsed="false">
      <c r="A422" s="8" t="s">
        <v>465</v>
      </c>
      <c r="B422" s="11" t="n">
        <v>45911</v>
      </c>
      <c r="C422" s="8" t="n">
        <f aca="false">MONTH(B422)</f>
        <v>9</v>
      </c>
      <c r="D422" s="8" t="s">
        <v>39</v>
      </c>
      <c r="E422" s="8" t="s">
        <v>44</v>
      </c>
      <c r="F422" s="8" t="s">
        <v>50</v>
      </c>
      <c r="G422" s="8" t="n">
        <v>1</v>
      </c>
      <c r="H422" s="12" t="n">
        <v>3000</v>
      </c>
      <c r="I422" s="13" t="n">
        <v>0</v>
      </c>
      <c r="J422" s="12" t="n">
        <v>2000</v>
      </c>
      <c r="K422" s="12" t="n">
        <f aca="false">G422*H422*(1-I422)</f>
        <v>3000</v>
      </c>
      <c r="L422" s="12" t="n">
        <f aca="false">K422-G422*J422</f>
        <v>1000</v>
      </c>
    </row>
    <row r="423" customFormat="false" ht="15" hidden="false" customHeight="false" outlineLevel="0" collapsed="false">
      <c r="A423" s="8" t="s">
        <v>467</v>
      </c>
      <c r="B423" s="11" t="n">
        <v>45912</v>
      </c>
      <c r="C423" s="8" t="n">
        <f aca="false">MONTH(B423)</f>
        <v>9</v>
      </c>
      <c r="D423" s="8" t="s">
        <v>771</v>
      </c>
      <c r="E423" s="8" t="s">
        <v>44</v>
      </c>
      <c r="F423" s="8" t="s">
        <v>60</v>
      </c>
      <c r="G423" s="8" t="n">
        <v>1</v>
      </c>
      <c r="H423" s="12" t="n">
        <v>2500</v>
      </c>
      <c r="I423" s="13" t="n">
        <v>0</v>
      </c>
      <c r="J423" s="12" t="n">
        <v>1600</v>
      </c>
      <c r="K423" s="12" t="n">
        <f aca="false">G423*H423*(1-I423)</f>
        <v>2500</v>
      </c>
      <c r="L423" s="12" t="n">
        <f aca="false">K423-G423*J423</f>
        <v>900</v>
      </c>
    </row>
    <row r="424" customFormat="false" ht="15" hidden="false" customHeight="false" outlineLevel="0" collapsed="false">
      <c r="A424" s="8" t="s">
        <v>483</v>
      </c>
      <c r="B424" s="11" t="n">
        <v>45912</v>
      </c>
      <c r="C424" s="8" t="n">
        <f aca="false">MONTH(B424)</f>
        <v>9</v>
      </c>
      <c r="D424" s="8" t="s">
        <v>39</v>
      </c>
      <c r="E424" s="8" t="s">
        <v>40</v>
      </c>
      <c r="F424" s="8" t="s">
        <v>104</v>
      </c>
      <c r="G424" s="8" t="n">
        <v>9</v>
      </c>
      <c r="H424" s="12" t="n">
        <v>250</v>
      </c>
      <c r="I424" s="13" t="n">
        <v>0</v>
      </c>
      <c r="J424" s="12" t="n">
        <v>100</v>
      </c>
      <c r="K424" s="12" t="n">
        <f aca="false">G424*H424*(1-I424)</f>
        <v>2250</v>
      </c>
      <c r="L424" s="12" t="n">
        <f aca="false">K424-G424*J424</f>
        <v>1350</v>
      </c>
    </row>
    <row r="425" customFormat="false" ht="15" hidden="false" customHeight="false" outlineLevel="0" collapsed="false">
      <c r="A425" s="8" t="s">
        <v>496</v>
      </c>
      <c r="B425" s="11" t="n">
        <v>45912</v>
      </c>
      <c r="C425" s="8" t="n">
        <f aca="false">MONTH(B425)</f>
        <v>9</v>
      </c>
      <c r="D425" s="8" t="s">
        <v>39</v>
      </c>
      <c r="E425" s="8" t="s">
        <v>57</v>
      </c>
      <c r="F425" s="8" t="s">
        <v>86</v>
      </c>
      <c r="G425" s="8" t="n">
        <v>3</v>
      </c>
      <c r="H425" s="12" t="n">
        <v>1200</v>
      </c>
      <c r="I425" s="13" t="n">
        <v>0.05</v>
      </c>
      <c r="J425" s="12" t="n">
        <v>600</v>
      </c>
      <c r="K425" s="12" t="n">
        <f aca="false">G425*H425*(1-I425)</f>
        <v>3420</v>
      </c>
      <c r="L425" s="12" t="n">
        <f aca="false">K425-G425*J425</f>
        <v>1620</v>
      </c>
    </row>
    <row r="426" customFormat="false" ht="15" hidden="false" customHeight="false" outlineLevel="0" collapsed="false">
      <c r="A426" s="8" t="s">
        <v>520</v>
      </c>
      <c r="B426" s="11" t="n">
        <v>45914</v>
      </c>
      <c r="C426" s="8" t="n">
        <f aca="false">MONTH(B426)</f>
        <v>9</v>
      </c>
      <c r="D426" s="8" t="s">
        <v>39</v>
      </c>
      <c r="E426" s="8" t="s">
        <v>44</v>
      </c>
      <c r="F426" s="8" t="s">
        <v>48</v>
      </c>
      <c r="G426" s="8" t="n">
        <v>2</v>
      </c>
      <c r="H426" s="12" t="n">
        <v>4500</v>
      </c>
      <c r="I426" s="13" t="n">
        <v>0.05</v>
      </c>
      <c r="J426" s="12" t="n">
        <v>3300</v>
      </c>
      <c r="K426" s="12" t="n">
        <f aca="false">G426*H426*(1-I426)</f>
        <v>8550</v>
      </c>
      <c r="L426" s="12" t="n">
        <f aca="false">K426-G426*J426</f>
        <v>1950</v>
      </c>
    </row>
    <row r="427" customFormat="false" ht="15" hidden="false" customHeight="false" outlineLevel="0" collapsed="false">
      <c r="A427" s="8" t="s">
        <v>502</v>
      </c>
      <c r="B427" s="11" t="n">
        <v>45914</v>
      </c>
      <c r="C427" s="8" t="n">
        <f aca="false">MONTH(B427)</f>
        <v>9</v>
      </c>
      <c r="D427" s="8" t="s">
        <v>43</v>
      </c>
      <c r="E427" s="8" t="s">
        <v>40</v>
      </c>
      <c r="F427" s="8" t="s">
        <v>77</v>
      </c>
      <c r="G427" s="8" t="n">
        <v>4</v>
      </c>
      <c r="H427" s="12" t="n">
        <v>400</v>
      </c>
      <c r="I427" s="13" t="n">
        <v>0</v>
      </c>
      <c r="J427" s="12" t="n">
        <v>200</v>
      </c>
      <c r="K427" s="12" t="n">
        <f aca="false">G427*H427*(1-I427)</f>
        <v>1600</v>
      </c>
      <c r="L427" s="12" t="n">
        <f aca="false">K427-G427*J427</f>
        <v>800</v>
      </c>
    </row>
    <row r="428" customFormat="false" ht="15" hidden="false" customHeight="false" outlineLevel="0" collapsed="false">
      <c r="A428" s="8" t="s">
        <v>476</v>
      </c>
      <c r="B428" s="11" t="n">
        <v>45914</v>
      </c>
      <c r="C428" s="8" t="n">
        <f aca="false">MONTH(B428)</f>
        <v>9</v>
      </c>
      <c r="D428" s="8" t="s">
        <v>43</v>
      </c>
      <c r="E428" s="8" t="s">
        <v>44</v>
      </c>
      <c r="F428" s="8" t="s">
        <v>60</v>
      </c>
      <c r="G428" s="8" t="n">
        <v>2</v>
      </c>
      <c r="H428" s="12" t="n">
        <v>2500</v>
      </c>
      <c r="I428" s="13" t="n">
        <v>0.05</v>
      </c>
      <c r="J428" s="12" t="n">
        <v>1600</v>
      </c>
      <c r="K428" s="12" t="n">
        <f aca="false">G428*H428*(1-I428)</f>
        <v>4750</v>
      </c>
      <c r="L428" s="12" t="n">
        <f aca="false">K428-G428*J428</f>
        <v>1550</v>
      </c>
    </row>
    <row r="429" customFormat="false" ht="15" hidden="false" customHeight="false" outlineLevel="0" collapsed="false">
      <c r="A429" s="8" t="s">
        <v>500</v>
      </c>
      <c r="B429" s="11" t="n">
        <v>45915</v>
      </c>
      <c r="C429" s="8" t="n">
        <f aca="false">MONTH(B429)</f>
        <v>9</v>
      </c>
      <c r="D429" s="8" t="s">
        <v>771</v>
      </c>
      <c r="E429" s="8" t="s">
        <v>44</v>
      </c>
      <c r="F429" s="8" t="s">
        <v>45</v>
      </c>
      <c r="G429" s="8" t="n">
        <v>3</v>
      </c>
      <c r="H429" s="12" t="n">
        <v>1500</v>
      </c>
      <c r="I429" s="13" t="n">
        <v>0</v>
      </c>
      <c r="J429" s="12" t="n">
        <v>900</v>
      </c>
      <c r="K429" s="12" t="n">
        <f aca="false">G429*H429*(1-I429)</f>
        <v>4500</v>
      </c>
      <c r="L429" s="12" t="n">
        <f aca="false">K429-G429*J429</f>
        <v>1800</v>
      </c>
    </row>
    <row r="430" customFormat="false" ht="15" hidden="false" customHeight="false" outlineLevel="0" collapsed="false">
      <c r="A430" s="8" t="s">
        <v>475</v>
      </c>
      <c r="B430" s="11" t="n">
        <v>45915</v>
      </c>
      <c r="C430" s="8" t="n">
        <f aca="false">MONTH(B430)</f>
        <v>9</v>
      </c>
      <c r="D430" s="8" t="s">
        <v>47</v>
      </c>
      <c r="E430" s="8" t="s">
        <v>40</v>
      </c>
      <c r="F430" s="8" t="s">
        <v>71</v>
      </c>
      <c r="G430" s="8" t="n">
        <v>9</v>
      </c>
      <c r="H430" s="12" t="n">
        <v>500</v>
      </c>
      <c r="I430" s="13" t="n">
        <v>0</v>
      </c>
      <c r="J430" s="12" t="n">
        <v>250</v>
      </c>
      <c r="K430" s="12" t="n">
        <f aca="false">G430*H430*(1-I430)</f>
        <v>4500</v>
      </c>
      <c r="L430" s="12" t="n">
        <f aca="false">K430-G430*J430</f>
        <v>2250</v>
      </c>
    </row>
    <row r="431" customFormat="false" ht="15" hidden="false" customHeight="false" outlineLevel="0" collapsed="false">
      <c r="A431" s="8" t="s">
        <v>515</v>
      </c>
      <c r="B431" s="11" t="n">
        <v>45915</v>
      </c>
      <c r="C431" s="8" t="n">
        <f aca="false">MONTH(B431)</f>
        <v>9</v>
      </c>
      <c r="D431" s="8" t="s">
        <v>39</v>
      </c>
      <c r="E431" s="8" t="s">
        <v>44</v>
      </c>
      <c r="F431" s="8" t="s">
        <v>60</v>
      </c>
      <c r="G431" s="8" t="n">
        <v>2</v>
      </c>
      <c r="H431" s="12" t="n">
        <v>2500</v>
      </c>
      <c r="I431" s="13" t="n">
        <v>0</v>
      </c>
      <c r="J431" s="12" t="n">
        <v>1600</v>
      </c>
      <c r="K431" s="12" t="n">
        <f aca="false">G431*H431*(1-I431)</f>
        <v>5000</v>
      </c>
      <c r="L431" s="12" t="n">
        <f aca="false">K431-G431*J431</f>
        <v>1800</v>
      </c>
    </row>
    <row r="432" customFormat="false" ht="15" hidden="false" customHeight="false" outlineLevel="0" collapsed="false">
      <c r="A432" s="8" t="s">
        <v>469</v>
      </c>
      <c r="B432" s="11" t="n">
        <v>45915</v>
      </c>
      <c r="C432" s="8" t="n">
        <f aca="false">MONTH(B432)</f>
        <v>9</v>
      </c>
      <c r="D432" s="8" t="s">
        <v>47</v>
      </c>
      <c r="E432" s="8" t="s">
        <v>57</v>
      </c>
      <c r="F432" s="8" t="s">
        <v>63</v>
      </c>
      <c r="G432" s="8" t="n">
        <v>2</v>
      </c>
      <c r="H432" s="12" t="n">
        <v>9000</v>
      </c>
      <c r="I432" s="13" t="n">
        <v>0.1</v>
      </c>
      <c r="J432" s="12" t="n">
        <v>6200</v>
      </c>
      <c r="K432" s="12" t="n">
        <f aca="false">G432*H432*(1-I432)</f>
        <v>16200</v>
      </c>
      <c r="L432" s="12" t="n">
        <f aca="false">K432-G432*J432</f>
        <v>3800</v>
      </c>
    </row>
    <row r="433" customFormat="false" ht="15" hidden="false" customHeight="false" outlineLevel="0" collapsed="false">
      <c r="A433" s="8" t="s">
        <v>503</v>
      </c>
      <c r="B433" s="11" t="n">
        <v>45917</v>
      </c>
      <c r="C433" s="8" t="n">
        <f aca="false">MONTH(B433)</f>
        <v>9</v>
      </c>
      <c r="D433" s="8" t="s">
        <v>55</v>
      </c>
      <c r="E433" s="8" t="s">
        <v>40</v>
      </c>
      <c r="F433" s="8" t="s">
        <v>77</v>
      </c>
      <c r="G433" s="8" t="n">
        <v>2</v>
      </c>
      <c r="H433" s="12" t="n">
        <v>400</v>
      </c>
      <c r="I433" s="13" t="n">
        <v>0</v>
      </c>
      <c r="J433" s="12" t="n">
        <v>200</v>
      </c>
      <c r="K433" s="12" t="n">
        <f aca="false">G433*H433*(1-I433)</f>
        <v>800</v>
      </c>
      <c r="L433" s="12" t="n">
        <f aca="false">K433-G433*J433</f>
        <v>400</v>
      </c>
    </row>
    <row r="434" customFormat="false" ht="15" hidden="false" customHeight="false" outlineLevel="0" collapsed="false">
      <c r="A434" s="8" t="s">
        <v>486</v>
      </c>
      <c r="B434" s="11" t="n">
        <v>45917</v>
      </c>
      <c r="C434" s="8" t="n">
        <f aca="false">MONTH(B434)</f>
        <v>9</v>
      </c>
      <c r="D434" s="8" t="s">
        <v>39</v>
      </c>
      <c r="E434" s="8" t="s">
        <v>44</v>
      </c>
      <c r="F434" s="8" t="s">
        <v>48</v>
      </c>
      <c r="G434" s="8" t="n">
        <v>1</v>
      </c>
      <c r="H434" s="12" t="n">
        <v>4500</v>
      </c>
      <c r="I434" s="13" t="n">
        <v>0</v>
      </c>
      <c r="J434" s="12" t="n">
        <v>3300</v>
      </c>
      <c r="K434" s="12" t="n">
        <f aca="false">G434*H434*(1-I434)</f>
        <v>4500</v>
      </c>
      <c r="L434" s="12" t="n">
        <f aca="false">K434-G434*J434</f>
        <v>1200</v>
      </c>
    </row>
    <row r="435" customFormat="false" ht="15" hidden="false" customHeight="false" outlineLevel="0" collapsed="false">
      <c r="A435" s="8" t="s">
        <v>484</v>
      </c>
      <c r="B435" s="11" t="n">
        <v>45917</v>
      </c>
      <c r="C435" s="8" t="n">
        <f aca="false">MONTH(B435)</f>
        <v>9</v>
      </c>
      <c r="D435" s="8" t="s">
        <v>43</v>
      </c>
      <c r="E435" s="8" t="s">
        <v>57</v>
      </c>
      <c r="F435" s="8" t="s">
        <v>86</v>
      </c>
      <c r="G435" s="8" t="n">
        <v>3</v>
      </c>
      <c r="H435" s="12" t="n">
        <v>1200</v>
      </c>
      <c r="I435" s="13" t="n">
        <v>0</v>
      </c>
      <c r="J435" s="12" t="n">
        <v>600</v>
      </c>
      <c r="K435" s="12" t="n">
        <f aca="false">G435*H435*(1-I435)</f>
        <v>3600</v>
      </c>
      <c r="L435" s="12" t="n">
        <f aca="false">K435-G435*J435</f>
        <v>1800</v>
      </c>
    </row>
    <row r="436" customFormat="false" ht="15" hidden="false" customHeight="false" outlineLevel="0" collapsed="false">
      <c r="A436" s="8" t="s">
        <v>522</v>
      </c>
      <c r="B436" s="11" t="n">
        <v>45917</v>
      </c>
      <c r="C436" s="8" t="n">
        <f aca="false">MONTH(B436)</f>
        <v>9</v>
      </c>
      <c r="D436" s="8" t="s">
        <v>47</v>
      </c>
      <c r="E436" s="8" t="s">
        <v>40</v>
      </c>
      <c r="F436" s="8" t="s">
        <v>71</v>
      </c>
      <c r="G436" s="8" t="n">
        <v>4</v>
      </c>
      <c r="H436" s="12" t="n">
        <v>500</v>
      </c>
      <c r="I436" s="13" t="n">
        <v>0</v>
      </c>
      <c r="J436" s="12" t="n">
        <v>250</v>
      </c>
      <c r="K436" s="12" t="n">
        <f aca="false">G436*H436*(1-I436)</f>
        <v>2000</v>
      </c>
      <c r="L436" s="12" t="n">
        <f aca="false">K436-G436*J436</f>
        <v>1000</v>
      </c>
    </row>
    <row r="437" customFormat="false" ht="15" hidden="false" customHeight="false" outlineLevel="0" collapsed="false">
      <c r="A437" s="8" t="s">
        <v>521</v>
      </c>
      <c r="B437" s="11" t="n">
        <v>45919</v>
      </c>
      <c r="C437" s="8" t="n">
        <f aca="false">MONTH(B437)</f>
        <v>9</v>
      </c>
      <c r="D437" s="8" t="s">
        <v>55</v>
      </c>
      <c r="E437" s="8" t="s">
        <v>44</v>
      </c>
      <c r="F437" s="8" t="s">
        <v>50</v>
      </c>
      <c r="G437" s="8" t="n">
        <v>1</v>
      </c>
      <c r="H437" s="12" t="n">
        <v>3000</v>
      </c>
      <c r="I437" s="13" t="n">
        <v>0</v>
      </c>
      <c r="J437" s="12" t="n">
        <v>2000</v>
      </c>
      <c r="K437" s="12" t="n">
        <f aca="false">G437*H437*(1-I437)</f>
        <v>3000</v>
      </c>
      <c r="L437" s="12" t="n">
        <f aca="false">K437-G437*J437</f>
        <v>1000</v>
      </c>
    </row>
    <row r="438" customFormat="false" ht="15" hidden="false" customHeight="false" outlineLevel="0" collapsed="false">
      <c r="A438" s="8" t="s">
        <v>472</v>
      </c>
      <c r="B438" s="11" t="n">
        <v>45920</v>
      </c>
      <c r="C438" s="8" t="n">
        <f aca="false">MONTH(B438)</f>
        <v>9</v>
      </c>
      <c r="D438" s="8" t="s">
        <v>43</v>
      </c>
      <c r="E438" s="8" t="s">
        <v>44</v>
      </c>
      <c r="F438" s="8" t="s">
        <v>48</v>
      </c>
      <c r="G438" s="8" t="n">
        <v>1</v>
      </c>
      <c r="H438" s="12" t="n">
        <v>4500</v>
      </c>
      <c r="I438" s="13" t="n">
        <v>0</v>
      </c>
      <c r="J438" s="12" t="n">
        <v>3300</v>
      </c>
      <c r="K438" s="12" t="n">
        <f aca="false">G438*H438*(1-I438)</f>
        <v>4500</v>
      </c>
      <c r="L438" s="12" t="n">
        <f aca="false">K438-G438*J438</f>
        <v>1200</v>
      </c>
    </row>
    <row r="439" customFormat="false" ht="15" hidden="false" customHeight="false" outlineLevel="0" collapsed="false">
      <c r="A439" s="8" t="s">
        <v>474</v>
      </c>
      <c r="B439" s="11" t="n">
        <v>45920</v>
      </c>
      <c r="C439" s="8" t="n">
        <f aca="false">MONTH(B439)</f>
        <v>9</v>
      </c>
      <c r="D439" s="8" t="s">
        <v>43</v>
      </c>
      <c r="E439" s="8" t="s">
        <v>57</v>
      </c>
      <c r="F439" s="8" t="s">
        <v>63</v>
      </c>
      <c r="G439" s="8" t="n">
        <v>2</v>
      </c>
      <c r="H439" s="12" t="n">
        <v>9000</v>
      </c>
      <c r="I439" s="13" t="n">
        <v>0</v>
      </c>
      <c r="J439" s="12" t="n">
        <v>6200</v>
      </c>
      <c r="K439" s="12" t="n">
        <f aca="false">G439*H439*(1-I439)</f>
        <v>18000</v>
      </c>
      <c r="L439" s="12" t="n">
        <f aca="false">K439-G439*J439</f>
        <v>5600</v>
      </c>
    </row>
    <row r="440" customFormat="false" ht="15" hidden="false" customHeight="false" outlineLevel="0" collapsed="false">
      <c r="A440" s="8" t="s">
        <v>497</v>
      </c>
      <c r="B440" s="11" t="n">
        <v>45920</v>
      </c>
      <c r="C440" s="8" t="n">
        <f aca="false">MONTH(B440)</f>
        <v>9</v>
      </c>
      <c r="D440" s="8" t="s">
        <v>55</v>
      </c>
      <c r="E440" s="8" t="s">
        <v>57</v>
      </c>
      <c r="F440" s="8" t="s">
        <v>86</v>
      </c>
      <c r="G440" s="8" t="n">
        <v>3</v>
      </c>
      <c r="H440" s="12" t="n">
        <v>1200</v>
      </c>
      <c r="I440" s="13" t="n">
        <v>0</v>
      </c>
      <c r="J440" s="12" t="n">
        <v>600</v>
      </c>
      <c r="K440" s="12" t="n">
        <f aca="false">G440*H440*(1-I440)</f>
        <v>3600</v>
      </c>
      <c r="L440" s="12" t="n">
        <f aca="false">K440-G440*J440</f>
        <v>1800</v>
      </c>
    </row>
    <row r="441" customFormat="false" ht="15" hidden="false" customHeight="false" outlineLevel="0" collapsed="false">
      <c r="A441" s="8" t="s">
        <v>511</v>
      </c>
      <c r="B441" s="11" t="n">
        <v>45921</v>
      </c>
      <c r="C441" s="8" t="n">
        <f aca="false">MONTH(B441)</f>
        <v>9</v>
      </c>
      <c r="D441" s="8" t="s">
        <v>39</v>
      </c>
      <c r="E441" s="8" t="s">
        <v>40</v>
      </c>
      <c r="F441" s="8" t="s">
        <v>41</v>
      </c>
      <c r="G441" s="8" t="n">
        <v>8</v>
      </c>
      <c r="H441" s="12" t="n">
        <v>600</v>
      </c>
      <c r="I441" s="13" t="n">
        <v>0.05</v>
      </c>
      <c r="J441" s="12" t="n">
        <v>300</v>
      </c>
      <c r="K441" s="12" t="n">
        <f aca="false">G441*H441*(1-I441)</f>
        <v>4560</v>
      </c>
      <c r="L441" s="12" t="n">
        <f aca="false">K441-G441*J441</f>
        <v>2160</v>
      </c>
    </row>
    <row r="442" customFormat="false" ht="15" hidden="false" customHeight="false" outlineLevel="0" collapsed="false">
      <c r="A442" s="8" t="s">
        <v>479</v>
      </c>
      <c r="B442" s="11" t="n">
        <v>45922</v>
      </c>
      <c r="C442" s="8" t="n">
        <f aca="false">MONTH(B442)</f>
        <v>9</v>
      </c>
      <c r="D442" s="8" t="s">
        <v>55</v>
      </c>
      <c r="E442" s="8" t="s">
        <v>44</v>
      </c>
      <c r="F442" s="8" t="s">
        <v>45</v>
      </c>
      <c r="G442" s="8" t="n">
        <v>1</v>
      </c>
      <c r="H442" s="12" t="n">
        <v>1500</v>
      </c>
      <c r="I442" s="13" t="n">
        <v>0.05</v>
      </c>
      <c r="J442" s="12" t="n">
        <v>900</v>
      </c>
      <c r="K442" s="12" t="n">
        <f aca="false">G442*H442*(1-I442)</f>
        <v>1425</v>
      </c>
      <c r="L442" s="12" t="n">
        <f aca="false">K442-G442*J442</f>
        <v>525</v>
      </c>
    </row>
    <row r="443" customFormat="false" ht="15" hidden="false" customHeight="false" outlineLevel="0" collapsed="false">
      <c r="A443" s="8" t="s">
        <v>478</v>
      </c>
      <c r="B443" s="11" t="n">
        <v>45922</v>
      </c>
      <c r="C443" s="8" t="n">
        <f aca="false">MONTH(B443)</f>
        <v>9</v>
      </c>
      <c r="D443" s="8" t="s">
        <v>47</v>
      </c>
      <c r="E443" s="8" t="s">
        <v>40</v>
      </c>
      <c r="F443" s="8" t="s">
        <v>41</v>
      </c>
      <c r="G443" s="8" t="n">
        <v>10</v>
      </c>
      <c r="H443" s="12" t="n">
        <v>600</v>
      </c>
      <c r="I443" s="13" t="n">
        <v>0.1</v>
      </c>
      <c r="J443" s="12" t="n">
        <v>300</v>
      </c>
      <c r="K443" s="12" t="n">
        <f aca="false">G443*H443*(1-I443)</f>
        <v>5400</v>
      </c>
      <c r="L443" s="12" t="n">
        <f aca="false">K443-G443*J443</f>
        <v>2400</v>
      </c>
    </row>
    <row r="444" customFormat="false" ht="15" hidden="false" customHeight="false" outlineLevel="0" collapsed="false">
      <c r="A444" s="8" t="s">
        <v>508</v>
      </c>
      <c r="B444" s="11" t="n">
        <v>45922</v>
      </c>
      <c r="C444" s="8" t="n">
        <f aca="false">MONTH(B444)</f>
        <v>9</v>
      </c>
      <c r="D444" s="8" t="s">
        <v>43</v>
      </c>
      <c r="E444" s="8" t="s">
        <v>40</v>
      </c>
      <c r="F444" s="8" t="s">
        <v>77</v>
      </c>
      <c r="G444" s="8" t="n">
        <v>4</v>
      </c>
      <c r="H444" s="12" t="n">
        <v>400</v>
      </c>
      <c r="I444" s="13" t="n">
        <v>0</v>
      </c>
      <c r="J444" s="12" t="n">
        <v>200</v>
      </c>
      <c r="K444" s="12" t="n">
        <f aca="false">G444*H444*(1-I444)</f>
        <v>1600</v>
      </c>
      <c r="L444" s="12" t="n">
        <f aca="false">K444-G444*J444</f>
        <v>800</v>
      </c>
    </row>
    <row r="445" customFormat="false" ht="15" hidden="false" customHeight="false" outlineLevel="0" collapsed="false">
      <c r="A445" s="8" t="s">
        <v>477</v>
      </c>
      <c r="B445" s="11" t="n">
        <v>45922</v>
      </c>
      <c r="C445" s="8" t="n">
        <f aca="false">MONTH(B445)</f>
        <v>9</v>
      </c>
      <c r="D445" s="8" t="s">
        <v>43</v>
      </c>
      <c r="E445" s="8" t="s">
        <v>57</v>
      </c>
      <c r="F445" s="8" t="s">
        <v>111</v>
      </c>
      <c r="G445" s="8" t="n">
        <v>1</v>
      </c>
      <c r="H445" s="12" t="n">
        <v>7000</v>
      </c>
      <c r="I445" s="13" t="n">
        <v>0</v>
      </c>
      <c r="J445" s="12" t="n">
        <v>4800</v>
      </c>
      <c r="K445" s="12" t="n">
        <f aca="false">G445*H445*(1-I445)</f>
        <v>7000</v>
      </c>
      <c r="L445" s="12" t="n">
        <f aca="false">K445-G445*J445</f>
        <v>2200</v>
      </c>
    </row>
    <row r="446" customFormat="false" ht="15" hidden="false" customHeight="false" outlineLevel="0" collapsed="false">
      <c r="A446" s="8" t="s">
        <v>491</v>
      </c>
      <c r="B446" s="11" t="n">
        <v>45922</v>
      </c>
      <c r="C446" s="8" t="n">
        <f aca="false">MONTH(B446)</f>
        <v>9</v>
      </c>
      <c r="D446" s="8" t="s">
        <v>55</v>
      </c>
      <c r="E446" s="8" t="s">
        <v>57</v>
      </c>
      <c r="F446" s="8" t="s">
        <v>86</v>
      </c>
      <c r="G446" s="8" t="n">
        <v>3</v>
      </c>
      <c r="H446" s="12" t="n">
        <v>1200</v>
      </c>
      <c r="I446" s="13" t="n">
        <v>0</v>
      </c>
      <c r="J446" s="12" t="n">
        <v>600</v>
      </c>
      <c r="K446" s="12" t="n">
        <f aca="false">G446*H446*(1-I446)</f>
        <v>3600</v>
      </c>
      <c r="L446" s="12" t="n">
        <f aca="false">K446-G446*J446</f>
        <v>1800</v>
      </c>
    </row>
    <row r="447" customFormat="false" ht="15" hidden="false" customHeight="false" outlineLevel="0" collapsed="false">
      <c r="A447" s="8" t="s">
        <v>490</v>
      </c>
      <c r="B447" s="11" t="n">
        <v>45923</v>
      </c>
      <c r="C447" s="8" t="n">
        <f aca="false">MONTH(B447)</f>
        <v>9</v>
      </c>
      <c r="D447" s="8" t="s">
        <v>55</v>
      </c>
      <c r="E447" s="8" t="s">
        <v>44</v>
      </c>
      <c r="F447" s="8" t="s">
        <v>45</v>
      </c>
      <c r="G447" s="8" t="n">
        <v>2</v>
      </c>
      <c r="H447" s="12" t="n">
        <v>1500</v>
      </c>
      <c r="I447" s="13" t="n">
        <v>0</v>
      </c>
      <c r="J447" s="12" t="n">
        <v>900</v>
      </c>
      <c r="K447" s="12" t="n">
        <f aca="false">G447*H447*(1-I447)</f>
        <v>3000</v>
      </c>
      <c r="L447" s="12" t="n">
        <f aca="false">K447-G447*J447</f>
        <v>1200</v>
      </c>
    </row>
    <row r="448" customFormat="false" ht="15" hidden="false" customHeight="false" outlineLevel="0" collapsed="false">
      <c r="A448" s="8" t="s">
        <v>514</v>
      </c>
      <c r="B448" s="11" t="n">
        <v>45923</v>
      </c>
      <c r="C448" s="8" t="n">
        <f aca="false">MONTH(B448)</f>
        <v>9</v>
      </c>
      <c r="D448" s="8" t="s">
        <v>47</v>
      </c>
      <c r="E448" s="8" t="s">
        <v>40</v>
      </c>
      <c r="F448" s="8" t="s">
        <v>41</v>
      </c>
      <c r="G448" s="8" t="n">
        <v>9</v>
      </c>
      <c r="H448" s="12" t="n">
        <v>600</v>
      </c>
      <c r="I448" s="13" t="n">
        <v>0</v>
      </c>
      <c r="J448" s="12" t="n">
        <v>300</v>
      </c>
      <c r="K448" s="12" t="n">
        <f aca="false">G448*H448*(1-I448)</f>
        <v>5400</v>
      </c>
      <c r="L448" s="12" t="n">
        <f aca="false">K448-G448*J448</f>
        <v>2700</v>
      </c>
    </row>
    <row r="449" customFormat="false" ht="15" hidden="false" customHeight="false" outlineLevel="0" collapsed="false">
      <c r="A449" s="8" t="s">
        <v>504</v>
      </c>
      <c r="B449" s="11" t="n">
        <v>45923</v>
      </c>
      <c r="C449" s="8" t="n">
        <f aca="false">MONTH(B449)</f>
        <v>9</v>
      </c>
      <c r="D449" s="8" t="s">
        <v>47</v>
      </c>
      <c r="E449" s="8" t="s">
        <v>44</v>
      </c>
      <c r="F449" s="8" t="s">
        <v>45</v>
      </c>
      <c r="G449" s="8" t="n">
        <v>1</v>
      </c>
      <c r="H449" s="12" t="n">
        <v>1500</v>
      </c>
      <c r="I449" s="13" t="n">
        <v>0</v>
      </c>
      <c r="J449" s="12" t="n">
        <v>900</v>
      </c>
      <c r="K449" s="12" t="n">
        <f aca="false">G449*H449*(1-I449)</f>
        <v>1500</v>
      </c>
      <c r="L449" s="12" t="n">
        <f aca="false">K449-G449*J449</f>
        <v>600</v>
      </c>
    </row>
    <row r="450" customFormat="false" ht="15" hidden="false" customHeight="false" outlineLevel="0" collapsed="false">
      <c r="A450" s="8" t="s">
        <v>493</v>
      </c>
      <c r="B450" s="11" t="n">
        <v>45923</v>
      </c>
      <c r="C450" s="8" t="n">
        <f aca="false">MONTH(B450)</f>
        <v>9</v>
      </c>
      <c r="D450" s="8" t="s">
        <v>55</v>
      </c>
      <c r="E450" s="8" t="s">
        <v>57</v>
      </c>
      <c r="F450" s="8" t="s">
        <v>111</v>
      </c>
      <c r="G450" s="8" t="n">
        <v>3</v>
      </c>
      <c r="H450" s="12" t="n">
        <v>7000</v>
      </c>
      <c r="I450" s="13" t="n">
        <v>0.1</v>
      </c>
      <c r="J450" s="12" t="n">
        <v>4800</v>
      </c>
      <c r="K450" s="12" t="n">
        <f aca="false">G450*H450*(1-I450)</f>
        <v>18900</v>
      </c>
      <c r="L450" s="12" t="n">
        <f aca="false">K450-G450*J450</f>
        <v>4500</v>
      </c>
    </row>
    <row r="451" customFormat="false" ht="15" hidden="false" customHeight="false" outlineLevel="0" collapsed="false">
      <c r="A451" s="8" t="s">
        <v>470</v>
      </c>
      <c r="B451" s="11" t="n">
        <v>45923</v>
      </c>
      <c r="C451" s="8" t="n">
        <f aca="false">MONTH(B451)</f>
        <v>9</v>
      </c>
      <c r="D451" s="8" t="s">
        <v>47</v>
      </c>
      <c r="E451" s="8" t="s">
        <v>57</v>
      </c>
      <c r="F451" s="8" t="s">
        <v>58</v>
      </c>
      <c r="G451" s="8" t="n">
        <v>1</v>
      </c>
      <c r="H451" s="12" t="n">
        <v>5500</v>
      </c>
      <c r="I451" s="13" t="n">
        <v>0</v>
      </c>
      <c r="J451" s="12" t="n">
        <v>3600</v>
      </c>
      <c r="K451" s="12" t="n">
        <f aca="false">G451*H451*(1-I451)</f>
        <v>5500</v>
      </c>
      <c r="L451" s="12" t="n">
        <f aca="false">K451-G451*J451</f>
        <v>1900</v>
      </c>
    </row>
    <row r="452" customFormat="false" ht="15" hidden="false" customHeight="false" outlineLevel="0" collapsed="false">
      <c r="A452" s="8" t="s">
        <v>498</v>
      </c>
      <c r="B452" s="11" t="n">
        <v>45924</v>
      </c>
      <c r="C452" s="8" t="n">
        <f aca="false">MONTH(B452)</f>
        <v>9</v>
      </c>
      <c r="D452" s="8" t="s">
        <v>39</v>
      </c>
      <c r="E452" s="8" t="s">
        <v>44</v>
      </c>
      <c r="F452" s="8" t="s">
        <v>48</v>
      </c>
      <c r="G452" s="8" t="n">
        <v>2</v>
      </c>
      <c r="H452" s="12" t="n">
        <v>4500</v>
      </c>
      <c r="I452" s="13" t="n">
        <v>0.1</v>
      </c>
      <c r="J452" s="12" t="n">
        <v>3300</v>
      </c>
      <c r="K452" s="12" t="n">
        <f aca="false">G452*H452*(1-I452)</f>
        <v>8100</v>
      </c>
      <c r="L452" s="12" t="n">
        <f aca="false">K452-G452*J452</f>
        <v>1500</v>
      </c>
    </row>
    <row r="453" customFormat="false" ht="15" hidden="false" customHeight="false" outlineLevel="0" collapsed="false">
      <c r="A453" s="8" t="s">
        <v>480</v>
      </c>
      <c r="B453" s="11" t="n">
        <v>45925</v>
      </c>
      <c r="C453" s="8" t="n">
        <f aca="false">MONTH(B453)</f>
        <v>9</v>
      </c>
      <c r="D453" s="8" t="s">
        <v>39</v>
      </c>
      <c r="E453" s="8" t="s">
        <v>57</v>
      </c>
      <c r="F453" s="8" t="s">
        <v>86</v>
      </c>
      <c r="G453" s="8" t="n">
        <v>1</v>
      </c>
      <c r="H453" s="12" t="n">
        <v>1200</v>
      </c>
      <c r="I453" s="13" t="n">
        <v>0</v>
      </c>
      <c r="J453" s="12" t="n">
        <v>600</v>
      </c>
      <c r="K453" s="12" t="n">
        <f aca="false">G453*H453*(1-I453)</f>
        <v>1200</v>
      </c>
      <c r="L453" s="12" t="n">
        <f aca="false">K453-G453*J453</f>
        <v>600</v>
      </c>
    </row>
    <row r="454" customFormat="false" ht="15" hidden="false" customHeight="false" outlineLevel="0" collapsed="false">
      <c r="A454" s="8" t="s">
        <v>487</v>
      </c>
      <c r="B454" s="11" t="n">
        <v>45925</v>
      </c>
      <c r="C454" s="8" t="n">
        <f aca="false">MONTH(B454)</f>
        <v>9</v>
      </c>
      <c r="D454" s="8" t="s">
        <v>55</v>
      </c>
      <c r="E454" s="8" t="s">
        <v>57</v>
      </c>
      <c r="F454" s="8" t="s">
        <v>58</v>
      </c>
      <c r="G454" s="8" t="n">
        <v>1</v>
      </c>
      <c r="H454" s="12" t="n">
        <v>5500</v>
      </c>
      <c r="I454" s="13" t="n">
        <v>0</v>
      </c>
      <c r="J454" s="12" t="n">
        <v>3600</v>
      </c>
      <c r="K454" s="12" t="n">
        <f aca="false">G454*H454*(1-I454)</f>
        <v>5500</v>
      </c>
      <c r="L454" s="12" t="n">
        <f aca="false">K454-G454*J454</f>
        <v>1900</v>
      </c>
    </row>
    <row r="455" customFormat="false" ht="15" hidden="false" customHeight="false" outlineLevel="0" collapsed="false">
      <c r="A455" s="8" t="s">
        <v>471</v>
      </c>
      <c r="B455" s="11" t="n">
        <v>45926</v>
      </c>
      <c r="C455" s="8" t="n">
        <f aca="false">MONTH(B455)</f>
        <v>9</v>
      </c>
      <c r="D455" s="8" t="s">
        <v>47</v>
      </c>
      <c r="E455" s="8" t="s">
        <v>57</v>
      </c>
      <c r="F455" s="8" t="s">
        <v>86</v>
      </c>
      <c r="G455" s="8" t="n">
        <v>3</v>
      </c>
      <c r="H455" s="12" t="n">
        <v>1200</v>
      </c>
      <c r="I455" s="13" t="n">
        <v>0</v>
      </c>
      <c r="J455" s="12" t="n">
        <v>600</v>
      </c>
      <c r="K455" s="12" t="n">
        <f aca="false">G455*H455*(1-I455)</f>
        <v>3600</v>
      </c>
      <c r="L455" s="12" t="n">
        <f aca="false">K455-G455*J455</f>
        <v>1800</v>
      </c>
    </row>
    <row r="456" customFormat="false" ht="15" hidden="false" customHeight="false" outlineLevel="0" collapsed="false">
      <c r="A456" s="8" t="s">
        <v>513</v>
      </c>
      <c r="B456" s="11" t="n">
        <v>45926</v>
      </c>
      <c r="C456" s="8" t="n">
        <f aca="false">MONTH(B456)</f>
        <v>9</v>
      </c>
      <c r="D456" s="8" t="s">
        <v>55</v>
      </c>
      <c r="E456" s="8" t="s">
        <v>40</v>
      </c>
      <c r="F456" s="8" t="s">
        <v>41</v>
      </c>
      <c r="G456" s="8" t="n">
        <v>9</v>
      </c>
      <c r="H456" s="12" t="n">
        <v>600</v>
      </c>
      <c r="I456" s="13" t="n">
        <v>0</v>
      </c>
      <c r="J456" s="12" t="n">
        <v>300</v>
      </c>
      <c r="K456" s="12" t="n">
        <f aca="false">G456*H456*(1-I456)</f>
        <v>5400</v>
      </c>
      <c r="L456" s="12" t="n">
        <f aca="false">K456-G456*J456</f>
        <v>2700</v>
      </c>
    </row>
    <row r="457" customFormat="false" ht="15" hidden="false" customHeight="false" outlineLevel="0" collapsed="false">
      <c r="A457" s="8" t="s">
        <v>495</v>
      </c>
      <c r="B457" s="11" t="n">
        <v>45926</v>
      </c>
      <c r="C457" s="8" t="n">
        <f aca="false">MONTH(B457)</f>
        <v>9</v>
      </c>
      <c r="D457" s="8" t="s">
        <v>55</v>
      </c>
      <c r="E457" s="8" t="s">
        <v>44</v>
      </c>
      <c r="F457" s="8" t="s">
        <v>48</v>
      </c>
      <c r="G457" s="8" t="n">
        <v>1</v>
      </c>
      <c r="H457" s="12" t="n">
        <v>4500</v>
      </c>
      <c r="I457" s="13" t="n">
        <v>0</v>
      </c>
      <c r="J457" s="12" t="n">
        <v>3300</v>
      </c>
      <c r="K457" s="12" t="n">
        <f aca="false">G457*H457*(1-I457)</f>
        <v>4500</v>
      </c>
      <c r="L457" s="12" t="n">
        <f aca="false">K457-G457*J457</f>
        <v>1200</v>
      </c>
    </row>
    <row r="458" customFormat="false" ht="15" hidden="false" customHeight="false" outlineLevel="0" collapsed="false">
      <c r="A458" s="8" t="s">
        <v>501</v>
      </c>
      <c r="B458" s="11" t="n">
        <v>45927</v>
      </c>
      <c r="C458" s="8" t="n">
        <f aca="false">MONTH(B458)</f>
        <v>9</v>
      </c>
      <c r="D458" s="8" t="s">
        <v>43</v>
      </c>
      <c r="E458" s="8" t="s">
        <v>57</v>
      </c>
      <c r="F458" s="8" t="s">
        <v>86</v>
      </c>
      <c r="G458" s="8" t="n">
        <v>2</v>
      </c>
      <c r="H458" s="12" t="n">
        <v>1200</v>
      </c>
      <c r="I458" s="13" t="n">
        <v>0</v>
      </c>
      <c r="J458" s="12" t="n">
        <v>600</v>
      </c>
      <c r="K458" s="12" t="n">
        <f aca="false">G458*H458*(1-I458)</f>
        <v>2400</v>
      </c>
      <c r="L458" s="12" t="n">
        <f aca="false">K458-G458*J458</f>
        <v>1200</v>
      </c>
    </row>
    <row r="459" customFormat="false" ht="15" hidden="false" customHeight="false" outlineLevel="0" collapsed="false">
      <c r="A459" s="8" t="s">
        <v>505</v>
      </c>
      <c r="B459" s="11" t="n">
        <v>45928</v>
      </c>
      <c r="C459" s="8" t="n">
        <f aca="false">MONTH(B459)</f>
        <v>9</v>
      </c>
      <c r="D459" s="8" t="s">
        <v>47</v>
      </c>
      <c r="E459" s="8" t="s">
        <v>44</v>
      </c>
      <c r="F459" s="8" t="s">
        <v>50</v>
      </c>
      <c r="G459" s="8" t="n">
        <v>3</v>
      </c>
      <c r="H459" s="12" t="n">
        <v>3000</v>
      </c>
      <c r="I459" s="13" t="n">
        <v>0</v>
      </c>
      <c r="J459" s="12" t="n">
        <v>2000</v>
      </c>
      <c r="K459" s="12" t="n">
        <f aca="false">G459*H459*(1-I459)</f>
        <v>9000</v>
      </c>
      <c r="L459" s="12" t="n">
        <f aca="false">K459-G459*J459</f>
        <v>3000</v>
      </c>
    </row>
    <row r="460" customFormat="false" ht="15" hidden="false" customHeight="false" outlineLevel="0" collapsed="false">
      <c r="A460" s="8" t="s">
        <v>516</v>
      </c>
      <c r="B460" s="11" t="n">
        <v>45928</v>
      </c>
      <c r="C460" s="8" t="n">
        <f aca="false">MONTH(B460)</f>
        <v>9</v>
      </c>
      <c r="D460" s="8" t="s">
        <v>47</v>
      </c>
      <c r="E460" s="8" t="s">
        <v>44</v>
      </c>
      <c r="F460" s="8" t="s">
        <v>50</v>
      </c>
      <c r="G460" s="8" t="n">
        <v>1</v>
      </c>
      <c r="H460" s="12" t="n">
        <v>3000</v>
      </c>
      <c r="I460" s="13" t="n">
        <v>0</v>
      </c>
      <c r="J460" s="12" t="n">
        <v>2000</v>
      </c>
      <c r="K460" s="12" t="n">
        <f aca="false">G460*H460*(1-I460)</f>
        <v>3000</v>
      </c>
      <c r="L460" s="12" t="n">
        <f aca="false">K460-G460*J460</f>
        <v>1000</v>
      </c>
    </row>
    <row r="461" customFormat="false" ht="15" hidden="false" customHeight="false" outlineLevel="0" collapsed="false">
      <c r="A461" s="8" t="s">
        <v>523</v>
      </c>
      <c r="B461" s="11" t="n">
        <v>45931</v>
      </c>
      <c r="C461" s="8" t="n">
        <f aca="false">MONTH(B461)</f>
        <v>10</v>
      </c>
      <c r="D461" s="8" t="s">
        <v>47</v>
      </c>
      <c r="E461" s="8" t="s">
        <v>57</v>
      </c>
      <c r="F461" s="8" t="s">
        <v>86</v>
      </c>
      <c r="G461" s="8" t="n">
        <v>2</v>
      </c>
      <c r="H461" s="12" t="n">
        <v>1200</v>
      </c>
      <c r="I461" s="13" t="n">
        <v>0.05</v>
      </c>
      <c r="J461" s="12" t="n">
        <v>600</v>
      </c>
      <c r="K461" s="12" t="n">
        <f aca="false">G461*H461*(1-I461)</f>
        <v>2280</v>
      </c>
      <c r="L461" s="12" t="n">
        <f aca="false">K461-G461*J461</f>
        <v>1080</v>
      </c>
    </row>
    <row r="462" customFormat="false" ht="15" hidden="false" customHeight="false" outlineLevel="0" collapsed="false">
      <c r="A462" s="8" t="s">
        <v>545</v>
      </c>
      <c r="B462" s="11" t="n">
        <v>45931</v>
      </c>
      <c r="C462" s="8" t="n">
        <f aca="false">MONTH(B462)</f>
        <v>10</v>
      </c>
      <c r="D462" s="8" t="s">
        <v>39</v>
      </c>
      <c r="E462" s="8" t="s">
        <v>40</v>
      </c>
      <c r="F462" s="8" t="s">
        <v>41</v>
      </c>
      <c r="G462" s="8" t="n">
        <v>3</v>
      </c>
      <c r="H462" s="12" t="n">
        <v>600</v>
      </c>
      <c r="I462" s="13" t="n">
        <v>0</v>
      </c>
      <c r="J462" s="12" t="n">
        <v>300</v>
      </c>
      <c r="K462" s="12" t="n">
        <f aca="false">G462*H462*(1-I462)</f>
        <v>1800</v>
      </c>
      <c r="L462" s="12" t="n">
        <f aca="false">K462-G462*J462</f>
        <v>900</v>
      </c>
    </row>
    <row r="463" customFormat="false" ht="15" hidden="false" customHeight="false" outlineLevel="0" collapsed="false">
      <c r="A463" s="8" t="s">
        <v>528</v>
      </c>
      <c r="B463" s="11" t="n">
        <v>45932</v>
      </c>
      <c r="C463" s="8" t="n">
        <f aca="false">MONTH(B463)</f>
        <v>10</v>
      </c>
      <c r="D463" s="8" t="s">
        <v>43</v>
      </c>
      <c r="E463" s="8" t="s">
        <v>57</v>
      </c>
      <c r="F463" s="8" t="s">
        <v>111</v>
      </c>
      <c r="G463" s="8" t="n">
        <v>2</v>
      </c>
      <c r="H463" s="12" t="n">
        <v>7000</v>
      </c>
      <c r="I463" s="13" t="n">
        <v>0</v>
      </c>
      <c r="J463" s="12" t="n">
        <v>4800</v>
      </c>
      <c r="K463" s="12" t="n">
        <f aca="false">G463*H463*(1-I463)</f>
        <v>14000</v>
      </c>
      <c r="L463" s="12" t="n">
        <f aca="false">K463-G463*J463</f>
        <v>4400</v>
      </c>
    </row>
    <row r="464" customFormat="false" ht="15" hidden="false" customHeight="false" outlineLevel="0" collapsed="false">
      <c r="A464" s="8" t="s">
        <v>557</v>
      </c>
      <c r="B464" s="11" t="n">
        <v>45932</v>
      </c>
      <c r="C464" s="8" t="n">
        <f aca="false">MONTH(B464)</f>
        <v>10</v>
      </c>
      <c r="D464" s="8" t="s">
        <v>55</v>
      </c>
      <c r="E464" s="8" t="s">
        <v>57</v>
      </c>
      <c r="F464" s="8" t="s">
        <v>63</v>
      </c>
      <c r="G464" s="8" t="n">
        <v>1</v>
      </c>
      <c r="H464" s="12" t="n">
        <v>9000</v>
      </c>
      <c r="I464" s="13" t="n">
        <v>0</v>
      </c>
      <c r="J464" s="12" t="n">
        <v>6200</v>
      </c>
      <c r="K464" s="12" t="n">
        <f aca="false">G464*H464*(1-I464)</f>
        <v>9000</v>
      </c>
      <c r="L464" s="12" t="n">
        <f aca="false">K464-G464*J464</f>
        <v>2800</v>
      </c>
    </row>
    <row r="465" customFormat="false" ht="15" hidden="false" customHeight="false" outlineLevel="0" collapsed="false">
      <c r="A465" s="8" t="s">
        <v>591</v>
      </c>
      <c r="B465" s="11" t="n">
        <v>45934</v>
      </c>
      <c r="C465" s="8" t="n">
        <f aca="false">MONTH(B465)</f>
        <v>10</v>
      </c>
      <c r="D465" s="8" t="s">
        <v>43</v>
      </c>
      <c r="E465" s="8" t="s">
        <v>40</v>
      </c>
      <c r="F465" s="8" t="s">
        <v>77</v>
      </c>
      <c r="G465" s="8" t="n">
        <v>3</v>
      </c>
      <c r="H465" s="12" t="n">
        <v>400</v>
      </c>
      <c r="I465" s="13" t="n">
        <v>0.1</v>
      </c>
      <c r="J465" s="12" t="n">
        <v>200</v>
      </c>
      <c r="K465" s="12" t="n">
        <f aca="false">G465*H465*(1-I465)</f>
        <v>1080</v>
      </c>
      <c r="L465" s="12" t="n">
        <f aca="false">K465-G465*J465</f>
        <v>480</v>
      </c>
    </row>
    <row r="466" customFormat="false" ht="15" hidden="false" customHeight="false" outlineLevel="0" collapsed="false">
      <c r="A466" s="8" t="s">
        <v>583</v>
      </c>
      <c r="B466" s="11" t="n">
        <v>45934</v>
      </c>
      <c r="C466" s="8" t="n">
        <f aca="false">MONTH(B466)</f>
        <v>10</v>
      </c>
      <c r="D466" s="8" t="s">
        <v>43</v>
      </c>
      <c r="E466" s="8" t="s">
        <v>57</v>
      </c>
      <c r="F466" s="8" t="s">
        <v>63</v>
      </c>
      <c r="G466" s="8" t="n">
        <v>1</v>
      </c>
      <c r="H466" s="12" t="n">
        <v>9000</v>
      </c>
      <c r="I466" s="13" t="n">
        <v>0.15</v>
      </c>
      <c r="J466" s="12" t="n">
        <v>6200</v>
      </c>
      <c r="K466" s="12" t="n">
        <f aca="false">G466*H466*(1-I466)</f>
        <v>7650</v>
      </c>
      <c r="L466" s="12" t="n">
        <f aca="false">K466-G466*J466</f>
        <v>1450</v>
      </c>
    </row>
    <row r="467" customFormat="false" ht="15" hidden="false" customHeight="false" outlineLevel="0" collapsed="false">
      <c r="A467" s="8" t="s">
        <v>531</v>
      </c>
      <c r="B467" s="11" t="n">
        <v>45934</v>
      </c>
      <c r="C467" s="8" t="n">
        <f aca="false">MONTH(B467)</f>
        <v>10</v>
      </c>
      <c r="D467" s="8" t="s">
        <v>47</v>
      </c>
      <c r="E467" s="8" t="s">
        <v>40</v>
      </c>
      <c r="F467" s="8" t="s">
        <v>77</v>
      </c>
      <c r="G467" s="8" t="n">
        <v>3</v>
      </c>
      <c r="H467" s="12" t="n">
        <v>400</v>
      </c>
      <c r="I467" s="13" t="n">
        <v>0</v>
      </c>
      <c r="J467" s="12" t="n">
        <v>200</v>
      </c>
      <c r="K467" s="12" t="n">
        <f aca="false">G467*H467*(1-I467)</f>
        <v>1200</v>
      </c>
      <c r="L467" s="12" t="n">
        <f aca="false">K467-G467*J467</f>
        <v>600</v>
      </c>
    </row>
    <row r="468" customFormat="false" ht="15" hidden="false" customHeight="false" outlineLevel="0" collapsed="false">
      <c r="A468" s="8" t="s">
        <v>527</v>
      </c>
      <c r="B468" s="11" t="n">
        <v>45935</v>
      </c>
      <c r="C468" s="8" t="n">
        <f aca="false">MONTH(B468)</f>
        <v>10</v>
      </c>
      <c r="D468" s="8" t="s">
        <v>47</v>
      </c>
      <c r="E468" s="8" t="s">
        <v>57</v>
      </c>
      <c r="F468" s="8" t="s">
        <v>111</v>
      </c>
      <c r="G468" s="8" t="n">
        <v>1</v>
      </c>
      <c r="H468" s="12" t="n">
        <v>7000</v>
      </c>
      <c r="I468" s="13" t="n">
        <v>0.05</v>
      </c>
      <c r="J468" s="12" t="n">
        <v>4800</v>
      </c>
      <c r="K468" s="12" t="n">
        <f aca="false">G468*H468*(1-I468)</f>
        <v>6650</v>
      </c>
      <c r="L468" s="12" t="n">
        <f aca="false">K468-G468*J468</f>
        <v>1850</v>
      </c>
    </row>
    <row r="469" customFormat="false" ht="15" hidden="false" customHeight="false" outlineLevel="0" collapsed="false">
      <c r="A469" s="8" t="s">
        <v>579</v>
      </c>
      <c r="B469" s="11" t="n">
        <v>45935</v>
      </c>
      <c r="C469" s="8" t="n">
        <f aca="false">MONTH(B469)</f>
        <v>10</v>
      </c>
      <c r="D469" s="8" t="s">
        <v>47</v>
      </c>
      <c r="E469" s="8" t="s">
        <v>44</v>
      </c>
      <c r="F469" s="8" t="s">
        <v>48</v>
      </c>
      <c r="G469" s="8" t="n">
        <v>1</v>
      </c>
      <c r="H469" s="12" t="n">
        <v>4500</v>
      </c>
      <c r="I469" s="13" t="n">
        <v>0</v>
      </c>
      <c r="J469" s="12" t="n">
        <v>3300</v>
      </c>
      <c r="K469" s="12" t="n">
        <f aca="false">G469*H469*(1-I469)</f>
        <v>4500</v>
      </c>
      <c r="L469" s="12" t="n">
        <f aca="false">K469-G469*J469</f>
        <v>1200</v>
      </c>
    </row>
    <row r="470" customFormat="false" ht="15" hidden="false" customHeight="false" outlineLevel="0" collapsed="false">
      <c r="A470" s="8" t="s">
        <v>568</v>
      </c>
      <c r="B470" s="11" t="n">
        <v>45936</v>
      </c>
      <c r="C470" s="8" t="n">
        <f aca="false">MONTH(B470)</f>
        <v>10</v>
      </c>
      <c r="D470" s="8" t="s">
        <v>47</v>
      </c>
      <c r="E470" s="8" t="s">
        <v>44</v>
      </c>
      <c r="F470" s="8" t="s">
        <v>50</v>
      </c>
      <c r="G470" s="8" t="n">
        <v>3</v>
      </c>
      <c r="H470" s="12" t="n">
        <v>3000</v>
      </c>
      <c r="I470" s="13" t="n">
        <v>0</v>
      </c>
      <c r="J470" s="12" t="n">
        <v>2000</v>
      </c>
      <c r="K470" s="12" t="n">
        <f aca="false">G470*H470*(1-I470)</f>
        <v>9000</v>
      </c>
      <c r="L470" s="12" t="n">
        <f aca="false">K470-G470*J470</f>
        <v>3000</v>
      </c>
    </row>
    <row r="471" customFormat="false" ht="15" hidden="false" customHeight="false" outlineLevel="0" collapsed="false">
      <c r="A471" s="8" t="s">
        <v>536</v>
      </c>
      <c r="B471" s="11" t="n">
        <v>45936</v>
      </c>
      <c r="C471" s="8" t="n">
        <f aca="false">MONTH(B471)</f>
        <v>10</v>
      </c>
      <c r="D471" s="8" t="s">
        <v>47</v>
      </c>
      <c r="E471" s="8" t="s">
        <v>44</v>
      </c>
      <c r="F471" s="8" t="s">
        <v>45</v>
      </c>
      <c r="G471" s="8" t="n">
        <v>3</v>
      </c>
      <c r="H471" s="12" t="n">
        <v>1500</v>
      </c>
      <c r="I471" s="13" t="n">
        <v>0</v>
      </c>
      <c r="J471" s="12" t="n">
        <v>900</v>
      </c>
      <c r="K471" s="12" t="n">
        <f aca="false">G471*H471*(1-I471)</f>
        <v>4500</v>
      </c>
      <c r="L471" s="12" t="n">
        <f aca="false">K471-G471*J471</f>
        <v>1800</v>
      </c>
    </row>
    <row r="472" customFormat="false" ht="15" hidden="false" customHeight="false" outlineLevel="0" collapsed="false">
      <c r="A472" s="8" t="s">
        <v>559</v>
      </c>
      <c r="B472" s="11" t="n">
        <v>45937</v>
      </c>
      <c r="C472" s="8" t="n">
        <f aca="false">MONTH(B472)</f>
        <v>10</v>
      </c>
      <c r="D472" s="8" t="s">
        <v>47</v>
      </c>
      <c r="E472" s="8" t="s">
        <v>40</v>
      </c>
      <c r="F472" s="8" t="s">
        <v>41</v>
      </c>
      <c r="G472" s="8" t="n">
        <v>9</v>
      </c>
      <c r="H472" s="12" t="n">
        <v>600</v>
      </c>
      <c r="I472" s="13" t="n">
        <v>0</v>
      </c>
      <c r="J472" s="12" t="n">
        <v>300</v>
      </c>
      <c r="K472" s="12" t="n">
        <f aca="false">G472*H472*(1-I472)</f>
        <v>5400</v>
      </c>
      <c r="L472" s="12" t="n">
        <f aca="false">K472-G472*J472</f>
        <v>2700</v>
      </c>
    </row>
    <row r="473" customFormat="false" ht="15" hidden="false" customHeight="false" outlineLevel="0" collapsed="false">
      <c r="A473" s="8" t="s">
        <v>548</v>
      </c>
      <c r="B473" s="11" t="n">
        <v>45937</v>
      </c>
      <c r="C473" s="8" t="n">
        <f aca="false">MONTH(B473)</f>
        <v>10</v>
      </c>
      <c r="D473" s="8" t="s">
        <v>43</v>
      </c>
      <c r="E473" s="8" t="s">
        <v>40</v>
      </c>
      <c r="F473" s="8" t="s">
        <v>71</v>
      </c>
      <c r="G473" s="8" t="n">
        <v>4</v>
      </c>
      <c r="H473" s="12" t="n">
        <v>500</v>
      </c>
      <c r="I473" s="13" t="n">
        <v>0.1</v>
      </c>
      <c r="J473" s="12" t="n">
        <v>250</v>
      </c>
      <c r="K473" s="12" t="n">
        <f aca="false">G473*H473*(1-I473)</f>
        <v>1800</v>
      </c>
      <c r="L473" s="12" t="n">
        <f aca="false">K473-G473*J473</f>
        <v>800</v>
      </c>
    </row>
    <row r="474" customFormat="false" ht="15" hidden="false" customHeight="false" outlineLevel="0" collapsed="false">
      <c r="A474" s="8" t="s">
        <v>561</v>
      </c>
      <c r="B474" s="11" t="n">
        <v>45938</v>
      </c>
      <c r="C474" s="8" t="n">
        <f aca="false">MONTH(B474)</f>
        <v>10</v>
      </c>
      <c r="D474" s="8" t="s">
        <v>39</v>
      </c>
      <c r="E474" s="8" t="s">
        <v>44</v>
      </c>
      <c r="F474" s="8" t="s">
        <v>45</v>
      </c>
      <c r="G474" s="8" t="n">
        <v>3</v>
      </c>
      <c r="H474" s="12" t="n">
        <v>1500</v>
      </c>
      <c r="I474" s="13" t="n">
        <v>0.1</v>
      </c>
      <c r="J474" s="12" t="n">
        <v>900</v>
      </c>
      <c r="K474" s="12" t="n">
        <f aca="false">G474*H474*(1-I474)</f>
        <v>4050</v>
      </c>
      <c r="L474" s="12" t="n">
        <f aca="false">K474-G474*J474</f>
        <v>1350</v>
      </c>
    </row>
    <row r="475" customFormat="false" ht="15" hidden="false" customHeight="false" outlineLevel="0" collapsed="false">
      <c r="A475" s="8" t="s">
        <v>542</v>
      </c>
      <c r="B475" s="11" t="n">
        <v>45938</v>
      </c>
      <c r="C475" s="8" t="n">
        <f aca="false">MONTH(B475)</f>
        <v>10</v>
      </c>
      <c r="D475" s="8" t="s">
        <v>55</v>
      </c>
      <c r="E475" s="8" t="s">
        <v>57</v>
      </c>
      <c r="F475" s="8" t="s">
        <v>111</v>
      </c>
      <c r="G475" s="8" t="n">
        <v>3</v>
      </c>
      <c r="H475" s="12" t="n">
        <v>7000</v>
      </c>
      <c r="I475" s="13" t="n">
        <v>0.1</v>
      </c>
      <c r="J475" s="12" t="n">
        <v>4800</v>
      </c>
      <c r="K475" s="12" t="n">
        <f aca="false">G475*H475*(1-I475)</f>
        <v>18900</v>
      </c>
      <c r="L475" s="12" t="n">
        <f aca="false">K475-G475*J475</f>
        <v>4500</v>
      </c>
    </row>
    <row r="476" customFormat="false" ht="15" hidden="false" customHeight="false" outlineLevel="0" collapsed="false">
      <c r="A476" s="8" t="s">
        <v>524</v>
      </c>
      <c r="B476" s="11" t="n">
        <v>45938</v>
      </c>
      <c r="C476" s="8" t="n">
        <f aca="false">MONTH(B476)</f>
        <v>10</v>
      </c>
      <c r="D476" s="8" t="s">
        <v>55</v>
      </c>
      <c r="E476" s="8" t="s">
        <v>44</v>
      </c>
      <c r="F476" s="8" t="s">
        <v>48</v>
      </c>
      <c r="G476" s="8" t="n">
        <v>3</v>
      </c>
      <c r="H476" s="12" t="n">
        <v>4500</v>
      </c>
      <c r="I476" s="13" t="n">
        <v>0.05</v>
      </c>
      <c r="J476" s="12" t="n">
        <v>3300</v>
      </c>
      <c r="K476" s="12" t="n">
        <f aca="false">G476*H476*(1-I476)</f>
        <v>12825</v>
      </c>
      <c r="L476" s="12" t="n">
        <f aca="false">K476-G476*J476</f>
        <v>2925</v>
      </c>
    </row>
    <row r="477" customFormat="false" ht="15" hidden="false" customHeight="false" outlineLevel="0" collapsed="false">
      <c r="A477" s="8" t="s">
        <v>580</v>
      </c>
      <c r="B477" s="11" t="n">
        <v>45939</v>
      </c>
      <c r="C477" s="8" t="n">
        <f aca="false">MONTH(B477)</f>
        <v>10</v>
      </c>
      <c r="D477" s="8" t="s">
        <v>47</v>
      </c>
      <c r="E477" s="8" t="s">
        <v>57</v>
      </c>
      <c r="F477" s="8" t="s">
        <v>86</v>
      </c>
      <c r="G477" s="8" t="n">
        <v>1</v>
      </c>
      <c r="H477" s="12" t="n">
        <v>1200</v>
      </c>
      <c r="I477" s="13" t="n">
        <v>0</v>
      </c>
      <c r="J477" s="12" t="n">
        <v>600</v>
      </c>
      <c r="K477" s="12" t="n">
        <f aca="false">G477*H477*(1-I477)</f>
        <v>1200</v>
      </c>
      <c r="L477" s="12" t="n">
        <f aca="false">K477-G477*J477</f>
        <v>600</v>
      </c>
    </row>
    <row r="478" customFormat="false" ht="15" hidden="false" customHeight="false" outlineLevel="0" collapsed="false">
      <c r="A478" s="8" t="s">
        <v>525</v>
      </c>
      <c r="B478" s="11" t="n">
        <v>45940</v>
      </c>
      <c r="C478" s="8" t="n">
        <f aca="false">MONTH(B478)</f>
        <v>10</v>
      </c>
      <c r="D478" s="8" t="s">
        <v>47</v>
      </c>
      <c r="E478" s="8" t="s">
        <v>44</v>
      </c>
      <c r="F478" s="8" t="s">
        <v>50</v>
      </c>
      <c r="G478" s="8" t="n">
        <v>1</v>
      </c>
      <c r="H478" s="12" t="n">
        <v>3000</v>
      </c>
      <c r="I478" s="13" t="n">
        <v>0</v>
      </c>
      <c r="J478" s="12" t="n">
        <v>2000</v>
      </c>
      <c r="K478" s="12" t="n">
        <f aca="false">G478*H478*(1-I478)</f>
        <v>3000</v>
      </c>
      <c r="L478" s="12" t="n">
        <f aca="false">K478-G478*J478</f>
        <v>1000</v>
      </c>
    </row>
    <row r="479" customFormat="false" ht="15" hidden="false" customHeight="false" outlineLevel="0" collapsed="false">
      <c r="A479" s="8" t="s">
        <v>581</v>
      </c>
      <c r="B479" s="11" t="n">
        <v>45940</v>
      </c>
      <c r="C479" s="8" t="n">
        <f aca="false">MONTH(B479)</f>
        <v>10</v>
      </c>
      <c r="D479" s="8" t="s">
        <v>39</v>
      </c>
      <c r="E479" s="8" t="s">
        <v>57</v>
      </c>
      <c r="F479" s="8" t="s">
        <v>58</v>
      </c>
      <c r="G479" s="8" t="n">
        <v>2</v>
      </c>
      <c r="H479" s="12" t="n">
        <v>5500</v>
      </c>
      <c r="I479" s="13" t="n">
        <v>0</v>
      </c>
      <c r="J479" s="12" t="n">
        <v>3600</v>
      </c>
      <c r="K479" s="12" t="n">
        <f aca="false">G479*H479*(1-I479)</f>
        <v>11000</v>
      </c>
      <c r="L479" s="12" t="n">
        <f aca="false">K479-G479*J479</f>
        <v>3800</v>
      </c>
    </row>
    <row r="480" customFormat="false" ht="15" hidden="false" customHeight="false" outlineLevel="0" collapsed="false">
      <c r="A480" s="8" t="s">
        <v>566</v>
      </c>
      <c r="B480" s="11" t="n">
        <v>45940</v>
      </c>
      <c r="C480" s="8" t="n">
        <f aca="false">MONTH(B480)</f>
        <v>10</v>
      </c>
      <c r="D480" s="8" t="s">
        <v>43</v>
      </c>
      <c r="E480" s="8" t="s">
        <v>44</v>
      </c>
      <c r="F480" s="8" t="s">
        <v>50</v>
      </c>
      <c r="G480" s="8" t="n">
        <v>2</v>
      </c>
      <c r="H480" s="12" t="n">
        <v>3000</v>
      </c>
      <c r="I480" s="13" t="n">
        <v>0</v>
      </c>
      <c r="J480" s="12" t="n">
        <v>2000</v>
      </c>
      <c r="K480" s="12" t="n">
        <f aca="false">G480*H480*(1-I480)</f>
        <v>6000</v>
      </c>
      <c r="L480" s="12" t="n">
        <f aca="false">K480-G480*J480</f>
        <v>2000</v>
      </c>
    </row>
    <row r="481" customFormat="false" ht="15" hidden="false" customHeight="false" outlineLevel="0" collapsed="false">
      <c r="A481" s="8" t="s">
        <v>585</v>
      </c>
      <c r="B481" s="11" t="n">
        <v>45940</v>
      </c>
      <c r="C481" s="8" t="n">
        <f aca="false">MONTH(B481)</f>
        <v>10</v>
      </c>
      <c r="D481" s="8" t="s">
        <v>43</v>
      </c>
      <c r="E481" s="8" t="s">
        <v>40</v>
      </c>
      <c r="F481" s="8" t="s">
        <v>71</v>
      </c>
      <c r="G481" s="8" t="n">
        <v>3</v>
      </c>
      <c r="H481" s="12" t="n">
        <v>500</v>
      </c>
      <c r="I481" s="13" t="n">
        <v>0.15</v>
      </c>
      <c r="J481" s="12" t="n">
        <v>250</v>
      </c>
      <c r="K481" s="12" t="n">
        <f aca="false">G481*H481*(1-I481)</f>
        <v>1275</v>
      </c>
      <c r="L481" s="12" t="n">
        <f aca="false">K481-G481*J481</f>
        <v>525</v>
      </c>
    </row>
    <row r="482" customFormat="false" ht="15" hidden="false" customHeight="false" outlineLevel="0" collapsed="false">
      <c r="A482" s="8" t="s">
        <v>540</v>
      </c>
      <c r="B482" s="11" t="n">
        <v>45940</v>
      </c>
      <c r="C482" s="8" t="n">
        <f aca="false">MONTH(B482)</f>
        <v>10</v>
      </c>
      <c r="D482" s="8" t="s">
        <v>43</v>
      </c>
      <c r="E482" s="8" t="s">
        <v>57</v>
      </c>
      <c r="F482" s="8" t="s">
        <v>63</v>
      </c>
      <c r="G482" s="8" t="n">
        <v>2</v>
      </c>
      <c r="H482" s="12" t="n">
        <v>9000</v>
      </c>
      <c r="I482" s="13" t="n">
        <v>0.1</v>
      </c>
      <c r="J482" s="12" t="n">
        <v>6200</v>
      </c>
      <c r="K482" s="12" t="n">
        <f aca="false">G482*H482*(1-I482)</f>
        <v>16200</v>
      </c>
      <c r="L482" s="12" t="n">
        <f aca="false">K482-G482*J482</f>
        <v>3800</v>
      </c>
    </row>
    <row r="483" customFormat="false" ht="15" hidden="false" customHeight="false" outlineLevel="0" collapsed="false">
      <c r="A483" s="8" t="s">
        <v>555</v>
      </c>
      <c r="B483" s="11" t="n">
        <v>45940</v>
      </c>
      <c r="C483" s="8" t="n">
        <f aca="false">MONTH(B483)</f>
        <v>10</v>
      </c>
      <c r="D483" s="8" t="s">
        <v>47</v>
      </c>
      <c r="E483" s="8" t="s">
        <v>57</v>
      </c>
      <c r="F483" s="8" t="s">
        <v>63</v>
      </c>
      <c r="G483" s="8" t="n">
        <v>3</v>
      </c>
      <c r="H483" s="12" t="n">
        <v>9000</v>
      </c>
      <c r="I483" s="13" t="n">
        <v>0</v>
      </c>
      <c r="J483" s="12" t="n">
        <v>6200</v>
      </c>
      <c r="K483" s="12" t="n">
        <f aca="false">G483*H483*(1-I483)</f>
        <v>27000</v>
      </c>
      <c r="L483" s="12" t="n">
        <f aca="false">K483-G483*J483</f>
        <v>8400</v>
      </c>
    </row>
    <row r="484" customFormat="false" ht="15" hidden="false" customHeight="false" outlineLevel="0" collapsed="false">
      <c r="A484" s="8" t="s">
        <v>552</v>
      </c>
      <c r="B484" s="11" t="n">
        <v>45940</v>
      </c>
      <c r="C484" s="8" t="n">
        <f aca="false">MONTH(B484)</f>
        <v>10</v>
      </c>
      <c r="D484" s="8" t="s">
        <v>55</v>
      </c>
      <c r="E484" s="8" t="s">
        <v>44</v>
      </c>
      <c r="F484" s="8" t="s">
        <v>50</v>
      </c>
      <c r="G484" s="8" t="n">
        <v>2</v>
      </c>
      <c r="H484" s="12" t="n">
        <v>3000</v>
      </c>
      <c r="I484" s="13" t="n">
        <v>0.1</v>
      </c>
      <c r="J484" s="12" t="n">
        <v>2000</v>
      </c>
      <c r="K484" s="12" t="n">
        <f aca="false">G484*H484*(1-I484)</f>
        <v>5400</v>
      </c>
      <c r="L484" s="12" t="n">
        <f aca="false">K484-G484*J484</f>
        <v>1400</v>
      </c>
    </row>
    <row r="485" customFormat="false" ht="15" hidden="false" customHeight="false" outlineLevel="0" collapsed="false">
      <c r="A485" s="8" t="s">
        <v>534</v>
      </c>
      <c r="B485" s="11" t="n">
        <v>45941</v>
      </c>
      <c r="C485" s="8" t="n">
        <f aca="false">MONTH(B485)</f>
        <v>10</v>
      </c>
      <c r="D485" s="8" t="s">
        <v>39</v>
      </c>
      <c r="E485" s="8" t="s">
        <v>44</v>
      </c>
      <c r="F485" s="8" t="s">
        <v>60</v>
      </c>
      <c r="G485" s="8" t="n">
        <v>1</v>
      </c>
      <c r="H485" s="12" t="n">
        <v>2500</v>
      </c>
      <c r="I485" s="13" t="n">
        <v>0.15</v>
      </c>
      <c r="J485" s="12" t="n">
        <v>1600</v>
      </c>
      <c r="K485" s="12" t="n">
        <f aca="false">G485*H485*(1-I485)</f>
        <v>2125</v>
      </c>
      <c r="L485" s="12" t="n">
        <f aca="false">K485-G485*J485</f>
        <v>525</v>
      </c>
    </row>
    <row r="486" customFormat="false" ht="15" hidden="false" customHeight="false" outlineLevel="0" collapsed="false">
      <c r="A486" s="8" t="s">
        <v>578</v>
      </c>
      <c r="B486" s="11" t="n">
        <v>45941</v>
      </c>
      <c r="C486" s="8" t="n">
        <f aca="false">MONTH(B486)</f>
        <v>10</v>
      </c>
      <c r="D486" s="8" t="s">
        <v>55</v>
      </c>
      <c r="E486" s="8" t="s">
        <v>40</v>
      </c>
      <c r="F486" s="8" t="s">
        <v>41</v>
      </c>
      <c r="G486" s="8" t="n">
        <v>8</v>
      </c>
      <c r="H486" s="12" t="n">
        <v>600</v>
      </c>
      <c r="I486" s="13" t="n">
        <v>0.1</v>
      </c>
      <c r="J486" s="12" t="n">
        <v>300</v>
      </c>
      <c r="K486" s="12" t="n">
        <f aca="false">G486*H486*(1-I486)</f>
        <v>4320</v>
      </c>
      <c r="L486" s="12" t="n">
        <f aca="false">K486-G486*J486</f>
        <v>1920</v>
      </c>
    </row>
    <row r="487" customFormat="false" ht="15" hidden="false" customHeight="false" outlineLevel="0" collapsed="false">
      <c r="A487" s="8" t="s">
        <v>574</v>
      </c>
      <c r="B487" s="11" t="n">
        <v>45941</v>
      </c>
      <c r="C487" s="8" t="n">
        <f aca="false">MONTH(B487)</f>
        <v>10</v>
      </c>
      <c r="D487" s="8" t="s">
        <v>47</v>
      </c>
      <c r="E487" s="8" t="s">
        <v>40</v>
      </c>
      <c r="F487" s="8" t="s">
        <v>77</v>
      </c>
      <c r="G487" s="8" t="n">
        <v>5</v>
      </c>
      <c r="H487" s="12" t="n">
        <v>400</v>
      </c>
      <c r="I487" s="13" t="n">
        <v>0</v>
      </c>
      <c r="J487" s="12" t="n">
        <v>200</v>
      </c>
      <c r="K487" s="12" t="n">
        <f aca="false">G487*H487*(1-I487)</f>
        <v>2000</v>
      </c>
      <c r="L487" s="12" t="n">
        <f aca="false">K487-G487*J487</f>
        <v>1000</v>
      </c>
    </row>
    <row r="488" customFormat="false" ht="15" hidden="false" customHeight="false" outlineLevel="0" collapsed="false">
      <c r="A488" s="8" t="s">
        <v>550</v>
      </c>
      <c r="B488" s="11" t="n">
        <v>45941</v>
      </c>
      <c r="C488" s="8" t="n">
        <f aca="false">MONTH(B488)</f>
        <v>10</v>
      </c>
      <c r="D488" s="8" t="s">
        <v>55</v>
      </c>
      <c r="E488" s="8" t="s">
        <v>57</v>
      </c>
      <c r="F488" s="8" t="s">
        <v>63</v>
      </c>
      <c r="G488" s="8" t="n">
        <v>2</v>
      </c>
      <c r="H488" s="12" t="n">
        <v>9000</v>
      </c>
      <c r="I488" s="13" t="n">
        <v>0.1</v>
      </c>
      <c r="J488" s="12" t="n">
        <v>6200</v>
      </c>
      <c r="K488" s="12" t="n">
        <f aca="false">G488*H488*(1-I488)</f>
        <v>16200</v>
      </c>
      <c r="L488" s="12" t="n">
        <f aca="false">K488-G488*J488</f>
        <v>3800</v>
      </c>
    </row>
    <row r="489" customFormat="false" ht="15" hidden="false" customHeight="false" outlineLevel="0" collapsed="false">
      <c r="A489" s="8" t="s">
        <v>539</v>
      </c>
      <c r="B489" s="11" t="n">
        <v>45942</v>
      </c>
      <c r="C489" s="8" t="n">
        <f aca="false">MONTH(B489)</f>
        <v>10</v>
      </c>
      <c r="D489" s="8" t="s">
        <v>47</v>
      </c>
      <c r="E489" s="8" t="s">
        <v>40</v>
      </c>
      <c r="F489" s="8" t="s">
        <v>71</v>
      </c>
      <c r="G489" s="8" t="n">
        <v>9</v>
      </c>
      <c r="H489" s="12" t="n">
        <v>500</v>
      </c>
      <c r="I489" s="13" t="n">
        <v>0</v>
      </c>
      <c r="J489" s="12" t="n">
        <v>250</v>
      </c>
      <c r="K489" s="12" t="n">
        <f aca="false">G489*H489*(1-I489)</f>
        <v>4500</v>
      </c>
      <c r="L489" s="12" t="n">
        <f aca="false">K489-G489*J489</f>
        <v>2250</v>
      </c>
    </row>
    <row r="490" customFormat="false" ht="15" hidden="false" customHeight="false" outlineLevel="0" collapsed="false">
      <c r="A490" s="8" t="s">
        <v>532</v>
      </c>
      <c r="B490" s="11" t="n">
        <v>45942</v>
      </c>
      <c r="C490" s="8" t="n">
        <f aca="false">MONTH(B490)</f>
        <v>10</v>
      </c>
      <c r="D490" s="8" t="s">
        <v>47</v>
      </c>
      <c r="E490" s="8" t="s">
        <v>57</v>
      </c>
      <c r="F490" s="8" t="s">
        <v>58</v>
      </c>
      <c r="G490" s="8" t="n">
        <v>2</v>
      </c>
      <c r="H490" s="12" t="n">
        <v>5500</v>
      </c>
      <c r="I490" s="13" t="n">
        <v>0.1</v>
      </c>
      <c r="J490" s="12" t="n">
        <v>3600</v>
      </c>
      <c r="K490" s="12" t="n">
        <f aca="false">G490*H490*(1-I490)</f>
        <v>9900</v>
      </c>
      <c r="L490" s="12" t="n">
        <f aca="false">K490-G490*J490</f>
        <v>2700</v>
      </c>
    </row>
    <row r="491" customFormat="false" ht="15" hidden="false" customHeight="false" outlineLevel="0" collapsed="false">
      <c r="A491" s="8" t="s">
        <v>529</v>
      </c>
      <c r="B491" s="11" t="n">
        <v>45942</v>
      </c>
      <c r="C491" s="8" t="n">
        <f aca="false">MONTH(B491)</f>
        <v>10</v>
      </c>
      <c r="D491" s="8" t="s">
        <v>39</v>
      </c>
      <c r="E491" s="8" t="s">
        <v>57</v>
      </c>
      <c r="F491" s="8" t="s">
        <v>58</v>
      </c>
      <c r="G491" s="8" t="n">
        <v>3</v>
      </c>
      <c r="H491" s="12" t="n">
        <v>5500</v>
      </c>
      <c r="I491" s="13" t="n">
        <v>0</v>
      </c>
      <c r="J491" s="12" t="n">
        <v>3600</v>
      </c>
      <c r="K491" s="12" t="n">
        <f aca="false">G491*H491*(1-I491)</f>
        <v>16500</v>
      </c>
      <c r="L491" s="12" t="n">
        <f aca="false">K491-G491*J491</f>
        <v>5700</v>
      </c>
    </row>
    <row r="492" customFormat="false" ht="15" hidden="false" customHeight="false" outlineLevel="0" collapsed="false">
      <c r="A492" s="8" t="s">
        <v>549</v>
      </c>
      <c r="B492" s="11" t="n">
        <v>45943</v>
      </c>
      <c r="C492" s="8" t="n">
        <f aca="false">MONTH(B492)</f>
        <v>10</v>
      </c>
      <c r="D492" s="8" t="s">
        <v>47</v>
      </c>
      <c r="E492" s="8" t="s">
        <v>40</v>
      </c>
      <c r="F492" s="8" t="s">
        <v>77</v>
      </c>
      <c r="G492" s="8" t="n">
        <v>9</v>
      </c>
      <c r="H492" s="12" t="n">
        <v>400</v>
      </c>
      <c r="I492" s="13" t="n">
        <v>0.1</v>
      </c>
      <c r="J492" s="12" t="n">
        <v>200</v>
      </c>
      <c r="K492" s="12" t="n">
        <f aca="false">G492*H492*(1-I492)</f>
        <v>3240</v>
      </c>
      <c r="L492" s="12" t="n">
        <f aca="false">K492-G492*J492</f>
        <v>1440</v>
      </c>
    </row>
    <row r="493" customFormat="false" ht="15" hidden="false" customHeight="false" outlineLevel="0" collapsed="false">
      <c r="A493" s="8" t="s">
        <v>556</v>
      </c>
      <c r="B493" s="11" t="n">
        <v>45943</v>
      </c>
      <c r="C493" s="8" t="n">
        <f aca="false">MONTH(B493)</f>
        <v>10</v>
      </c>
      <c r="D493" s="8" t="s">
        <v>47</v>
      </c>
      <c r="E493" s="8" t="s">
        <v>44</v>
      </c>
      <c r="F493" s="8" t="s">
        <v>48</v>
      </c>
      <c r="G493" s="8" t="n">
        <v>3</v>
      </c>
      <c r="H493" s="12" t="n">
        <v>4500</v>
      </c>
      <c r="I493" s="13" t="n">
        <v>0.05</v>
      </c>
      <c r="J493" s="12" t="n">
        <v>3300</v>
      </c>
      <c r="K493" s="12" t="n">
        <f aca="false">G493*H493*(1-I493)</f>
        <v>12825</v>
      </c>
      <c r="L493" s="12" t="n">
        <f aca="false">K493-G493*J493</f>
        <v>2925</v>
      </c>
    </row>
    <row r="494" customFormat="false" ht="15" hidden="false" customHeight="false" outlineLevel="0" collapsed="false">
      <c r="A494" s="8" t="s">
        <v>587</v>
      </c>
      <c r="B494" s="11" t="n">
        <v>45944</v>
      </c>
      <c r="C494" s="8" t="n">
        <f aca="false">MONTH(B494)</f>
        <v>10</v>
      </c>
      <c r="D494" s="8" t="s">
        <v>47</v>
      </c>
      <c r="E494" s="8" t="s">
        <v>44</v>
      </c>
      <c r="F494" s="8" t="s">
        <v>45</v>
      </c>
      <c r="G494" s="8" t="n">
        <v>3</v>
      </c>
      <c r="H494" s="12" t="n">
        <v>1500</v>
      </c>
      <c r="I494" s="13" t="n">
        <v>0</v>
      </c>
      <c r="J494" s="12" t="n">
        <v>900</v>
      </c>
      <c r="K494" s="12" t="n">
        <f aca="false">G494*H494*(1-I494)</f>
        <v>4500</v>
      </c>
      <c r="L494" s="12" t="n">
        <f aca="false">K494-G494*J494</f>
        <v>1800</v>
      </c>
    </row>
    <row r="495" customFormat="false" ht="15" hidden="false" customHeight="false" outlineLevel="0" collapsed="false">
      <c r="A495" s="8" t="s">
        <v>572</v>
      </c>
      <c r="B495" s="11" t="n">
        <v>45945</v>
      </c>
      <c r="C495" s="8" t="n">
        <f aca="false">MONTH(B495)</f>
        <v>10</v>
      </c>
      <c r="D495" s="8" t="s">
        <v>39</v>
      </c>
      <c r="E495" s="8" t="s">
        <v>40</v>
      </c>
      <c r="F495" s="8" t="s">
        <v>104</v>
      </c>
      <c r="G495" s="8" t="n">
        <v>7</v>
      </c>
      <c r="H495" s="12" t="n">
        <v>250</v>
      </c>
      <c r="I495" s="13" t="n">
        <v>0</v>
      </c>
      <c r="J495" s="12" t="n">
        <v>100</v>
      </c>
      <c r="K495" s="12" t="n">
        <f aca="false">G495*H495*(1-I495)</f>
        <v>1750</v>
      </c>
      <c r="L495" s="12" t="n">
        <f aca="false">K495-G495*J495</f>
        <v>1050</v>
      </c>
    </row>
    <row r="496" customFormat="false" ht="15" hidden="false" customHeight="false" outlineLevel="0" collapsed="false">
      <c r="A496" s="8" t="s">
        <v>593</v>
      </c>
      <c r="B496" s="11" t="n">
        <v>45945</v>
      </c>
      <c r="C496" s="8" t="n">
        <f aca="false">MONTH(B496)</f>
        <v>10</v>
      </c>
      <c r="D496" s="8" t="s">
        <v>39</v>
      </c>
      <c r="E496" s="8" t="s">
        <v>40</v>
      </c>
      <c r="F496" s="8" t="s">
        <v>77</v>
      </c>
      <c r="G496" s="8" t="n">
        <v>7</v>
      </c>
      <c r="H496" s="12" t="n">
        <v>400</v>
      </c>
      <c r="I496" s="13" t="n">
        <v>0.1</v>
      </c>
      <c r="J496" s="12" t="n">
        <v>200</v>
      </c>
      <c r="K496" s="12" t="n">
        <f aca="false">G496*H496*(1-I496)</f>
        <v>2520</v>
      </c>
      <c r="L496" s="12" t="n">
        <f aca="false">K496-G496*J496</f>
        <v>1120</v>
      </c>
    </row>
    <row r="497" customFormat="false" ht="15" hidden="false" customHeight="false" outlineLevel="0" collapsed="false">
      <c r="A497" s="8" t="s">
        <v>558</v>
      </c>
      <c r="B497" s="11" t="n">
        <v>45945</v>
      </c>
      <c r="C497" s="8" t="n">
        <f aca="false">MONTH(B497)</f>
        <v>10</v>
      </c>
      <c r="D497" s="8" t="s">
        <v>55</v>
      </c>
      <c r="E497" s="8" t="s">
        <v>57</v>
      </c>
      <c r="F497" s="8" t="s">
        <v>111</v>
      </c>
      <c r="G497" s="8" t="n">
        <v>1</v>
      </c>
      <c r="H497" s="12" t="n">
        <v>7000</v>
      </c>
      <c r="I497" s="13" t="n">
        <v>0</v>
      </c>
      <c r="J497" s="12" t="n">
        <v>4800</v>
      </c>
      <c r="K497" s="12" t="n">
        <f aca="false">G497*H497*(1-I497)</f>
        <v>7000</v>
      </c>
      <c r="L497" s="12" t="n">
        <f aca="false">K497-G497*J497</f>
        <v>2200</v>
      </c>
    </row>
    <row r="498" customFormat="false" ht="15" hidden="false" customHeight="false" outlineLevel="0" collapsed="false">
      <c r="A498" s="8" t="s">
        <v>590</v>
      </c>
      <c r="B498" s="11" t="n">
        <v>45945</v>
      </c>
      <c r="C498" s="8" t="n">
        <f aca="false">MONTH(B498)</f>
        <v>10</v>
      </c>
      <c r="D498" s="8" t="s">
        <v>55</v>
      </c>
      <c r="E498" s="8" t="s">
        <v>40</v>
      </c>
      <c r="F498" s="8" t="s">
        <v>104</v>
      </c>
      <c r="G498" s="8" t="n">
        <v>3</v>
      </c>
      <c r="H498" s="12" t="n">
        <v>250</v>
      </c>
      <c r="I498" s="13" t="n">
        <v>0.1</v>
      </c>
      <c r="J498" s="12" t="n">
        <v>100</v>
      </c>
      <c r="K498" s="12" t="n">
        <f aca="false">G498*H498*(1-I498)</f>
        <v>675</v>
      </c>
      <c r="L498" s="12" t="n">
        <f aca="false">K498-G498*J498</f>
        <v>375</v>
      </c>
    </row>
    <row r="499" customFormat="false" ht="15" hidden="false" customHeight="false" outlineLevel="0" collapsed="false">
      <c r="A499" s="8" t="s">
        <v>538</v>
      </c>
      <c r="B499" s="11" t="n">
        <v>45946</v>
      </c>
      <c r="C499" s="8" t="n">
        <f aca="false">MONTH(B499)</f>
        <v>10</v>
      </c>
      <c r="D499" s="8" t="s">
        <v>47</v>
      </c>
      <c r="E499" s="8" t="s">
        <v>57</v>
      </c>
      <c r="F499" s="8" t="s">
        <v>63</v>
      </c>
      <c r="G499" s="8" t="n">
        <v>3</v>
      </c>
      <c r="H499" s="12" t="n">
        <v>9000</v>
      </c>
      <c r="I499" s="13" t="n">
        <v>0.1</v>
      </c>
      <c r="J499" s="12" t="n">
        <v>6200</v>
      </c>
      <c r="K499" s="12" t="n">
        <f aca="false">G499*H499*(1-I499)</f>
        <v>24300</v>
      </c>
      <c r="L499" s="12" t="n">
        <f aca="false">K499-G499*J499</f>
        <v>5700</v>
      </c>
    </row>
    <row r="500" customFormat="false" ht="15" hidden="false" customHeight="false" outlineLevel="0" collapsed="false">
      <c r="A500" s="8" t="s">
        <v>541</v>
      </c>
      <c r="B500" s="11" t="n">
        <v>45946</v>
      </c>
      <c r="C500" s="8" t="n">
        <f aca="false">MONTH(B500)</f>
        <v>10</v>
      </c>
      <c r="D500" s="8" t="s">
        <v>55</v>
      </c>
      <c r="E500" s="8" t="s">
        <v>40</v>
      </c>
      <c r="F500" s="8" t="s">
        <v>71</v>
      </c>
      <c r="G500" s="8" t="n">
        <v>2</v>
      </c>
      <c r="H500" s="12" t="n">
        <v>500</v>
      </c>
      <c r="I500" s="13" t="n">
        <v>0.1</v>
      </c>
      <c r="J500" s="12" t="n">
        <v>250</v>
      </c>
      <c r="K500" s="12" t="n">
        <f aca="false">G500*H500*(1-I500)</f>
        <v>900</v>
      </c>
      <c r="L500" s="12" t="n">
        <f aca="false">K500-G500*J500</f>
        <v>400</v>
      </c>
    </row>
    <row r="501" customFormat="false" ht="15" hidden="false" customHeight="false" outlineLevel="0" collapsed="false">
      <c r="A501" s="8" t="s">
        <v>551</v>
      </c>
      <c r="B501" s="11" t="n">
        <v>45946</v>
      </c>
      <c r="C501" s="8" t="n">
        <f aca="false">MONTH(B501)</f>
        <v>10</v>
      </c>
      <c r="D501" s="8" t="s">
        <v>47</v>
      </c>
      <c r="E501" s="8" t="s">
        <v>40</v>
      </c>
      <c r="F501" s="8" t="s">
        <v>77</v>
      </c>
      <c r="G501" s="8" t="n">
        <v>6</v>
      </c>
      <c r="H501" s="12" t="n">
        <v>400</v>
      </c>
      <c r="I501" s="13" t="n">
        <v>0.1</v>
      </c>
      <c r="J501" s="12" t="n">
        <v>200</v>
      </c>
      <c r="K501" s="12" t="n">
        <f aca="false">G501*H501*(1-I501)</f>
        <v>2160</v>
      </c>
      <c r="L501" s="12" t="n">
        <f aca="false">K501-G501*J501</f>
        <v>960</v>
      </c>
    </row>
    <row r="502" customFormat="false" ht="15" hidden="false" customHeight="false" outlineLevel="0" collapsed="false">
      <c r="A502" s="8" t="s">
        <v>554</v>
      </c>
      <c r="B502" s="11" t="n">
        <v>45946</v>
      </c>
      <c r="C502" s="8" t="n">
        <f aca="false">MONTH(B502)</f>
        <v>10</v>
      </c>
      <c r="D502" s="8" t="s">
        <v>43</v>
      </c>
      <c r="E502" s="8" t="s">
        <v>44</v>
      </c>
      <c r="F502" s="8" t="s">
        <v>50</v>
      </c>
      <c r="G502" s="8" t="n">
        <v>2</v>
      </c>
      <c r="H502" s="12" t="n">
        <v>3000</v>
      </c>
      <c r="I502" s="13" t="n">
        <v>0</v>
      </c>
      <c r="J502" s="12" t="n">
        <v>2000</v>
      </c>
      <c r="K502" s="12" t="n">
        <f aca="false">G502*H502*(1-I502)</f>
        <v>6000</v>
      </c>
      <c r="L502" s="12" t="n">
        <f aca="false">K502-G502*J502</f>
        <v>2000</v>
      </c>
    </row>
    <row r="503" customFormat="false" ht="15" hidden="false" customHeight="false" outlineLevel="0" collapsed="false">
      <c r="A503" s="8" t="s">
        <v>586</v>
      </c>
      <c r="B503" s="11" t="n">
        <v>45946</v>
      </c>
      <c r="C503" s="8" t="n">
        <f aca="false">MONTH(B503)</f>
        <v>10</v>
      </c>
      <c r="D503" s="8" t="s">
        <v>43</v>
      </c>
      <c r="E503" s="8" t="s">
        <v>57</v>
      </c>
      <c r="F503" s="8" t="s">
        <v>63</v>
      </c>
      <c r="G503" s="8" t="n">
        <v>1</v>
      </c>
      <c r="H503" s="12" t="n">
        <v>9000</v>
      </c>
      <c r="I503" s="13" t="n">
        <v>0</v>
      </c>
      <c r="J503" s="12" t="n">
        <v>6200</v>
      </c>
      <c r="K503" s="12" t="n">
        <f aca="false">G503*H503*(1-I503)</f>
        <v>9000</v>
      </c>
      <c r="L503" s="12" t="n">
        <f aca="false">K503-G503*J503</f>
        <v>2800</v>
      </c>
    </row>
    <row r="504" customFormat="false" ht="15" hidden="false" customHeight="false" outlineLevel="0" collapsed="false">
      <c r="A504" s="8" t="s">
        <v>533</v>
      </c>
      <c r="B504" s="11" t="n">
        <v>45947</v>
      </c>
      <c r="C504" s="8" t="n">
        <f aca="false">MONTH(B504)</f>
        <v>10</v>
      </c>
      <c r="D504" s="8" t="s">
        <v>39</v>
      </c>
      <c r="E504" s="8" t="s">
        <v>44</v>
      </c>
      <c r="F504" s="8" t="s">
        <v>45</v>
      </c>
      <c r="G504" s="8" t="n">
        <v>3</v>
      </c>
      <c r="H504" s="12" t="n">
        <v>1500</v>
      </c>
      <c r="I504" s="13" t="n">
        <v>0.05</v>
      </c>
      <c r="J504" s="12" t="n">
        <v>900</v>
      </c>
      <c r="K504" s="12" t="n">
        <f aca="false">G504*H504*(1-I504)</f>
        <v>4275</v>
      </c>
      <c r="L504" s="12" t="n">
        <f aca="false">K504-G504*J504</f>
        <v>1575</v>
      </c>
    </row>
    <row r="505" customFormat="false" ht="15" hidden="false" customHeight="false" outlineLevel="0" collapsed="false">
      <c r="A505" s="8" t="s">
        <v>543</v>
      </c>
      <c r="B505" s="11" t="n">
        <v>45947</v>
      </c>
      <c r="C505" s="8" t="n">
        <f aca="false">MONTH(B505)</f>
        <v>10</v>
      </c>
      <c r="D505" s="8" t="s">
        <v>39</v>
      </c>
      <c r="E505" s="8" t="s">
        <v>40</v>
      </c>
      <c r="F505" s="8" t="s">
        <v>71</v>
      </c>
      <c r="G505" s="8" t="n">
        <v>9</v>
      </c>
      <c r="H505" s="12" t="n">
        <v>500</v>
      </c>
      <c r="I505" s="13" t="n">
        <v>0</v>
      </c>
      <c r="J505" s="12" t="n">
        <v>250</v>
      </c>
      <c r="K505" s="12" t="n">
        <f aca="false">G505*H505*(1-I505)</f>
        <v>4500</v>
      </c>
      <c r="L505" s="12" t="n">
        <f aca="false">K505-G505*J505</f>
        <v>2250</v>
      </c>
    </row>
    <row r="506" customFormat="false" ht="15" hidden="false" customHeight="false" outlineLevel="0" collapsed="false">
      <c r="A506" s="8" t="s">
        <v>535</v>
      </c>
      <c r="B506" s="11" t="n">
        <v>45947</v>
      </c>
      <c r="C506" s="8" t="n">
        <f aca="false">MONTH(B506)</f>
        <v>10</v>
      </c>
      <c r="D506" s="8" t="s">
        <v>47</v>
      </c>
      <c r="E506" s="8" t="s">
        <v>57</v>
      </c>
      <c r="F506" s="8" t="s">
        <v>86</v>
      </c>
      <c r="G506" s="8" t="n">
        <v>1</v>
      </c>
      <c r="H506" s="12" t="n">
        <v>1200</v>
      </c>
      <c r="I506" s="13" t="n">
        <v>0.1</v>
      </c>
      <c r="J506" s="12" t="n">
        <v>600</v>
      </c>
      <c r="K506" s="12" t="n">
        <f aca="false">G506*H506*(1-I506)</f>
        <v>1080</v>
      </c>
      <c r="L506" s="12" t="n">
        <f aca="false">K506-G506*J506</f>
        <v>480</v>
      </c>
    </row>
    <row r="507" customFormat="false" ht="15" hidden="false" customHeight="false" outlineLevel="0" collapsed="false">
      <c r="A507" s="8" t="s">
        <v>584</v>
      </c>
      <c r="B507" s="11" t="n">
        <v>45947</v>
      </c>
      <c r="C507" s="8" t="n">
        <f aca="false">MONTH(B507)</f>
        <v>10</v>
      </c>
      <c r="D507" s="8" t="s">
        <v>47</v>
      </c>
      <c r="E507" s="8" t="s">
        <v>57</v>
      </c>
      <c r="F507" s="8" t="s">
        <v>86</v>
      </c>
      <c r="G507" s="8" t="n">
        <v>2</v>
      </c>
      <c r="H507" s="12" t="n">
        <v>1200</v>
      </c>
      <c r="I507" s="13" t="n">
        <v>0.15</v>
      </c>
      <c r="J507" s="12" t="n">
        <v>600</v>
      </c>
      <c r="K507" s="12" t="n">
        <f aca="false">G507*H507*(1-I507)</f>
        <v>2040</v>
      </c>
      <c r="L507" s="12" t="n">
        <f aca="false">K507-G507*J507</f>
        <v>840</v>
      </c>
    </row>
    <row r="508" customFormat="false" ht="15" hidden="false" customHeight="false" outlineLevel="0" collapsed="false">
      <c r="A508" s="8" t="s">
        <v>564</v>
      </c>
      <c r="B508" s="11" t="n">
        <v>45948</v>
      </c>
      <c r="C508" s="8" t="n">
        <f aca="false">MONTH(B508)</f>
        <v>10</v>
      </c>
      <c r="D508" s="8" t="s">
        <v>39</v>
      </c>
      <c r="E508" s="8" t="s">
        <v>57</v>
      </c>
      <c r="F508" s="8" t="s">
        <v>86</v>
      </c>
      <c r="G508" s="8" t="n">
        <v>1</v>
      </c>
      <c r="H508" s="12" t="n">
        <v>1200</v>
      </c>
      <c r="I508" s="13" t="n">
        <v>0</v>
      </c>
      <c r="J508" s="12" t="n">
        <v>600</v>
      </c>
      <c r="K508" s="12" t="n">
        <f aca="false">G508*H508*(1-I508)</f>
        <v>1200</v>
      </c>
      <c r="L508" s="12" t="n">
        <f aca="false">K508-G508*J508</f>
        <v>600</v>
      </c>
    </row>
    <row r="509" customFormat="false" ht="15" hidden="false" customHeight="false" outlineLevel="0" collapsed="false">
      <c r="A509" s="8" t="s">
        <v>592</v>
      </c>
      <c r="B509" s="11" t="n">
        <v>45949</v>
      </c>
      <c r="C509" s="8" t="n">
        <f aca="false">MONTH(B509)</f>
        <v>10</v>
      </c>
      <c r="D509" s="8" t="s">
        <v>55</v>
      </c>
      <c r="E509" s="8" t="s">
        <v>44</v>
      </c>
      <c r="F509" s="8" t="s">
        <v>60</v>
      </c>
      <c r="G509" s="8" t="n">
        <v>3</v>
      </c>
      <c r="H509" s="12" t="n">
        <v>2500</v>
      </c>
      <c r="I509" s="13" t="n">
        <v>0</v>
      </c>
      <c r="J509" s="12" t="n">
        <v>1600</v>
      </c>
      <c r="K509" s="12" t="n">
        <f aca="false">G509*H509*(1-I509)</f>
        <v>7500</v>
      </c>
      <c r="L509" s="12" t="n">
        <f aca="false">K509-G509*J509</f>
        <v>2700</v>
      </c>
    </row>
    <row r="510" customFormat="false" ht="15" hidden="false" customHeight="false" outlineLevel="0" collapsed="false">
      <c r="A510" s="8" t="s">
        <v>576</v>
      </c>
      <c r="B510" s="11" t="n">
        <v>45949</v>
      </c>
      <c r="C510" s="8" t="n">
        <f aca="false">MONTH(B510)</f>
        <v>10</v>
      </c>
      <c r="D510" s="8" t="s">
        <v>39</v>
      </c>
      <c r="E510" s="8" t="s">
        <v>44</v>
      </c>
      <c r="F510" s="8" t="s">
        <v>45</v>
      </c>
      <c r="G510" s="8" t="n">
        <v>2</v>
      </c>
      <c r="H510" s="12" t="n">
        <v>1500</v>
      </c>
      <c r="I510" s="13" t="n">
        <v>0</v>
      </c>
      <c r="J510" s="12" t="n">
        <v>900</v>
      </c>
      <c r="K510" s="12" t="n">
        <f aca="false">G510*H510*(1-I510)</f>
        <v>3000</v>
      </c>
      <c r="L510" s="12" t="n">
        <f aca="false">K510-G510*J510</f>
        <v>1200</v>
      </c>
    </row>
    <row r="511" customFormat="false" ht="15" hidden="false" customHeight="false" outlineLevel="0" collapsed="false">
      <c r="A511" s="8" t="s">
        <v>571</v>
      </c>
      <c r="B511" s="11" t="n">
        <v>45949</v>
      </c>
      <c r="C511" s="8" t="n">
        <f aca="false">MONTH(B511)</f>
        <v>10</v>
      </c>
      <c r="D511" s="8" t="s">
        <v>55</v>
      </c>
      <c r="E511" s="8" t="s">
        <v>57</v>
      </c>
      <c r="F511" s="8" t="s">
        <v>111</v>
      </c>
      <c r="G511" s="8" t="n">
        <v>1</v>
      </c>
      <c r="H511" s="12" t="n">
        <v>7000</v>
      </c>
      <c r="I511" s="13" t="n">
        <v>0</v>
      </c>
      <c r="J511" s="12" t="n">
        <v>4800</v>
      </c>
      <c r="K511" s="12" t="n">
        <f aca="false">G511*H511*(1-I511)</f>
        <v>7000</v>
      </c>
      <c r="L511" s="12" t="n">
        <f aca="false">K511-G511*J511</f>
        <v>2200</v>
      </c>
    </row>
    <row r="512" customFormat="false" ht="15" hidden="false" customHeight="false" outlineLevel="0" collapsed="false">
      <c r="A512" s="8" t="s">
        <v>537</v>
      </c>
      <c r="B512" s="11" t="n">
        <v>45949</v>
      </c>
      <c r="C512" s="8" t="n">
        <f aca="false">MONTH(B512)</f>
        <v>10</v>
      </c>
      <c r="D512" s="8" t="s">
        <v>55</v>
      </c>
      <c r="E512" s="8" t="s">
        <v>57</v>
      </c>
      <c r="F512" s="8" t="s">
        <v>58</v>
      </c>
      <c r="G512" s="8" t="n">
        <v>3</v>
      </c>
      <c r="H512" s="12" t="n">
        <v>5500</v>
      </c>
      <c r="I512" s="13" t="n">
        <v>0</v>
      </c>
      <c r="J512" s="12" t="n">
        <v>3600</v>
      </c>
      <c r="K512" s="12" t="n">
        <f aca="false">G512*H512*(1-I512)</f>
        <v>16500</v>
      </c>
      <c r="L512" s="12" t="n">
        <f aca="false">K512-G512*J512</f>
        <v>5700</v>
      </c>
    </row>
    <row r="513" customFormat="false" ht="15" hidden="false" customHeight="false" outlineLevel="0" collapsed="false">
      <c r="A513" s="8" t="s">
        <v>567</v>
      </c>
      <c r="B513" s="11" t="n">
        <v>45949</v>
      </c>
      <c r="C513" s="8" t="n">
        <f aca="false">MONTH(B513)</f>
        <v>10</v>
      </c>
      <c r="D513" s="8" t="s">
        <v>771</v>
      </c>
      <c r="E513" s="8" t="s">
        <v>40</v>
      </c>
      <c r="F513" s="8" t="s">
        <v>41</v>
      </c>
      <c r="G513" s="8" t="n">
        <v>3</v>
      </c>
      <c r="H513" s="12" t="n">
        <v>600</v>
      </c>
      <c r="I513" s="13" t="n">
        <v>0.15</v>
      </c>
      <c r="J513" s="12" t="n">
        <v>300</v>
      </c>
      <c r="K513" s="12" t="n">
        <f aca="false">G513*H513*(1-I513)</f>
        <v>1530</v>
      </c>
      <c r="L513" s="12" t="n">
        <f aca="false">K513-G513*J513</f>
        <v>630</v>
      </c>
    </row>
    <row r="514" customFormat="false" ht="15" hidden="false" customHeight="false" outlineLevel="0" collapsed="false">
      <c r="A514" s="8" t="s">
        <v>562</v>
      </c>
      <c r="B514" s="11" t="n">
        <v>45951</v>
      </c>
      <c r="C514" s="8" t="n">
        <f aca="false">MONTH(B514)</f>
        <v>10</v>
      </c>
      <c r="D514" s="8" t="s">
        <v>39</v>
      </c>
      <c r="E514" s="8" t="s">
        <v>44</v>
      </c>
      <c r="F514" s="8" t="s">
        <v>50</v>
      </c>
      <c r="G514" s="8" t="n">
        <v>3</v>
      </c>
      <c r="H514" s="12" t="n">
        <v>3000</v>
      </c>
      <c r="I514" s="13" t="n">
        <v>0</v>
      </c>
      <c r="J514" s="12" t="n">
        <v>2000</v>
      </c>
      <c r="K514" s="12" t="n">
        <f aca="false">G514*H514*(1-I514)</f>
        <v>9000</v>
      </c>
      <c r="L514" s="12" t="n">
        <f aca="false">K514-G514*J514</f>
        <v>3000</v>
      </c>
    </row>
    <row r="515" customFormat="false" ht="15" hidden="false" customHeight="false" outlineLevel="0" collapsed="false">
      <c r="A515" s="8" t="s">
        <v>582</v>
      </c>
      <c r="B515" s="11" t="n">
        <v>45951</v>
      </c>
      <c r="C515" s="8" t="n">
        <f aca="false">MONTH(B515)</f>
        <v>10</v>
      </c>
      <c r="D515" s="8" t="s">
        <v>43</v>
      </c>
      <c r="E515" s="8" t="s">
        <v>40</v>
      </c>
      <c r="F515" s="8" t="s">
        <v>104</v>
      </c>
      <c r="G515" s="8" t="n">
        <v>2</v>
      </c>
      <c r="H515" s="12" t="n">
        <v>250</v>
      </c>
      <c r="I515" s="13" t="n">
        <v>0</v>
      </c>
      <c r="J515" s="12" t="n">
        <v>100</v>
      </c>
      <c r="K515" s="12" t="n">
        <f aca="false">G515*H515*(1-I515)</f>
        <v>500</v>
      </c>
      <c r="L515" s="12" t="n">
        <f aca="false">K515-G515*J515</f>
        <v>300</v>
      </c>
    </row>
    <row r="516" customFormat="false" ht="15" hidden="false" customHeight="false" outlineLevel="0" collapsed="false">
      <c r="A516" s="8" t="s">
        <v>565</v>
      </c>
      <c r="B516" s="11" t="n">
        <v>45951</v>
      </c>
      <c r="C516" s="8" t="n">
        <f aca="false">MONTH(B516)</f>
        <v>10</v>
      </c>
      <c r="D516" s="8" t="s">
        <v>47</v>
      </c>
      <c r="E516" s="8" t="s">
        <v>44</v>
      </c>
      <c r="F516" s="8" t="s">
        <v>45</v>
      </c>
      <c r="G516" s="8" t="n">
        <v>2</v>
      </c>
      <c r="H516" s="12" t="n">
        <v>1500</v>
      </c>
      <c r="I516" s="13" t="n">
        <v>0.05</v>
      </c>
      <c r="J516" s="12" t="n">
        <v>900</v>
      </c>
      <c r="K516" s="12" t="n">
        <f aca="false">G516*H516*(1-I516)</f>
        <v>2850</v>
      </c>
      <c r="L516" s="12" t="n">
        <f aca="false">K516-G516*J516</f>
        <v>1050</v>
      </c>
    </row>
    <row r="517" customFormat="false" ht="15" hidden="false" customHeight="false" outlineLevel="0" collapsed="false">
      <c r="A517" s="8" t="s">
        <v>575</v>
      </c>
      <c r="B517" s="11" t="n">
        <v>45953</v>
      </c>
      <c r="C517" s="8" t="n">
        <f aca="false">MONTH(B517)</f>
        <v>10</v>
      </c>
      <c r="D517" s="8" t="s">
        <v>43</v>
      </c>
      <c r="E517" s="8" t="s">
        <v>44</v>
      </c>
      <c r="F517" s="8" t="s">
        <v>45</v>
      </c>
      <c r="G517" s="8" t="n">
        <v>3</v>
      </c>
      <c r="H517" s="12" t="n">
        <v>1500</v>
      </c>
      <c r="I517" s="13" t="n">
        <v>0</v>
      </c>
      <c r="J517" s="12" t="n">
        <v>900</v>
      </c>
      <c r="K517" s="12" t="n">
        <f aca="false">G517*H517*(1-I517)</f>
        <v>4500</v>
      </c>
      <c r="L517" s="12" t="n">
        <f aca="false">K517-G517*J517</f>
        <v>1800</v>
      </c>
    </row>
    <row r="518" customFormat="false" ht="15" hidden="false" customHeight="false" outlineLevel="0" collapsed="false">
      <c r="A518" s="8" t="s">
        <v>563</v>
      </c>
      <c r="B518" s="11" t="n">
        <v>45953</v>
      </c>
      <c r="C518" s="8" t="n">
        <f aca="false">MONTH(B518)</f>
        <v>10</v>
      </c>
      <c r="D518" s="8" t="s">
        <v>39</v>
      </c>
      <c r="E518" s="8" t="s">
        <v>44</v>
      </c>
      <c r="F518" s="8" t="s">
        <v>50</v>
      </c>
      <c r="G518" s="8" t="n">
        <v>2</v>
      </c>
      <c r="H518" s="12" t="n">
        <v>3000</v>
      </c>
      <c r="I518" s="13" t="n">
        <v>0</v>
      </c>
      <c r="J518" s="12" t="n">
        <v>2000</v>
      </c>
      <c r="K518" s="12" t="n">
        <f aca="false">G518*H518*(1-I518)</f>
        <v>6000</v>
      </c>
      <c r="L518" s="12" t="n">
        <f aca="false">K518-G518*J518</f>
        <v>2000</v>
      </c>
    </row>
    <row r="519" customFormat="false" ht="15" hidden="false" customHeight="false" outlineLevel="0" collapsed="false">
      <c r="A519" s="8" t="s">
        <v>553</v>
      </c>
      <c r="B519" s="11" t="n">
        <v>45953</v>
      </c>
      <c r="C519" s="8" t="n">
        <f aca="false">MONTH(B519)</f>
        <v>10</v>
      </c>
      <c r="D519" s="8" t="s">
        <v>55</v>
      </c>
      <c r="E519" s="8" t="s">
        <v>44</v>
      </c>
      <c r="F519" s="8" t="s">
        <v>50</v>
      </c>
      <c r="G519" s="8" t="n">
        <v>2</v>
      </c>
      <c r="H519" s="12" t="n">
        <v>3000</v>
      </c>
      <c r="I519" s="13" t="n">
        <v>0</v>
      </c>
      <c r="J519" s="12" t="n">
        <v>2000</v>
      </c>
      <c r="K519" s="12" t="n">
        <f aca="false">G519*H519*(1-I519)</f>
        <v>6000</v>
      </c>
      <c r="L519" s="12" t="n">
        <f aca="false">K519-G519*J519</f>
        <v>2000</v>
      </c>
    </row>
    <row r="520" customFormat="false" ht="15" hidden="false" customHeight="false" outlineLevel="0" collapsed="false">
      <c r="A520" s="8" t="s">
        <v>546</v>
      </c>
      <c r="B520" s="11" t="n">
        <v>45953</v>
      </c>
      <c r="C520" s="8" t="n">
        <f aca="false">MONTH(B520)</f>
        <v>10</v>
      </c>
      <c r="D520" s="8" t="s">
        <v>47</v>
      </c>
      <c r="E520" s="8" t="s">
        <v>57</v>
      </c>
      <c r="F520" s="8" t="s">
        <v>86</v>
      </c>
      <c r="G520" s="8" t="n">
        <v>1</v>
      </c>
      <c r="H520" s="12" t="n">
        <v>1200</v>
      </c>
      <c r="I520" s="13" t="n">
        <v>0.05</v>
      </c>
      <c r="J520" s="12" t="n">
        <v>600</v>
      </c>
      <c r="K520" s="12" t="n">
        <f aca="false">G520*H520*(1-I520)</f>
        <v>1140</v>
      </c>
      <c r="L520" s="12" t="n">
        <f aca="false">K520-G520*J520</f>
        <v>540</v>
      </c>
    </row>
    <row r="521" customFormat="false" ht="15" hidden="false" customHeight="false" outlineLevel="0" collapsed="false">
      <c r="A521" s="8" t="s">
        <v>589</v>
      </c>
      <c r="B521" s="11" t="n">
        <v>45955</v>
      </c>
      <c r="C521" s="8" t="n">
        <f aca="false">MONTH(B521)</f>
        <v>10</v>
      </c>
      <c r="D521" s="8" t="s">
        <v>55</v>
      </c>
      <c r="E521" s="8" t="s">
        <v>40</v>
      </c>
      <c r="F521" s="8" t="s">
        <v>41</v>
      </c>
      <c r="G521" s="8" t="n">
        <v>5</v>
      </c>
      <c r="H521" s="12" t="n">
        <v>600</v>
      </c>
      <c r="I521" s="13" t="n">
        <v>0.15</v>
      </c>
      <c r="J521" s="12" t="n">
        <v>300</v>
      </c>
      <c r="K521" s="12" t="n">
        <f aca="false">G521*H521*(1-I521)</f>
        <v>2550</v>
      </c>
      <c r="L521" s="12" t="n">
        <f aca="false">K521-G521*J521</f>
        <v>1050</v>
      </c>
    </row>
    <row r="522" customFormat="false" ht="15" hidden="false" customHeight="false" outlineLevel="0" collapsed="false">
      <c r="A522" s="8" t="s">
        <v>588</v>
      </c>
      <c r="B522" s="11" t="n">
        <v>45956</v>
      </c>
      <c r="C522" s="8" t="n">
        <f aca="false">MONTH(B522)</f>
        <v>10</v>
      </c>
      <c r="D522" s="8" t="s">
        <v>47</v>
      </c>
      <c r="E522" s="8" t="s">
        <v>40</v>
      </c>
      <c r="F522" s="8" t="s">
        <v>71</v>
      </c>
      <c r="G522" s="8" t="n">
        <v>9</v>
      </c>
      <c r="H522" s="12" t="n">
        <v>500</v>
      </c>
      <c r="I522" s="13" t="n">
        <v>0.1</v>
      </c>
      <c r="J522" s="12" t="n">
        <v>250</v>
      </c>
      <c r="K522" s="12" t="n">
        <f aca="false">G522*H522*(1-I522)</f>
        <v>4050</v>
      </c>
      <c r="L522" s="12" t="n">
        <f aca="false">K522-G522*J522</f>
        <v>1800</v>
      </c>
    </row>
    <row r="523" customFormat="false" ht="15" hidden="false" customHeight="false" outlineLevel="0" collapsed="false">
      <c r="A523" s="8" t="s">
        <v>569</v>
      </c>
      <c r="B523" s="11" t="n">
        <v>45957</v>
      </c>
      <c r="C523" s="8" t="n">
        <f aca="false">MONTH(B523)</f>
        <v>10</v>
      </c>
      <c r="D523" s="8" t="s">
        <v>55</v>
      </c>
      <c r="E523" s="8" t="s">
        <v>57</v>
      </c>
      <c r="F523" s="8" t="s">
        <v>58</v>
      </c>
      <c r="G523" s="8" t="n">
        <v>1</v>
      </c>
      <c r="H523" s="12" t="n">
        <v>5500</v>
      </c>
      <c r="I523" s="13" t="n">
        <v>0</v>
      </c>
      <c r="J523" s="12" t="n">
        <v>3600</v>
      </c>
      <c r="K523" s="12" t="n">
        <f aca="false">G523*H523*(1-I523)</f>
        <v>5500</v>
      </c>
      <c r="L523" s="12" t="n">
        <f aca="false">K523-G523*J523</f>
        <v>1900</v>
      </c>
    </row>
    <row r="524" customFormat="false" ht="15" hidden="false" customHeight="false" outlineLevel="0" collapsed="false">
      <c r="A524" s="8" t="s">
        <v>544</v>
      </c>
      <c r="B524" s="11" t="n">
        <v>45957</v>
      </c>
      <c r="C524" s="8" t="n">
        <f aca="false">MONTH(B524)</f>
        <v>10</v>
      </c>
      <c r="D524" s="8" t="s">
        <v>43</v>
      </c>
      <c r="E524" s="8" t="s">
        <v>40</v>
      </c>
      <c r="F524" s="8" t="s">
        <v>41</v>
      </c>
      <c r="G524" s="8" t="n">
        <v>8</v>
      </c>
      <c r="H524" s="12" t="n">
        <v>600</v>
      </c>
      <c r="I524" s="13" t="n">
        <v>0</v>
      </c>
      <c r="J524" s="12" t="n">
        <v>300</v>
      </c>
      <c r="K524" s="12" t="n">
        <f aca="false">G524*H524*(1-I524)</f>
        <v>4800</v>
      </c>
      <c r="L524" s="12" t="n">
        <f aca="false">K524-G524*J524</f>
        <v>2400</v>
      </c>
    </row>
    <row r="525" customFormat="false" ht="15" hidden="false" customHeight="false" outlineLevel="0" collapsed="false">
      <c r="A525" s="8" t="s">
        <v>573</v>
      </c>
      <c r="B525" s="11" t="n">
        <v>45958</v>
      </c>
      <c r="C525" s="8" t="n">
        <f aca="false">MONTH(B525)</f>
        <v>10</v>
      </c>
      <c r="D525" s="8" t="s">
        <v>47</v>
      </c>
      <c r="E525" s="8" t="s">
        <v>40</v>
      </c>
      <c r="F525" s="8" t="s">
        <v>41</v>
      </c>
      <c r="G525" s="8" t="n">
        <v>9</v>
      </c>
      <c r="H525" s="12" t="n">
        <v>600</v>
      </c>
      <c r="I525" s="13" t="n">
        <v>0</v>
      </c>
      <c r="J525" s="12" t="n">
        <v>300</v>
      </c>
      <c r="K525" s="12" t="n">
        <f aca="false">G525*H525*(1-I525)</f>
        <v>5400</v>
      </c>
      <c r="L525" s="12" t="n">
        <f aca="false">K525-G525*J525</f>
        <v>2700</v>
      </c>
    </row>
    <row r="526" customFormat="false" ht="15" hidden="false" customHeight="false" outlineLevel="0" collapsed="false">
      <c r="A526" s="8" t="s">
        <v>570</v>
      </c>
      <c r="B526" s="11" t="n">
        <v>45958</v>
      </c>
      <c r="C526" s="8" t="n">
        <f aca="false">MONTH(B526)</f>
        <v>10</v>
      </c>
      <c r="D526" s="8" t="s">
        <v>43</v>
      </c>
      <c r="E526" s="8" t="s">
        <v>57</v>
      </c>
      <c r="F526" s="8" t="s">
        <v>58</v>
      </c>
      <c r="G526" s="8" t="n">
        <v>1</v>
      </c>
      <c r="H526" s="12" t="n">
        <v>5500</v>
      </c>
      <c r="I526" s="13" t="n">
        <v>0.15</v>
      </c>
      <c r="J526" s="12" t="n">
        <v>3600</v>
      </c>
      <c r="K526" s="12" t="n">
        <f aca="false">G526*H526*(1-I526)</f>
        <v>4675</v>
      </c>
      <c r="L526" s="12" t="n">
        <f aca="false">K526-G526*J526</f>
        <v>1075</v>
      </c>
    </row>
    <row r="527" customFormat="false" ht="15" hidden="false" customHeight="false" outlineLevel="0" collapsed="false">
      <c r="A527" s="8" t="s">
        <v>577</v>
      </c>
      <c r="B527" s="11" t="n">
        <v>45958</v>
      </c>
      <c r="C527" s="8" t="n">
        <f aca="false">MONTH(B527)</f>
        <v>10</v>
      </c>
      <c r="D527" s="8" t="s">
        <v>43</v>
      </c>
      <c r="E527" s="8" t="s">
        <v>40</v>
      </c>
      <c r="F527" s="8" t="s">
        <v>41</v>
      </c>
      <c r="G527" s="8" t="n">
        <v>4</v>
      </c>
      <c r="H527" s="12" t="n">
        <v>600</v>
      </c>
      <c r="I527" s="13" t="n">
        <v>0.1</v>
      </c>
      <c r="J527" s="12" t="n">
        <v>300</v>
      </c>
      <c r="K527" s="12" t="n">
        <f aca="false">G527*H527*(1-I527)</f>
        <v>2160</v>
      </c>
      <c r="L527" s="12" t="n">
        <f aca="false">K527-G527*J527</f>
        <v>960</v>
      </c>
    </row>
    <row r="528" customFormat="false" ht="15" hidden="false" customHeight="false" outlineLevel="0" collapsed="false">
      <c r="A528" s="8" t="s">
        <v>547</v>
      </c>
      <c r="B528" s="11" t="n">
        <v>45958</v>
      </c>
      <c r="C528" s="8" t="n">
        <f aca="false">MONTH(B528)</f>
        <v>10</v>
      </c>
      <c r="D528" s="8" t="s">
        <v>47</v>
      </c>
      <c r="E528" s="8" t="s">
        <v>44</v>
      </c>
      <c r="F528" s="8" t="s">
        <v>50</v>
      </c>
      <c r="G528" s="8" t="n">
        <v>3</v>
      </c>
      <c r="H528" s="12" t="n">
        <v>3000</v>
      </c>
      <c r="I528" s="13" t="n">
        <v>0.05</v>
      </c>
      <c r="J528" s="12" t="n">
        <v>2000</v>
      </c>
      <c r="K528" s="12" t="n">
        <f aca="false">G528*H528*(1-I528)</f>
        <v>8550</v>
      </c>
      <c r="L528" s="12" t="n">
        <f aca="false">K528-G528*J528</f>
        <v>2550</v>
      </c>
    </row>
    <row r="529" customFormat="false" ht="15" hidden="false" customHeight="false" outlineLevel="0" collapsed="false">
      <c r="A529" s="8" t="s">
        <v>659</v>
      </c>
      <c r="B529" s="11" t="n">
        <v>45962</v>
      </c>
      <c r="C529" s="8" t="n">
        <f aca="false">MONTH(B529)</f>
        <v>11</v>
      </c>
      <c r="D529" s="8" t="s">
        <v>47</v>
      </c>
      <c r="E529" s="8" t="s">
        <v>57</v>
      </c>
      <c r="F529" s="8" t="s">
        <v>58</v>
      </c>
      <c r="G529" s="8" t="n">
        <v>1</v>
      </c>
      <c r="H529" s="12" t="n">
        <v>5500</v>
      </c>
      <c r="I529" s="13" t="n">
        <v>0.15</v>
      </c>
      <c r="J529" s="12" t="n">
        <v>3600</v>
      </c>
      <c r="K529" s="12" t="n">
        <f aca="false">G529*H529*(1-I529)</f>
        <v>4675</v>
      </c>
      <c r="L529" s="12" t="n">
        <f aca="false">K529-G529*J529</f>
        <v>1075</v>
      </c>
    </row>
    <row r="530" customFormat="false" ht="15" hidden="false" customHeight="false" outlineLevel="0" collapsed="false">
      <c r="A530" s="8" t="s">
        <v>597</v>
      </c>
      <c r="B530" s="11" t="n">
        <v>45962</v>
      </c>
      <c r="C530" s="8" t="n">
        <f aca="false">MONTH(B530)</f>
        <v>11</v>
      </c>
      <c r="D530" s="8" t="s">
        <v>47</v>
      </c>
      <c r="E530" s="8" t="s">
        <v>40</v>
      </c>
      <c r="F530" s="8" t="s">
        <v>77</v>
      </c>
      <c r="G530" s="8" t="n">
        <v>6</v>
      </c>
      <c r="H530" s="12" t="n">
        <v>400</v>
      </c>
      <c r="I530" s="13" t="n">
        <v>0.15</v>
      </c>
      <c r="J530" s="12" t="n">
        <v>200</v>
      </c>
      <c r="K530" s="12" t="n">
        <f aca="false">G530*H530*(1-I530)</f>
        <v>2040</v>
      </c>
      <c r="L530" s="12" t="n">
        <f aca="false">K530-G530*J530</f>
        <v>840</v>
      </c>
    </row>
    <row r="531" customFormat="false" ht="15" hidden="false" customHeight="false" outlineLevel="0" collapsed="false">
      <c r="A531" s="8" t="s">
        <v>671</v>
      </c>
      <c r="B531" s="11" t="n">
        <v>45962</v>
      </c>
      <c r="C531" s="8" t="n">
        <f aca="false">MONTH(B531)</f>
        <v>11</v>
      </c>
      <c r="D531" s="8" t="s">
        <v>43</v>
      </c>
      <c r="E531" s="8" t="s">
        <v>40</v>
      </c>
      <c r="F531" s="8" t="s">
        <v>104</v>
      </c>
      <c r="G531" s="8" t="n">
        <v>8</v>
      </c>
      <c r="H531" s="12" t="n">
        <v>250</v>
      </c>
      <c r="I531" s="13" t="n">
        <v>0</v>
      </c>
      <c r="J531" s="12" t="n">
        <v>100</v>
      </c>
      <c r="K531" s="12" t="n">
        <f aca="false">G531*H531*(1-I531)</f>
        <v>2000</v>
      </c>
      <c r="L531" s="12" t="n">
        <f aca="false">K531-G531*J531</f>
        <v>1200</v>
      </c>
    </row>
    <row r="532" customFormat="false" ht="15" hidden="false" customHeight="false" outlineLevel="0" collapsed="false">
      <c r="A532" s="8" t="s">
        <v>646</v>
      </c>
      <c r="B532" s="11" t="n">
        <v>45963</v>
      </c>
      <c r="C532" s="8" t="n">
        <f aca="false">MONTH(B532)</f>
        <v>11</v>
      </c>
      <c r="D532" s="8" t="s">
        <v>47</v>
      </c>
      <c r="E532" s="8" t="s">
        <v>44</v>
      </c>
      <c r="F532" s="8" t="s">
        <v>60</v>
      </c>
      <c r="G532" s="8" t="n">
        <v>1</v>
      </c>
      <c r="H532" s="12" t="n">
        <v>2500</v>
      </c>
      <c r="I532" s="13" t="n">
        <v>0.15</v>
      </c>
      <c r="J532" s="12" t="n">
        <v>1600</v>
      </c>
      <c r="K532" s="12" t="n">
        <f aca="false">G532*H532*(1-I532)</f>
        <v>2125</v>
      </c>
      <c r="L532" s="12" t="n">
        <f aca="false">K532-G532*J532</f>
        <v>525</v>
      </c>
    </row>
    <row r="533" customFormat="false" ht="15" hidden="false" customHeight="false" outlineLevel="0" collapsed="false">
      <c r="A533" s="8" t="s">
        <v>596</v>
      </c>
      <c r="B533" s="11" t="n">
        <v>45963</v>
      </c>
      <c r="C533" s="8" t="n">
        <f aca="false">MONTH(B533)</f>
        <v>11</v>
      </c>
      <c r="D533" s="8" t="s">
        <v>47</v>
      </c>
      <c r="E533" s="8" t="s">
        <v>44</v>
      </c>
      <c r="F533" s="8" t="s">
        <v>45</v>
      </c>
      <c r="G533" s="8" t="n">
        <v>2</v>
      </c>
      <c r="H533" s="12" t="n">
        <v>1500</v>
      </c>
      <c r="I533" s="13" t="n">
        <v>0.1</v>
      </c>
      <c r="J533" s="12" t="n">
        <v>900</v>
      </c>
      <c r="K533" s="12" t="n">
        <f aca="false">G533*H533*(1-I533)</f>
        <v>2700</v>
      </c>
      <c r="L533" s="12" t="n">
        <f aca="false">K533-G533*J533</f>
        <v>900</v>
      </c>
    </row>
    <row r="534" customFormat="false" ht="15" hidden="false" customHeight="false" outlineLevel="0" collapsed="false">
      <c r="A534" s="8" t="s">
        <v>628</v>
      </c>
      <c r="B534" s="11" t="n">
        <v>45963</v>
      </c>
      <c r="C534" s="8" t="n">
        <f aca="false">MONTH(B534)</f>
        <v>11</v>
      </c>
      <c r="D534" s="8" t="s">
        <v>47</v>
      </c>
      <c r="E534" s="8" t="s">
        <v>57</v>
      </c>
      <c r="F534" s="8" t="s">
        <v>111</v>
      </c>
      <c r="G534" s="8" t="n">
        <v>3</v>
      </c>
      <c r="H534" s="12" t="n">
        <v>7000</v>
      </c>
      <c r="I534" s="13" t="n">
        <v>0.1</v>
      </c>
      <c r="J534" s="12" t="n">
        <v>4800</v>
      </c>
      <c r="K534" s="12" t="n">
        <f aca="false">G534*H534*(1-I534)</f>
        <v>18900</v>
      </c>
      <c r="L534" s="12" t="n">
        <f aca="false">K534-G534*J534</f>
        <v>4500</v>
      </c>
    </row>
    <row r="535" customFormat="false" ht="15" hidden="false" customHeight="false" outlineLevel="0" collapsed="false">
      <c r="A535" s="8" t="s">
        <v>627</v>
      </c>
      <c r="B535" s="11" t="n">
        <v>45963</v>
      </c>
      <c r="C535" s="8" t="n">
        <f aca="false">MONTH(B535)</f>
        <v>11</v>
      </c>
      <c r="D535" s="8" t="s">
        <v>39</v>
      </c>
      <c r="E535" s="8" t="s">
        <v>57</v>
      </c>
      <c r="F535" s="8" t="s">
        <v>63</v>
      </c>
      <c r="G535" s="8" t="n">
        <v>3</v>
      </c>
      <c r="H535" s="12" t="n">
        <v>9000</v>
      </c>
      <c r="I535" s="13" t="n">
        <v>0</v>
      </c>
      <c r="J535" s="12" t="n">
        <v>6200</v>
      </c>
      <c r="K535" s="12" t="n">
        <f aca="false">G535*H535*(1-I535)</f>
        <v>27000</v>
      </c>
      <c r="L535" s="12" t="n">
        <f aca="false">K535-G535*J535</f>
        <v>8400</v>
      </c>
    </row>
    <row r="536" customFormat="false" ht="15" hidden="false" customHeight="false" outlineLevel="0" collapsed="false">
      <c r="A536" s="8" t="s">
        <v>661</v>
      </c>
      <c r="B536" s="11" t="n">
        <v>45963</v>
      </c>
      <c r="C536" s="8" t="n">
        <f aca="false">MONTH(B536)</f>
        <v>11</v>
      </c>
      <c r="D536" s="8" t="s">
        <v>47</v>
      </c>
      <c r="E536" s="8" t="s">
        <v>57</v>
      </c>
      <c r="F536" s="8" t="s">
        <v>63</v>
      </c>
      <c r="G536" s="8" t="n">
        <v>1</v>
      </c>
      <c r="H536" s="12" t="n">
        <v>9000</v>
      </c>
      <c r="I536" s="13" t="n">
        <v>0.1</v>
      </c>
      <c r="J536" s="12" t="n">
        <v>6200</v>
      </c>
      <c r="K536" s="12" t="n">
        <f aca="false">G536*H536*(1-I536)</f>
        <v>8100</v>
      </c>
      <c r="L536" s="12" t="n">
        <f aca="false">K536-G536*J536</f>
        <v>1900</v>
      </c>
    </row>
    <row r="537" customFormat="false" ht="15" hidden="false" customHeight="false" outlineLevel="0" collapsed="false">
      <c r="A537" s="8" t="s">
        <v>655</v>
      </c>
      <c r="B537" s="11" t="n">
        <v>45964</v>
      </c>
      <c r="C537" s="8" t="n">
        <f aca="false">MONTH(B537)</f>
        <v>11</v>
      </c>
      <c r="D537" s="8" t="s">
        <v>55</v>
      </c>
      <c r="E537" s="8" t="s">
        <v>57</v>
      </c>
      <c r="F537" s="8" t="s">
        <v>111</v>
      </c>
      <c r="G537" s="8" t="n">
        <v>2</v>
      </c>
      <c r="H537" s="12" t="n">
        <v>7000</v>
      </c>
      <c r="I537" s="13" t="n">
        <v>0.05</v>
      </c>
      <c r="J537" s="12" t="n">
        <v>4800</v>
      </c>
      <c r="K537" s="12" t="n">
        <f aca="false">G537*H537*(1-I537)</f>
        <v>13300</v>
      </c>
      <c r="L537" s="12" t="n">
        <f aca="false">K537-G537*J537</f>
        <v>3700</v>
      </c>
    </row>
    <row r="538" customFormat="false" ht="15" hidden="false" customHeight="false" outlineLevel="0" collapsed="false">
      <c r="A538" s="8" t="s">
        <v>603</v>
      </c>
      <c r="B538" s="11" t="n">
        <v>45964</v>
      </c>
      <c r="C538" s="8" t="n">
        <f aca="false">MONTH(B538)</f>
        <v>11</v>
      </c>
      <c r="D538" s="8" t="s">
        <v>55</v>
      </c>
      <c r="E538" s="8" t="s">
        <v>57</v>
      </c>
      <c r="F538" s="8" t="s">
        <v>86</v>
      </c>
      <c r="G538" s="8" t="n">
        <v>2</v>
      </c>
      <c r="H538" s="12" t="n">
        <v>1200</v>
      </c>
      <c r="I538" s="13" t="n">
        <v>0.05</v>
      </c>
      <c r="J538" s="12" t="n">
        <v>600</v>
      </c>
      <c r="K538" s="12" t="n">
        <f aca="false">G538*H538*(1-I538)</f>
        <v>2280</v>
      </c>
      <c r="L538" s="12" t="n">
        <f aca="false">K538-G538*J538</f>
        <v>1080</v>
      </c>
    </row>
    <row r="539" customFormat="false" ht="15" hidden="false" customHeight="false" outlineLevel="0" collapsed="false">
      <c r="A539" s="8" t="s">
        <v>675</v>
      </c>
      <c r="B539" s="11" t="n">
        <v>45964</v>
      </c>
      <c r="C539" s="8" t="n">
        <f aca="false">MONTH(B539)</f>
        <v>11</v>
      </c>
      <c r="D539" s="8" t="s">
        <v>47</v>
      </c>
      <c r="E539" s="8" t="s">
        <v>40</v>
      </c>
      <c r="F539" s="8" t="s">
        <v>104</v>
      </c>
      <c r="G539" s="8" t="n">
        <v>5</v>
      </c>
      <c r="H539" s="12" t="n">
        <v>250</v>
      </c>
      <c r="I539" s="13" t="n">
        <v>0.15</v>
      </c>
      <c r="J539" s="12" t="n">
        <v>100</v>
      </c>
      <c r="K539" s="12" t="n">
        <f aca="false">G539*H539*(1-I539)</f>
        <v>1062.5</v>
      </c>
      <c r="L539" s="12" t="n">
        <f aca="false">K539-G539*J539</f>
        <v>562.5</v>
      </c>
    </row>
    <row r="540" customFormat="false" ht="15" hidden="false" customHeight="false" outlineLevel="0" collapsed="false">
      <c r="A540" s="8" t="s">
        <v>647</v>
      </c>
      <c r="B540" s="11" t="n">
        <v>45964</v>
      </c>
      <c r="C540" s="8" t="n">
        <f aca="false">MONTH(B540)</f>
        <v>11</v>
      </c>
      <c r="D540" s="8" t="s">
        <v>47</v>
      </c>
      <c r="E540" s="8" t="s">
        <v>44</v>
      </c>
      <c r="F540" s="8" t="s">
        <v>60</v>
      </c>
      <c r="G540" s="8" t="n">
        <v>3</v>
      </c>
      <c r="H540" s="12" t="n">
        <v>2500</v>
      </c>
      <c r="I540" s="13" t="n">
        <v>0</v>
      </c>
      <c r="J540" s="12" t="n">
        <v>1600</v>
      </c>
      <c r="K540" s="12" t="n">
        <f aca="false">G540*H540*(1-I540)</f>
        <v>7500</v>
      </c>
      <c r="L540" s="12" t="n">
        <f aca="false">K540-G540*J540</f>
        <v>2700</v>
      </c>
    </row>
    <row r="541" customFormat="false" ht="15" hidden="false" customHeight="false" outlineLevel="0" collapsed="false">
      <c r="A541" s="8" t="s">
        <v>653</v>
      </c>
      <c r="B541" s="11" t="n">
        <v>45965</v>
      </c>
      <c r="C541" s="8" t="n">
        <f aca="false">MONTH(B541)</f>
        <v>11</v>
      </c>
      <c r="D541" s="8" t="s">
        <v>43</v>
      </c>
      <c r="E541" s="8" t="s">
        <v>40</v>
      </c>
      <c r="F541" s="8" t="s">
        <v>71</v>
      </c>
      <c r="G541" s="8" t="n">
        <v>4</v>
      </c>
      <c r="H541" s="12" t="n">
        <v>500</v>
      </c>
      <c r="I541" s="13" t="n">
        <v>0</v>
      </c>
      <c r="J541" s="12" t="n">
        <v>250</v>
      </c>
      <c r="K541" s="12" t="n">
        <f aca="false">G541*H541*(1-I541)</f>
        <v>2000</v>
      </c>
      <c r="L541" s="12" t="n">
        <f aca="false">K541-G541*J541</f>
        <v>1000</v>
      </c>
    </row>
    <row r="542" customFormat="false" ht="15" hidden="false" customHeight="false" outlineLevel="0" collapsed="false">
      <c r="A542" s="8" t="s">
        <v>631</v>
      </c>
      <c r="B542" s="11" t="n">
        <v>45965</v>
      </c>
      <c r="C542" s="8" t="n">
        <f aca="false">MONTH(B542)</f>
        <v>11</v>
      </c>
      <c r="D542" s="8" t="s">
        <v>39</v>
      </c>
      <c r="E542" s="8" t="s">
        <v>44</v>
      </c>
      <c r="F542" s="8" t="s">
        <v>60</v>
      </c>
      <c r="G542" s="8" t="n">
        <v>1</v>
      </c>
      <c r="H542" s="12" t="n">
        <v>2500</v>
      </c>
      <c r="I542" s="13" t="n">
        <v>0.15</v>
      </c>
      <c r="J542" s="12" t="n">
        <v>1600</v>
      </c>
      <c r="K542" s="12" t="n">
        <f aca="false">G542*H542*(1-I542)</f>
        <v>2125</v>
      </c>
      <c r="L542" s="12" t="n">
        <f aca="false">K542-G542*J542</f>
        <v>525</v>
      </c>
    </row>
    <row r="543" customFormat="false" ht="15" hidden="false" customHeight="false" outlineLevel="0" collapsed="false">
      <c r="A543" s="8" t="s">
        <v>644</v>
      </c>
      <c r="B543" s="11" t="n">
        <v>45966</v>
      </c>
      <c r="C543" s="8" t="n">
        <f aca="false">MONTH(B543)</f>
        <v>11</v>
      </c>
      <c r="D543" s="8" t="s">
        <v>39</v>
      </c>
      <c r="E543" s="8" t="s">
        <v>57</v>
      </c>
      <c r="F543" s="8" t="s">
        <v>86</v>
      </c>
      <c r="G543" s="8" t="n">
        <v>2</v>
      </c>
      <c r="H543" s="12" t="n">
        <v>1200</v>
      </c>
      <c r="I543" s="13" t="n">
        <v>0</v>
      </c>
      <c r="J543" s="12" t="n">
        <v>600</v>
      </c>
      <c r="K543" s="12" t="n">
        <f aca="false">G543*H543*(1-I543)</f>
        <v>2400</v>
      </c>
      <c r="L543" s="12" t="n">
        <f aca="false">K543-G543*J543</f>
        <v>1200</v>
      </c>
    </row>
    <row r="544" customFormat="false" ht="15" hidden="false" customHeight="false" outlineLevel="0" collapsed="false">
      <c r="A544" s="8" t="s">
        <v>638</v>
      </c>
      <c r="B544" s="11" t="n">
        <v>45966</v>
      </c>
      <c r="C544" s="8" t="n">
        <f aca="false">MONTH(B544)</f>
        <v>11</v>
      </c>
      <c r="D544" s="8" t="s">
        <v>47</v>
      </c>
      <c r="E544" s="8" t="s">
        <v>44</v>
      </c>
      <c r="F544" s="8" t="s">
        <v>60</v>
      </c>
      <c r="G544" s="8" t="n">
        <v>1</v>
      </c>
      <c r="H544" s="12" t="n">
        <v>2500</v>
      </c>
      <c r="I544" s="13" t="n">
        <v>0.15</v>
      </c>
      <c r="J544" s="12" t="n">
        <v>1600</v>
      </c>
      <c r="K544" s="12" t="n">
        <f aca="false">G544*H544*(1-I544)</f>
        <v>2125</v>
      </c>
      <c r="L544" s="12" t="n">
        <f aca="false">K544-G544*J544</f>
        <v>525</v>
      </c>
    </row>
    <row r="545" customFormat="false" ht="15" hidden="false" customHeight="false" outlineLevel="0" collapsed="false">
      <c r="A545" s="8" t="s">
        <v>621</v>
      </c>
      <c r="B545" s="11" t="n">
        <v>45966</v>
      </c>
      <c r="C545" s="8" t="n">
        <f aca="false">MONTH(B545)</f>
        <v>11</v>
      </c>
      <c r="D545" s="8" t="s">
        <v>47</v>
      </c>
      <c r="E545" s="8" t="s">
        <v>40</v>
      </c>
      <c r="F545" s="8" t="s">
        <v>77</v>
      </c>
      <c r="G545" s="8" t="n">
        <v>8</v>
      </c>
      <c r="H545" s="12" t="n">
        <v>400</v>
      </c>
      <c r="I545" s="13" t="n">
        <v>0.05</v>
      </c>
      <c r="J545" s="12" t="n">
        <v>200</v>
      </c>
      <c r="K545" s="12" t="n">
        <f aca="false">G545*H545*(1-I545)</f>
        <v>3040</v>
      </c>
      <c r="L545" s="12" t="n">
        <f aca="false">K545-G545*J545</f>
        <v>1440</v>
      </c>
    </row>
    <row r="546" customFormat="false" ht="15" hidden="false" customHeight="false" outlineLevel="0" collapsed="false">
      <c r="A546" s="8" t="s">
        <v>665</v>
      </c>
      <c r="B546" s="11" t="n">
        <v>45966</v>
      </c>
      <c r="C546" s="8" t="n">
        <f aca="false">MONTH(B546)</f>
        <v>11</v>
      </c>
      <c r="D546" s="8" t="s">
        <v>39</v>
      </c>
      <c r="E546" s="8" t="s">
        <v>57</v>
      </c>
      <c r="F546" s="8" t="s">
        <v>63</v>
      </c>
      <c r="G546" s="8" t="n">
        <v>1</v>
      </c>
      <c r="H546" s="12" t="n">
        <v>9000</v>
      </c>
      <c r="I546" s="13" t="n">
        <v>0.1</v>
      </c>
      <c r="J546" s="12" t="n">
        <v>6200</v>
      </c>
      <c r="K546" s="12" t="n">
        <f aca="false">G546*H546*(1-I546)</f>
        <v>8100</v>
      </c>
      <c r="L546" s="12" t="n">
        <f aca="false">K546-G546*J546</f>
        <v>1900</v>
      </c>
    </row>
    <row r="547" customFormat="false" ht="15" hidden="false" customHeight="false" outlineLevel="0" collapsed="false">
      <c r="A547" s="8" t="s">
        <v>673</v>
      </c>
      <c r="B547" s="11" t="n">
        <v>45967</v>
      </c>
      <c r="C547" s="8" t="n">
        <f aca="false">MONTH(B547)</f>
        <v>11</v>
      </c>
      <c r="D547" s="8" t="s">
        <v>47</v>
      </c>
      <c r="E547" s="8" t="s">
        <v>57</v>
      </c>
      <c r="F547" s="8" t="s">
        <v>63</v>
      </c>
      <c r="G547" s="8" t="n">
        <v>2</v>
      </c>
      <c r="H547" s="12" t="n">
        <v>9000</v>
      </c>
      <c r="I547" s="13" t="n">
        <v>0.05</v>
      </c>
      <c r="J547" s="12" t="n">
        <v>6200</v>
      </c>
      <c r="K547" s="12" t="n">
        <f aca="false">G547*H547*(1-I547)</f>
        <v>17100</v>
      </c>
      <c r="L547" s="12" t="n">
        <f aca="false">K547-G547*J547</f>
        <v>4700</v>
      </c>
    </row>
    <row r="548" customFormat="false" ht="15" hidden="false" customHeight="false" outlineLevel="0" collapsed="false">
      <c r="A548" s="8" t="s">
        <v>666</v>
      </c>
      <c r="B548" s="11" t="n">
        <v>45967</v>
      </c>
      <c r="C548" s="8" t="n">
        <f aca="false">MONTH(B548)</f>
        <v>11</v>
      </c>
      <c r="D548" s="8" t="s">
        <v>55</v>
      </c>
      <c r="E548" s="8" t="s">
        <v>40</v>
      </c>
      <c r="F548" s="8" t="s">
        <v>71</v>
      </c>
      <c r="G548" s="8" t="n">
        <v>3</v>
      </c>
      <c r="H548" s="12" t="n">
        <v>500</v>
      </c>
      <c r="I548" s="13" t="n">
        <v>0</v>
      </c>
      <c r="J548" s="12" t="n">
        <v>250</v>
      </c>
      <c r="K548" s="12" t="n">
        <f aca="false">G548*H548*(1-I548)</f>
        <v>1500</v>
      </c>
      <c r="L548" s="12" t="n">
        <f aca="false">K548-G548*J548</f>
        <v>750</v>
      </c>
    </row>
    <row r="549" customFormat="false" ht="15" hidden="false" customHeight="false" outlineLevel="0" collapsed="false">
      <c r="A549" s="8" t="s">
        <v>598</v>
      </c>
      <c r="B549" s="11" t="n">
        <v>45968</v>
      </c>
      <c r="C549" s="8" t="n">
        <f aca="false">MONTH(B549)</f>
        <v>11</v>
      </c>
      <c r="D549" s="8" t="s">
        <v>47</v>
      </c>
      <c r="E549" s="8" t="s">
        <v>57</v>
      </c>
      <c r="F549" s="8" t="s">
        <v>58</v>
      </c>
      <c r="G549" s="8" t="n">
        <v>1</v>
      </c>
      <c r="H549" s="12" t="n">
        <v>5500</v>
      </c>
      <c r="I549" s="13" t="n">
        <v>0.15</v>
      </c>
      <c r="J549" s="12" t="n">
        <v>3600</v>
      </c>
      <c r="K549" s="12" t="n">
        <f aca="false">G549*H549*(1-I549)</f>
        <v>4675</v>
      </c>
      <c r="L549" s="12" t="n">
        <f aca="false">K549-G549*J549</f>
        <v>1075</v>
      </c>
    </row>
    <row r="550" customFormat="false" ht="15" hidden="false" customHeight="false" outlineLevel="0" collapsed="false">
      <c r="A550" s="8" t="s">
        <v>608</v>
      </c>
      <c r="B550" s="11" t="n">
        <v>45969</v>
      </c>
      <c r="C550" s="8" t="n">
        <f aca="false">MONTH(B550)</f>
        <v>11</v>
      </c>
      <c r="D550" s="8" t="s">
        <v>771</v>
      </c>
      <c r="E550" s="8" t="s">
        <v>40</v>
      </c>
      <c r="F550" s="8" t="s">
        <v>77</v>
      </c>
      <c r="G550" s="8" t="n">
        <v>8</v>
      </c>
      <c r="H550" s="12" t="n">
        <v>400</v>
      </c>
      <c r="I550" s="13" t="n">
        <v>0</v>
      </c>
      <c r="J550" s="12" t="n">
        <v>200</v>
      </c>
      <c r="K550" s="12" t="n">
        <f aca="false">G550*H550*(1-I550)</f>
        <v>3200</v>
      </c>
      <c r="L550" s="12" t="n">
        <f aca="false">K550-G550*J550</f>
        <v>1600</v>
      </c>
    </row>
    <row r="551" customFormat="false" ht="15" hidden="false" customHeight="false" outlineLevel="0" collapsed="false">
      <c r="A551" s="8" t="s">
        <v>672</v>
      </c>
      <c r="B551" s="11" t="n">
        <v>45969</v>
      </c>
      <c r="C551" s="8" t="n">
        <f aca="false">MONTH(B551)</f>
        <v>11</v>
      </c>
      <c r="D551" s="8" t="s">
        <v>47</v>
      </c>
      <c r="E551" s="8" t="s">
        <v>40</v>
      </c>
      <c r="F551" s="8" t="s">
        <v>41</v>
      </c>
      <c r="G551" s="8" t="n">
        <v>9</v>
      </c>
      <c r="H551" s="12" t="n">
        <v>600</v>
      </c>
      <c r="I551" s="13" t="n">
        <v>0.05</v>
      </c>
      <c r="J551" s="12" t="n">
        <v>300</v>
      </c>
      <c r="K551" s="12" t="n">
        <f aca="false">G551*H551*(1-I551)</f>
        <v>5130</v>
      </c>
      <c r="L551" s="12" t="n">
        <f aca="false">K551-G551*J551</f>
        <v>2430</v>
      </c>
    </row>
    <row r="552" customFormat="false" ht="15" hidden="false" customHeight="false" outlineLevel="0" collapsed="false">
      <c r="A552" s="8" t="s">
        <v>640</v>
      </c>
      <c r="B552" s="11" t="n">
        <v>45969</v>
      </c>
      <c r="C552" s="8" t="n">
        <f aca="false">MONTH(B552)</f>
        <v>11</v>
      </c>
      <c r="D552" s="8" t="s">
        <v>47</v>
      </c>
      <c r="E552" s="8" t="s">
        <v>57</v>
      </c>
      <c r="F552" s="8" t="s">
        <v>58</v>
      </c>
      <c r="G552" s="8" t="n">
        <v>1</v>
      </c>
      <c r="H552" s="12" t="n">
        <v>5500</v>
      </c>
      <c r="I552" s="13" t="n">
        <v>0</v>
      </c>
      <c r="J552" s="12" t="n">
        <v>3600</v>
      </c>
      <c r="K552" s="12" t="n">
        <f aca="false">G552*H552*(1-I552)</f>
        <v>5500</v>
      </c>
      <c r="L552" s="12" t="n">
        <f aca="false">K552-G552*J552</f>
        <v>1900</v>
      </c>
    </row>
    <row r="553" customFormat="false" ht="15" hidden="false" customHeight="false" outlineLevel="0" collapsed="false">
      <c r="A553" s="8" t="s">
        <v>622</v>
      </c>
      <c r="B553" s="11" t="n">
        <v>45969</v>
      </c>
      <c r="C553" s="8" t="n">
        <f aca="false">MONTH(B553)</f>
        <v>11</v>
      </c>
      <c r="D553" s="8" t="s">
        <v>47</v>
      </c>
      <c r="E553" s="8" t="s">
        <v>57</v>
      </c>
      <c r="F553" s="8" t="s">
        <v>111</v>
      </c>
      <c r="G553" s="8" t="n">
        <v>3</v>
      </c>
      <c r="H553" s="12" t="n">
        <v>7000</v>
      </c>
      <c r="I553" s="13" t="n">
        <v>0.05</v>
      </c>
      <c r="J553" s="12" t="n">
        <v>4800</v>
      </c>
      <c r="K553" s="12" t="n">
        <f aca="false">G553*H553*(1-I553)</f>
        <v>19950</v>
      </c>
      <c r="L553" s="12" t="n">
        <f aca="false">K553-G553*J553</f>
        <v>5550</v>
      </c>
    </row>
    <row r="554" customFormat="false" ht="15" hidden="false" customHeight="false" outlineLevel="0" collapsed="false">
      <c r="A554" s="8" t="s">
        <v>625</v>
      </c>
      <c r="B554" s="11" t="n">
        <v>45970</v>
      </c>
      <c r="C554" s="8" t="n">
        <f aca="false">MONTH(B554)</f>
        <v>11</v>
      </c>
      <c r="D554" s="8" t="s">
        <v>47</v>
      </c>
      <c r="E554" s="8" t="s">
        <v>40</v>
      </c>
      <c r="F554" s="8" t="s">
        <v>77</v>
      </c>
      <c r="G554" s="8" t="n">
        <v>8</v>
      </c>
      <c r="H554" s="12" t="n">
        <v>400</v>
      </c>
      <c r="I554" s="13" t="n">
        <v>0</v>
      </c>
      <c r="J554" s="12" t="n">
        <v>200</v>
      </c>
      <c r="K554" s="12" t="n">
        <f aca="false">G554*H554*(1-I554)</f>
        <v>3200</v>
      </c>
      <c r="L554" s="12" t="n">
        <f aca="false">K554-G554*J554</f>
        <v>1600</v>
      </c>
    </row>
    <row r="555" customFormat="false" ht="15" hidden="false" customHeight="false" outlineLevel="0" collapsed="false">
      <c r="A555" s="8" t="s">
        <v>663</v>
      </c>
      <c r="B555" s="11" t="n">
        <v>45970</v>
      </c>
      <c r="C555" s="8" t="n">
        <f aca="false">MONTH(B555)</f>
        <v>11</v>
      </c>
      <c r="D555" s="8" t="s">
        <v>39</v>
      </c>
      <c r="E555" s="8" t="s">
        <v>57</v>
      </c>
      <c r="F555" s="8" t="s">
        <v>111</v>
      </c>
      <c r="G555" s="8" t="n">
        <v>1</v>
      </c>
      <c r="H555" s="12" t="n">
        <v>7000</v>
      </c>
      <c r="I555" s="13" t="n">
        <v>0.15</v>
      </c>
      <c r="J555" s="12" t="n">
        <v>4800</v>
      </c>
      <c r="K555" s="12" t="n">
        <f aca="false">G555*H555*(1-I555)</f>
        <v>5950</v>
      </c>
      <c r="L555" s="12" t="n">
        <f aca="false">K555-G555*J555</f>
        <v>1150</v>
      </c>
    </row>
    <row r="556" customFormat="false" ht="15" hidden="false" customHeight="false" outlineLevel="0" collapsed="false">
      <c r="A556" s="8" t="s">
        <v>616</v>
      </c>
      <c r="B556" s="11" t="n">
        <v>45971</v>
      </c>
      <c r="C556" s="8" t="n">
        <f aca="false">MONTH(B556)</f>
        <v>11</v>
      </c>
      <c r="D556" s="8" t="s">
        <v>47</v>
      </c>
      <c r="E556" s="8" t="s">
        <v>40</v>
      </c>
      <c r="F556" s="8" t="s">
        <v>104</v>
      </c>
      <c r="G556" s="8" t="n">
        <v>7</v>
      </c>
      <c r="H556" s="12" t="n">
        <v>250</v>
      </c>
      <c r="I556" s="13" t="n">
        <v>0</v>
      </c>
      <c r="J556" s="12" t="n">
        <v>100</v>
      </c>
      <c r="K556" s="12" t="n">
        <f aca="false">G556*H556*(1-I556)</f>
        <v>1750</v>
      </c>
      <c r="L556" s="12" t="n">
        <f aca="false">K556-G556*J556</f>
        <v>1050</v>
      </c>
    </row>
    <row r="557" customFormat="false" ht="15" hidden="false" customHeight="false" outlineLevel="0" collapsed="false">
      <c r="A557" s="8" t="s">
        <v>630</v>
      </c>
      <c r="B557" s="11" t="n">
        <v>45971</v>
      </c>
      <c r="C557" s="8" t="n">
        <f aca="false">MONTH(B557)</f>
        <v>11</v>
      </c>
      <c r="D557" s="8" t="s">
        <v>39</v>
      </c>
      <c r="E557" s="8" t="s">
        <v>40</v>
      </c>
      <c r="F557" s="8" t="s">
        <v>77</v>
      </c>
      <c r="G557" s="8" t="n">
        <v>5</v>
      </c>
      <c r="H557" s="12" t="n">
        <v>400</v>
      </c>
      <c r="I557" s="13" t="n">
        <v>0</v>
      </c>
      <c r="J557" s="12" t="n">
        <v>200</v>
      </c>
      <c r="K557" s="12" t="n">
        <f aca="false">G557*H557*(1-I557)</f>
        <v>2000</v>
      </c>
      <c r="L557" s="12" t="n">
        <f aca="false">K557-G557*J557</f>
        <v>1000</v>
      </c>
    </row>
    <row r="558" customFormat="false" ht="15" hidden="false" customHeight="false" outlineLevel="0" collapsed="false">
      <c r="A558" s="8" t="s">
        <v>670</v>
      </c>
      <c r="B558" s="11" t="n">
        <v>45972</v>
      </c>
      <c r="C558" s="8" t="n">
        <f aca="false">MONTH(B558)</f>
        <v>11</v>
      </c>
      <c r="D558" s="8" t="s">
        <v>39</v>
      </c>
      <c r="E558" s="8" t="s">
        <v>44</v>
      </c>
      <c r="F558" s="8" t="s">
        <v>60</v>
      </c>
      <c r="G558" s="8" t="n">
        <v>1</v>
      </c>
      <c r="H558" s="12" t="n">
        <v>2500</v>
      </c>
      <c r="I558" s="13" t="n">
        <v>0</v>
      </c>
      <c r="J558" s="12" t="n">
        <v>1600</v>
      </c>
      <c r="K558" s="12" t="n">
        <f aca="false">G558*H558*(1-I558)</f>
        <v>2500</v>
      </c>
      <c r="L558" s="12" t="n">
        <f aca="false">K558-G558*J558</f>
        <v>900</v>
      </c>
    </row>
    <row r="559" customFormat="false" ht="15" hidden="false" customHeight="false" outlineLevel="0" collapsed="false">
      <c r="A559" s="8" t="s">
        <v>615</v>
      </c>
      <c r="B559" s="11" t="n">
        <v>45972</v>
      </c>
      <c r="C559" s="8" t="n">
        <f aca="false">MONTH(B559)</f>
        <v>11</v>
      </c>
      <c r="D559" s="8" t="s">
        <v>39</v>
      </c>
      <c r="E559" s="8" t="s">
        <v>57</v>
      </c>
      <c r="F559" s="8" t="s">
        <v>111</v>
      </c>
      <c r="G559" s="8" t="n">
        <v>3</v>
      </c>
      <c r="H559" s="12" t="n">
        <v>7000</v>
      </c>
      <c r="I559" s="13" t="n">
        <v>0.1</v>
      </c>
      <c r="J559" s="12" t="n">
        <v>4800</v>
      </c>
      <c r="K559" s="12" t="n">
        <f aca="false">G559*H559*(1-I559)</f>
        <v>18900</v>
      </c>
      <c r="L559" s="12" t="n">
        <f aca="false">K559-G559*J559</f>
        <v>4500</v>
      </c>
    </row>
    <row r="560" customFormat="false" ht="15" hidden="false" customHeight="false" outlineLevel="0" collapsed="false">
      <c r="A560" s="8" t="s">
        <v>669</v>
      </c>
      <c r="B560" s="11" t="n">
        <v>45973</v>
      </c>
      <c r="C560" s="8" t="n">
        <f aca="false">MONTH(B560)</f>
        <v>11</v>
      </c>
      <c r="D560" s="8" t="s">
        <v>43</v>
      </c>
      <c r="E560" s="8" t="s">
        <v>40</v>
      </c>
      <c r="F560" s="8" t="s">
        <v>71</v>
      </c>
      <c r="G560" s="8" t="n">
        <v>10</v>
      </c>
      <c r="H560" s="12" t="n">
        <v>500</v>
      </c>
      <c r="I560" s="13" t="n">
        <v>0.15</v>
      </c>
      <c r="J560" s="12" t="n">
        <v>250</v>
      </c>
      <c r="K560" s="12" t="n">
        <f aca="false">G560*H560*(1-I560)</f>
        <v>4250</v>
      </c>
      <c r="L560" s="12" t="n">
        <f aca="false">K560-G560*J560</f>
        <v>1750</v>
      </c>
    </row>
    <row r="561" customFormat="false" ht="15" hidden="false" customHeight="false" outlineLevel="0" collapsed="false">
      <c r="A561" s="8" t="s">
        <v>658</v>
      </c>
      <c r="B561" s="11" t="n">
        <v>45974</v>
      </c>
      <c r="C561" s="8" t="n">
        <f aca="false">MONTH(B561)</f>
        <v>11</v>
      </c>
      <c r="D561" s="8" t="s">
        <v>43</v>
      </c>
      <c r="E561" s="8" t="s">
        <v>40</v>
      </c>
      <c r="F561" s="8" t="s">
        <v>41</v>
      </c>
      <c r="G561" s="8" t="n">
        <v>3</v>
      </c>
      <c r="H561" s="12" t="n">
        <v>600</v>
      </c>
      <c r="I561" s="13" t="n">
        <v>0.05</v>
      </c>
      <c r="J561" s="12" t="n">
        <v>300</v>
      </c>
      <c r="K561" s="12" t="n">
        <f aca="false">G561*H561*(1-I561)</f>
        <v>1710</v>
      </c>
      <c r="L561" s="12" t="n">
        <f aca="false">K561-G561*J561</f>
        <v>810</v>
      </c>
    </row>
    <row r="562" customFormat="false" ht="15" hidden="false" customHeight="false" outlineLevel="0" collapsed="false">
      <c r="A562" s="8" t="s">
        <v>620</v>
      </c>
      <c r="B562" s="11" t="n">
        <v>45974</v>
      </c>
      <c r="C562" s="8" t="n">
        <f aca="false">MONTH(B562)</f>
        <v>11</v>
      </c>
      <c r="D562" s="8" t="s">
        <v>55</v>
      </c>
      <c r="E562" s="8" t="s">
        <v>44</v>
      </c>
      <c r="F562" s="8" t="s">
        <v>60</v>
      </c>
      <c r="G562" s="8" t="n">
        <v>3</v>
      </c>
      <c r="H562" s="12" t="n">
        <v>2500</v>
      </c>
      <c r="I562" s="13" t="n">
        <v>0.15</v>
      </c>
      <c r="J562" s="12" t="n">
        <v>1600</v>
      </c>
      <c r="K562" s="12" t="n">
        <f aca="false">G562*H562*(1-I562)</f>
        <v>6375</v>
      </c>
      <c r="L562" s="12" t="n">
        <f aca="false">K562-G562*J562</f>
        <v>1575</v>
      </c>
    </row>
    <row r="563" customFormat="false" ht="15" hidden="false" customHeight="false" outlineLevel="0" collapsed="false">
      <c r="A563" s="8" t="s">
        <v>602</v>
      </c>
      <c r="B563" s="11" t="n">
        <v>45974</v>
      </c>
      <c r="C563" s="8" t="n">
        <f aca="false">MONTH(B563)</f>
        <v>11</v>
      </c>
      <c r="D563" s="8" t="s">
        <v>55</v>
      </c>
      <c r="E563" s="8" t="s">
        <v>40</v>
      </c>
      <c r="F563" s="8" t="s">
        <v>41</v>
      </c>
      <c r="G563" s="8" t="n">
        <v>8</v>
      </c>
      <c r="H563" s="12" t="n">
        <v>600</v>
      </c>
      <c r="I563" s="13" t="n">
        <v>0</v>
      </c>
      <c r="J563" s="12" t="n">
        <v>300</v>
      </c>
      <c r="K563" s="12" t="n">
        <f aca="false">G563*H563*(1-I563)</f>
        <v>4800</v>
      </c>
      <c r="L563" s="12" t="n">
        <f aca="false">K563-G563*J563</f>
        <v>2400</v>
      </c>
    </row>
    <row r="564" customFormat="false" ht="15" hidden="false" customHeight="false" outlineLevel="0" collapsed="false">
      <c r="A564" s="8" t="s">
        <v>624</v>
      </c>
      <c r="B564" s="11" t="n">
        <v>45975</v>
      </c>
      <c r="C564" s="8" t="n">
        <f aca="false">MONTH(B564)</f>
        <v>11</v>
      </c>
      <c r="D564" s="8" t="s">
        <v>55</v>
      </c>
      <c r="E564" s="8" t="s">
        <v>57</v>
      </c>
      <c r="F564" s="8" t="s">
        <v>86</v>
      </c>
      <c r="G564" s="8" t="n">
        <v>3</v>
      </c>
      <c r="H564" s="12" t="n">
        <v>1200</v>
      </c>
      <c r="I564" s="13" t="n">
        <v>0.05</v>
      </c>
      <c r="J564" s="12" t="n">
        <v>600</v>
      </c>
      <c r="K564" s="12" t="n">
        <f aca="false">G564*H564*(1-I564)</f>
        <v>3420</v>
      </c>
      <c r="L564" s="12" t="n">
        <f aca="false">K564-G564*J564</f>
        <v>1620</v>
      </c>
    </row>
    <row r="565" customFormat="false" ht="15" hidden="false" customHeight="false" outlineLevel="0" collapsed="false">
      <c r="A565" s="8" t="s">
        <v>617</v>
      </c>
      <c r="B565" s="11" t="n">
        <v>45975</v>
      </c>
      <c r="C565" s="8" t="n">
        <f aca="false">MONTH(B565)</f>
        <v>11</v>
      </c>
      <c r="D565" s="8" t="s">
        <v>55</v>
      </c>
      <c r="E565" s="8" t="s">
        <v>44</v>
      </c>
      <c r="F565" s="8" t="s">
        <v>45</v>
      </c>
      <c r="G565" s="8" t="n">
        <v>3</v>
      </c>
      <c r="H565" s="12" t="n">
        <v>1500</v>
      </c>
      <c r="I565" s="13" t="n">
        <v>0</v>
      </c>
      <c r="J565" s="12" t="n">
        <v>900</v>
      </c>
      <c r="K565" s="12" t="n">
        <f aca="false">G565*H565*(1-I565)</f>
        <v>4500</v>
      </c>
      <c r="L565" s="12" t="n">
        <f aca="false">K565-G565*J565</f>
        <v>1800</v>
      </c>
    </row>
    <row r="566" customFormat="false" ht="15" hidden="false" customHeight="false" outlineLevel="0" collapsed="false">
      <c r="A566" s="8" t="s">
        <v>637</v>
      </c>
      <c r="B566" s="11" t="n">
        <v>45975</v>
      </c>
      <c r="C566" s="8" t="n">
        <f aca="false">MONTH(B566)</f>
        <v>11</v>
      </c>
      <c r="D566" s="8" t="s">
        <v>55</v>
      </c>
      <c r="E566" s="8" t="s">
        <v>57</v>
      </c>
      <c r="F566" s="8" t="s">
        <v>63</v>
      </c>
      <c r="G566" s="8" t="n">
        <v>2</v>
      </c>
      <c r="H566" s="12" t="n">
        <v>9000</v>
      </c>
      <c r="I566" s="13" t="n">
        <v>0</v>
      </c>
      <c r="J566" s="12" t="n">
        <v>6200</v>
      </c>
      <c r="K566" s="12" t="n">
        <f aca="false">G566*H566*(1-I566)</f>
        <v>18000</v>
      </c>
      <c r="L566" s="12" t="n">
        <f aca="false">K566-G566*J566</f>
        <v>5600</v>
      </c>
    </row>
    <row r="567" customFormat="false" ht="15" hidden="false" customHeight="false" outlineLevel="0" collapsed="false">
      <c r="A567" s="8" t="s">
        <v>648</v>
      </c>
      <c r="B567" s="11" t="n">
        <v>45976</v>
      </c>
      <c r="C567" s="8" t="n">
        <f aca="false">MONTH(B567)</f>
        <v>11</v>
      </c>
      <c r="D567" s="8" t="s">
        <v>39</v>
      </c>
      <c r="E567" s="8" t="s">
        <v>40</v>
      </c>
      <c r="F567" s="8" t="s">
        <v>71</v>
      </c>
      <c r="G567" s="8" t="n">
        <v>5</v>
      </c>
      <c r="H567" s="12" t="n">
        <v>500</v>
      </c>
      <c r="I567" s="13" t="n">
        <v>0.1</v>
      </c>
      <c r="J567" s="12" t="n">
        <v>250</v>
      </c>
      <c r="K567" s="12" t="n">
        <f aca="false">G567*H567*(1-I567)</f>
        <v>2250</v>
      </c>
      <c r="L567" s="12" t="n">
        <f aca="false">K567-G567*J567</f>
        <v>1000</v>
      </c>
    </row>
    <row r="568" customFormat="false" ht="15" hidden="false" customHeight="false" outlineLevel="0" collapsed="false">
      <c r="A568" s="8" t="s">
        <v>595</v>
      </c>
      <c r="B568" s="11" t="n">
        <v>45976</v>
      </c>
      <c r="C568" s="8" t="n">
        <f aca="false">MONTH(B568)</f>
        <v>11</v>
      </c>
      <c r="D568" s="8" t="s">
        <v>55</v>
      </c>
      <c r="E568" s="8" t="s">
        <v>44</v>
      </c>
      <c r="F568" s="8" t="s">
        <v>48</v>
      </c>
      <c r="G568" s="8" t="n">
        <v>2</v>
      </c>
      <c r="H568" s="12" t="n">
        <v>4500</v>
      </c>
      <c r="I568" s="13" t="n">
        <v>0</v>
      </c>
      <c r="J568" s="12" t="n">
        <v>3300</v>
      </c>
      <c r="K568" s="12" t="n">
        <f aca="false">G568*H568*(1-I568)</f>
        <v>9000</v>
      </c>
      <c r="L568" s="12" t="n">
        <f aca="false">K568-G568*J568</f>
        <v>2400</v>
      </c>
    </row>
    <row r="569" customFormat="false" ht="15" hidden="false" customHeight="false" outlineLevel="0" collapsed="false">
      <c r="A569" s="8" t="s">
        <v>613</v>
      </c>
      <c r="B569" s="11" t="n">
        <v>45976</v>
      </c>
      <c r="C569" s="8" t="n">
        <f aca="false">MONTH(B569)</f>
        <v>11</v>
      </c>
      <c r="D569" s="8" t="s">
        <v>39</v>
      </c>
      <c r="E569" s="8" t="s">
        <v>44</v>
      </c>
      <c r="F569" s="8" t="s">
        <v>60</v>
      </c>
      <c r="G569" s="8" t="n">
        <v>1</v>
      </c>
      <c r="H569" s="12" t="n">
        <v>2500</v>
      </c>
      <c r="I569" s="13" t="n">
        <v>0.05</v>
      </c>
      <c r="J569" s="12" t="n">
        <v>1600</v>
      </c>
      <c r="K569" s="12" t="n">
        <f aca="false">G569*H569*(1-I569)</f>
        <v>2375</v>
      </c>
      <c r="L569" s="12" t="n">
        <f aca="false">K569-G569*J569</f>
        <v>775</v>
      </c>
    </row>
    <row r="570" customFormat="false" ht="15" hidden="false" customHeight="false" outlineLevel="0" collapsed="false">
      <c r="A570" s="8" t="s">
        <v>600</v>
      </c>
      <c r="B570" s="11" t="n">
        <v>45977</v>
      </c>
      <c r="C570" s="8" t="n">
        <f aca="false">MONTH(B570)</f>
        <v>11</v>
      </c>
      <c r="D570" s="8" t="s">
        <v>47</v>
      </c>
      <c r="E570" s="8" t="s">
        <v>44</v>
      </c>
      <c r="F570" s="8" t="s">
        <v>48</v>
      </c>
      <c r="G570" s="8" t="n">
        <v>1</v>
      </c>
      <c r="H570" s="12" t="n">
        <v>4500</v>
      </c>
      <c r="I570" s="13" t="n">
        <v>0</v>
      </c>
      <c r="J570" s="12" t="n">
        <v>3300</v>
      </c>
      <c r="K570" s="12" t="n">
        <f aca="false">G570*H570*(1-I570)</f>
        <v>4500</v>
      </c>
      <c r="L570" s="12" t="n">
        <f aca="false">K570-G570*J570</f>
        <v>1200</v>
      </c>
    </row>
    <row r="571" customFormat="false" ht="15" hidden="false" customHeight="false" outlineLevel="0" collapsed="false">
      <c r="A571" s="8" t="s">
        <v>662</v>
      </c>
      <c r="B571" s="11" t="n">
        <v>45977</v>
      </c>
      <c r="C571" s="8" t="n">
        <f aca="false">MONTH(B571)</f>
        <v>11</v>
      </c>
      <c r="D571" s="8" t="s">
        <v>39</v>
      </c>
      <c r="E571" s="8" t="s">
        <v>44</v>
      </c>
      <c r="F571" s="8" t="s">
        <v>50</v>
      </c>
      <c r="G571" s="8" t="n">
        <v>3</v>
      </c>
      <c r="H571" s="12" t="n">
        <v>3000</v>
      </c>
      <c r="I571" s="13" t="n">
        <v>0.1</v>
      </c>
      <c r="J571" s="12" t="n">
        <v>2000</v>
      </c>
      <c r="K571" s="12" t="n">
        <f aca="false">G571*H571*(1-I571)</f>
        <v>8100</v>
      </c>
      <c r="L571" s="12" t="n">
        <f aca="false">K571-G571*J571</f>
        <v>2100</v>
      </c>
    </row>
    <row r="572" customFormat="false" ht="15" hidden="false" customHeight="false" outlineLevel="0" collapsed="false">
      <c r="A572" s="8" t="s">
        <v>619</v>
      </c>
      <c r="B572" s="11" t="n">
        <v>45977</v>
      </c>
      <c r="C572" s="8" t="n">
        <f aca="false">MONTH(B572)</f>
        <v>11</v>
      </c>
      <c r="D572" s="8" t="s">
        <v>43</v>
      </c>
      <c r="E572" s="8" t="s">
        <v>44</v>
      </c>
      <c r="F572" s="8" t="s">
        <v>45</v>
      </c>
      <c r="G572" s="8" t="n">
        <v>2</v>
      </c>
      <c r="H572" s="12" t="n">
        <v>1500</v>
      </c>
      <c r="I572" s="13" t="n">
        <v>0.1</v>
      </c>
      <c r="J572" s="12" t="n">
        <v>900</v>
      </c>
      <c r="K572" s="12" t="n">
        <f aca="false">G572*H572*(1-I572)</f>
        <v>2700</v>
      </c>
      <c r="L572" s="12" t="n">
        <f aca="false">K572-G572*J572</f>
        <v>900</v>
      </c>
    </row>
    <row r="573" customFormat="false" ht="15" hidden="false" customHeight="false" outlineLevel="0" collapsed="false">
      <c r="A573" s="8" t="s">
        <v>643</v>
      </c>
      <c r="B573" s="11" t="n">
        <v>45977</v>
      </c>
      <c r="C573" s="8" t="n">
        <f aca="false">MONTH(B573)</f>
        <v>11</v>
      </c>
      <c r="D573" s="8" t="s">
        <v>55</v>
      </c>
      <c r="E573" s="8" t="s">
        <v>57</v>
      </c>
      <c r="F573" s="8" t="s">
        <v>86</v>
      </c>
      <c r="G573" s="8" t="n">
        <v>3</v>
      </c>
      <c r="H573" s="12" t="n">
        <v>1200</v>
      </c>
      <c r="I573" s="13" t="n">
        <v>0.15</v>
      </c>
      <c r="J573" s="12" t="n">
        <v>600</v>
      </c>
      <c r="K573" s="12" t="n">
        <f aca="false">G573*H573*(1-I573)</f>
        <v>3060</v>
      </c>
      <c r="L573" s="12" t="n">
        <f aca="false">K573-G573*J573</f>
        <v>1260</v>
      </c>
    </row>
    <row r="574" customFormat="false" ht="15" hidden="false" customHeight="false" outlineLevel="0" collapsed="false">
      <c r="A574" s="8" t="s">
        <v>594</v>
      </c>
      <c r="B574" s="11" t="n">
        <v>45977</v>
      </c>
      <c r="C574" s="8" t="n">
        <f aca="false">MONTH(B574)</f>
        <v>11</v>
      </c>
      <c r="D574" s="8" t="s">
        <v>43</v>
      </c>
      <c r="E574" s="8" t="s">
        <v>44</v>
      </c>
      <c r="F574" s="8" t="s">
        <v>48</v>
      </c>
      <c r="G574" s="8" t="n">
        <v>3</v>
      </c>
      <c r="H574" s="12" t="n">
        <v>4500</v>
      </c>
      <c r="I574" s="13" t="n">
        <v>0.1</v>
      </c>
      <c r="J574" s="12" t="n">
        <v>3300</v>
      </c>
      <c r="K574" s="12" t="n">
        <f aca="false">G574*H574*(1-I574)</f>
        <v>12150</v>
      </c>
      <c r="L574" s="12" t="n">
        <f aca="false">K574-G574*J574</f>
        <v>2250</v>
      </c>
    </row>
    <row r="575" customFormat="false" ht="15" hidden="false" customHeight="false" outlineLevel="0" collapsed="false">
      <c r="A575" s="8" t="s">
        <v>654</v>
      </c>
      <c r="B575" s="11" t="n">
        <v>45978</v>
      </c>
      <c r="C575" s="8" t="n">
        <f aca="false">MONTH(B575)</f>
        <v>11</v>
      </c>
      <c r="D575" s="8" t="s">
        <v>39</v>
      </c>
      <c r="E575" s="8" t="s">
        <v>40</v>
      </c>
      <c r="F575" s="8" t="s">
        <v>77</v>
      </c>
      <c r="G575" s="8" t="n">
        <v>5</v>
      </c>
      <c r="H575" s="12" t="n">
        <v>400</v>
      </c>
      <c r="I575" s="13" t="n">
        <v>0.1</v>
      </c>
      <c r="J575" s="12" t="n">
        <v>200</v>
      </c>
      <c r="K575" s="12" t="n">
        <f aca="false">G575*H575*(1-I575)</f>
        <v>1800</v>
      </c>
      <c r="L575" s="12" t="n">
        <f aca="false">K575-G575*J575</f>
        <v>800</v>
      </c>
    </row>
    <row r="576" customFormat="false" ht="15" hidden="false" customHeight="false" outlineLevel="0" collapsed="false">
      <c r="A576" s="8" t="s">
        <v>635</v>
      </c>
      <c r="B576" s="11" t="n">
        <v>45978</v>
      </c>
      <c r="C576" s="8" t="n">
        <f aca="false">MONTH(B576)</f>
        <v>11</v>
      </c>
      <c r="D576" s="8" t="s">
        <v>47</v>
      </c>
      <c r="E576" s="8" t="s">
        <v>40</v>
      </c>
      <c r="F576" s="8" t="s">
        <v>41</v>
      </c>
      <c r="G576" s="8" t="n">
        <v>6</v>
      </c>
      <c r="H576" s="12" t="n">
        <v>600</v>
      </c>
      <c r="I576" s="13" t="n">
        <v>0</v>
      </c>
      <c r="J576" s="12" t="n">
        <v>300</v>
      </c>
      <c r="K576" s="12" t="n">
        <f aca="false">G576*H576*(1-I576)</f>
        <v>3600</v>
      </c>
      <c r="L576" s="12" t="n">
        <f aca="false">K576-G576*J576</f>
        <v>1800</v>
      </c>
    </row>
    <row r="577" customFormat="false" ht="15" hidden="false" customHeight="false" outlineLevel="0" collapsed="false">
      <c r="A577" s="8" t="s">
        <v>652</v>
      </c>
      <c r="B577" s="11" t="n">
        <v>45978</v>
      </c>
      <c r="C577" s="8" t="n">
        <f aca="false">MONTH(B577)</f>
        <v>11</v>
      </c>
      <c r="D577" s="8" t="s">
        <v>47</v>
      </c>
      <c r="E577" s="8" t="s">
        <v>57</v>
      </c>
      <c r="F577" s="8" t="s">
        <v>111</v>
      </c>
      <c r="G577" s="8" t="n">
        <v>2</v>
      </c>
      <c r="H577" s="12" t="n">
        <v>7000</v>
      </c>
      <c r="I577" s="13" t="n">
        <v>0</v>
      </c>
      <c r="J577" s="12" t="n">
        <v>4800</v>
      </c>
      <c r="K577" s="12" t="n">
        <f aca="false">G577*H577*(1-I577)</f>
        <v>14000</v>
      </c>
      <c r="L577" s="12" t="n">
        <f aca="false">K577-G577*J577</f>
        <v>4400</v>
      </c>
    </row>
    <row r="578" customFormat="false" ht="15" hidden="false" customHeight="false" outlineLevel="0" collapsed="false">
      <c r="A578" s="8" t="s">
        <v>614</v>
      </c>
      <c r="B578" s="11" t="n">
        <v>45978</v>
      </c>
      <c r="C578" s="8" t="n">
        <f aca="false">MONTH(B578)</f>
        <v>11</v>
      </c>
      <c r="D578" s="8" t="s">
        <v>47</v>
      </c>
      <c r="E578" s="8" t="s">
        <v>44</v>
      </c>
      <c r="F578" s="8" t="s">
        <v>50</v>
      </c>
      <c r="G578" s="8" t="n">
        <v>1</v>
      </c>
      <c r="H578" s="12" t="n">
        <v>3000</v>
      </c>
      <c r="I578" s="13" t="n">
        <v>0</v>
      </c>
      <c r="J578" s="12" t="n">
        <v>2000</v>
      </c>
      <c r="K578" s="12" t="n">
        <f aca="false">G578*H578*(1-I578)</f>
        <v>3000</v>
      </c>
      <c r="L578" s="12" t="n">
        <f aca="false">K578-G578*J578</f>
        <v>1000</v>
      </c>
    </row>
    <row r="579" customFormat="false" ht="15" hidden="false" customHeight="false" outlineLevel="0" collapsed="false">
      <c r="A579" s="8" t="s">
        <v>605</v>
      </c>
      <c r="B579" s="11" t="n">
        <v>45978</v>
      </c>
      <c r="C579" s="8" t="n">
        <f aca="false">MONTH(B579)</f>
        <v>11</v>
      </c>
      <c r="D579" s="8" t="s">
        <v>39</v>
      </c>
      <c r="E579" s="8" t="s">
        <v>57</v>
      </c>
      <c r="F579" s="8" t="s">
        <v>63</v>
      </c>
      <c r="G579" s="8" t="n">
        <v>3</v>
      </c>
      <c r="H579" s="12" t="n">
        <v>9000</v>
      </c>
      <c r="I579" s="13" t="n">
        <v>0.05</v>
      </c>
      <c r="J579" s="12" t="n">
        <v>6200</v>
      </c>
      <c r="K579" s="12" t="n">
        <f aca="false">G579*H579*(1-I579)</f>
        <v>25650</v>
      </c>
      <c r="L579" s="12" t="n">
        <f aca="false">K579-G579*J579</f>
        <v>7050</v>
      </c>
    </row>
    <row r="580" customFormat="false" ht="15" hidden="false" customHeight="false" outlineLevel="0" collapsed="false">
      <c r="A580" s="8" t="s">
        <v>650</v>
      </c>
      <c r="B580" s="11" t="n">
        <v>45979</v>
      </c>
      <c r="C580" s="8" t="n">
        <f aca="false">MONTH(B580)</f>
        <v>11</v>
      </c>
      <c r="D580" s="8" t="s">
        <v>43</v>
      </c>
      <c r="E580" s="8" t="s">
        <v>57</v>
      </c>
      <c r="F580" s="8" t="s">
        <v>86</v>
      </c>
      <c r="G580" s="8" t="n">
        <v>1</v>
      </c>
      <c r="H580" s="12" t="n">
        <v>1200</v>
      </c>
      <c r="I580" s="13" t="n">
        <v>0</v>
      </c>
      <c r="J580" s="12" t="n">
        <v>600</v>
      </c>
      <c r="K580" s="12" t="n">
        <f aca="false">G580*H580*(1-I580)</f>
        <v>1200</v>
      </c>
      <c r="L580" s="12" t="n">
        <f aca="false">K580-G580*J580</f>
        <v>600</v>
      </c>
    </row>
    <row r="581" customFormat="false" ht="15" hidden="false" customHeight="false" outlineLevel="0" collapsed="false">
      <c r="A581" s="8" t="s">
        <v>667</v>
      </c>
      <c r="B581" s="11" t="n">
        <v>45979</v>
      </c>
      <c r="C581" s="8" t="n">
        <f aca="false">MONTH(B581)</f>
        <v>11</v>
      </c>
      <c r="D581" s="8" t="s">
        <v>39</v>
      </c>
      <c r="E581" s="8" t="s">
        <v>40</v>
      </c>
      <c r="F581" s="8" t="s">
        <v>104</v>
      </c>
      <c r="G581" s="8" t="n">
        <v>8</v>
      </c>
      <c r="H581" s="12" t="n">
        <v>250</v>
      </c>
      <c r="I581" s="13" t="n">
        <v>0.15</v>
      </c>
      <c r="J581" s="12" t="n">
        <v>100</v>
      </c>
      <c r="K581" s="12" t="n">
        <f aca="false">G581*H581*(1-I581)</f>
        <v>1700</v>
      </c>
      <c r="L581" s="12" t="n">
        <f aca="false">K581-G581*J581</f>
        <v>900</v>
      </c>
    </row>
    <row r="582" customFormat="false" ht="15" hidden="false" customHeight="false" outlineLevel="0" collapsed="false">
      <c r="A582" s="8" t="s">
        <v>633</v>
      </c>
      <c r="B582" s="11" t="n">
        <v>45979</v>
      </c>
      <c r="C582" s="8" t="n">
        <f aca="false">MONTH(B582)</f>
        <v>11</v>
      </c>
      <c r="D582" s="8" t="s">
        <v>43</v>
      </c>
      <c r="E582" s="8" t="s">
        <v>40</v>
      </c>
      <c r="F582" s="8" t="s">
        <v>104</v>
      </c>
      <c r="G582" s="8" t="n">
        <v>8</v>
      </c>
      <c r="H582" s="12" t="n">
        <v>250</v>
      </c>
      <c r="I582" s="13" t="n">
        <v>0</v>
      </c>
      <c r="J582" s="12" t="n">
        <v>100</v>
      </c>
      <c r="K582" s="12" t="n">
        <f aca="false">G582*H582*(1-I582)</f>
        <v>2000</v>
      </c>
      <c r="L582" s="12" t="n">
        <f aca="false">K582-G582*J582</f>
        <v>1200</v>
      </c>
    </row>
    <row r="583" customFormat="false" ht="15" hidden="false" customHeight="false" outlineLevel="0" collapsed="false">
      <c r="A583" s="8" t="s">
        <v>641</v>
      </c>
      <c r="B583" s="11" t="n">
        <v>45979</v>
      </c>
      <c r="C583" s="8" t="n">
        <f aca="false">MONTH(B583)</f>
        <v>11</v>
      </c>
      <c r="D583" s="8" t="s">
        <v>47</v>
      </c>
      <c r="E583" s="8" t="s">
        <v>57</v>
      </c>
      <c r="F583" s="8" t="s">
        <v>58</v>
      </c>
      <c r="G583" s="8" t="n">
        <v>1</v>
      </c>
      <c r="H583" s="12" t="n">
        <v>5500</v>
      </c>
      <c r="I583" s="13" t="n">
        <v>0.05</v>
      </c>
      <c r="J583" s="12" t="n">
        <v>3600</v>
      </c>
      <c r="K583" s="12" t="n">
        <f aca="false">G583*H583*(1-I583)</f>
        <v>5225</v>
      </c>
      <c r="L583" s="12" t="n">
        <f aca="false">K583-G583*J583</f>
        <v>1625</v>
      </c>
    </row>
    <row r="584" customFormat="false" ht="15" hidden="false" customHeight="false" outlineLevel="0" collapsed="false">
      <c r="A584" s="8" t="s">
        <v>634</v>
      </c>
      <c r="B584" s="11" t="n">
        <v>45979</v>
      </c>
      <c r="C584" s="8" t="n">
        <f aca="false">MONTH(B584)</f>
        <v>11</v>
      </c>
      <c r="D584" s="8" t="s">
        <v>43</v>
      </c>
      <c r="E584" s="8" t="s">
        <v>57</v>
      </c>
      <c r="F584" s="8" t="s">
        <v>63</v>
      </c>
      <c r="G584" s="8" t="n">
        <v>2</v>
      </c>
      <c r="H584" s="12" t="n">
        <v>9000</v>
      </c>
      <c r="I584" s="13" t="n">
        <v>0.05</v>
      </c>
      <c r="J584" s="12" t="n">
        <v>6200</v>
      </c>
      <c r="K584" s="12" t="n">
        <f aca="false">G584*H584*(1-I584)</f>
        <v>17100</v>
      </c>
      <c r="L584" s="12" t="n">
        <f aca="false">K584-G584*J584</f>
        <v>4700</v>
      </c>
    </row>
    <row r="585" customFormat="false" ht="15" hidden="false" customHeight="false" outlineLevel="0" collapsed="false">
      <c r="A585" s="8" t="s">
        <v>649</v>
      </c>
      <c r="B585" s="11" t="n">
        <v>45981</v>
      </c>
      <c r="C585" s="8" t="n">
        <f aca="false">MONTH(B585)</f>
        <v>11</v>
      </c>
      <c r="D585" s="8" t="s">
        <v>39</v>
      </c>
      <c r="E585" s="8" t="s">
        <v>57</v>
      </c>
      <c r="F585" s="8" t="s">
        <v>63</v>
      </c>
      <c r="G585" s="8" t="n">
        <v>3</v>
      </c>
      <c r="H585" s="12" t="n">
        <v>9000</v>
      </c>
      <c r="I585" s="13" t="n">
        <v>0.15</v>
      </c>
      <c r="J585" s="12" t="n">
        <v>6200</v>
      </c>
      <c r="K585" s="12" t="n">
        <f aca="false">G585*H585*(1-I585)</f>
        <v>22950</v>
      </c>
      <c r="L585" s="12" t="n">
        <f aca="false">K585-G585*J585</f>
        <v>4350</v>
      </c>
    </row>
    <row r="586" customFormat="false" ht="15" hidden="false" customHeight="false" outlineLevel="0" collapsed="false">
      <c r="A586" s="8" t="s">
        <v>610</v>
      </c>
      <c r="B586" s="11" t="n">
        <v>45981</v>
      </c>
      <c r="C586" s="8" t="n">
        <f aca="false">MONTH(B586)</f>
        <v>11</v>
      </c>
      <c r="D586" s="8" t="s">
        <v>39</v>
      </c>
      <c r="E586" s="8" t="s">
        <v>44</v>
      </c>
      <c r="F586" s="8" t="s">
        <v>48</v>
      </c>
      <c r="G586" s="8" t="n">
        <v>3</v>
      </c>
      <c r="H586" s="12" t="n">
        <v>4500</v>
      </c>
      <c r="I586" s="13" t="n">
        <v>0.05</v>
      </c>
      <c r="J586" s="12" t="n">
        <v>3300</v>
      </c>
      <c r="K586" s="12" t="n">
        <f aca="false">G586*H586*(1-I586)</f>
        <v>12825</v>
      </c>
      <c r="L586" s="12" t="n">
        <f aca="false">K586-G586*J586</f>
        <v>2925</v>
      </c>
    </row>
    <row r="587" customFormat="false" ht="15" hidden="false" customHeight="false" outlineLevel="0" collapsed="false">
      <c r="A587" s="8" t="s">
        <v>611</v>
      </c>
      <c r="B587" s="11" t="n">
        <v>45981</v>
      </c>
      <c r="C587" s="8" t="n">
        <f aca="false">MONTH(B587)</f>
        <v>11</v>
      </c>
      <c r="D587" s="8" t="s">
        <v>39</v>
      </c>
      <c r="E587" s="8" t="s">
        <v>44</v>
      </c>
      <c r="F587" s="8" t="s">
        <v>60</v>
      </c>
      <c r="G587" s="8" t="n">
        <v>1</v>
      </c>
      <c r="H587" s="12" t="n">
        <v>2500</v>
      </c>
      <c r="I587" s="13" t="n">
        <v>0</v>
      </c>
      <c r="J587" s="12" t="n">
        <v>1600</v>
      </c>
      <c r="K587" s="12" t="n">
        <f aca="false">G587*H587*(1-I587)</f>
        <v>2500</v>
      </c>
      <c r="L587" s="12" t="n">
        <f aca="false">K587-G587*J587</f>
        <v>900</v>
      </c>
    </row>
    <row r="588" customFormat="false" ht="15" hidden="false" customHeight="false" outlineLevel="0" collapsed="false">
      <c r="A588" s="8" t="s">
        <v>660</v>
      </c>
      <c r="B588" s="11" t="n">
        <v>45982</v>
      </c>
      <c r="C588" s="8" t="n">
        <f aca="false">MONTH(B588)</f>
        <v>11</v>
      </c>
      <c r="D588" s="8" t="s">
        <v>39</v>
      </c>
      <c r="E588" s="8" t="s">
        <v>40</v>
      </c>
      <c r="F588" s="8" t="s">
        <v>71</v>
      </c>
      <c r="G588" s="8" t="n">
        <v>9</v>
      </c>
      <c r="H588" s="12" t="n">
        <v>500</v>
      </c>
      <c r="I588" s="13" t="n">
        <v>0.05</v>
      </c>
      <c r="J588" s="12" t="n">
        <v>250</v>
      </c>
      <c r="K588" s="12" t="n">
        <f aca="false">G588*H588*(1-I588)</f>
        <v>4275</v>
      </c>
      <c r="L588" s="12" t="n">
        <f aca="false">K588-G588*J588</f>
        <v>2025</v>
      </c>
    </row>
    <row r="589" customFormat="false" ht="15" hidden="false" customHeight="false" outlineLevel="0" collapsed="false">
      <c r="A589" s="8" t="s">
        <v>645</v>
      </c>
      <c r="B589" s="11" t="n">
        <v>45982</v>
      </c>
      <c r="C589" s="8" t="n">
        <f aca="false">MONTH(B589)</f>
        <v>11</v>
      </c>
      <c r="D589" s="8" t="s">
        <v>47</v>
      </c>
      <c r="E589" s="8" t="s">
        <v>40</v>
      </c>
      <c r="F589" s="8" t="s">
        <v>71</v>
      </c>
      <c r="G589" s="8" t="n">
        <v>4</v>
      </c>
      <c r="H589" s="12" t="n">
        <v>500</v>
      </c>
      <c r="I589" s="13" t="n">
        <v>0.1</v>
      </c>
      <c r="J589" s="12" t="n">
        <v>250</v>
      </c>
      <c r="K589" s="12" t="n">
        <f aca="false">G589*H589*(1-I589)</f>
        <v>1800</v>
      </c>
      <c r="L589" s="12" t="n">
        <f aca="false">K589-G589*J589</f>
        <v>800</v>
      </c>
    </row>
    <row r="590" customFormat="false" ht="15" hidden="false" customHeight="false" outlineLevel="0" collapsed="false">
      <c r="A590" s="8" t="s">
        <v>604</v>
      </c>
      <c r="B590" s="11" t="n">
        <v>45982</v>
      </c>
      <c r="C590" s="8" t="n">
        <f aca="false">MONTH(B590)</f>
        <v>11</v>
      </c>
      <c r="D590" s="8" t="s">
        <v>55</v>
      </c>
      <c r="E590" s="8" t="s">
        <v>40</v>
      </c>
      <c r="F590" s="8" t="s">
        <v>41</v>
      </c>
      <c r="G590" s="8" t="n">
        <v>10</v>
      </c>
      <c r="H590" s="12" t="n">
        <v>600</v>
      </c>
      <c r="I590" s="13" t="n">
        <v>0</v>
      </c>
      <c r="J590" s="12" t="n">
        <v>300</v>
      </c>
      <c r="K590" s="12" t="n">
        <f aca="false">G590*H590*(1-I590)</f>
        <v>6000</v>
      </c>
      <c r="L590" s="12" t="n">
        <f aca="false">K590-G590*J590</f>
        <v>3000</v>
      </c>
    </row>
    <row r="591" customFormat="false" ht="15" hidden="false" customHeight="false" outlineLevel="0" collapsed="false">
      <c r="A591" s="8" t="s">
        <v>629</v>
      </c>
      <c r="B591" s="11" t="n">
        <v>45983</v>
      </c>
      <c r="C591" s="8" t="n">
        <f aca="false">MONTH(B591)</f>
        <v>11</v>
      </c>
      <c r="D591" s="8" t="s">
        <v>39</v>
      </c>
      <c r="E591" s="8" t="s">
        <v>44</v>
      </c>
      <c r="F591" s="8" t="s">
        <v>48</v>
      </c>
      <c r="G591" s="8" t="n">
        <v>3</v>
      </c>
      <c r="H591" s="12" t="n">
        <v>4500</v>
      </c>
      <c r="I591" s="13" t="n">
        <v>0.15</v>
      </c>
      <c r="J591" s="12" t="n">
        <v>3300</v>
      </c>
      <c r="K591" s="12" t="n">
        <f aca="false">G591*H591*(1-I591)</f>
        <v>11475</v>
      </c>
      <c r="L591" s="12" t="n">
        <f aca="false">K591-G591*J591</f>
        <v>1575</v>
      </c>
    </row>
    <row r="592" customFormat="false" ht="15" hidden="false" customHeight="false" outlineLevel="0" collapsed="false">
      <c r="A592" s="8" t="s">
        <v>599</v>
      </c>
      <c r="B592" s="11" t="n">
        <v>45984</v>
      </c>
      <c r="C592" s="8" t="n">
        <f aca="false">MONTH(B592)</f>
        <v>11</v>
      </c>
      <c r="D592" s="8" t="s">
        <v>39</v>
      </c>
      <c r="E592" s="8" t="s">
        <v>40</v>
      </c>
      <c r="F592" s="8" t="s">
        <v>104</v>
      </c>
      <c r="G592" s="8" t="n">
        <v>8</v>
      </c>
      <c r="H592" s="12" t="n">
        <v>250</v>
      </c>
      <c r="I592" s="13" t="n">
        <v>0</v>
      </c>
      <c r="J592" s="12" t="n">
        <v>100</v>
      </c>
      <c r="K592" s="12" t="n">
        <f aca="false">G592*H592*(1-I592)</f>
        <v>2000</v>
      </c>
      <c r="L592" s="12" t="n">
        <f aca="false">K592-G592*J592</f>
        <v>1200</v>
      </c>
    </row>
    <row r="593" customFormat="false" ht="15" hidden="false" customHeight="false" outlineLevel="0" collapsed="false">
      <c r="A593" s="8" t="s">
        <v>632</v>
      </c>
      <c r="B593" s="11" t="n">
        <v>45984</v>
      </c>
      <c r="C593" s="8" t="n">
        <f aca="false">MONTH(B593)</f>
        <v>11</v>
      </c>
      <c r="D593" s="8" t="s">
        <v>55</v>
      </c>
      <c r="E593" s="8" t="s">
        <v>40</v>
      </c>
      <c r="F593" s="8" t="s">
        <v>71</v>
      </c>
      <c r="G593" s="8" t="n">
        <v>9</v>
      </c>
      <c r="H593" s="12" t="n">
        <v>500</v>
      </c>
      <c r="I593" s="13" t="n">
        <v>0</v>
      </c>
      <c r="J593" s="12" t="n">
        <v>250</v>
      </c>
      <c r="K593" s="12" t="n">
        <f aca="false">G593*H593*(1-I593)</f>
        <v>4500</v>
      </c>
      <c r="L593" s="12" t="n">
        <f aca="false">K593-G593*J593</f>
        <v>2250</v>
      </c>
    </row>
    <row r="594" customFormat="false" ht="15" hidden="false" customHeight="false" outlineLevel="0" collapsed="false">
      <c r="A594" s="8" t="s">
        <v>607</v>
      </c>
      <c r="B594" s="11" t="n">
        <v>45985</v>
      </c>
      <c r="C594" s="8" t="n">
        <f aca="false">MONTH(B594)</f>
        <v>11</v>
      </c>
      <c r="D594" s="8" t="s">
        <v>55</v>
      </c>
      <c r="E594" s="8" t="s">
        <v>44</v>
      </c>
      <c r="F594" s="8" t="s">
        <v>60</v>
      </c>
      <c r="G594" s="8" t="n">
        <v>2</v>
      </c>
      <c r="H594" s="12" t="n">
        <v>2500</v>
      </c>
      <c r="I594" s="13" t="n">
        <v>0.15</v>
      </c>
      <c r="J594" s="12" t="n">
        <v>1600</v>
      </c>
      <c r="K594" s="12" t="n">
        <f aca="false">G594*H594*(1-I594)</f>
        <v>4250</v>
      </c>
      <c r="L594" s="12" t="n">
        <f aca="false">K594-G594*J594</f>
        <v>1050</v>
      </c>
    </row>
    <row r="595" customFormat="false" ht="15" hidden="false" customHeight="false" outlineLevel="0" collapsed="false">
      <c r="A595" s="8" t="s">
        <v>618</v>
      </c>
      <c r="B595" s="11" t="n">
        <v>45985</v>
      </c>
      <c r="C595" s="8" t="n">
        <f aca="false">MONTH(B595)</f>
        <v>11</v>
      </c>
      <c r="D595" s="8" t="s">
        <v>47</v>
      </c>
      <c r="E595" s="8" t="s">
        <v>57</v>
      </c>
      <c r="F595" s="8" t="s">
        <v>111</v>
      </c>
      <c r="G595" s="8" t="n">
        <v>3</v>
      </c>
      <c r="H595" s="12" t="n">
        <v>7000</v>
      </c>
      <c r="I595" s="13" t="n">
        <v>0.1</v>
      </c>
      <c r="J595" s="12" t="n">
        <v>4800</v>
      </c>
      <c r="K595" s="12" t="n">
        <f aca="false">G595*H595*(1-I595)</f>
        <v>18900</v>
      </c>
      <c r="L595" s="12" t="n">
        <f aca="false">K595-G595*J595</f>
        <v>4500</v>
      </c>
    </row>
    <row r="596" customFormat="false" ht="15" hidden="false" customHeight="false" outlineLevel="0" collapsed="false">
      <c r="A596" s="8" t="s">
        <v>639</v>
      </c>
      <c r="B596" s="11" t="n">
        <v>45985</v>
      </c>
      <c r="C596" s="8" t="n">
        <f aca="false">MONTH(B596)</f>
        <v>11</v>
      </c>
      <c r="D596" s="8" t="s">
        <v>47</v>
      </c>
      <c r="E596" s="8" t="s">
        <v>44</v>
      </c>
      <c r="F596" s="8" t="s">
        <v>60</v>
      </c>
      <c r="G596" s="8" t="n">
        <v>3</v>
      </c>
      <c r="H596" s="12" t="n">
        <v>2500</v>
      </c>
      <c r="I596" s="13" t="n">
        <v>0.1</v>
      </c>
      <c r="J596" s="12" t="n">
        <v>1600</v>
      </c>
      <c r="K596" s="12" t="n">
        <f aca="false">G596*H596*(1-I596)</f>
        <v>6750</v>
      </c>
      <c r="L596" s="12" t="n">
        <f aca="false">K596-G596*J596</f>
        <v>1950</v>
      </c>
    </row>
    <row r="597" customFormat="false" ht="15" hidden="false" customHeight="false" outlineLevel="0" collapsed="false">
      <c r="A597" s="8" t="s">
        <v>651</v>
      </c>
      <c r="B597" s="11" t="n">
        <v>45985</v>
      </c>
      <c r="C597" s="8" t="n">
        <f aca="false">MONTH(B597)</f>
        <v>11</v>
      </c>
      <c r="D597" s="8" t="s">
        <v>47</v>
      </c>
      <c r="E597" s="8" t="s">
        <v>40</v>
      </c>
      <c r="F597" s="8" t="s">
        <v>77</v>
      </c>
      <c r="G597" s="8" t="n">
        <v>2</v>
      </c>
      <c r="H597" s="12" t="n">
        <v>400</v>
      </c>
      <c r="I597" s="13" t="n">
        <v>0.1</v>
      </c>
      <c r="J597" s="12" t="n">
        <v>200</v>
      </c>
      <c r="K597" s="12" t="n">
        <f aca="false">G597*H597*(1-I597)</f>
        <v>720</v>
      </c>
      <c r="L597" s="12" t="n">
        <f aca="false">K597-G597*J597</f>
        <v>320</v>
      </c>
    </row>
    <row r="598" customFormat="false" ht="15" hidden="false" customHeight="false" outlineLevel="0" collapsed="false">
      <c r="A598" s="8" t="s">
        <v>609</v>
      </c>
      <c r="B598" s="11" t="n">
        <v>45985</v>
      </c>
      <c r="C598" s="8" t="n">
        <f aca="false">MONTH(B598)</f>
        <v>11</v>
      </c>
      <c r="D598" s="8" t="s">
        <v>47</v>
      </c>
      <c r="E598" s="8" t="s">
        <v>57</v>
      </c>
      <c r="F598" s="8" t="s">
        <v>86</v>
      </c>
      <c r="G598" s="8" t="n">
        <v>2</v>
      </c>
      <c r="H598" s="12" t="n">
        <v>1200</v>
      </c>
      <c r="I598" s="13" t="n">
        <v>0</v>
      </c>
      <c r="J598" s="12" t="n">
        <v>600</v>
      </c>
      <c r="K598" s="12" t="n">
        <f aca="false">G598*H598*(1-I598)</f>
        <v>2400</v>
      </c>
      <c r="L598" s="12" t="n">
        <f aca="false">K598-G598*J598</f>
        <v>1200</v>
      </c>
    </row>
    <row r="599" customFormat="false" ht="15" hidden="false" customHeight="false" outlineLevel="0" collapsed="false">
      <c r="A599" s="8" t="s">
        <v>601</v>
      </c>
      <c r="B599" s="11" t="n">
        <v>45986</v>
      </c>
      <c r="C599" s="8" t="n">
        <f aca="false">MONTH(B599)</f>
        <v>11</v>
      </c>
      <c r="D599" s="8" t="s">
        <v>47</v>
      </c>
      <c r="E599" s="8" t="s">
        <v>44</v>
      </c>
      <c r="F599" s="8" t="s">
        <v>60</v>
      </c>
      <c r="G599" s="8" t="n">
        <v>1</v>
      </c>
      <c r="H599" s="12" t="n">
        <v>2500</v>
      </c>
      <c r="I599" s="13" t="n">
        <v>0</v>
      </c>
      <c r="J599" s="12" t="n">
        <v>1600</v>
      </c>
      <c r="K599" s="12" t="n">
        <f aca="false">G599*H599*(1-I599)</f>
        <v>2500</v>
      </c>
      <c r="L599" s="12" t="n">
        <f aca="false">K599-G599*J599</f>
        <v>900</v>
      </c>
    </row>
    <row r="600" customFormat="false" ht="15" hidden="false" customHeight="false" outlineLevel="0" collapsed="false">
      <c r="A600" s="8" t="s">
        <v>642</v>
      </c>
      <c r="B600" s="11" t="n">
        <v>45986</v>
      </c>
      <c r="C600" s="8" t="n">
        <f aca="false">MONTH(B600)</f>
        <v>11</v>
      </c>
      <c r="D600" s="8" t="s">
        <v>55</v>
      </c>
      <c r="E600" s="8" t="s">
        <v>40</v>
      </c>
      <c r="F600" s="8" t="s">
        <v>41</v>
      </c>
      <c r="G600" s="8" t="n">
        <v>7</v>
      </c>
      <c r="H600" s="12" t="n">
        <v>600</v>
      </c>
      <c r="I600" s="13" t="n">
        <v>0</v>
      </c>
      <c r="J600" s="12" t="n">
        <v>300</v>
      </c>
      <c r="K600" s="12" t="n">
        <f aca="false">G600*H600*(1-I600)</f>
        <v>4200</v>
      </c>
      <c r="L600" s="12" t="n">
        <f aca="false">K600-G600*J600</f>
        <v>2100</v>
      </c>
    </row>
    <row r="601" customFormat="false" ht="15" hidden="false" customHeight="false" outlineLevel="0" collapsed="false">
      <c r="A601" s="8" t="s">
        <v>674</v>
      </c>
      <c r="B601" s="11" t="n">
        <v>45986</v>
      </c>
      <c r="C601" s="8" t="n">
        <f aca="false">MONTH(B601)</f>
        <v>11</v>
      </c>
      <c r="D601" s="8" t="s">
        <v>47</v>
      </c>
      <c r="E601" s="8" t="s">
        <v>40</v>
      </c>
      <c r="F601" s="8" t="s">
        <v>41</v>
      </c>
      <c r="G601" s="8" t="n">
        <v>8</v>
      </c>
      <c r="H601" s="12" t="n">
        <v>600</v>
      </c>
      <c r="I601" s="13" t="n">
        <v>0</v>
      </c>
      <c r="J601" s="12" t="n">
        <v>300</v>
      </c>
      <c r="K601" s="12" t="n">
        <f aca="false">G601*H601*(1-I601)</f>
        <v>4800</v>
      </c>
      <c r="L601" s="12" t="n">
        <f aca="false">K601-G601*J601</f>
        <v>2400</v>
      </c>
    </row>
    <row r="602" customFormat="false" ht="15" hidden="false" customHeight="false" outlineLevel="0" collapsed="false">
      <c r="A602" s="8" t="s">
        <v>636</v>
      </c>
      <c r="B602" s="11" t="n">
        <v>45986</v>
      </c>
      <c r="C602" s="8" t="n">
        <f aca="false">MONTH(B602)</f>
        <v>11</v>
      </c>
      <c r="D602" s="8" t="s">
        <v>47</v>
      </c>
      <c r="E602" s="8" t="s">
        <v>57</v>
      </c>
      <c r="F602" s="8" t="s">
        <v>86</v>
      </c>
      <c r="G602" s="8" t="n">
        <v>3</v>
      </c>
      <c r="H602" s="12" t="n">
        <v>1200</v>
      </c>
      <c r="I602" s="13" t="n">
        <v>0.05</v>
      </c>
      <c r="J602" s="12" t="n">
        <v>600</v>
      </c>
      <c r="K602" s="12" t="n">
        <f aca="false">G602*H602*(1-I602)</f>
        <v>3420</v>
      </c>
      <c r="L602" s="12" t="n">
        <f aca="false">K602-G602*J602</f>
        <v>1620</v>
      </c>
    </row>
    <row r="603" customFormat="false" ht="15" hidden="false" customHeight="false" outlineLevel="0" collapsed="false">
      <c r="A603" s="8" t="s">
        <v>606</v>
      </c>
      <c r="B603" s="11" t="n">
        <v>45986</v>
      </c>
      <c r="C603" s="8" t="n">
        <f aca="false">MONTH(B603)</f>
        <v>11</v>
      </c>
      <c r="D603" s="8" t="s">
        <v>43</v>
      </c>
      <c r="E603" s="8" t="s">
        <v>44</v>
      </c>
      <c r="F603" s="8" t="s">
        <v>45</v>
      </c>
      <c r="G603" s="8" t="n">
        <v>1</v>
      </c>
      <c r="H603" s="12" t="n">
        <v>1500</v>
      </c>
      <c r="I603" s="13" t="n">
        <v>0</v>
      </c>
      <c r="J603" s="12" t="n">
        <v>900</v>
      </c>
      <c r="K603" s="12" t="n">
        <f aca="false">G603*H603*(1-I603)</f>
        <v>1500</v>
      </c>
      <c r="L603" s="12" t="n">
        <f aca="false">K603-G603*J603</f>
        <v>600</v>
      </c>
    </row>
    <row r="604" customFormat="false" ht="15" hidden="false" customHeight="false" outlineLevel="0" collapsed="false">
      <c r="A604" s="8" t="s">
        <v>668</v>
      </c>
      <c r="B604" s="11" t="n">
        <v>45987</v>
      </c>
      <c r="C604" s="8" t="n">
        <f aca="false">MONTH(B604)</f>
        <v>11</v>
      </c>
      <c r="D604" s="8" t="s">
        <v>47</v>
      </c>
      <c r="E604" s="8" t="s">
        <v>57</v>
      </c>
      <c r="F604" s="8" t="s">
        <v>63</v>
      </c>
      <c r="G604" s="8" t="n">
        <v>3</v>
      </c>
      <c r="H604" s="12" t="n">
        <v>9000</v>
      </c>
      <c r="I604" s="13" t="n">
        <v>0</v>
      </c>
      <c r="J604" s="12" t="n">
        <v>6200</v>
      </c>
      <c r="K604" s="12" t="n">
        <f aca="false">G604*H604*(1-I604)</f>
        <v>27000</v>
      </c>
      <c r="L604" s="12" t="n">
        <f aca="false">K604-G604*J604</f>
        <v>8400</v>
      </c>
    </row>
    <row r="605" customFormat="false" ht="15" hidden="false" customHeight="false" outlineLevel="0" collapsed="false">
      <c r="A605" s="8" t="s">
        <v>623</v>
      </c>
      <c r="B605" s="11" t="n">
        <v>45987</v>
      </c>
      <c r="C605" s="8" t="n">
        <f aca="false">MONTH(B605)</f>
        <v>11</v>
      </c>
      <c r="D605" s="8" t="s">
        <v>47</v>
      </c>
      <c r="E605" s="8" t="s">
        <v>44</v>
      </c>
      <c r="F605" s="8" t="s">
        <v>50</v>
      </c>
      <c r="G605" s="8" t="n">
        <v>3</v>
      </c>
      <c r="H605" s="12" t="n">
        <v>3000</v>
      </c>
      <c r="I605" s="13" t="n">
        <v>0</v>
      </c>
      <c r="J605" s="12" t="n">
        <v>2000</v>
      </c>
      <c r="K605" s="12" t="n">
        <f aca="false">G605*H605*(1-I605)</f>
        <v>9000</v>
      </c>
      <c r="L605" s="12" t="n">
        <f aca="false">K605-G605*J605</f>
        <v>3000</v>
      </c>
    </row>
    <row r="606" customFormat="false" ht="15" hidden="false" customHeight="false" outlineLevel="0" collapsed="false">
      <c r="A606" s="8" t="s">
        <v>664</v>
      </c>
      <c r="B606" s="11" t="n">
        <v>45989</v>
      </c>
      <c r="C606" s="8" t="n">
        <f aca="false">MONTH(B606)</f>
        <v>11</v>
      </c>
      <c r="D606" s="8" t="s">
        <v>47</v>
      </c>
      <c r="E606" s="8" t="s">
        <v>40</v>
      </c>
      <c r="F606" s="8" t="s">
        <v>77</v>
      </c>
      <c r="G606" s="8" t="n">
        <v>2</v>
      </c>
      <c r="H606" s="12" t="n">
        <v>400</v>
      </c>
      <c r="I606" s="13" t="n">
        <v>0</v>
      </c>
      <c r="J606" s="12" t="n">
        <v>200</v>
      </c>
      <c r="K606" s="12" t="n">
        <f aca="false">G606*H606*(1-I606)</f>
        <v>800</v>
      </c>
      <c r="L606" s="12" t="n">
        <f aca="false">K606-G606*J606</f>
        <v>400</v>
      </c>
    </row>
    <row r="607" customFormat="false" ht="15" hidden="false" customHeight="false" outlineLevel="0" collapsed="false">
      <c r="A607" s="8" t="s">
        <v>626</v>
      </c>
      <c r="B607" s="11" t="n">
        <v>45989</v>
      </c>
      <c r="C607" s="8" t="n">
        <f aca="false">MONTH(B607)</f>
        <v>11</v>
      </c>
      <c r="D607" s="8" t="s">
        <v>47</v>
      </c>
      <c r="E607" s="8" t="s">
        <v>44</v>
      </c>
      <c r="F607" s="8" t="s">
        <v>50</v>
      </c>
      <c r="G607" s="8" t="n">
        <v>1</v>
      </c>
      <c r="H607" s="12" t="n">
        <v>3000</v>
      </c>
      <c r="I607" s="13" t="n">
        <v>0.05</v>
      </c>
      <c r="J607" s="12" t="n">
        <v>2000</v>
      </c>
      <c r="K607" s="12" t="n">
        <f aca="false">G607*H607*(1-I607)</f>
        <v>2850</v>
      </c>
      <c r="L607" s="12" t="n">
        <f aca="false">K607-G607*J607</f>
        <v>850</v>
      </c>
    </row>
    <row r="608" customFormat="false" ht="15" hidden="false" customHeight="false" outlineLevel="0" collapsed="false">
      <c r="A608" s="8" t="s">
        <v>657</v>
      </c>
      <c r="B608" s="11" t="n">
        <v>45989</v>
      </c>
      <c r="C608" s="8" t="n">
        <f aca="false">MONTH(B608)</f>
        <v>11</v>
      </c>
      <c r="D608" s="8" t="s">
        <v>39</v>
      </c>
      <c r="E608" s="8" t="s">
        <v>40</v>
      </c>
      <c r="F608" s="8" t="s">
        <v>71</v>
      </c>
      <c r="G608" s="8" t="n">
        <v>3</v>
      </c>
      <c r="H608" s="12" t="n">
        <v>500</v>
      </c>
      <c r="I608" s="13" t="n">
        <v>0.15</v>
      </c>
      <c r="J608" s="12" t="n">
        <v>250</v>
      </c>
      <c r="K608" s="12" t="n">
        <f aca="false">G608*H608*(1-I608)</f>
        <v>1275</v>
      </c>
      <c r="L608" s="12" t="n">
        <f aca="false">K608-G608*J608</f>
        <v>525</v>
      </c>
    </row>
    <row r="609" customFormat="false" ht="15" hidden="false" customHeight="false" outlineLevel="0" collapsed="false">
      <c r="A609" s="8" t="s">
        <v>612</v>
      </c>
      <c r="B609" s="11" t="n">
        <v>45989</v>
      </c>
      <c r="C609" s="8" t="n">
        <f aca="false">MONTH(B609)</f>
        <v>11</v>
      </c>
      <c r="D609" s="8" t="s">
        <v>47</v>
      </c>
      <c r="E609" s="8" t="s">
        <v>44</v>
      </c>
      <c r="F609" s="8" t="s">
        <v>60</v>
      </c>
      <c r="G609" s="8" t="n">
        <v>3</v>
      </c>
      <c r="H609" s="12" t="n">
        <v>2500</v>
      </c>
      <c r="I609" s="13" t="n">
        <v>0.15</v>
      </c>
      <c r="J609" s="12" t="n">
        <v>1600</v>
      </c>
      <c r="K609" s="12" t="n">
        <f aca="false">G609*H609*(1-I609)</f>
        <v>6375</v>
      </c>
      <c r="L609" s="12" t="n">
        <f aca="false">K609-G609*J609</f>
        <v>1575</v>
      </c>
    </row>
    <row r="610" customFormat="false" ht="15" hidden="false" customHeight="false" outlineLevel="0" collapsed="false">
      <c r="A610" s="8" t="s">
        <v>739</v>
      </c>
      <c r="B610" s="11" t="n">
        <v>45992</v>
      </c>
      <c r="C610" s="8" t="n">
        <f aca="false">MONTH(B610)</f>
        <v>12</v>
      </c>
      <c r="D610" s="8" t="s">
        <v>47</v>
      </c>
      <c r="E610" s="8" t="s">
        <v>57</v>
      </c>
      <c r="F610" s="8" t="s">
        <v>86</v>
      </c>
      <c r="G610" s="8" t="n">
        <v>1</v>
      </c>
      <c r="H610" s="12" t="n">
        <v>1200</v>
      </c>
      <c r="I610" s="13" t="n">
        <v>0.1</v>
      </c>
      <c r="J610" s="12" t="n">
        <v>600</v>
      </c>
      <c r="K610" s="12" t="n">
        <f aca="false">G610*H610*(1-I610)</f>
        <v>1080</v>
      </c>
      <c r="L610" s="12" t="n">
        <f aca="false">K610-G610*J610</f>
        <v>480</v>
      </c>
    </row>
    <row r="611" customFormat="false" ht="15" hidden="false" customHeight="false" outlineLevel="0" collapsed="false">
      <c r="A611" s="8" t="s">
        <v>689</v>
      </c>
      <c r="B611" s="11" t="n">
        <v>45992</v>
      </c>
      <c r="C611" s="8" t="n">
        <f aca="false">MONTH(B611)</f>
        <v>12</v>
      </c>
      <c r="D611" s="8" t="s">
        <v>47</v>
      </c>
      <c r="E611" s="8" t="s">
        <v>44</v>
      </c>
      <c r="F611" s="8" t="s">
        <v>50</v>
      </c>
      <c r="G611" s="8" t="n">
        <v>1</v>
      </c>
      <c r="H611" s="12" t="n">
        <v>3000</v>
      </c>
      <c r="I611" s="13" t="n">
        <v>0</v>
      </c>
      <c r="J611" s="12" t="n">
        <v>2000</v>
      </c>
      <c r="K611" s="12" t="n">
        <f aca="false">G611*H611*(1-I611)</f>
        <v>3000</v>
      </c>
      <c r="L611" s="12" t="n">
        <f aca="false">K611-G611*J611</f>
        <v>1000</v>
      </c>
    </row>
    <row r="612" customFormat="false" ht="15" hidden="false" customHeight="false" outlineLevel="0" collapsed="false">
      <c r="A612" s="8" t="s">
        <v>703</v>
      </c>
      <c r="B612" s="11" t="n">
        <v>45993</v>
      </c>
      <c r="C612" s="8" t="n">
        <f aca="false">MONTH(B612)</f>
        <v>12</v>
      </c>
      <c r="D612" s="8" t="s">
        <v>47</v>
      </c>
      <c r="E612" s="8" t="s">
        <v>40</v>
      </c>
      <c r="F612" s="8" t="s">
        <v>77</v>
      </c>
      <c r="G612" s="8" t="n">
        <v>8</v>
      </c>
      <c r="H612" s="12" t="n">
        <v>400</v>
      </c>
      <c r="I612" s="13" t="n">
        <v>0.1</v>
      </c>
      <c r="J612" s="12" t="n">
        <v>200</v>
      </c>
      <c r="K612" s="12" t="n">
        <f aca="false">G612*H612*(1-I612)</f>
        <v>2880</v>
      </c>
      <c r="L612" s="12" t="n">
        <f aca="false">K612-G612*J612</f>
        <v>1280</v>
      </c>
    </row>
    <row r="613" customFormat="false" ht="15" hidden="false" customHeight="false" outlineLevel="0" collapsed="false">
      <c r="A613" s="8" t="s">
        <v>701</v>
      </c>
      <c r="B613" s="11" t="n">
        <v>45994</v>
      </c>
      <c r="C613" s="8" t="n">
        <f aca="false">MONTH(B613)</f>
        <v>12</v>
      </c>
      <c r="D613" s="8" t="s">
        <v>39</v>
      </c>
      <c r="E613" s="8" t="s">
        <v>40</v>
      </c>
      <c r="F613" s="8" t="s">
        <v>41</v>
      </c>
      <c r="G613" s="8" t="n">
        <v>8</v>
      </c>
      <c r="H613" s="12" t="n">
        <v>600</v>
      </c>
      <c r="I613" s="13" t="n">
        <v>0.05</v>
      </c>
      <c r="J613" s="12" t="n">
        <v>300</v>
      </c>
      <c r="K613" s="12" t="n">
        <f aca="false">G613*H613*(1-I613)</f>
        <v>4560</v>
      </c>
      <c r="L613" s="12" t="n">
        <f aca="false">K613-G613*J613</f>
        <v>2160</v>
      </c>
    </row>
    <row r="614" customFormat="false" ht="15" hidden="false" customHeight="false" outlineLevel="0" collapsed="false">
      <c r="A614" s="8" t="s">
        <v>712</v>
      </c>
      <c r="B614" s="11" t="n">
        <v>45994</v>
      </c>
      <c r="C614" s="8" t="n">
        <f aca="false">MONTH(B614)</f>
        <v>12</v>
      </c>
      <c r="D614" s="8" t="s">
        <v>47</v>
      </c>
      <c r="E614" s="8" t="s">
        <v>44</v>
      </c>
      <c r="F614" s="8" t="s">
        <v>60</v>
      </c>
      <c r="G614" s="8" t="n">
        <v>2</v>
      </c>
      <c r="H614" s="12" t="n">
        <v>2500</v>
      </c>
      <c r="I614" s="13" t="n">
        <v>0.05</v>
      </c>
      <c r="J614" s="12" t="n">
        <v>1600</v>
      </c>
      <c r="K614" s="12" t="n">
        <f aca="false">G614*H614*(1-I614)</f>
        <v>4750</v>
      </c>
      <c r="L614" s="12" t="n">
        <f aca="false">K614-G614*J614</f>
        <v>1550</v>
      </c>
    </row>
    <row r="615" customFormat="false" ht="15" hidden="false" customHeight="false" outlineLevel="0" collapsed="false">
      <c r="A615" s="8" t="s">
        <v>717</v>
      </c>
      <c r="B615" s="11" t="n">
        <v>45995</v>
      </c>
      <c r="C615" s="8" t="n">
        <f aca="false">MONTH(B615)</f>
        <v>12</v>
      </c>
      <c r="D615" s="8" t="s">
        <v>39</v>
      </c>
      <c r="E615" s="8" t="s">
        <v>40</v>
      </c>
      <c r="F615" s="8" t="s">
        <v>71</v>
      </c>
      <c r="G615" s="8" t="n">
        <v>7</v>
      </c>
      <c r="H615" s="12" t="n">
        <v>500</v>
      </c>
      <c r="I615" s="13" t="n">
        <v>0.15</v>
      </c>
      <c r="J615" s="12" t="n">
        <v>250</v>
      </c>
      <c r="K615" s="12" t="n">
        <f aca="false">G615*H615*(1-I615)</f>
        <v>2975</v>
      </c>
      <c r="L615" s="12" t="n">
        <f aca="false">K615-G615*J615</f>
        <v>1225</v>
      </c>
    </row>
    <row r="616" customFormat="false" ht="15" hidden="false" customHeight="false" outlineLevel="0" collapsed="false">
      <c r="A616" s="8" t="s">
        <v>742</v>
      </c>
      <c r="B616" s="11" t="n">
        <v>45995</v>
      </c>
      <c r="C616" s="8" t="n">
        <f aca="false">MONTH(B616)</f>
        <v>12</v>
      </c>
      <c r="D616" s="8" t="s">
        <v>47</v>
      </c>
      <c r="E616" s="8" t="s">
        <v>57</v>
      </c>
      <c r="F616" s="8" t="s">
        <v>86</v>
      </c>
      <c r="G616" s="8" t="n">
        <v>1</v>
      </c>
      <c r="H616" s="12" t="n">
        <v>1200</v>
      </c>
      <c r="I616" s="13" t="n">
        <v>0.1</v>
      </c>
      <c r="J616" s="12" t="n">
        <v>600</v>
      </c>
      <c r="K616" s="12" t="n">
        <f aca="false">G616*H616*(1-I616)</f>
        <v>1080</v>
      </c>
      <c r="L616" s="12" t="n">
        <f aca="false">K616-G616*J616</f>
        <v>480</v>
      </c>
    </row>
    <row r="617" customFormat="false" ht="15" hidden="false" customHeight="false" outlineLevel="0" collapsed="false">
      <c r="A617" s="8" t="s">
        <v>680</v>
      </c>
      <c r="B617" s="11" t="n">
        <v>45995</v>
      </c>
      <c r="C617" s="8" t="n">
        <f aca="false">MONTH(B617)</f>
        <v>12</v>
      </c>
      <c r="D617" s="8" t="s">
        <v>47</v>
      </c>
      <c r="E617" s="8" t="s">
        <v>57</v>
      </c>
      <c r="F617" s="8" t="s">
        <v>86</v>
      </c>
      <c r="G617" s="8" t="n">
        <v>3</v>
      </c>
      <c r="H617" s="12" t="n">
        <v>1200</v>
      </c>
      <c r="I617" s="13" t="n">
        <v>0.05</v>
      </c>
      <c r="J617" s="12" t="n">
        <v>600</v>
      </c>
      <c r="K617" s="12" t="n">
        <f aca="false">G617*H617*(1-I617)</f>
        <v>3420</v>
      </c>
      <c r="L617" s="12" t="n">
        <f aca="false">K617-G617*J617</f>
        <v>1620</v>
      </c>
    </row>
    <row r="618" customFormat="false" ht="15" hidden="false" customHeight="false" outlineLevel="0" collapsed="false">
      <c r="A618" s="8" t="s">
        <v>724</v>
      </c>
      <c r="B618" s="11" t="n">
        <v>45995</v>
      </c>
      <c r="C618" s="8" t="n">
        <f aca="false">MONTH(B618)</f>
        <v>12</v>
      </c>
      <c r="D618" s="8" t="s">
        <v>55</v>
      </c>
      <c r="E618" s="8" t="s">
        <v>40</v>
      </c>
      <c r="F618" s="8" t="s">
        <v>71</v>
      </c>
      <c r="G618" s="8" t="n">
        <v>3</v>
      </c>
      <c r="H618" s="12" t="n">
        <v>500</v>
      </c>
      <c r="I618" s="13" t="n">
        <v>0.1</v>
      </c>
      <c r="J618" s="12" t="n">
        <v>250</v>
      </c>
      <c r="K618" s="12" t="n">
        <f aca="false">G618*H618*(1-I618)</f>
        <v>1350</v>
      </c>
      <c r="L618" s="12" t="n">
        <f aca="false">K618-G618*J618</f>
        <v>600</v>
      </c>
    </row>
    <row r="619" customFormat="false" ht="15" hidden="false" customHeight="false" outlineLevel="0" collapsed="false">
      <c r="A619" s="8" t="s">
        <v>731</v>
      </c>
      <c r="B619" s="11" t="n">
        <v>45996</v>
      </c>
      <c r="C619" s="8" t="n">
        <f aca="false">MONTH(B619)</f>
        <v>12</v>
      </c>
      <c r="D619" s="8" t="s">
        <v>39</v>
      </c>
      <c r="E619" s="8" t="s">
        <v>57</v>
      </c>
      <c r="F619" s="8" t="s">
        <v>111</v>
      </c>
      <c r="G619" s="8" t="n">
        <v>2</v>
      </c>
      <c r="H619" s="12" t="n">
        <v>7000</v>
      </c>
      <c r="I619" s="13" t="n">
        <v>0.15</v>
      </c>
      <c r="J619" s="12" t="n">
        <v>4800</v>
      </c>
      <c r="K619" s="12" t="n">
        <f aca="false">G619*H619*(1-I619)</f>
        <v>11900</v>
      </c>
      <c r="L619" s="12" t="n">
        <f aca="false">K619-G619*J619</f>
        <v>2300</v>
      </c>
    </row>
    <row r="620" customFormat="false" ht="15" hidden="false" customHeight="false" outlineLevel="0" collapsed="false">
      <c r="A620" s="8" t="s">
        <v>718</v>
      </c>
      <c r="B620" s="11" t="n">
        <v>45997</v>
      </c>
      <c r="C620" s="8" t="n">
        <f aca="false">MONTH(B620)</f>
        <v>12</v>
      </c>
      <c r="D620" s="8" t="s">
        <v>55</v>
      </c>
      <c r="E620" s="8" t="s">
        <v>40</v>
      </c>
      <c r="F620" s="8" t="s">
        <v>41</v>
      </c>
      <c r="G620" s="8" t="n">
        <v>5</v>
      </c>
      <c r="H620" s="12" t="n">
        <v>600</v>
      </c>
      <c r="I620" s="13" t="n">
        <v>0.1</v>
      </c>
      <c r="J620" s="12" t="n">
        <v>300</v>
      </c>
      <c r="K620" s="12" t="n">
        <f aca="false">G620*H620*(1-I620)</f>
        <v>2700</v>
      </c>
      <c r="L620" s="12" t="n">
        <f aca="false">K620-G620*J620</f>
        <v>1200</v>
      </c>
    </row>
    <row r="621" customFormat="false" ht="15" hidden="false" customHeight="false" outlineLevel="0" collapsed="false">
      <c r="A621" s="8" t="s">
        <v>720</v>
      </c>
      <c r="B621" s="11" t="n">
        <v>45997</v>
      </c>
      <c r="C621" s="8" t="n">
        <f aca="false">MONTH(B621)</f>
        <v>12</v>
      </c>
      <c r="D621" s="8" t="s">
        <v>43</v>
      </c>
      <c r="E621" s="8" t="s">
        <v>44</v>
      </c>
      <c r="F621" s="8" t="s">
        <v>50</v>
      </c>
      <c r="G621" s="8" t="n">
        <v>3</v>
      </c>
      <c r="H621" s="12" t="n">
        <v>3000</v>
      </c>
      <c r="I621" s="13" t="n">
        <v>0</v>
      </c>
      <c r="J621" s="12" t="n">
        <v>2000</v>
      </c>
      <c r="K621" s="12" t="n">
        <f aca="false">G621*H621*(1-I621)</f>
        <v>9000</v>
      </c>
      <c r="L621" s="12" t="n">
        <f aca="false">K621-G621*J621</f>
        <v>3000</v>
      </c>
    </row>
    <row r="622" customFormat="false" ht="15" hidden="false" customHeight="false" outlineLevel="0" collapsed="false">
      <c r="A622" s="8" t="s">
        <v>728</v>
      </c>
      <c r="B622" s="11" t="n">
        <v>45997</v>
      </c>
      <c r="C622" s="8" t="n">
        <f aca="false">MONTH(B622)</f>
        <v>12</v>
      </c>
      <c r="D622" s="8" t="s">
        <v>47</v>
      </c>
      <c r="E622" s="8" t="s">
        <v>44</v>
      </c>
      <c r="F622" s="8" t="s">
        <v>48</v>
      </c>
      <c r="G622" s="8" t="n">
        <v>2</v>
      </c>
      <c r="H622" s="12" t="n">
        <v>4500</v>
      </c>
      <c r="I622" s="13" t="n">
        <v>0.1</v>
      </c>
      <c r="J622" s="12" t="n">
        <v>3300</v>
      </c>
      <c r="K622" s="12" t="n">
        <f aca="false">G622*H622*(1-I622)</f>
        <v>8100</v>
      </c>
      <c r="L622" s="12" t="n">
        <f aca="false">K622-G622*J622</f>
        <v>1500</v>
      </c>
    </row>
    <row r="623" customFormat="false" ht="15" hidden="false" customHeight="false" outlineLevel="0" collapsed="false">
      <c r="A623" s="8" t="s">
        <v>734</v>
      </c>
      <c r="B623" s="11" t="n">
        <v>45997</v>
      </c>
      <c r="C623" s="8" t="n">
        <f aca="false">MONTH(B623)</f>
        <v>12</v>
      </c>
      <c r="D623" s="8" t="s">
        <v>55</v>
      </c>
      <c r="E623" s="8" t="s">
        <v>40</v>
      </c>
      <c r="F623" s="8" t="s">
        <v>41</v>
      </c>
      <c r="G623" s="8" t="n">
        <v>4</v>
      </c>
      <c r="H623" s="12" t="n">
        <v>600</v>
      </c>
      <c r="I623" s="13" t="n">
        <v>0.1</v>
      </c>
      <c r="J623" s="12" t="n">
        <v>300</v>
      </c>
      <c r="K623" s="12" t="n">
        <f aca="false">G623*H623*(1-I623)</f>
        <v>2160</v>
      </c>
      <c r="L623" s="12" t="n">
        <f aca="false">K623-G623*J623</f>
        <v>960</v>
      </c>
    </row>
    <row r="624" customFormat="false" ht="15" hidden="false" customHeight="false" outlineLevel="0" collapsed="false">
      <c r="A624" s="8" t="s">
        <v>744</v>
      </c>
      <c r="B624" s="11" t="n">
        <v>45998</v>
      </c>
      <c r="C624" s="8" t="n">
        <f aca="false">MONTH(B624)</f>
        <v>12</v>
      </c>
      <c r="D624" s="8" t="s">
        <v>43</v>
      </c>
      <c r="E624" s="8" t="s">
        <v>44</v>
      </c>
      <c r="F624" s="8" t="s">
        <v>60</v>
      </c>
      <c r="G624" s="8" t="n">
        <v>2</v>
      </c>
      <c r="H624" s="12" t="n">
        <v>2500</v>
      </c>
      <c r="I624" s="13" t="n">
        <v>0.1</v>
      </c>
      <c r="J624" s="12" t="n">
        <v>1600</v>
      </c>
      <c r="K624" s="12" t="n">
        <f aca="false">G624*H624*(1-I624)</f>
        <v>4500</v>
      </c>
      <c r="L624" s="12" t="n">
        <f aca="false">K624-G624*J624</f>
        <v>1300</v>
      </c>
    </row>
    <row r="625" customFormat="false" ht="15" hidden="false" customHeight="false" outlineLevel="0" collapsed="false">
      <c r="A625" s="8" t="s">
        <v>692</v>
      </c>
      <c r="B625" s="11" t="n">
        <v>45998</v>
      </c>
      <c r="C625" s="8" t="n">
        <f aca="false">MONTH(B625)</f>
        <v>12</v>
      </c>
      <c r="D625" s="8" t="s">
        <v>47</v>
      </c>
      <c r="E625" s="8" t="s">
        <v>44</v>
      </c>
      <c r="F625" s="8" t="s">
        <v>45</v>
      </c>
      <c r="G625" s="8" t="n">
        <v>3</v>
      </c>
      <c r="H625" s="12" t="n">
        <v>1500</v>
      </c>
      <c r="I625" s="13" t="n">
        <v>0.15</v>
      </c>
      <c r="J625" s="12" t="n">
        <v>900</v>
      </c>
      <c r="K625" s="12" t="n">
        <f aca="false">G625*H625*(1-I625)</f>
        <v>3825</v>
      </c>
      <c r="L625" s="12" t="n">
        <f aca="false">K625-G625*J625</f>
        <v>1125</v>
      </c>
    </row>
    <row r="626" customFormat="false" ht="15" hidden="false" customHeight="false" outlineLevel="0" collapsed="false">
      <c r="A626" s="8" t="s">
        <v>708</v>
      </c>
      <c r="B626" s="11" t="n">
        <v>45999</v>
      </c>
      <c r="C626" s="8" t="n">
        <f aca="false">MONTH(B626)</f>
        <v>12</v>
      </c>
      <c r="D626" s="8" t="s">
        <v>39</v>
      </c>
      <c r="E626" s="8" t="s">
        <v>57</v>
      </c>
      <c r="F626" s="8" t="s">
        <v>58</v>
      </c>
      <c r="G626" s="8" t="n">
        <v>1</v>
      </c>
      <c r="H626" s="12" t="n">
        <v>5500</v>
      </c>
      <c r="I626" s="13" t="n">
        <v>0</v>
      </c>
      <c r="J626" s="12" t="n">
        <v>3600</v>
      </c>
      <c r="K626" s="12" t="n">
        <f aca="false">G626*H626*(1-I626)</f>
        <v>5500</v>
      </c>
      <c r="L626" s="12" t="n">
        <f aca="false">K626-G626*J626</f>
        <v>1900</v>
      </c>
    </row>
    <row r="627" customFormat="false" ht="15" hidden="false" customHeight="false" outlineLevel="0" collapsed="false">
      <c r="A627" s="8" t="s">
        <v>730</v>
      </c>
      <c r="B627" s="11" t="n">
        <v>45999</v>
      </c>
      <c r="C627" s="8" t="n">
        <f aca="false">MONTH(B627)</f>
        <v>12</v>
      </c>
      <c r="D627" s="8" t="s">
        <v>43</v>
      </c>
      <c r="E627" s="8" t="s">
        <v>44</v>
      </c>
      <c r="F627" s="8" t="s">
        <v>48</v>
      </c>
      <c r="G627" s="8" t="n">
        <v>2</v>
      </c>
      <c r="H627" s="12" t="n">
        <v>4500</v>
      </c>
      <c r="I627" s="13" t="n">
        <v>0</v>
      </c>
      <c r="J627" s="12" t="n">
        <v>3300</v>
      </c>
      <c r="K627" s="12" t="n">
        <f aca="false">G627*H627*(1-I627)</f>
        <v>9000</v>
      </c>
      <c r="L627" s="12" t="n">
        <f aca="false">K627-G627*J627</f>
        <v>2400</v>
      </c>
    </row>
    <row r="628" customFormat="false" ht="15" hidden="false" customHeight="false" outlineLevel="0" collapsed="false">
      <c r="A628" s="8" t="s">
        <v>723</v>
      </c>
      <c r="B628" s="11" t="n">
        <v>46000</v>
      </c>
      <c r="C628" s="8" t="n">
        <f aca="false">MONTH(B628)</f>
        <v>12</v>
      </c>
      <c r="D628" s="8" t="s">
        <v>39</v>
      </c>
      <c r="E628" s="8" t="s">
        <v>57</v>
      </c>
      <c r="F628" s="8" t="s">
        <v>58</v>
      </c>
      <c r="G628" s="8" t="n">
        <v>1</v>
      </c>
      <c r="H628" s="12" t="n">
        <v>5500</v>
      </c>
      <c r="I628" s="13" t="n">
        <v>0</v>
      </c>
      <c r="J628" s="12" t="n">
        <v>3600</v>
      </c>
      <c r="K628" s="12" t="n">
        <f aca="false">G628*H628*(1-I628)</f>
        <v>5500</v>
      </c>
      <c r="L628" s="12" t="n">
        <f aca="false">K628-G628*J628</f>
        <v>1900</v>
      </c>
    </row>
    <row r="629" customFormat="false" ht="15" hidden="false" customHeight="false" outlineLevel="0" collapsed="false">
      <c r="A629" s="8" t="s">
        <v>687</v>
      </c>
      <c r="B629" s="11" t="n">
        <v>46000</v>
      </c>
      <c r="C629" s="8" t="n">
        <f aca="false">MONTH(B629)</f>
        <v>12</v>
      </c>
      <c r="D629" s="8" t="s">
        <v>47</v>
      </c>
      <c r="E629" s="8" t="s">
        <v>57</v>
      </c>
      <c r="F629" s="8" t="s">
        <v>111</v>
      </c>
      <c r="G629" s="8" t="n">
        <v>1</v>
      </c>
      <c r="H629" s="12" t="n">
        <v>7000</v>
      </c>
      <c r="I629" s="13" t="n">
        <v>0</v>
      </c>
      <c r="J629" s="12" t="n">
        <v>4800</v>
      </c>
      <c r="K629" s="12" t="n">
        <f aca="false">G629*H629*(1-I629)</f>
        <v>7000</v>
      </c>
      <c r="L629" s="12" t="n">
        <f aca="false">K629-G629*J629</f>
        <v>2200</v>
      </c>
    </row>
    <row r="630" customFormat="false" ht="15" hidden="false" customHeight="false" outlineLevel="0" collapsed="false">
      <c r="A630" s="8" t="s">
        <v>700</v>
      </c>
      <c r="B630" s="11" t="n">
        <v>46000</v>
      </c>
      <c r="C630" s="8" t="n">
        <f aca="false">MONTH(B630)</f>
        <v>12</v>
      </c>
      <c r="D630" s="8" t="s">
        <v>39</v>
      </c>
      <c r="E630" s="8" t="s">
        <v>57</v>
      </c>
      <c r="F630" s="8" t="s">
        <v>86</v>
      </c>
      <c r="G630" s="8" t="n">
        <v>2</v>
      </c>
      <c r="H630" s="12" t="n">
        <v>1200</v>
      </c>
      <c r="I630" s="13" t="n">
        <v>0</v>
      </c>
      <c r="J630" s="12" t="n">
        <v>600</v>
      </c>
      <c r="K630" s="12" t="n">
        <f aca="false">G630*H630*(1-I630)</f>
        <v>2400</v>
      </c>
      <c r="L630" s="12" t="n">
        <f aca="false">K630-G630*J630</f>
        <v>1200</v>
      </c>
    </row>
    <row r="631" customFormat="false" ht="15" hidden="false" customHeight="false" outlineLevel="0" collapsed="false">
      <c r="A631" s="8" t="s">
        <v>682</v>
      </c>
      <c r="B631" s="11" t="n">
        <v>46001</v>
      </c>
      <c r="C631" s="8" t="n">
        <f aca="false">MONTH(B631)</f>
        <v>12</v>
      </c>
      <c r="D631" s="8" t="s">
        <v>43</v>
      </c>
      <c r="E631" s="8" t="s">
        <v>40</v>
      </c>
      <c r="F631" s="8" t="s">
        <v>104</v>
      </c>
      <c r="G631" s="8" t="n">
        <v>8</v>
      </c>
      <c r="H631" s="12" t="n">
        <v>250</v>
      </c>
      <c r="I631" s="13" t="n">
        <v>0</v>
      </c>
      <c r="J631" s="12" t="n">
        <v>100</v>
      </c>
      <c r="K631" s="12" t="n">
        <f aca="false">G631*H631*(1-I631)</f>
        <v>2000</v>
      </c>
      <c r="L631" s="12" t="n">
        <f aca="false">K631-G631*J631</f>
        <v>1200</v>
      </c>
    </row>
    <row r="632" customFormat="false" ht="15" hidden="false" customHeight="false" outlineLevel="0" collapsed="false">
      <c r="A632" s="8" t="s">
        <v>745</v>
      </c>
      <c r="B632" s="11" t="n">
        <v>46001</v>
      </c>
      <c r="C632" s="8" t="n">
        <f aca="false">MONTH(B632)</f>
        <v>12</v>
      </c>
      <c r="D632" s="8" t="s">
        <v>39</v>
      </c>
      <c r="E632" s="8" t="s">
        <v>57</v>
      </c>
      <c r="F632" s="8" t="s">
        <v>58</v>
      </c>
      <c r="G632" s="8" t="n">
        <v>3</v>
      </c>
      <c r="H632" s="12" t="n">
        <v>5500</v>
      </c>
      <c r="I632" s="13" t="n">
        <v>0</v>
      </c>
      <c r="J632" s="12" t="n">
        <v>3600</v>
      </c>
      <c r="K632" s="12" t="n">
        <f aca="false">G632*H632*(1-I632)</f>
        <v>16500</v>
      </c>
      <c r="L632" s="12" t="n">
        <f aca="false">K632-G632*J632</f>
        <v>5700</v>
      </c>
    </row>
    <row r="633" customFormat="false" ht="15" hidden="false" customHeight="false" outlineLevel="0" collapsed="false">
      <c r="A633" s="8" t="s">
        <v>693</v>
      </c>
      <c r="B633" s="11" t="n">
        <v>46001</v>
      </c>
      <c r="C633" s="8" t="n">
        <f aca="false">MONTH(B633)</f>
        <v>12</v>
      </c>
      <c r="D633" s="8" t="s">
        <v>47</v>
      </c>
      <c r="E633" s="8" t="s">
        <v>57</v>
      </c>
      <c r="F633" s="8" t="s">
        <v>86</v>
      </c>
      <c r="G633" s="8" t="n">
        <v>2</v>
      </c>
      <c r="H633" s="12" t="n">
        <v>1200</v>
      </c>
      <c r="I633" s="13" t="n">
        <v>0</v>
      </c>
      <c r="J633" s="12" t="n">
        <v>600</v>
      </c>
      <c r="K633" s="12" t="n">
        <f aca="false">G633*H633*(1-I633)</f>
        <v>2400</v>
      </c>
      <c r="L633" s="12" t="n">
        <f aca="false">K633-G633*J633</f>
        <v>1200</v>
      </c>
    </row>
    <row r="634" customFormat="false" ht="15" hidden="false" customHeight="false" outlineLevel="0" collapsed="false">
      <c r="A634" s="8" t="s">
        <v>713</v>
      </c>
      <c r="B634" s="11" t="n">
        <v>46003</v>
      </c>
      <c r="C634" s="8" t="n">
        <f aca="false">MONTH(B634)</f>
        <v>12</v>
      </c>
      <c r="D634" s="8" t="s">
        <v>55</v>
      </c>
      <c r="E634" s="8" t="s">
        <v>44</v>
      </c>
      <c r="F634" s="8" t="s">
        <v>48</v>
      </c>
      <c r="G634" s="8" t="n">
        <v>3</v>
      </c>
      <c r="H634" s="12" t="n">
        <v>4500</v>
      </c>
      <c r="I634" s="13" t="n">
        <v>0</v>
      </c>
      <c r="J634" s="12" t="n">
        <v>3300</v>
      </c>
      <c r="K634" s="12" t="n">
        <f aca="false">G634*H634*(1-I634)</f>
        <v>13500</v>
      </c>
      <c r="L634" s="12" t="n">
        <f aca="false">K634-G634*J634</f>
        <v>3600</v>
      </c>
    </row>
    <row r="635" customFormat="false" ht="15" hidden="false" customHeight="false" outlineLevel="0" collapsed="false">
      <c r="A635" s="8" t="s">
        <v>695</v>
      </c>
      <c r="B635" s="11" t="n">
        <v>46003</v>
      </c>
      <c r="C635" s="8" t="n">
        <f aca="false">MONTH(B635)</f>
        <v>12</v>
      </c>
      <c r="D635" s="8" t="s">
        <v>47</v>
      </c>
      <c r="E635" s="8" t="s">
        <v>44</v>
      </c>
      <c r="F635" s="8" t="s">
        <v>50</v>
      </c>
      <c r="G635" s="8" t="n">
        <v>2</v>
      </c>
      <c r="H635" s="12" t="n">
        <v>3000</v>
      </c>
      <c r="I635" s="13" t="n">
        <v>0.05</v>
      </c>
      <c r="J635" s="12" t="n">
        <v>2000</v>
      </c>
      <c r="K635" s="12" t="n">
        <f aca="false">G635*H635*(1-I635)</f>
        <v>5700</v>
      </c>
      <c r="L635" s="12" t="n">
        <f aca="false">K635-G635*J635</f>
        <v>1700</v>
      </c>
    </row>
    <row r="636" customFormat="false" ht="15" hidden="false" customHeight="false" outlineLevel="0" collapsed="false">
      <c r="A636" s="8" t="s">
        <v>678</v>
      </c>
      <c r="B636" s="11" t="n">
        <v>46003</v>
      </c>
      <c r="C636" s="8" t="n">
        <f aca="false">MONTH(B636)</f>
        <v>12</v>
      </c>
      <c r="D636" s="8" t="s">
        <v>39</v>
      </c>
      <c r="E636" s="8" t="s">
        <v>44</v>
      </c>
      <c r="F636" s="8" t="s">
        <v>48</v>
      </c>
      <c r="G636" s="8" t="n">
        <v>2</v>
      </c>
      <c r="H636" s="12" t="n">
        <v>4500</v>
      </c>
      <c r="I636" s="13" t="n">
        <v>0.05</v>
      </c>
      <c r="J636" s="12" t="n">
        <v>3300</v>
      </c>
      <c r="K636" s="12" t="n">
        <f aca="false">G636*H636*(1-I636)</f>
        <v>8550</v>
      </c>
      <c r="L636" s="12" t="n">
        <f aca="false">K636-G636*J636</f>
        <v>1950</v>
      </c>
    </row>
    <row r="637" customFormat="false" ht="15" hidden="false" customHeight="false" outlineLevel="0" collapsed="false">
      <c r="A637" s="8" t="s">
        <v>677</v>
      </c>
      <c r="B637" s="11" t="n">
        <v>46003</v>
      </c>
      <c r="C637" s="8" t="n">
        <f aca="false">MONTH(B637)</f>
        <v>12</v>
      </c>
      <c r="D637" s="8" t="s">
        <v>39</v>
      </c>
      <c r="E637" s="8" t="s">
        <v>40</v>
      </c>
      <c r="F637" s="8" t="s">
        <v>41</v>
      </c>
      <c r="G637" s="8" t="n">
        <v>8</v>
      </c>
      <c r="H637" s="12" t="n">
        <v>600</v>
      </c>
      <c r="I637" s="13" t="n">
        <v>0</v>
      </c>
      <c r="J637" s="12" t="n">
        <v>300</v>
      </c>
      <c r="K637" s="12" t="n">
        <f aca="false">G637*H637*(1-I637)</f>
        <v>4800</v>
      </c>
      <c r="L637" s="12" t="n">
        <f aca="false">K637-G637*J637</f>
        <v>2400</v>
      </c>
    </row>
    <row r="638" customFormat="false" ht="15" hidden="false" customHeight="false" outlineLevel="0" collapsed="false">
      <c r="A638" s="8" t="s">
        <v>702</v>
      </c>
      <c r="B638" s="11" t="n">
        <v>46004</v>
      </c>
      <c r="C638" s="8" t="n">
        <f aca="false">MONTH(B638)</f>
        <v>12</v>
      </c>
      <c r="D638" s="8" t="s">
        <v>55</v>
      </c>
      <c r="E638" s="8" t="s">
        <v>57</v>
      </c>
      <c r="F638" s="8" t="s">
        <v>86</v>
      </c>
      <c r="G638" s="8" t="n">
        <v>2</v>
      </c>
      <c r="H638" s="12" t="n">
        <v>1200</v>
      </c>
      <c r="I638" s="13" t="n">
        <v>0.1</v>
      </c>
      <c r="J638" s="12" t="n">
        <v>600</v>
      </c>
      <c r="K638" s="12" t="n">
        <f aca="false">G638*H638*(1-I638)</f>
        <v>2160</v>
      </c>
      <c r="L638" s="12" t="n">
        <f aca="false">K638-G638*J638</f>
        <v>960</v>
      </c>
    </row>
    <row r="639" customFormat="false" ht="15" hidden="false" customHeight="false" outlineLevel="0" collapsed="false">
      <c r="A639" s="8" t="s">
        <v>684</v>
      </c>
      <c r="B639" s="11" t="n">
        <v>46004</v>
      </c>
      <c r="C639" s="8" t="n">
        <f aca="false">MONTH(B639)</f>
        <v>12</v>
      </c>
      <c r="D639" s="8" t="s">
        <v>47</v>
      </c>
      <c r="E639" s="8" t="s">
        <v>44</v>
      </c>
      <c r="F639" s="8" t="s">
        <v>50</v>
      </c>
      <c r="G639" s="8" t="n">
        <v>1</v>
      </c>
      <c r="H639" s="12" t="n">
        <v>3000</v>
      </c>
      <c r="I639" s="13" t="n">
        <v>0.15</v>
      </c>
      <c r="J639" s="12" t="n">
        <v>2000</v>
      </c>
      <c r="K639" s="12" t="n">
        <f aca="false">G639*H639*(1-I639)</f>
        <v>2550</v>
      </c>
      <c r="L639" s="12" t="n">
        <f aca="false">K639-G639*J639</f>
        <v>550</v>
      </c>
    </row>
    <row r="640" customFormat="false" ht="15" hidden="false" customHeight="false" outlineLevel="0" collapsed="false">
      <c r="A640" s="8" t="s">
        <v>732</v>
      </c>
      <c r="B640" s="11" t="n">
        <v>46004</v>
      </c>
      <c r="C640" s="8" t="n">
        <f aca="false">MONTH(B640)</f>
        <v>12</v>
      </c>
      <c r="D640" s="8" t="s">
        <v>55</v>
      </c>
      <c r="E640" s="8" t="s">
        <v>40</v>
      </c>
      <c r="F640" s="8" t="s">
        <v>77</v>
      </c>
      <c r="G640" s="8" t="n">
        <v>4</v>
      </c>
      <c r="H640" s="12" t="n">
        <v>400</v>
      </c>
      <c r="I640" s="13" t="n">
        <v>0.1</v>
      </c>
      <c r="J640" s="12" t="n">
        <v>200</v>
      </c>
      <c r="K640" s="12" t="n">
        <f aca="false">G640*H640*(1-I640)</f>
        <v>1440</v>
      </c>
      <c r="L640" s="12" t="n">
        <f aca="false">K640-G640*J640</f>
        <v>640</v>
      </c>
    </row>
    <row r="641" customFormat="false" ht="15" hidden="false" customHeight="false" outlineLevel="0" collapsed="false">
      <c r="A641" s="8" t="s">
        <v>679</v>
      </c>
      <c r="B641" s="11" t="n">
        <v>46005</v>
      </c>
      <c r="C641" s="8" t="n">
        <f aca="false">MONTH(B641)</f>
        <v>12</v>
      </c>
      <c r="D641" s="8" t="s">
        <v>39</v>
      </c>
      <c r="E641" s="8" t="s">
        <v>57</v>
      </c>
      <c r="F641" s="8" t="s">
        <v>111</v>
      </c>
      <c r="G641" s="8" t="n">
        <v>1</v>
      </c>
      <c r="H641" s="12" t="n">
        <v>7000</v>
      </c>
      <c r="I641" s="13" t="n">
        <v>0</v>
      </c>
      <c r="J641" s="12" t="n">
        <v>4800</v>
      </c>
      <c r="K641" s="12" t="n">
        <f aca="false">G641*H641*(1-I641)</f>
        <v>7000</v>
      </c>
      <c r="L641" s="12" t="n">
        <f aca="false">K641-G641*J641</f>
        <v>2200</v>
      </c>
    </row>
    <row r="642" customFormat="false" ht="15" hidden="false" customHeight="false" outlineLevel="0" collapsed="false">
      <c r="A642" s="8" t="s">
        <v>722</v>
      </c>
      <c r="B642" s="11" t="n">
        <v>46005</v>
      </c>
      <c r="C642" s="8" t="n">
        <f aca="false">MONTH(B642)</f>
        <v>12</v>
      </c>
      <c r="D642" s="8" t="s">
        <v>55</v>
      </c>
      <c r="E642" s="8" t="s">
        <v>40</v>
      </c>
      <c r="F642" s="8" t="s">
        <v>104</v>
      </c>
      <c r="G642" s="8" t="n">
        <v>9</v>
      </c>
      <c r="H642" s="12" t="n">
        <v>250</v>
      </c>
      <c r="I642" s="13" t="n">
        <v>0.1</v>
      </c>
      <c r="J642" s="12" t="n">
        <v>100</v>
      </c>
      <c r="K642" s="12" t="n">
        <f aca="false">G642*H642*(1-I642)</f>
        <v>2025</v>
      </c>
      <c r="L642" s="12" t="n">
        <f aca="false">K642-G642*J642</f>
        <v>1125</v>
      </c>
    </row>
    <row r="643" customFormat="false" ht="15" hidden="false" customHeight="false" outlineLevel="0" collapsed="false">
      <c r="A643" s="8" t="s">
        <v>686</v>
      </c>
      <c r="B643" s="11" t="n">
        <v>46005</v>
      </c>
      <c r="C643" s="8" t="n">
        <f aca="false">MONTH(B643)</f>
        <v>12</v>
      </c>
      <c r="D643" s="8" t="s">
        <v>39</v>
      </c>
      <c r="E643" s="8" t="s">
        <v>44</v>
      </c>
      <c r="F643" s="8" t="s">
        <v>45</v>
      </c>
      <c r="G643" s="8" t="n">
        <v>2</v>
      </c>
      <c r="H643" s="12" t="n">
        <v>1500</v>
      </c>
      <c r="I643" s="13" t="n">
        <v>0</v>
      </c>
      <c r="J643" s="12" t="n">
        <v>900</v>
      </c>
      <c r="K643" s="12" t="n">
        <f aca="false">G643*H643*(1-I643)</f>
        <v>3000</v>
      </c>
      <c r="L643" s="12" t="n">
        <f aca="false">K643-G643*J643</f>
        <v>1200</v>
      </c>
    </row>
    <row r="644" customFormat="false" ht="15" hidden="false" customHeight="false" outlineLevel="0" collapsed="false">
      <c r="A644" s="8" t="s">
        <v>710</v>
      </c>
      <c r="B644" s="11" t="n">
        <v>46006</v>
      </c>
      <c r="C644" s="8" t="n">
        <f aca="false">MONTH(B644)</f>
        <v>12</v>
      </c>
      <c r="D644" s="8" t="s">
        <v>39</v>
      </c>
      <c r="E644" s="8" t="s">
        <v>40</v>
      </c>
      <c r="F644" s="8" t="s">
        <v>104</v>
      </c>
      <c r="G644" s="8" t="n">
        <v>7</v>
      </c>
      <c r="H644" s="12" t="n">
        <v>250</v>
      </c>
      <c r="I644" s="13" t="n">
        <v>0.05</v>
      </c>
      <c r="J644" s="12" t="n">
        <v>100</v>
      </c>
      <c r="K644" s="12" t="n">
        <f aca="false">G644*H644*(1-I644)</f>
        <v>1662.5</v>
      </c>
      <c r="L644" s="12" t="n">
        <f aca="false">K644-G644*J644</f>
        <v>962.5</v>
      </c>
    </row>
    <row r="645" customFormat="false" ht="15" hidden="false" customHeight="false" outlineLevel="0" collapsed="false">
      <c r="A645" s="8" t="s">
        <v>746</v>
      </c>
      <c r="B645" s="11" t="n">
        <v>46006</v>
      </c>
      <c r="C645" s="8" t="n">
        <f aca="false">MONTH(B645)</f>
        <v>12</v>
      </c>
      <c r="D645" s="8" t="s">
        <v>47</v>
      </c>
      <c r="E645" s="8" t="s">
        <v>44</v>
      </c>
      <c r="F645" s="8" t="s">
        <v>60</v>
      </c>
      <c r="G645" s="8" t="n">
        <v>2</v>
      </c>
      <c r="H645" s="12" t="n">
        <v>2500</v>
      </c>
      <c r="I645" s="13" t="n">
        <v>0</v>
      </c>
      <c r="J645" s="12" t="n">
        <v>1600</v>
      </c>
      <c r="K645" s="12" t="n">
        <f aca="false">G645*H645*(1-I645)</f>
        <v>5000</v>
      </c>
      <c r="L645" s="12" t="n">
        <f aca="false">K645-G645*J645</f>
        <v>1800</v>
      </c>
    </row>
    <row r="646" customFormat="false" ht="15" hidden="false" customHeight="false" outlineLevel="0" collapsed="false">
      <c r="A646" s="8" t="s">
        <v>725</v>
      </c>
      <c r="B646" s="11" t="n">
        <v>46006</v>
      </c>
      <c r="C646" s="8" t="n">
        <f aca="false">MONTH(B646)</f>
        <v>12</v>
      </c>
      <c r="D646" s="8" t="s">
        <v>39</v>
      </c>
      <c r="E646" s="8" t="s">
        <v>40</v>
      </c>
      <c r="F646" s="8" t="s">
        <v>77</v>
      </c>
      <c r="G646" s="8" t="n">
        <v>7</v>
      </c>
      <c r="H646" s="12" t="n">
        <v>400</v>
      </c>
      <c r="I646" s="13" t="n">
        <v>0</v>
      </c>
      <c r="J646" s="12" t="n">
        <v>200</v>
      </c>
      <c r="K646" s="12" t="n">
        <f aca="false">G646*H646*(1-I646)</f>
        <v>2800</v>
      </c>
      <c r="L646" s="12" t="n">
        <f aca="false">K646-G646*J646</f>
        <v>1400</v>
      </c>
    </row>
    <row r="647" customFormat="false" ht="15" hidden="false" customHeight="false" outlineLevel="0" collapsed="false">
      <c r="A647" s="8" t="s">
        <v>719</v>
      </c>
      <c r="B647" s="11" t="n">
        <v>46006</v>
      </c>
      <c r="C647" s="8" t="n">
        <f aca="false">MONTH(B647)</f>
        <v>12</v>
      </c>
      <c r="D647" s="8" t="s">
        <v>39</v>
      </c>
      <c r="E647" s="8" t="s">
        <v>40</v>
      </c>
      <c r="F647" s="8" t="s">
        <v>77</v>
      </c>
      <c r="G647" s="8" t="n">
        <v>10</v>
      </c>
      <c r="H647" s="12" t="n">
        <v>400</v>
      </c>
      <c r="I647" s="13" t="n">
        <v>0.05</v>
      </c>
      <c r="J647" s="12" t="n">
        <v>200</v>
      </c>
      <c r="K647" s="12" t="n">
        <f aca="false">G647*H647*(1-I647)</f>
        <v>3800</v>
      </c>
      <c r="L647" s="12" t="n">
        <f aca="false">K647-G647*J647</f>
        <v>1800</v>
      </c>
    </row>
    <row r="648" customFormat="false" ht="15" hidden="false" customHeight="false" outlineLevel="0" collapsed="false">
      <c r="A648" s="8" t="s">
        <v>714</v>
      </c>
      <c r="B648" s="11" t="n">
        <v>46007</v>
      </c>
      <c r="C648" s="8" t="n">
        <f aca="false">MONTH(B648)</f>
        <v>12</v>
      </c>
      <c r="D648" s="8" t="s">
        <v>47</v>
      </c>
      <c r="E648" s="8" t="s">
        <v>57</v>
      </c>
      <c r="F648" s="8" t="s">
        <v>111</v>
      </c>
      <c r="G648" s="8" t="n">
        <v>1</v>
      </c>
      <c r="H648" s="12" t="n">
        <v>7000</v>
      </c>
      <c r="I648" s="13" t="n">
        <v>0.1</v>
      </c>
      <c r="J648" s="12" t="n">
        <v>4800</v>
      </c>
      <c r="K648" s="12" t="n">
        <f aca="false">G648*H648*(1-I648)</f>
        <v>6300</v>
      </c>
      <c r="L648" s="12" t="n">
        <f aca="false">K648-G648*J648</f>
        <v>1500</v>
      </c>
    </row>
    <row r="649" customFormat="false" ht="15" hidden="false" customHeight="false" outlineLevel="0" collapsed="false">
      <c r="A649" s="8" t="s">
        <v>736</v>
      </c>
      <c r="B649" s="11" t="n">
        <v>46007</v>
      </c>
      <c r="C649" s="8" t="n">
        <f aca="false">MONTH(B649)</f>
        <v>12</v>
      </c>
      <c r="D649" s="8" t="s">
        <v>43</v>
      </c>
      <c r="E649" s="8" t="s">
        <v>57</v>
      </c>
      <c r="F649" s="8" t="s">
        <v>86</v>
      </c>
      <c r="G649" s="8" t="n">
        <v>2</v>
      </c>
      <c r="H649" s="12" t="n">
        <v>1200</v>
      </c>
      <c r="I649" s="13" t="n">
        <v>0</v>
      </c>
      <c r="J649" s="12" t="n">
        <v>600</v>
      </c>
      <c r="K649" s="12" t="n">
        <f aca="false">G649*H649*(1-I649)</f>
        <v>2400</v>
      </c>
      <c r="L649" s="12" t="n">
        <f aca="false">K649-G649*J649</f>
        <v>1200</v>
      </c>
    </row>
    <row r="650" customFormat="false" ht="15" hidden="false" customHeight="false" outlineLevel="0" collapsed="false">
      <c r="A650" s="8" t="s">
        <v>685</v>
      </c>
      <c r="B650" s="11" t="n">
        <v>46007</v>
      </c>
      <c r="C650" s="8" t="n">
        <f aca="false">MONTH(B650)</f>
        <v>12</v>
      </c>
      <c r="D650" s="8" t="s">
        <v>39</v>
      </c>
      <c r="E650" s="8" t="s">
        <v>44</v>
      </c>
      <c r="F650" s="8" t="s">
        <v>45</v>
      </c>
      <c r="G650" s="8" t="n">
        <v>2</v>
      </c>
      <c r="H650" s="12" t="n">
        <v>1500</v>
      </c>
      <c r="I650" s="13" t="n">
        <v>0</v>
      </c>
      <c r="J650" s="12" t="n">
        <v>900</v>
      </c>
      <c r="K650" s="12" t="n">
        <f aca="false">G650*H650*(1-I650)</f>
        <v>3000</v>
      </c>
      <c r="L650" s="12" t="n">
        <f aca="false">K650-G650*J650</f>
        <v>1200</v>
      </c>
    </row>
    <row r="651" customFormat="false" ht="15" hidden="false" customHeight="false" outlineLevel="0" collapsed="false">
      <c r="A651" s="8" t="s">
        <v>737</v>
      </c>
      <c r="B651" s="11" t="n">
        <v>46008</v>
      </c>
      <c r="C651" s="8" t="n">
        <f aca="false">MONTH(B651)</f>
        <v>12</v>
      </c>
      <c r="D651" s="8" t="s">
        <v>39</v>
      </c>
      <c r="E651" s="8" t="s">
        <v>44</v>
      </c>
      <c r="F651" s="8" t="s">
        <v>45</v>
      </c>
      <c r="G651" s="8" t="n">
        <v>2</v>
      </c>
      <c r="H651" s="12" t="n">
        <v>1500</v>
      </c>
      <c r="I651" s="13" t="n">
        <v>0.1</v>
      </c>
      <c r="J651" s="12" t="n">
        <v>900</v>
      </c>
      <c r="K651" s="12" t="n">
        <f aca="false">G651*H651*(1-I651)</f>
        <v>2700</v>
      </c>
      <c r="L651" s="12" t="n">
        <f aca="false">K651-G651*J651</f>
        <v>900</v>
      </c>
    </row>
    <row r="652" customFormat="false" ht="15" hidden="false" customHeight="false" outlineLevel="0" collapsed="false">
      <c r="A652" s="8" t="s">
        <v>740</v>
      </c>
      <c r="B652" s="11" t="n">
        <v>46009</v>
      </c>
      <c r="C652" s="8" t="n">
        <f aca="false">MONTH(B652)</f>
        <v>12</v>
      </c>
      <c r="D652" s="8" t="s">
        <v>47</v>
      </c>
      <c r="E652" s="8" t="s">
        <v>44</v>
      </c>
      <c r="F652" s="8" t="s">
        <v>50</v>
      </c>
      <c r="G652" s="8" t="n">
        <v>2</v>
      </c>
      <c r="H652" s="12" t="n">
        <v>3000</v>
      </c>
      <c r="I652" s="13" t="n">
        <v>0</v>
      </c>
      <c r="J652" s="12" t="n">
        <v>2000</v>
      </c>
      <c r="K652" s="12" t="n">
        <f aca="false">G652*H652*(1-I652)</f>
        <v>6000</v>
      </c>
      <c r="L652" s="12" t="n">
        <f aca="false">K652-G652*J652</f>
        <v>2000</v>
      </c>
    </row>
    <row r="653" customFormat="false" ht="15" hidden="false" customHeight="false" outlineLevel="0" collapsed="false">
      <c r="A653" s="8" t="s">
        <v>683</v>
      </c>
      <c r="B653" s="11" t="n">
        <v>46009</v>
      </c>
      <c r="C653" s="8" t="n">
        <f aca="false">MONTH(B653)</f>
        <v>12</v>
      </c>
      <c r="D653" s="8" t="s">
        <v>47</v>
      </c>
      <c r="E653" s="8" t="s">
        <v>57</v>
      </c>
      <c r="F653" s="8" t="s">
        <v>58</v>
      </c>
      <c r="G653" s="8" t="n">
        <v>1</v>
      </c>
      <c r="H653" s="12" t="n">
        <v>5500</v>
      </c>
      <c r="I653" s="13" t="n">
        <v>0.15</v>
      </c>
      <c r="J653" s="12" t="n">
        <v>3600</v>
      </c>
      <c r="K653" s="12" t="n">
        <f aca="false">G653*H653*(1-I653)</f>
        <v>4675</v>
      </c>
      <c r="L653" s="12" t="n">
        <f aca="false">K653-G653*J653</f>
        <v>1075</v>
      </c>
    </row>
    <row r="654" customFormat="false" ht="15" hidden="false" customHeight="false" outlineLevel="0" collapsed="false">
      <c r="A654" s="8" t="s">
        <v>750</v>
      </c>
      <c r="B654" s="11" t="n">
        <v>46009</v>
      </c>
      <c r="C654" s="8" t="n">
        <f aca="false">MONTH(B654)</f>
        <v>12</v>
      </c>
      <c r="D654" s="8" t="s">
        <v>55</v>
      </c>
      <c r="E654" s="8" t="s">
        <v>44</v>
      </c>
      <c r="F654" s="8" t="s">
        <v>50</v>
      </c>
      <c r="G654" s="8" t="n">
        <v>3</v>
      </c>
      <c r="H654" s="12" t="n">
        <v>3000</v>
      </c>
      <c r="I654" s="13" t="n">
        <v>0</v>
      </c>
      <c r="J654" s="12" t="n">
        <v>2000</v>
      </c>
      <c r="K654" s="12" t="n">
        <f aca="false">G654*H654*(1-I654)</f>
        <v>9000</v>
      </c>
      <c r="L654" s="12" t="n">
        <f aca="false">K654-G654*J654</f>
        <v>3000</v>
      </c>
    </row>
    <row r="655" customFormat="false" ht="15" hidden="false" customHeight="false" outlineLevel="0" collapsed="false">
      <c r="A655" s="8" t="s">
        <v>696</v>
      </c>
      <c r="B655" s="11" t="n">
        <v>46009</v>
      </c>
      <c r="C655" s="8" t="n">
        <f aca="false">MONTH(B655)</f>
        <v>12</v>
      </c>
      <c r="D655" s="8" t="s">
        <v>55</v>
      </c>
      <c r="E655" s="8" t="s">
        <v>44</v>
      </c>
      <c r="F655" s="8" t="s">
        <v>48</v>
      </c>
      <c r="G655" s="8" t="n">
        <v>1</v>
      </c>
      <c r="H655" s="12" t="n">
        <v>4500</v>
      </c>
      <c r="I655" s="13" t="n">
        <v>0.1</v>
      </c>
      <c r="J655" s="12" t="n">
        <v>3300</v>
      </c>
      <c r="K655" s="12" t="n">
        <f aca="false">G655*H655*(1-I655)</f>
        <v>4050</v>
      </c>
      <c r="L655" s="12" t="n">
        <f aca="false">K655-G655*J655</f>
        <v>750</v>
      </c>
    </row>
    <row r="656" customFormat="false" ht="15" hidden="false" customHeight="false" outlineLevel="0" collapsed="false">
      <c r="A656" s="8" t="s">
        <v>729</v>
      </c>
      <c r="B656" s="11" t="n">
        <v>46010</v>
      </c>
      <c r="C656" s="8" t="n">
        <f aca="false">MONTH(B656)</f>
        <v>12</v>
      </c>
      <c r="D656" s="8" t="s">
        <v>43</v>
      </c>
      <c r="E656" s="8" t="s">
        <v>40</v>
      </c>
      <c r="F656" s="8" t="s">
        <v>41</v>
      </c>
      <c r="G656" s="8" t="n">
        <v>6</v>
      </c>
      <c r="H656" s="12" t="n">
        <v>600</v>
      </c>
      <c r="I656" s="13" t="n">
        <v>0.1</v>
      </c>
      <c r="J656" s="12" t="n">
        <v>300</v>
      </c>
      <c r="K656" s="12" t="n">
        <f aca="false">G656*H656*(1-I656)</f>
        <v>3240</v>
      </c>
      <c r="L656" s="12" t="n">
        <f aca="false">K656-G656*J656</f>
        <v>1440</v>
      </c>
    </row>
    <row r="657" customFormat="false" ht="15" hidden="false" customHeight="false" outlineLevel="0" collapsed="false">
      <c r="A657" s="8" t="s">
        <v>727</v>
      </c>
      <c r="B657" s="11" t="n">
        <v>46010</v>
      </c>
      <c r="C657" s="8" t="n">
        <f aca="false">MONTH(B657)</f>
        <v>12</v>
      </c>
      <c r="D657" s="8" t="s">
        <v>47</v>
      </c>
      <c r="E657" s="8" t="s">
        <v>57</v>
      </c>
      <c r="F657" s="8" t="s">
        <v>63</v>
      </c>
      <c r="G657" s="8" t="n">
        <v>3</v>
      </c>
      <c r="H657" s="12" t="n">
        <v>9000</v>
      </c>
      <c r="I657" s="13" t="n">
        <v>0.05</v>
      </c>
      <c r="J657" s="12" t="n">
        <v>6200</v>
      </c>
      <c r="K657" s="12" t="n">
        <f aca="false">G657*H657*(1-I657)</f>
        <v>25650</v>
      </c>
      <c r="L657" s="12" t="n">
        <f aca="false">K657-G657*J657</f>
        <v>7050</v>
      </c>
    </row>
    <row r="658" customFormat="false" ht="15" hidden="false" customHeight="false" outlineLevel="0" collapsed="false">
      <c r="A658" s="8" t="s">
        <v>706</v>
      </c>
      <c r="B658" s="11" t="n">
        <v>46010</v>
      </c>
      <c r="C658" s="8" t="n">
        <f aca="false">MONTH(B658)</f>
        <v>12</v>
      </c>
      <c r="D658" s="8" t="s">
        <v>39</v>
      </c>
      <c r="E658" s="8" t="s">
        <v>57</v>
      </c>
      <c r="F658" s="8" t="s">
        <v>63</v>
      </c>
      <c r="G658" s="8" t="n">
        <v>3</v>
      </c>
      <c r="H658" s="12" t="n">
        <v>9000</v>
      </c>
      <c r="I658" s="13" t="n">
        <v>0</v>
      </c>
      <c r="J658" s="12" t="n">
        <v>6200</v>
      </c>
      <c r="K658" s="12" t="n">
        <f aca="false">G658*H658*(1-I658)</f>
        <v>27000</v>
      </c>
      <c r="L658" s="12" t="n">
        <f aca="false">K658-G658*J658</f>
        <v>8400</v>
      </c>
    </row>
    <row r="659" customFormat="false" ht="15" hidden="false" customHeight="false" outlineLevel="0" collapsed="false">
      <c r="A659" s="8" t="s">
        <v>691</v>
      </c>
      <c r="B659" s="11" t="n">
        <v>46011</v>
      </c>
      <c r="C659" s="8" t="n">
        <f aca="false">MONTH(B659)</f>
        <v>12</v>
      </c>
      <c r="D659" s="8" t="s">
        <v>47</v>
      </c>
      <c r="E659" s="8" t="s">
        <v>57</v>
      </c>
      <c r="F659" s="8" t="s">
        <v>63</v>
      </c>
      <c r="G659" s="8" t="n">
        <v>2</v>
      </c>
      <c r="H659" s="12" t="n">
        <v>9000</v>
      </c>
      <c r="I659" s="13" t="n">
        <v>0.15</v>
      </c>
      <c r="J659" s="12" t="n">
        <v>6200</v>
      </c>
      <c r="K659" s="12" t="n">
        <f aca="false">G659*H659*(1-I659)</f>
        <v>15300</v>
      </c>
      <c r="L659" s="12" t="n">
        <f aca="false">K659-G659*J659</f>
        <v>2900</v>
      </c>
    </row>
    <row r="660" customFormat="false" ht="15" hidden="false" customHeight="false" outlineLevel="0" collapsed="false">
      <c r="A660" s="8" t="s">
        <v>748</v>
      </c>
      <c r="B660" s="11" t="n">
        <v>46011</v>
      </c>
      <c r="C660" s="8" t="n">
        <f aca="false">MONTH(B660)</f>
        <v>12</v>
      </c>
      <c r="D660" s="8" t="s">
        <v>47</v>
      </c>
      <c r="E660" s="8" t="s">
        <v>40</v>
      </c>
      <c r="F660" s="8" t="s">
        <v>71</v>
      </c>
      <c r="G660" s="8" t="n">
        <v>7</v>
      </c>
      <c r="H660" s="12" t="n">
        <v>500</v>
      </c>
      <c r="I660" s="13" t="n">
        <v>0.15</v>
      </c>
      <c r="J660" s="12" t="n">
        <v>250</v>
      </c>
      <c r="K660" s="12" t="n">
        <f aca="false">G660*H660*(1-I660)</f>
        <v>2975</v>
      </c>
      <c r="L660" s="12" t="n">
        <f aca="false">K660-G660*J660</f>
        <v>1225</v>
      </c>
    </row>
    <row r="661" customFormat="false" ht="15" hidden="false" customHeight="false" outlineLevel="0" collapsed="false">
      <c r="A661" s="8" t="s">
        <v>688</v>
      </c>
      <c r="B661" s="11" t="n">
        <v>46011</v>
      </c>
      <c r="C661" s="8" t="n">
        <f aca="false">MONTH(B661)</f>
        <v>12</v>
      </c>
      <c r="D661" s="8" t="s">
        <v>43</v>
      </c>
      <c r="E661" s="8" t="s">
        <v>44</v>
      </c>
      <c r="F661" s="8" t="s">
        <v>50</v>
      </c>
      <c r="G661" s="8" t="n">
        <v>2</v>
      </c>
      <c r="H661" s="12" t="n">
        <v>3000</v>
      </c>
      <c r="I661" s="13" t="n">
        <v>0.1</v>
      </c>
      <c r="J661" s="12" t="n">
        <v>2000</v>
      </c>
      <c r="K661" s="12" t="n">
        <f aca="false">G661*H661*(1-I661)</f>
        <v>5400</v>
      </c>
      <c r="L661" s="12" t="n">
        <f aca="false">K661-G661*J661</f>
        <v>1400</v>
      </c>
    </row>
    <row r="662" customFormat="false" ht="15" hidden="false" customHeight="false" outlineLevel="0" collapsed="false">
      <c r="A662" s="8" t="s">
        <v>681</v>
      </c>
      <c r="B662" s="11" t="n">
        <v>46011</v>
      </c>
      <c r="C662" s="8" t="n">
        <f aca="false">MONTH(B662)</f>
        <v>12</v>
      </c>
      <c r="D662" s="8" t="s">
        <v>39</v>
      </c>
      <c r="E662" s="8" t="s">
        <v>44</v>
      </c>
      <c r="F662" s="8" t="s">
        <v>60</v>
      </c>
      <c r="G662" s="8" t="n">
        <v>3</v>
      </c>
      <c r="H662" s="12" t="n">
        <v>2500</v>
      </c>
      <c r="I662" s="13" t="n">
        <v>0</v>
      </c>
      <c r="J662" s="12" t="n">
        <v>1600</v>
      </c>
      <c r="K662" s="12" t="n">
        <f aca="false">G662*H662*(1-I662)</f>
        <v>7500</v>
      </c>
      <c r="L662" s="12" t="n">
        <f aca="false">K662-G662*J662</f>
        <v>2700</v>
      </c>
    </row>
    <row r="663" customFormat="false" ht="15" hidden="false" customHeight="false" outlineLevel="0" collapsed="false">
      <c r="A663" s="8" t="s">
        <v>726</v>
      </c>
      <c r="B663" s="11" t="n">
        <v>46012</v>
      </c>
      <c r="C663" s="8" t="n">
        <f aca="false">MONTH(B663)</f>
        <v>12</v>
      </c>
      <c r="D663" s="8" t="s">
        <v>47</v>
      </c>
      <c r="E663" s="8" t="s">
        <v>44</v>
      </c>
      <c r="F663" s="8" t="s">
        <v>48</v>
      </c>
      <c r="G663" s="8" t="n">
        <v>2</v>
      </c>
      <c r="H663" s="12" t="n">
        <v>4500</v>
      </c>
      <c r="I663" s="13" t="n">
        <v>0.1</v>
      </c>
      <c r="J663" s="12" t="n">
        <v>3300</v>
      </c>
      <c r="K663" s="12" t="n">
        <f aca="false">G663*H663*(1-I663)</f>
        <v>8100</v>
      </c>
      <c r="L663" s="12" t="n">
        <f aca="false">K663-G663*J663</f>
        <v>1500</v>
      </c>
    </row>
    <row r="664" customFormat="false" ht="15" hidden="false" customHeight="false" outlineLevel="0" collapsed="false">
      <c r="A664" s="8" t="s">
        <v>704</v>
      </c>
      <c r="B664" s="11" t="n">
        <v>46012</v>
      </c>
      <c r="C664" s="8" t="n">
        <f aca="false">MONTH(B664)</f>
        <v>12</v>
      </c>
      <c r="D664" s="8" t="s">
        <v>43</v>
      </c>
      <c r="E664" s="8" t="s">
        <v>57</v>
      </c>
      <c r="F664" s="8" t="s">
        <v>63</v>
      </c>
      <c r="G664" s="8" t="n">
        <v>3</v>
      </c>
      <c r="H664" s="12" t="n">
        <v>9000</v>
      </c>
      <c r="I664" s="13" t="n">
        <v>0.1</v>
      </c>
      <c r="J664" s="12" t="n">
        <v>6200</v>
      </c>
      <c r="K664" s="12" t="n">
        <f aca="false">G664*H664*(1-I664)</f>
        <v>24300</v>
      </c>
      <c r="L664" s="12" t="n">
        <f aca="false">K664-G664*J664</f>
        <v>5700</v>
      </c>
    </row>
    <row r="665" customFormat="false" ht="15" hidden="false" customHeight="false" outlineLevel="0" collapsed="false">
      <c r="A665" s="8" t="s">
        <v>752</v>
      </c>
      <c r="B665" s="11" t="n">
        <v>46013</v>
      </c>
      <c r="C665" s="8" t="n">
        <f aca="false">MONTH(B665)</f>
        <v>12</v>
      </c>
      <c r="D665" s="8" t="s">
        <v>47</v>
      </c>
      <c r="E665" s="8" t="s">
        <v>57</v>
      </c>
      <c r="F665" s="8" t="s">
        <v>111</v>
      </c>
      <c r="G665" s="8" t="n">
        <v>2</v>
      </c>
      <c r="H665" s="12" t="n">
        <v>7000</v>
      </c>
      <c r="I665" s="13" t="n">
        <v>0.1</v>
      </c>
      <c r="J665" s="12" t="n">
        <v>4800</v>
      </c>
      <c r="K665" s="12" t="n">
        <f aca="false">G665*H665*(1-I665)</f>
        <v>12600</v>
      </c>
      <c r="L665" s="12" t="n">
        <f aca="false">K665-G665*J665</f>
        <v>3000</v>
      </c>
    </row>
    <row r="666" customFormat="false" ht="15" hidden="false" customHeight="false" outlineLevel="0" collapsed="false">
      <c r="A666" s="8" t="s">
        <v>705</v>
      </c>
      <c r="B666" s="11" t="n">
        <v>46013</v>
      </c>
      <c r="C666" s="8" t="n">
        <f aca="false">MONTH(B666)</f>
        <v>12</v>
      </c>
      <c r="D666" s="8" t="s">
        <v>39</v>
      </c>
      <c r="E666" s="8" t="s">
        <v>44</v>
      </c>
      <c r="F666" s="8" t="s">
        <v>48</v>
      </c>
      <c r="G666" s="8" t="n">
        <v>1</v>
      </c>
      <c r="H666" s="12" t="n">
        <v>4500</v>
      </c>
      <c r="I666" s="13" t="n">
        <v>0.15</v>
      </c>
      <c r="J666" s="12" t="n">
        <v>3300</v>
      </c>
      <c r="K666" s="12" t="n">
        <f aca="false">G666*H666*(1-I666)</f>
        <v>3825</v>
      </c>
      <c r="L666" s="12" t="n">
        <f aca="false">K666-G666*J666</f>
        <v>525</v>
      </c>
    </row>
    <row r="667" customFormat="false" ht="15" hidden="false" customHeight="false" outlineLevel="0" collapsed="false">
      <c r="A667" s="8" t="s">
        <v>699</v>
      </c>
      <c r="B667" s="11" t="n">
        <v>46013</v>
      </c>
      <c r="C667" s="8" t="n">
        <f aca="false">MONTH(B667)</f>
        <v>12</v>
      </c>
      <c r="D667" s="8" t="s">
        <v>55</v>
      </c>
      <c r="E667" s="8" t="s">
        <v>57</v>
      </c>
      <c r="F667" s="8" t="s">
        <v>111</v>
      </c>
      <c r="G667" s="8" t="n">
        <v>1</v>
      </c>
      <c r="H667" s="12" t="n">
        <v>7000</v>
      </c>
      <c r="I667" s="13" t="n">
        <v>0.05</v>
      </c>
      <c r="J667" s="12" t="n">
        <v>4800</v>
      </c>
      <c r="K667" s="12" t="n">
        <f aca="false">G667*H667*(1-I667)</f>
        <v>6650</v>
      </c>
      <c r="L667" s="12" t="n">
        <f aca="false">K667-G667*J667</f>
        <v>1850</v>
      </c>
    </row>
    <row r="668" customFormat="false" ht="15" hidden="false" customHeight="false" outlineLevel="0" collapsed="false">
      <c r="A668" s="8" t="s">
        <v>733</v>
      </c>
      <c r="B668" s="11" t="n">
        <v>46014</v>
      </c>
      <c r="C668" s="8" t="n">
        <f aca="false">MONTH(B668)</f>
        <v>12</v>
      </c>
      <c r="D668" s="8" t="s">
        <v>39</v>
      </c>
      <c r="E668" s="8" t="s">
        <v>57</v>
      </c>
      <c r="F668" s="8" t="s">
        <v>58</v>
      </c>
      <c r="G668" s="8" t="n">
        <v>3</v>
      </c>
      <c r="H668" s="12" t="n">
        <v>5500</v>
      </c>
      <c r="I668" s="13" t="n">
        <v>0.1</v>
      </c>
      <c r="J668" s="12" t="n">
        <v>3600</v>
      </c>
      <c r="K668" s="12" t="n">
        <f aca="false">G668*H668*(1-I668)</f>
        <v>14850</v>
      </c>
      <c r="L668" s="12" t="n">
        <f aca="false">K668-G668*J668</f>
        <v>4050</v>
      </c>
    </row>
    <row r="669" customFormat="false" ht="15" hidden="false" customHeight="false" outlineLevel="0" collapsed="false">
      <c r="A669" s="8" t="s">
        <v>751</v>
      </c>
      <c r="B669" s="11" t="n">
        <v>46014</v>
      </c>
      <c r="C669" s="8" t="n">
        <f aca="false">MONTH(B669)</f>
        <v>12</v>
      </c>
      <c r="D669" s="8" t="s">
        <v>47</v>
      </c>
      <c r="E669" s="8" t="s">
        <v>57</v>
      </c>
      <c r="F669" s="8" t="s">
        <v>111</v>
      </c>
      <c r="G669" s="8" t="n">
        <v>1</v>
      </c>
      <c r="H669" s="12" t="n">
        <v>7000</v>
      </c>
      <c r="I669" s="13" t="n">
        <v>0</v>
      </c>
      <c r="J669" s="12" t="n">
        <v>4800</v>
      </c>
      <c r="K669" s="12" t="n">
        <f aca="false">G669*H669*(1-I669)</f>
        <v>7000</v>
      </c>
      <c r="L669" s="12" t="n">
        <f aca="false">K669-G669*J669</f>
        <v>2200</v>
      </c>
    </row>
    <row r="670" customFormat="false" ht="15" hidden="false" customHeight="false" outlineLevel="0" collapsed="false">
      <c r="A670" s="8" t="s">
        <v>715</v>
      </c>
      <c r="B670" s="11" t="n">
        <v>46014</v>
      </c>
      <c r="C670" s="8" t="n">
        <f aca="false">MONTH(B670)</f>
        <v>12</v>
      </c>
      <c r="D670" s="8" t="s">
        <v>47</v>
      </c>
      <c r="E670" s="8" t="s">
        <v>57</v>
      </c>
      <c r="F670" s="8" t="s">
        <v>63</v>
      </c>
      <c r="G670" s="8" t="n">
        <v>2</v>
      </c>
      <c r="H670" s="12" t="n">
        <v>9000</v>
      </c>
      <c r="I670" s="13" t="n">
        <v>0.15</v>
      </c>
      <c r="J670" s="12" t="n">
        <v>6200</v>
      </c>
      <c r="K670" s="12" t="n">
        <f aca="false">G670*H670*(1-I670)</f>
        <v>15300</v>
      </c>
      <c r="L670" s="12" t="n">
        <f aca="false">K670-G670*J670</f>
        <v>2900</v>
      </c>
    </row>
    <row r="671" customFormat="false" ht="15" hidden="false" customHeight="false" outlineLevel="0" collapsed="false">
      <c r="A671" s="8" t="s">
        <v>709</v>
      </c>
      <c r="B671" s="11" t="n">
        <v>46014</v>
      </c>
      <c r="C671" s="8" t="n">
        <f aca="false">MONTH(B671)</f>
        <v>12</v>
      </c>
      <c r="D671" s="8" t="s">
        <v>43</v>
      </c>
      <c r="E671" s="8" t="s">
        <v>40</v>
      </c>
      <c r="F671" s="8" t="s">
        <v>77</v>
      </c>
      <c r="G671" s="8" t="n">
        <v>10</v>
      </c>
      <c r="H671" s="12" t="n">
        <v>400</v>
      </c>
      <c r="I671" s="13" t="n">
        <v>0.1</v>
      </c>
      <c r="J671" s="12" t="n">
        <v>200</v>
      </c>
      <c r="K671" s="12" t="n">
        <f aca="false">G671*H671*(1-I671)</f>
        <v>3600</v>
      </c>
      <c r="L671" s="12" t="n">
        <f aca="false">K671-G671*J671</f>
        <v>1600</v>
      </c>
    </row>
    <row r="672" customFormat="false" ht="15" hidden="false" customHeight="false" outlineLevel="0" collapsed="false">
      <c r="A672" s="8" t="s">
        <v>738</v>
      </c>
      <c r="B672" s="11" t="n">
        <v>46014</v>
      </c>
      <c r="C672" s="8" t="n">
        <f aca="false">MONTH(B672)</f>
        <v>12</v>
      </c>
      <c r="D672" s="8" t="s">
        <v>47</v>
      </c>
      <c r="E672" s="8" t="s">
        <v>40</v>
      </c>
      <c r="F672" s="8" t="s">
        <v>41</v>
      </c>
      <c r="G672" s="8" t="n">
        <v>9</v>
      </c>
      <c r="H672" s="12" t="n">
        <v>600</v>
      </c>
      <c r="I672" s="13" t="n">
        <v>0.05</v>
      </c>
      <c r="J672" s="12" t="n">
        <v>300</v>
      </c>
      <c r="K672" s="12" t="n">
        <f aca="false">G672*H672*(1-I672)</f>
        <v>5130</v>
      </c>
      <c r="L672" s="12" t="n">
        <f aca="false">K672-G672*J672</f>
        <v>2430</v>
      </c>
    </row>
    <row r="673" customFormat="false" ht="15" hidden="false" customHeight="false" outlineLevel="0" collapsed="false">
      <c r="A673" s="8" t="s">
        <v>741</v>
      </c>
      <c r="B673" s="11" t="n">
        <v>46015</v>
      </c>
      <c r="C673" s="8" t="n">
        <f aca="false">MONTH(B673)</f>
        <v>12</v>
      </c>
      <c r="D673" s="8" t="s">
        <v>771</v>
      </c>
      <c r="E673" s="8" t="s">
        <v>57</v>
      </c>
      <c r="F673" s="8" t="s">
        <v>111</v>
      </c>
      <c r="G673" s="8" t="n">
        <v>2</v>
      </c>
      <c r="H673" s="12" t="n">
        <v>7000</v>
      </c>
      <c r="I673" s="13" t="n">
        <v>0.1</v>
      </c>
      <c r="J673" s="12" t="n">
        <v>4800</v>
      </c>
      <c r="K673" s="12" t="n">
        <f aca="false">G673*H673*(1-I673)</f>
        <v>12600</v>
      </c>
      <c r="L673" s="12" t="n">
        <f aca="false">K673-G673*J673</f>
        <v>3000</v>
      </c>
    </row>
    <row r="674" customFormat="false" ht="15" hidden="false" customHeight="false" outlineLevel="0" collapsed="false">
      <c r="A674" s="8" t="s">
        <v>721</v>
      </c>
      <c r="B674" s="11" t="n">
        <v>46015</v>
      </c>
      <c r="C674" s="8" t="n">
        <f aca="false">MONTH(B674)</f>
        <v>12</v>
      </c>
      <c r="D674" s="8" t="s">
        <v>43</v>
      </c>
      <c r="E674" s="8" t="s">
        <v>40</v>
      </c>
      <c r="F674" s="8" t="s">
        <v>41</v>
      </c>
      <c r="G674" s="8" t="n">
        <v>8</v>
      </c>
      <c r="H674" s="12" t="n">
        <v>600</v>
      </c>
      <c r="I674" s="13" t="n">
        <v>0</v>
      </c>
      <c r="J674" s="12" t="n">
        <v>300</v>
      </c>
      <c r="K674" s="12" t="n">
        <f aca="false">G674*H674*(1-I674)</f>
        <v>4800</v>
      </c>
      <c r="L674" s="12" t="n">
        <f aca="false">K674-G674*J674</f>
        <v>2400</v>
      </c>
    </row>
    <row r="675" customFormat="false" ht="15" hidden="false" customHeight="false" outlineLevel="0" collapsed="false">
      <c r="A675" s="8" t="s">
        <v>697</v>
      </c>
      <c r="B675" s="11" t="n">
        <v>46015</v>
      </c>
      <c r="C675" s="8" t="n">
        <f aca="false">MONTH(B675)</f>
        <v>12</v>
      </c>
      <c r="D675" s="8" t="s">
        <v>43</v>
      </c>
      <c r="E675" s="8" t="s">
        <v>44</v>
      </c>
      <c r="F675" s="8" t="s">
        <v>45</v>
      </c>
      <c r="G675" s="8" t="n">
        <v>3</v>
      </c>
      <c r="H675" s="12" t="n">
        <v>1500</v>
      </c>
      <c r="I675" s="13" t="n">
        <v>0</v>
      </c>
      <c r="J675" s="12" t="n">
        <v>900</v>
      </c>
      <c r="K675" s="12" t="n">
        <f aca="false">G675*H675*(1-I675)</f>
        <v>4500</v>
      </c>
      <c r="L675" s="12" t="n">
        <f aca="false">K675-G675*J675</f>
        <v>1800</v>
      </c>
    </row>
    <row r="676" customFormat="false" ht="15" hidden="false" customHeight="false" outlineLevel="0" collapsed="false">
      <c r="A676" s="8" t="s">
        <v>716</v>
      </c>
      <c r="B676" s="11" t="n">
        <v>46017</v>
      </c>
      <c r="C676" s="8" t="n">
        <f aca="false">MONTH(B676)</f>
        <v>12</v>
      </c>
      <c r="D676" s="8" t="s">
        <v>47</v>
      </c>
      <c r="E676" s="8" t="s">
        <v>57</v>
      </c>
      <c r="F676" s="8" t="s">
        <v>86</v>
      </c>
      <c r="G676" s="8" t="n">
        <v>2</v>
      </c>
      <c r="H676" s="12" t="n">
        <v>1200</v>
      </c>
      <c r="I676" s="13" t="n">
        <v>0</v>
      </c>
      <c r="J676" s="12" t="n">
        <v>600</v>
      </c>
      <c r="K676" s="12" t="n">
        <f aca="false">G676*H676*(1-I676)</f>
        <v>2400</v>
      </c>
      <c r="L676" s="12" t="n">
        <f aca="false">K676-G676*J676</f>
        <v>1200</v>
      </c>
    </row>
    <row r="677" customFormat="false" ht="15" hidden="false" customHeight="false" outlineLevel="0" collapsed="false">
      <c r="A677" s="8" t="s">
        <v>694</v>
      </c>
      <c r="B677" s="11" t="n">
        <v>46017</v>
      </c>
      <c r="C677" s="8" t="n">
        <f aca="false">MONTH(B677)</f>
        <v>12</v>
      </c>
      <c r="D677" s="8" t="s">
        <v>43</v>
      </c>
      <c r="E677" s="8" t="s">
        <v>40</v>
      </c>
      <c r="F677" s="8" t="s">
        <v>71</v>
      </c>
      <c r="G677" s="8" t="n">
        <v>9</v>
      </c>
      <c r="H677" s="12" t="n">
        <v>500</v>
      </c>
      <c r="I677" s="13" t="n">
        <v>0.1</v>
      </c>
      <c r="J677" s="12" t="n">
        <v>250</v>
      </c>
      <c r="K677" s="12" t="n">
        <f aca="false">G677*H677*(1-I677)</f>
        <v>4050</v>
      </c>
      <c r="L677" s="12" t="n">
        <f aca="false">K677-G677*J677</f>
        <v>1800</v>
      </c>
    </row>
    <row r="678" customFormat="false" ht="15" hidden="false" customHeight="false" outlineLevel="0" collapsed="false">
      <c r="A678" s="8" t="s">
        <v>690</v>
      </c>
      <c r="B678" s="11" t="n">
        <v>46017</v>
      </c>
      <c r="C678" s="8" t="n">
        <f aca="false">MONTH(B678)</f>
        <v>12</v>
      </c>
      <c r="D678" s="8" t="s">
        <v>47</v>
      </c>
      <c r="E678" s="8" t="s">
        <v>57</v>
      </c>
      <c r="F678" s="8" t="s">
        <v>58</v>
      </c>
      <c r="G678" s="8" t="n">
        <v>3</v>
      </c>
      <c r="H678" s="12" t="n">
        <v>5500</v>
      </c>
      <c r="I678" s="13" t="n">
        <v>0.05</v>
      </c>
      <c r="J678" s="12" t="n">
        <v>3600</v>
      </c>
      <c r="K678" s="12" t="n">
        <f aca="false">G678*H678*(1-I678)</f>
        <v>15675</v>
      </c>
      <c r="L678" s="12" t="n">
        <f aca="false">K678-G678*J678</f>
        <v>4875</v>
      </c>
    </row>
    <row r="679" customFormat="false" ht="15" hidden="false" customHeight="false" outlineLevel="0" collapsed="false">
      <c r="A679" s="8" t="s">
        <v>676</v>
      </c>
      <c r="B679" s="11" t="n">
        <v>46017</v>
      </c>
      <c r="C679" s="8" t="n">
        <f aca="false">MONTH(B679)</f>
        <v>12</v>
      </c>
      <c r="D679" s="8" t="s">
        <v>47</v>
      </c>
      <c r="E679" s="8" t="s">
        <v>44</v>
      </c>
      <c r="F679" s="8" t="s">
        <v>48</v>
      </c>
      <c r="G679" s="8" t="n">
        <v>2</v>
      </c>
      <c r="H679" s="12" t="n">
        <v>4500</v>
      </c>
      <c r="I679" s="13" t="n">
        <v>0.15</v>
      </c>
      <c r="J679" s="12" t="n">
        <v>3300</v>
      </c>
      <c r="K679" s="12" t="n">
        <f aca="false">G679*H679*(1-I679)</f>
        <v>7650</v>
      </c>
      <c r="L679" s="12" t="n">
        <f aca="false">K679-G679*J679</f>
        <v>1050</v>
      </c>
    </row>
    <row r="680" customFormat="false" ht="15" hidden="false" customHeight="false" outlineLevel="0" collapsed="false">
      <c r="A680" s="8" t="s">
        <v>707</v>
      </c>
      <c r="B680" s="11" t="n">
        <v>46017</v>
      </c>
      <c r="C680" s="8" t="n">
        <f aca="false">MONTH(B680)</f>
        <v>12</v>
      </c>
      <c r="D680" s="8" t="s">
        <v>43</v>
      </c>
      <c r="E680" s="8" t="s">
        <v>40</v>
      </c>
      <c r="F680" s="8" t="s">
        <v>41</v>
      </c>
      <c r="G680" s="8" t="n">
        <v>8</v>
      </c>
      <c r="H680" s="12" t="n">
        <v>600</v>
      </c>
      <c r="I680" s="13" t="n">
        <v>0</v>
      </c>
      <c r="J680" s="12" t="n">
        <v>300</v>
      </c>
      <c r="K680" s="12" t="n">
        <f aca="false">G680*H680*(1-I680)</f>
        <v>4800</v>
      </c>
      <c r="L680" s="12" t="n">
        <f aca="false">K680-G680*J680</f>
        <v>2400</v>
      </c>
    </row>
    <row r="681" customFormat="false" ht="15" hidden="false" customHeight="false" outlineLevel="0" collapsed="false">
      <c r="A681" s="8" t="s">
        <v>747</v>
      </c>
      <c r="B681" s="11" t="n">
        <v>46017</v>
      </c>
      <c r="C681" s="8" t="n">
        <f aca="false">MONTH(B681)</f>
        <v>12</v>
      </c>
      <c r="D681" s="8" t="s">
        <v>43</v>
      </c>
      <c r="E681" s="8" t="s">
        <v>44</v>
      </c>
      <c r="F681" s="8" t="s">
        <v>48</v>
      </c>
      <c r="G681" s="8" t="n">
        <v>1</v>
      </c>
      <c r="H681" s="12" t="n">
        <v>4500</v>
      </c>
      <c r="I681" s="13" t="n">
        <v>0</v>
      </c>
      <c r="J681" s="12" t="n">
        <v>3300</v>
      </c>
      <c r="K681" s="12" t="n">
        <f aca="false">G681*H681*(1-I681)</f>
        <v>4500</v>
      </c>
      <c r="L681" s="12" t="n">
        <f aca="false">K681-G681*J681</f>
        <v>1200</v>
      </c>
    </row>
    <row r="682" customFormat="false" ht="15" hidden="false" customHeight="false" outlineLevel="0" collapsed="false">
      <c r="A682" s="8" t="s">
        <v>698</v>
      </c>
      <c r="B682" s="11" t="n">
        <v>46017</v>
      </c>
      <c r="C682" s="8" t="n">
        <f aca="false">MONTH(B682)</f>
        <v>12</v>
      </c>
      <c r="D682" s="8" t="s">
        <v>55</v>
      </c>
      <c r="E682" s="8" t="s">
        <v>57</v>
      </c>
      <c r="F682" s="8" t="s">
        <v>86</v>
      </c>
      <c r="G682" s="8" t="n">
        <v>1</v>
      </c>
      <c r="H682" s="12" t="n">
        <v>1200</v>
      </c>
      <c r="I682" s="13" t="n">
        <v>0.05</v>
      </c>
      <c r="J682" s="12" t="n">
        <v>600</v>
      </c>
      <c r="K682" s="12" t="n">
        <f aca="false">G682*H682*(1-I682)</f>
        <v>1140</v>
      </c>
      <c r="L682" s="12" t="n">
        <f aca="false">K682-G682*J682</f>
        <v>540</v>
      </c>
    </row>
    <row r="683" customFormat="false" ht="15" hidden="false" customHeight="false" outlineLevel="0" collapsed="false">
      <c r="A683" s="8" t="s">
        <v>743</v>
      </c>
      <c r="B683" s="11" t="n">
        <v>46018</v>
      </c>
      <c r="C683" s="8" t="n">
        <f aca="false">MONTH(B683)</f>
        <v>12</v>
      </c>
      <c r="D683" s="8" t="s">
        <v>43</v>
      </c>
      <c r="E683" s="8" t="s">
        <v>57</v>
      </c>
      <c r="F683" s="8" t="s">
        <v>111</v>
      </c>
      <c r="G683" s="8" t="n">
        <v>2</v>
      </c>
      <c r="H683" s="12" t="n">
        <v>7000</v>
      </c>
      <c r="I683" s="13" t="n">
        <v>0.1</v>
      </c>
      <c r="J683" s="12" t="n">
        <v>4800</v>
      </c>
      <c r="K683" s="12" t="n">
        <f aca="false">G683*H683*(1-I683)</f>
        <v>12600</v>
      </c>
      <c r="L683" s="12" t="n">
        <f aca="false">K683-G683*J683</f>
        <v>3000</v>
      </c>
    </row>
    <row r="684" customFormat="false" ht="15" hidden="false" customHeight="false" outlineLevel="0" collapsed="false">
      <c r="A684" s="8" t="s">
        <v>735</v>
      </c>
      <c r="B684" s="11" t="n">
        <v>46018</v>
      </c>
      <c r="C684" s="8" t="n">
        <f aca="false">MONTH(B684)</f>
        <v>12</v>
      </c>
      <c r="D684" s="8" t="s">
        <v>47</v>
      </c>
      <c r="E684" s="8" t="s">
        <v>57</v>
      </c>
      <c r="F684" s="8" t="s">
        <v>86</v>
      </c>
      <c r="G684" s="8" t="n">
        <v>1</v>
      </c>
      <c r="H684" s="12" t="n">
        <v>1200</v>
      </c>
      <c r="I684" s="13" t="n">
        <v>0</v>
      </c>
      <c r="J684" s="12" t="n">
        <v>600</v>
      </c>
      <c r="K684" s="12" t="n">
        <f aca="false">G684*H684*(1-I684)</f>
        <v>1200</v>
      </c>
      <c r="L684" s="12" t="n">
        <f aca="false">K684-G684*J684</f>
        <v>600</v>
      </c>
    </row>
    <row r="685" customFormat="false" ht="15" hidden="false" customHeight="false" outlineLevel="0" collapsed="false">
      <c r="A685" s="8" t="s">
        <v>749</v>
      </c>
      <c r="B685" s="11" t="n">
        <v>46018</v>
      </c>
      <c r="C685" s="8" t="n">
        <f aca="false">MONTH(B685)</f>
        <v>12</v>
      </c>
      <c r="D685" s="8" t="s">
        <v>47</v>
      </c>
      <c r="E685" s="8" t="s">
        <v>40</v>
      </c>
      <c r="F685" s="8" t="s">
        <v>41</v>
      </c>
      <c r="G685" s="8" t="n">
        <v>4</v>
      </c>
      <c r="H685" s="12" t="n">
        <v>600</v>
      </c>
      <c r="I685" s="13" t="n">
        <v>0</v>
      </c>
      <c r="J685" s="12" t="n">
        <v>300</v>
      </c>
      <c r="K685" s="12" t="n">
        <f aca="false">G685*H685*(1-I685)</f>
        <v>2400</v>
      </c>
      <c r="L685" s="12" t="n">
        <f aca="false">K685-G685*J685</f>
        <v>1200</v>
      </c>
    </row>
  </sheetData>
  <autoFilter ref="A1:L6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3"/>
    <col collapsed="false" customWidth="true" hidden="false" outlineLevel="0" max="6" min="5" style="0" width="9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16"/>
  </cols>
  <sheetData>
    <row r="1" customFormat="false" ht="16.15" hidden="false" customHeight="false" outlineLevel="0" collapsed="false">
      <c r="A1" s="14" t="s">
        <v>772</v>
      </c>
    </row>
    <row r="3" customFormat="false" ht="26.85" hidden="false" customHeight="false" outlineLevel="0" collapsed="false">
      <c r="A3" s="10" t="s">
        <v>773</v>
      </c>
      <c r="B3" s="10" t="s">
        <v>768</v>
      </c>
      <c r="C3" s="10" t="s">
        <v>769</v>
      </c>
      <c r="D3" s="10" t="s">
        <v>770</v>
      </c>
      <c r="E3" s="10" t="s">
        <v>774</v>
      </c>
      <c r="F3" s="10" t="s">
        <v>775</v>
      </c>
      <c r="G3" s="10" t="s">
        <v>776</v>
      </c>
      <c r="I3" s="10" t="s">
        <v>32</v>
      </c>
      <c r="J3" s="10" t="s">
        <v>769</v>
      </c>
      <c r="K3" s="10" t="s">
        <v>770</v>
      </c>
      <c r="L3" s="10" t="s">
        <v>777</v>
      </c>
      <c r="M3" s="10" t="s">
        <v>778</v>
      </c>
    </row>
    <row r="4" customFormat="false" ht="15" hidden="false" customHeight="false" outlineLevel="0" collapsed="false">
      <c r="A4" s="8" t="n">
        <v>1</v>
      </c>
      <c r="B4" s="8" t="s">
        <v>779</v>
      </c>
      <c r="C4" s="12" t="n">
        <f aca="false">SUMIFS(Clean_Data!$K$2:$K$685,Clean_Data!$C$2:$C$685,A4)</f>
        <v>311505</v>
      </c>
      <c r="D4" s="12" t="n">
        <f aca="false">SUMIFS(Clean_Data!$L$2:$L$685,Clean_Data!$C$2:$C$685,A4)</f>
        <v>107955</v>
      </c>
      <c r="E4" s="8" t="n">
        <f aca="false">COUNTIFS(Clean_Data!$C$2:$C$685,A4)</f>
        <v>54</v>
      </c>
      <c r="F4" s="12" t="n">
        <f aca="false">SUMIFS(Clean_Data!$G$2:$G$685,Clean_Data!$C$2:$C$685,A4)</f>
        <v>197</v>
      </c>
      <c r="G4" s="15"/>
      <c r="I4" s="8" t="s">
        <v>44</v>
      </c>
      <c r="J4" s="12" t="n">
        <f aca="false">SUMIFS(Clean_Data!$K$2:$K$685,Clean_Data!$E$2:$E$685,I4)</f>
        <v>1319700</v>
      </c>
      <c r="K4" s="12" t="n">
        <f aca="false">SUMIFS(Clean_Data!$L$2:$L$685,Clean_Data!$E$2:$E$685,I4)</f>
        <v>386900</v>
      </c>
      <c r="L4" s="15" t="n">
        <f aca="false">IF(J4=0,0,K4/J4)</f>
        <v>0.293172690763052</v>
      </c>
      <c r="M4" s="15" t="n">
        <f aca="false">J4/$J$7</f>
        <v>0.295812793113168</v>
      </c>
    </row>
    <row r="5" customFormat="false" ht="15" hidden="false" customHeight="false" outlineLevel="0" collapsed="false">
      <c r="A5" s="8" t="n">
        <v>2</v>
      </c>
      <c r="B5" s="8" t="s">
        <v>780</v>
      </c>
      <c r="C5" s="12" t="n">
        <f aca="false">SUMIFS(Clean_Data!$K$2:$K$685,Clean_Data!$C$2:$C$685,A5)</f>
        <v>262205</v>
      </c>
      <c r="D5" s="12" t="n">
        <f aca="false">SUMIFS(Clean_Data!$L$2:$L$685,Clean_Data!$C$2:$C$685,A5)</f>
        <v>87655</v>
      </c>
      <c r="E5" s="8" t="n">
        <f aca="false">COUNTIFS(Clean_Data!$C$2:$C$685,A5)</f>
        <v>43</v>
      </c>
      <c r="F5" s="12" t="n">
        <f aca="false">SUMIFS(Clean_Data!$G$2:$G$685,Clean_Data!$C$2:$C$685,A5)</f>
        <v>152</v>
      </c>
      <c r="G5" s="15" t="n">
        <f aca="false">IF(C4=0,0,C5/C4-1)</f>
        <v>-0.158263912296753</v>
      </c>
      <c r="I5" s="8" t="s">
        <v>57</v>
      </c>
      <c r="J5" s="12" t="n">
        <f aca="false">SUMIFS(Clean_Data!$K$2:$K$685,Clean_Data!$E$2:$E$685,I5)</f>
        <v>2480740</v>
      </c>
      <c r="K5" s="12" t="n">
        <f aca="false">SUMIFS(Clean_Data!$L$2:$L$685,Clean_Data!$E$2:$E$685,I5)</f>
        <v>754340</v>
      </c>
      <c r="L5" s="15" t="n">
        <f aca="false">IF(J5=0,0,K5/J5)</f>
        <v>0.304078621701589</v>
      </c>
      <c r="M5" s="15" t="n">
        <f aca="false">J5/$J$7</f>
        <v>0.556061702195621</v>
      </c>
    </row>
    <row r="6" customFormat="false" ht="15" hidden="false" customHeight="false" outlineLevel="0" collapsed="false">
      <c r="A6" s="8" t="n">
        <v>3</v>
      </c>
      <c r="B6" s="8" t="s">
        <v>781</v>
      </c>
      <c r="C6" s="12" t="n">
        <f aca="false">SUMIFS(Clean_Data!$K$2:$K$685,Clean_Data!$C$2:$C$685,A6)</f>
        <v>295690</v>
      </c>
      <c r="D6" s="12" t="n">
        <f aca="false">SUMIFS(Clean_Data!$L$2:$L$685,Clean_Data!$C$2:$C$685,A6)</f>
        <v>99490</v>
      </c>
      <c r="E6" s="8" t="n">
        <f aca="false">COUNTIFS(Clean_Data!$C$2:$C$685,A6)</f>
        <v>49</v>
      </c>
      <c r="F6" s="12" t="n">
        <f aca="false">SUMIFS(Clean_Data!$G$2:$G$685,Clean_Data!$C$2:$C$685,A6)</f>
        <v>165</v>
      </c>
      <c r="G6" s="15" t="n">
        <f aca="false">IF(C5=0,0,C6/C5-1)</f>
        <v>0.127705421330638</v>
      </c>
      <c r="I6" s="8" t="s">
        <v>40</v>
      </c>
      <c r="J6" s="12" t="n">
        <f aca="false">SUMIFS(Clean_Data!$K$2:$K$685,Clean_Data!$E$2:$E$685,I6)</f>
        <v>660827.5</v>
      </c>
      <c r="K6" s="12" t="n">
        <f aca="false">SUMIFS(Clean_Data!$L$2:$L$685,Clean_Data!$E$2:$E$685,I6)</f>
        <v>325077.5</v>
      </c>
      <c r="L6" s="15" t="n">
        <f aca="false">IF(J6=0,0,K6/J6)</f>
        <v>0.491924897193292</v>
      </c>
      <c r="M6" s="15" t="n">
        <f aca="false">J6/$J$7</f>
        <v>0.148125504691212</v>
      </c>
    </row>
    <row r="7" customFormat="false" ht="15" hidden="false" customHeight="false" outlineLevel="0" collapsed="false">
      <c r="A7" s="9" t="n">
        <v>4</v>
      </c>
      <c r="B7" s="9" t="s">
        <v>782</v>
      </c>
      <c r="C7" s="16" t="n">
        <f aca="false">SUMIFS(Clean_Data!$K$2:$K$685,Clean_Data!$C$2:$C$685,A7)</f>
        <v>349867.5</v>
      </c>
      <c r="D7" s="16" t="n">
        <f aca="false">SUMIFS(Clean_Data!$L$2:$L$685,Clean_Data!$C$2:$C$685,A7)</f>
        <v>117517.5</v>
      </c>
      <c r="E7" s="9" t="n">
        <f aca="false">COUNTIFS(Clean_Data!$C$2:$C$685,A7)</f>
        <v>52</v>
      </c>
      <c r="F7" s="16" t="n">
        <f aca="false">SUMIFS(Clean_Data!$G$2:$G$685,Clean_Data!$C$2:$C$685,A7)</f>
        <v>194</v>
      </c>
      <c r="G7" s="17" t="n">
        <f aca="false">IF(C6=0,0,C7/C6-1)</f>
        <v>0.183223984578444</v>
      </c>
      <c r="H7" s="9"/>
      <c r="I7" s="9" t="s">
        <v>783</v>
      </c>
      <c r="J7" s="16" t="n">
        <f aca="false">SUM(J4:J6)</f>
        <v>4461267.5</v>
      </c>
      <c r="K7" s="16" t="n">
        <f aca="false">SUM(K4:K6)</f>
        <v>1466317.5</v>
      </c>
      <c r="L7" s="17" t="n">
        <f aca="false">K7/J7</f>
        <v>0.328677332170734</v>
      </c>
      <c r="M7" s="17" t="n">
        <f aca="false">SUM(M4:M6)</f>
        <v>1</v>
      </c>
    </row>
    <row r="8" customFormat="false" ht="15" hidden="false" customHeight="false" outlineLevel="0" collapsed="false">
      <c r="A8" s="8" t="n">
        <v>5</v>
      </c>
      <c r="B8" s="8" t="s">
        <v>784</v>
      </c>
      <c r="C8" s="12" t="n">
        <f aca="false">SUMIFS(Clean_Data!$K$2:$K$685,Clean_Data!$C$2:$C$685,A8)</f>
        <v>286295</v>
      </c>
      <c r="D8" s="12" t="n">
        <f aca="false">SUMIFS(Clean_Data!$L$2:$L$685,Clean_Data!$C$2:$C$685,A8)</f>
        <v>100795</v>
      </c>
      <c r="E8" s="8" t="n">
        <f aca="false">COUNTIFS(Clean_Data!$C$2:$C$685,A8)</f>
        <v>55</v>
      </c>
      <c r="F8" s="12" t="n">
        <f aca="false">SUMIFS(Clean_Data!$G$2:$G$685,Clean_Data!$C$2:$C$685,A8)</f>
        <v>196</v>
      </c>
      <c r="G8" s="15" t="n">
        <f aca="false">IF(C7=0,0,C8/C7-1)</f>
        <v>-0.181704502418773</v>
      </c>
    </row>
    <row r="9" customFormat="false" ht="26.85" hidden="false" customHeight="false" outlineLevel="0" collapsed="false">
      <c r="A9" s="8" t="n">
        <v>6</v>
      </c>
      <c r="B9" s="8" t="s">
        <v>785</v>
      </c>
      <c r="C9" s="12" t="n">
        <f aca="false">SUMIFS(Clean_Data!$K$2:$K$685,Clean_Data!$C$2:$C$685,A9)</f>
        <v>366485</v>
      </c>
      <c r="D9" s="12" t="n">
        <f aca="false">SUMIFS(Clean_Data!$L$2:$L$685,Clean_Data!$C$2:$C$685,A9)</f>
        <v>124985</v>
      </c>
      <c r="E9" s="8" t="n">
        <f aca="false">COUNTIFS(Clean_Data!$C$2:$C$685,A9)</f>
        <v>49</v>
      </c>
      <c r="F9" s="12" t="n">
        <f aca="false">SUMIFS(Clean_Data!$G$2:$G$685,Clean_Data!$C$2:$C$685,A9)</f>
        <v>155</v>
      </c>
      <c r="G9" s="15" t="n">
        <f aca="false">IF(C8=0,0,C9/C8-1)</f>
        <v>0.280095705478615</v>
      </c>
      <c r="I9" s="18" t="s">
        <v>31</v>
      </c>
      <c r="J9" s="18" t="s">
        <v>769</v>
      </c>
      <c r="K9" s="18" t="s">
        <v>770</v>
      </c>
      <c r="L9" s="18" t="s">
        <v>774</v>
      </c>
      <c r="M9" s="18" t="s">
        <v>778</v>
      </c>
    </row>
    <row r="10" customFormat="false" ht="15" hidden="false" customHeight="false" outlineLevel="0" collapsed="false">
      <c r="A10" s="8" t="n">
        <v>7</v>
      </c>
      <c r="B10" s="8" t="s">
        <v>786</v>
      </c>
      <c r="C10" s="12" t="n">
        <f aca="false">SUMIFS(Clean_Data!$K$2:$K$685,Clean_Data!$C$2:$C$685,A10)</f>
        <v>372415</v>
      </c>
      <c r="D10" s="12" t="n">
        <f aca="false">SUMIFS(Clean_Data!$L$2:$L$685,Clean_Data!$C$2:$C$685,A10)</f>
        <v>120815</v>
      </c>
      <c r="E10" s="8" t="n">
        <f aca="false">COUNTIFS(Clean_Data!$C$2:$C$685,A10)</f>
        <v>45</v>
      </c>
      <c r="F10" s="12" t="n">
        <f aca="false">SUMIFS(Clean_Data!$G$2:$G$685,Clean_Data!$C$2:$C$685,A10)</f>
        <v>178</v>
      </c>
      <c r="G10" s="15" t="n">
        <f aca="false">IF(C9=0,0,C10/C9-1)</f>
        <v>0.0161807440959385</v>
      </c>
      <c r="I10" s="8" t="s">
        <v>39</v>
      </c>
      <c r="J10" s="12" t="n">
        <f aca="false">SUMIFS(Clean_Data!$K$2:$K$685,Clean_Data!$D$2:$D$685,I10)</f>
        <v>1066397.5</v>
      </c>
      <c r="K10" s="12" t="n">
        <f aca="false">SUMIFS(Clean_Data!$L$2:$L$685,Clean_Data!$D$2:$D$685,I10)</f>
        <v>346897.5</v>
      </c>
      <c r="L10" s="8" t="n">
        <f aca="false">COUNTIFS(Clean_Data!$D$2:$D$685,I10)</f>
        <v>156</v>
      </c>
      <c r="M10" s="15" t="n">
        <f aca="false">J10/$J$15</f>
        <v>0.239034646543835</v>
      </c>
    </row>
    <row r="11" customFormat="false" ht="15" hidden="false" customHeight="false" outlineLevel="0" collapsed="false">
      <c r="A11" s="8" t="n">
        <v>8</v>
      </c>
      <c r="B11" s="8" t="s">
        <v>787</v>
      </c>
      <c r="C11" s="12" t="n">
        <f aca="false">SUMIFS(Clean_Data!$K$2:$K$685,Clean_Data!$C$2:$C$685,A11)</f>
        <v>416837.5</v>
      </c>
      <c r="D11" s="12" t="n">
        <f aca="false">SUMIFS(Clean_Data!$L$2:$L$685,Clean_Data!$C$2:$C$685,A11)</f>
        <v>133037.5</v>
      </c>
      <c r="E11" s="8" t="n">
        <f aca="false">COUNTIFS(Clean_Data!$C$2:$C$685,A11)</f>
        <v>52</v>
      </c>
      <c r="F11" s="12" t="n">
        <f aca="false">SUMIFS(Clean_Data!$G$2:$G$685,Clean_Data!$C$2:$C$685,A11)</f>
        <v>188</v>
      </c>
      <c r="G11" s="15" t="n">
        <f aca="false">IF(C10=0,0,C11/C10-1)</f>
        <v>0.119282252326034</v>
      </c>
      <c r="I11" s="8" t="s">
        <v>47</v>
      </c>
      <c r="J11" s="12" t="n">
        <f aca="false">SUMIFS(Clean_Data!$K$2:$K$685,Clean_Data!$D$2:$D$685,I11)</f>
        <v>1583167.5</v>
      </c>
      <c r="K11" s="12" t="n">
        <f aca="false">SUMIFS(Clean_Data!$L$2:$L$685,Clean_Data!$D$2:$D$685,I11)</f>
        <v>514567.5</v>
      </c>
      <c r="L11" s="8" t="n">
        <f aca="false">COUNTIFS(Clean_Data!$D$2:$D$685,I11)</f>
        <v>239</v>
      </c>
      <c r="M11" s="15" t="n">
        <f aca="false">J11/$J$15</f>
        <v>0.354869440131084</v>
      </c>
    </row>
    <row r="12" customFormat="false" ht="15" hidden="false" customHeight="false" outlineLevel="0" collapsed="false">
      <c r="A12" s="8" t="n">
        <v>9</v>
      </c>
      <c r="B12" s="8" t="s">
        <v>788</v>
      </c>
      <c r="C12" s="12" t="n">
        <f aca="false">SUMIFS(Clean_Data!$K$2:$K$685,Clean_Data!$C$2:$C$685,A12)</f>
        <v>360757.5</v>
      </c>
      <c r="D12" s="12" t="n">
        <f aca="false">SUMIFS(Clean_Data!$L$2:$L$685,Clean_Data!$C$2:$C$685,A12)</f>
        <v>123307.5</v>
      </c>
      <c r="E12" s="8" t="n">
        <f aca="false">COUNTIFS(Clean_Data!$C$2:$C$685,A12)</f>
        <v>60</v>
      </c>
      <c r="F12" s="12" t="n">
        <f aca="false">SUMIFS(Clean_Data!$G$2:$G$685,Clean_Data!$C$2:$C$685,A12)</f>
        <v>203</v>
      </c>
      <c r="G12" s="15" t="n">
        <f aca="false">IF(C11=0,0,C12/C11-1)</f>
        <v>-0.134536839895643</v>
      </c>
      <c r="I12" s="8" t="s">
        <v>43</v>
      </c>
      <c r="J12" s="12" t="n">
        <f aca="false">SUMIFS(Clean_Data!$K$2:$K$685,Clean_Data!$D$2:$D$685,I12)</f>
        <v>888127.5</v>
      </c>
      <c r="K12" s="12" t="n">
        <f aca="false">SUMIFS(Clean_Data!$L$2:$L$685,Clean_Data!$D$2:$D$685,I12)</f>
        <v>288677.5</v>
      </c>
      <c r="L12" s="8" t="n">
        <f aca="false">COUNTIFS(Clean_Data!$D$2:$D$685,I12)</f>
        <v>135</v>
      </c>
      <c r="M12" s="15" t="n">
        <f aca="false">J12/$J$15</f>
        <v>0.199075150727904</v>
      </c>
    </row>
    <row r="13" customFormat="false" ht="15" hidden="false" customHeight="false" outlineLevel="0" collapsed="false">
      <c r="A13" s="8" t="n">
        <v>10</v>
      </c>
      <c r="B13" s="8" t="s">
        <v>789</v>
      </c>
      <c r="C13" s="12" t="n">
        <f aca="false">SUMIFS(Clean_Data!$K$2:$K$685,Clean_Data!$C$2:$C$685,A13)</f>
        <v>422425</v>
      </c>
      <c r="D13" s="12" t="n">
        <f aca="false">SUMIFS(Clean_Data!$L$2:$L$685,Clean_Data!$C$2:$C$685,A13)</f>
        <v>137325</v>
      </c>
      <c r="E13" s="8" t="n">
        <f aca="false">COUNTIFS(Clean_Data!$C$2:$C$685,A13)</f>
        <v>68</v>
      </c>
      <c r="F13" s="12" t="n">
        <f aca="false">SUMIFS(Clean_Data!$G$2:$G$685,Clean_Data!$C$2:$C$685,A13)</f>
        <v>221</v>
      </c>
      <c r="G13" s="15" t="n">
        <f aca="false">IF(C12=0,0,C13/C12-1)</f>
        <v>0.170938927118632</v>
      </c>
      <c r="I13" s="8" t="s">
        <v>55</v>
      </c>
      <c r="J13" s="12" t="n">
        <f aca="false">SUMIFS(Clean_Data!$K$2:$K$685,Clean_Data!$D$2:$D$685,I13)</f>
        <v>870945</v>
      </c>
      <c r="K13" s="12" t="n">
        <f aca="false">SUMIFS(Clean_Data!$L$2:$L$685,Clean_Data!$D$2:$D$685,I13)</f>
        <v>299045</v>
      </c>
      <c r="L13" s="8" t="n">
        <f aca="false">COUNTIFS(Clean_Data!$D$2:$D$685,I13)</f>
        <v>145</v>
      </c>
      <c r="M13" s="15" t="n">
        <f aca="false">J13/$J$15</f>
        <v>0.195223666816661</v>
      </c>
    </row>
    <row r="14" customFormat="false" ht="15" hidden="false" customHeight="false" outlineLevel="0" collapsed="false">
      <c r="A14" s="8" t="n">
        <v>11</v>
      </c>
      <c r="B14" s="8" t="s">
        <v>790</v>
      </c>
      <c r="C14" s="12" t="n">
        <f aca="false">SUMIFS(Clean_Data!$K$2:$K$685,Clean_Data!$C$2:$C$685,A14)</f>
        <v>530357.5</v>
      </c>
      <c r="D14" s="12" t="n">
        <f aca="false">SUMIFS(Clean_Data!$L$2:$L$685,Clean_Data!$C$2:$C$685,A14)</f>
        <v>164107.5</v>
      </c>
      <c r="E14" s="8" t="n">
        <f aca="false">COUNTIFS(Clean_Data!$C$2:$C$685,A14)</f>
        <v>81</v>
      </c>
      <c r="F14" s="12" t="n">
        <f aca="false">SUMIFS(Clean_Data!$G$2:$G$685,Clean_Data!$C$2:$C$685,A14)</f>
        <v>292</v>
      </c>
      <c r="G14" s="15" t="n">
        <f aca="false">IF(C13=0,0,C14/C13-1)</f>
        <v>0.255506894715038</v>
      </c>
      <c r="I14" s="8" t="s">
        <v>771</v>
      </c>
      <c r="J14" s="12" t="n">
        <f aca="false">SUMIFS(Clean_Data!$K$2:$K$685,Clean_Data!$D$2:$D$685,I14)</f>
        <v>52630</v>
      </c>
      <c r="K14" s="12" t="n">
        <f aca="false">SUMIFS(Clean_Data!$L$2:$L$685,Clean_Data!$D$2:$D$685,I14)</f>
        <v>17130</v>
      </c>
      <c r="L14" s="8" t="n">
        <f aca="false">COUNTIFS(Clean_Data!$D$2:$D$685,I14)</f>
        <v>9</v>
      </c>
      <c r="M14" s="15" t="n">
        <f aca="false">J14/$J$15</f>
        <v>0.0117970957805153</v>
      </c>
    </row>
    <row r="15" customFormat="false" ht="15" hidden="false" customHeight="false" outlineLevel="0" collapsed="false">
      <c r="A15" s="9" t="n">
        <v>12</v>
      </c>
      <c r="B15" s="9" t="s">
        <v>791</v>
      </c>
      <c r="C15" s="16" t="n">
        <f aca="false">SUMIFS(Clean_Data!$K$2:$K$685,Clean_Data!$C$2:$C$685,A15)</f>
        <v>486427.5</v>
      </c>
      <c r="D15" s="16" t="n">
        <f aca="false">SUMIFS(Clean_Data!$L$2:$L$685,Clean_Data!$C$2:$C$685,A15)</f>
        <v>149327.5</v>
      </c>
      <c r="E15" s="9" t="n">
        <f aca="false">COUNTIFS(Clean_Data!$C$2:$C$685,A15)</f>
        <v>76</v>
      </c>
      <c r="F15" s="16" t="n">
        <f aca="false">SUMIFS(Clean_Data!$G$2:$G$685,Clean_Data!$C$2:$C$685,A15)</f>
        <v>255</v>
      </c>
      <c r="G15" s="17" t="n">
        <f aca="false">IF(C14=0,0,C15/C14-1)</f>
        <v>-0.0828309206525787</v>
      </c>
      <c r="H15" s="9"/>
      <c r="I15" s="9" t="s">
        <v>783</v>
      </c>
      <c r="J15" s="16" t="n">
        <f aca="false">SUM(J10:J14)</f>
        <v>4461267.5</v>
      </c>
      <c r="K15" s="16" t="n">
        <f aca="false">SUM(K10:K14)</f>
        <v>1466317.5</v>
      </c>
      <c r="L15" s="9" t="n">
        <f aca="false">SUM(L10:L14)</f>
        <v>684</v>
      </c>
      <c r="M15" s="17" t="n">
        <f aca="false">SUM(M10:M14)</f>
        <v>1</v>
      </c>
    </row>
    <row r="16" customFormat="false" ht="15" hidden="false" customHeight="false" outlineLevel="0" collapsed="false">
      <c r="A16" s="9"/>
      <c r="B16" s="9" t="s">
        <v>783</v>
      </c>
      <c r="C16" s="16" t="n">
        <f aca="false">SUM(C4:C15)</f>
        <v>4461267.5</v>
      </c>
      <c r="D16" s="16" t="n">
        <f aca="false">SUM(D4:D15)</f>
        <v>1466317.5</v>
      </c>
      <c r="E16" s="9" t="n">
        <f aca="false">SUM(E4:E15)</f>
        <v>684</v>
      </c>
      <c r="F16" s="16" t="n">
        <f aca="false">SUM(F4:F15)</f>
        <v>2396</v>
      </c>
      <c r="G16" s="17"/>
      <c r="H16" s="9"/>
      <c r="I16" s="9"/>
      <c r="J16" s="9"/>
      <c r="K16" s="9"/>
      <c r="L16" s="9"/>
      <c r="M16" s="9"/>
    </row>
    <row r="19" customFormat="false" ht="15" hidden="false" customHeight="false" outlineLevel="0" collapsed="false">
      <c r="A19" s="18" t="s">
        <v>33</v>
      </c>
      <c r="B19" s="18" t="s">
        <v>32</v>
      </c>
      <c r="C19" s="18" t="s">
        <v>769</v>
      </c>
      <c r="D19" s="18" t="s">
        <v>770</v>
      </c>
      <c r="E19" s="18" t="s">
        <v>775</v>
      </c>
      <c r="F19" s="18" t="s">
        <v>777</v>
      </c>
    </row>
    <row r="20" customFormat="false" ht="15" hidden="false" customHeight="false" outlineLevel="0" collapsed="false">
      <c r="A20" s="8" t="s">
        <v>60</v>
      </c>
      <c r="B20" s="8" t="s">
        <v>44</v>
      </c>
      <c r="C20" s="12" t="n">
        <f aca="false">SUMIFS(Clean_Data!$K$2:$K$685,Clean_Data!$F$2:$F$685,A20)</f>
        <v>230250</v>
      </c>
      <c r="D20" s="12" t="n">
        <f aca="false">SUMIFS(Clean_Data!$L$2:$L$685,Clean_Data!$F$2:$F$685,A20)</f>
        <v>76650</v>
      </c>
      <c r="E20" s="8" t="n">
        <f aca="false">SUMIFS(Clean_Data!$G$2:$G$685,Clean_Data!$F$2:$F$685,A20)</f>
        <v>96</v>
      </c>
      <c r="F20" s="15" t="n">
        <f aca="false">IF(C20=0,0,D20/C20)</f>
        <v>0.332899022801303</v>
      </c>
      <c r="G20" s="19"/>
    </row>
    <row r="21" customFormat="false" ht="15" hidden="false" customHeight="false" outlineLevel="0" collapsed="false">
      <c r="A21" s="8" t="s">
        <v>48</v>
      </c>
      <c r="B21" s="8" t="s">
        <v>44</v>
      </c>
      <c r="C21" s="12" t="n">
        <f aca="false">SUMIFS(Clean_Data!$K$2:$K$685,Clean_Data!$F$2:$F$685,A21)</f>
        <v>590850</v>
      </c>
      <c r="D21" s="12" t="n">
        <f aca="false">SUMIFS(Clean_Data!$L$2:$L$685,Clean_Data!$F$2:$F$685,A21)</f>
        <v>142050</v>
      </c>
      <c r="E21" s="8" t="n">
        <f aca="false">SUMIFS(Clean_Data!$G$2:$G$685,Clean_Data!$F$2:$F$685,A21)</f>
        <v>136</v>
      </c>
      <c r="F21" s="15" t="n">
        <f aca="false">IF(C21=0,0,D21/C21)</f>
        <v>0.24041634932724</v>
      </c>
      <c r="G21" s="19"/>
    </row>
    <row r="22" customFormat="false" ht="15" hidden="false" customHeight="false" outlineLevel="0" collapsed="false">
      <c r="A22" s="8" t="s">
        <v>45</v>
      </c>
      <c r="B22" s="8" t="s">
        <v>44</v>
      </c>
      <c r="C22" s="12" t="n">
        <f aca="false">SUMIFS(Clean_Data!$K$2:$K$685,Clean_Data!$F$2:$F$685,A22)</f>
        <v>168450</v>
      </c>
      <c r="D22" s="12" t="n">
        <f aca="false">SUMIFS(Clean_Data!$L$2:$L$685,Clean_Data!$F$2:$F$685,A22)</f>
        <v>64050</v>
      </c>
      <c r="E22" s="8" t="n">
        <f aca="false">SUMIFS(Clean_Data!$G$2:$G$685,Clean_Data!$F$2:$F$685,A22)</f>
        <v>116</v>
      </c>
      <c r="F22" s="15" t="n">
        <f aca="false">IF(C22=0,0,D22/C22)</f>
        <v>0.380231522707035</v>
      </c>
      <c r="G22" s="19"/>
    </row>
    <row r="23" customFormat="false" ht="15" hidden="false" customHeight="false" outlineLevel="0" collapsed="false">
      <c r="A23" s="8" t="s">
        <v>50</v>
      </c>
      <c r="B23" s="8" t="s">
        <v>44</v>
      </c>
      <c r="C23" s="12" t="n">
        <f aca="false">SUMIFS(Clean_Data!$K$2:$K$685,Clean_Data!$F$2:$F$685,A23)</f>
        <v>330150</v>
      </c>
      <c r="D23" s="12" t="n">
        <f aca="false">SUMIFS(Clean_Data!$L$2:$L$685,Clean_Data!$F$2:$F$685,A23)</f>
        <v>104150</v>
      </c>
      <c r="E23" s="8" t="n">
        <f aca="false">SUMIFS(Clean_Data!$G$2:$G$685,Clean_Data!$F$2:$F$685,A23)</f>
        <v>113</v>
      </c>
      <c r="F23" s="15" t="n">
        <f aca="false">IF(C23=0,0,D23/C23)</f>
        <v>0.315462668484022</v>
      </c>
      <c r="G23" s="19"/>
    </row>
    <row r="24" customFormat="false" ht="15" hidden="false" customHeight="false" outlineLevel="0" collapsed="false">
      <c r="A24" s="8" t="s">
        <v>111</v>
      </c>
      <c r="B24" s="8" t="s">
        <v>57</v>
      </c>
      <c r="C24" s="12" t="n">
        <f aca="false">SUMIFS(Clean_Data!$K$2:$K$685,Clean_Data!$F$2:$F$685,A24)</f>
        <v>702800</v>
      </c>
      <c r="D24" s="12" t="n">
        <f aca="false">SUMIFS(Clean_Data!$L$2:$L$685,Clean_Data!$F$2:$F$685,A24)</f>
        <v>198800</v>
      </c>
      <c r="E24" s="8" t="n">
        <f aca="false">SUMIFS(Clean_Data!$G$2:$G$685,Clean_Data!$F$2:$F$685,A24)</f>
        <v>105</v>
      </c>
      <c r="F24" s="15" t="n">
        <f aca="false">IF(C24=0,0,D24/C24)</f>
        <v>0.282868525896414</v>
      </c>
      <c r="G24" s="19"/>
    </row>
    <row r="25" customFormat="false" ht="15" hidden="false" customHeight="false" outlineLevel="0" collapsed="false">
      <c r="A25" s="8" t="s">
        <v>63</v>
      </c>
      <c r="B25" s="8" t="s">
        <v>57</v>
      </c>
      <c r="C25" s="12" t="n">
        <f aca="false">SUMIFS(Clean_Data!$K$2:$K$685,Clean_Data!$F$2:$F$685,A25)</f>
        <v>1066950</v>
      </c>
      <c r="D25" s="12" t="n">
        <f aca="false">SUMIFS(Clean_Data!$L$2:$L$685,Clean_Data!$F$2:$F$685,A25)</f>
        <v>298150</v>
      </c>
      <c r="E25" s="8" t="n">
        <f aca="false">SUMIFS(Clean_Data!$G$2:$G$685,Clean_Data!$F$2:$F$685,A25)</f>
        <v>124</v>
      </c>
      <c r="F25" s="15" t="n">
        <f aca="false">IF(C25=0,0,D25/C25)</f>
        <v>0.279441398378556</v>
      </c>
      <c r="G25" s="19"/>
    </row>
    <row r="26" customFormat="false" ht="15" hidden="false" customHeight="false" outlineLevel="0" collapsed="false">
      <c r="A26" s="8" t="s">
        <v>58</v>
      </c>
      <c r="B26" s="8" t="s">
        <v>57</v>
      </c>
      <c r="C26" s="12" t="n">
        <f aca="false">SUMIFS(Clean_Data!$K$2:$K$685,Clean_Data!$F$2:$F$685,A26)</f>
        <v>550550</v>
      </c>
      <c r="D26" s="12" t="n">
        <f aca="false">SUMIFS(Clean_Data!$L$2:$L$685,Clean_Data!$F$2:$F$685,A26)</f>
        <v>179750</v>
      </c>
      <c r="E26" s="8" t="n">
        <f aca="false">SUMIFS(Clean_Data!$G$2:$G$685,Clean_Data!$F$2:$F$685,A26)</f>
        <v>103</v>
      </c>
      <c r="F26" s="15" t="n">
        <f aca="false">IF(C26=0,0,D26/C26)</f>
        <v>0.326491690128054</v>
      </c>
      <c r="G26" s="19"/>
    </row>
    <row r="27" customFormat="false" ht="15" hidden="false" customHeight="false" outlineLevel="0" collapsed="false">
      <c r="A27" s="8" t="s">
        <v>86</v>
      </c>
      <c r="B27" s="8" t="s">
        <v>57</v>
      </c>
      <c r="C27" s="12" t="n">
        <f aca="false">SUMIFS(Clean_Data!$K$2:$K$685,Clean_Data!$F$2:$F$685,A27)</f>
        <v>160440</v>
      </c>
      <c r="D27" s="12" t="n">
        <f aca="false">SUMIFS(Clean_Data!$L$2:$L$685,Clean_Data!$F$2:$F$685,A27)</f>
        <v>77640</v>
      </c>
      <c r="E27" s="8" t="n">
        <f aca="false">SUMIFS(Clean_Data!$G$2:$G$685,Clean_Data!$F$2:$F$685,A27)</f>
        <v>138</v>
      </c>
      <c r="F27" s="15" t="n">
        <f aca="false">IF(C27=0,0,D27/C27)</f>
        <v>0.483919222139117</v>
      </c>
      <c r="G27" s="19"/>
    </row>
    <row r="28" customFormat="false" ht="15" hidden="false" customHeight="false" outlineLevel="0" collapsed="false">
      <c r="A28" s="8" t="s">
        <v>77</v>
      </c>
      <c r="B28" s="8" t="s">
        <v>40</v>
      </c>
      <c r="C28" s="12" t="n">
        <f aca="false">SUMIFS(Clean_Data!$K$2:$K$685,Clean_Data!$F$2:$F$685,A28)</f>
        <v>134780</v>
      </c>
      <c r="D28" s="12" t="n">
        <f aca="false">SUMIFS(Clean_Data!$L$2:$L$685,Clean_Data!$F$2:$F$685,A28)</f>
        <v>65180</v>
      </c>
      <c r="E28" s="8" t="n">
        <f aca="false">SUMIFS(Clean_Data!$G$2:$G$685,Clean_Data!$F$2:$F$685,A28)</f>
        <v>348</v>
      </c>
      <c r="F28" s="15" t="n">
        <f aca="false">IF(C28=0,0,D28/C28)</f>
        <v>0.483602908443389</v>
      </c>
      <c r="G28" s="19"/>
    </row>
    <row r="29" customFormat="false" ht="15" hidden="false" customHeight="false" outlineLevel="0" collapsed="false">
      <c r="A29" s="8" t="s">
        <v>104</v>
      </c>
      <c r="B29" s="8" t="s">
        <v>40</v>
      </c>
      <c r="C29" s="12" t="n">
        <f aca="false">SUMIFS(Clean_Data!$K$2:$K$685,Clean_Data!$F$2:$F$685,A29)</f>
        <v>65687.5</v>
      </c>
      <c r="D29" s="12" t="n">
        <f aca="false">SUMIFS(Clean_Data!$L$2:$L$685,Clean_Data!$F$2:$F$685,A29)</f>
        <v>38587.5</v>
      </c>
      <c r="E29" s="8" t="n">
        <f aca="false">SUMIFS(Clean_Data!$G$2:$G$685,Clean_Data!$F$2:$F$685,A29)</f>
        <v>271</v>
      </c>
      <c r="F29" s="15" t="n">
        <f aca="false">IF(C29=0,0,D29/C29)</f>
        <v>0.58744053282588</v>
      </c>
      <c r="G29" s="19"/>
    </row>
    <row r="30" customFormat="false" ht="15" hidden="false" customHeight="false" outlineLevel="0" collapsed="false">
      <c r="A30" s="8" t="s">
        <v>41</v>
      </c>
      <c r="B30" s="8" t="s">
        <v>40</v>
      </c>
      <c r="C30" s="12" t="n">
        <f aca="false">SUMIFS(Clean_Data!$K$2:$K$685,Clean_Data!$F$2:$F$685,A30)</f>
        <v>318810</v>
      </c>
      <c r="D30" s="12" t="n">
        <f aca="false">SUMIFS(Clean_Data!$L$2:$L$685,Clean_Data!$F$2:$F$685,A30)</f>
        <v>153510</v>
      </c>
      <c r="E30" s="8" t="n">
        <f aca="false">SUMIFS(Clean_Data!$G$2:$G$685,Clean_Data!$F$2:$F$685,A30)</f>
        <v>551</v>
      </c>
      <c r="F30" s="15" t="n">
        <f aca="false">IF(C30=0,0,D30/C30)</f>
        <v>0.481509362943446</v>
      </c>
      <c r="G30" s="19"/>
    </row>
    <row r="31" customFormat="false" ht="15" hidden="false" customHeight="false" outlineLevel="0" collapsed="false">
      <c r="A31" s="8" t="s">
        <v>71</v>
      </c>
      <c r="B31" s="8" t="s">
        <v>40</v>
      </c>
      <c r="C31" s="12" t="n">
        <f aca="false">SUMIFS(Clean_Data!$K$2:$K$685,Clean_Data!$F$2:$F$685,A31)</f>
        <v>141550</v>
      </c>
      <c r="D31" s="12" t="n">
        <f aca="false">SUMIFS(Clean_Data!$L$2:$L$685,Clean_Data!$F$2:$F$685,A31)</f>
        <v>67800</v>
      </c>
      <c r="E31" s="8" t="n">
        <f aca="false">SUMIFS(Clean_Data!$G$2:$G$685,Clean_Data!$F$2:$F$685,A31)</f>
        <v>295</v>
      </c>
      <c r="F31" s="15" t="n">
        <f aca="false">IF(C31=0,0,D31/C31)</f>
        <v>0.4789826916284</v>
      </c>
      <c r="G31" s="19"/>
    </row>
    <row r="32" customFormat="false" ht="15" hidden="false" customHeight="false" outlineLevel="0" collapsed="false">
      <c r="A32" s="9" t="s">
        <v>783</v>
      </c>
      <c r="B32" s="9"/>
      <c r="C32" s="16" t="n">
        <f aca="false">SUM(C20:C31)</f>
        <v>4461267.5</v>
      </c>
      <c r="D32" s="16" t="n">
        <f aca="false">SUM(D20:D31)</f>
        <v>1466317.5</v>
      </c>
      <c r="E32" s="9" t="n">
        <f aca="false">SUM(E20:E31)</f>
        <v>2396</v>
      </c>
      <c r="F32" s="17" t="n">
        <f aca="false">D32/C32</f>
        <v>0.328677332170734</v>
      </c>
      <c r="G32" s="17"/>
      <c r="H32" s="9"/>
      <c r="I32" s="9"/>
      <c r="J32" s="9"/>
      <c r="K32" s="9"/>
      <c r="L32" s="9"/>
      <c r="M3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4" t="s">
        <v>792</v>
      </c>
    </row>
    <row r="3" customFormat="false" ht="15" hidden="false" customHeight="false" outlineLevel="0" collapsed="false">
      <c r="A3" s="9" t="s">
        <v>793</v>
      </c>
    </row>
    <row r="4" customFormat="false" ht="15" hidden="false" customHeight="false" outlineLevel="0" collapsed="false">
      <c r="A4" s="8" t="s">
        <v>794</v>
      </c>
    </row>
    <row r="5" customFormat="false" ht="15" hidden="false" customHeight="false" outlineLevel="0" collapsed="false">
      <c r="A5" s="8" t="s">
        <v>795</v>
      </c>
    </row>
    <row r="6" customFormat="false" ht="15" hidden="false" customHeight="false" outlineLevel="0" collapsed="false">
      <c r="A6" s="8" t="s">
        <v>796</v>
      </c>
    </row>
    <row r="7" customFormat="false" ht="15" hidden="false" customHeight="false" outlineLevel="0" collapsed="false">
      <c r="A7" s="8" t="s">
        <v>797</v>
      </c>
    </row>
    <row r="8" customFormat="false" ht="15" hidden="false" customHeight="false" outlineLevel="0" collapsed="false">
      <c r="A8" s="8" t="s">
        <v>798</v>
      </c>
    </row>
    <row r="9" customFormat="false" ht="15" hidden="false" customHeight="false" outlineLevel="0" collapsed="false">
      <c r="A9" s="8" t="s">
        <v>799</v>
      </c>
    </row>
    <row r="10" customFormat="false" ht="15" hidden="false" customHeight="false" outlineLevel="0" collapsed="false">
      <c r="A10" s="8" t="s">
        <v>800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9" t="s">
        <v>801</v>
      </c>
    </row>
    <row r="13" customFormat="false" ht="15" hidden="false" customHeight="false" outlineLevel="0" collapsed="false">
      <c r="A13" s="8" t="s">
        <v>802</v>
      </c>
    </row>
    <row r="14" customFormat="false" ht="15" hidden="false" customHeight="false" outlineLevel="0" collapsed="false">
      <c r="A14" s="8" t="s">
        <v>803</v>
      </c>
    </row>
    <row r="15" customFormat="false" ht="15" hidden="false" customHeight="false" outlineLevel="0" collapsed="false">
      <c r="A15" s="8" t="s">
        <v>804</v>
      </c>
    </row>
    <row r="16" customFormat="false" ht="15" hidden="false" customHeight="false" outlineLevel="0" collapsed="false">
      <c r="A16" s="8" t="s">
        <v>805</v>
      </c>
    </row>
    <row r="17" customFormat="false" ht="15" hidden="false" customHeight="false" outlineLevel="0" collapsed="false">
      <c r="A17" s="8" t="s">
        <v>806</v>
      </c>
    </row>
    <row r="18" customFormat="false" ht="15" hidden="false" customHeight="false" outlineLevel="0" collapsed="false">
      <c r="A18" s="8"/>
    </row>
    <row r="19" customFormat="false" ht="15" hidden="false" customHeight="false" outlineLevel="0" collapsed="false">
      <c r="A19" s="9" t="s">
        <v>807</v>
      </c>
    </row>
    <row r="20" customFormat="false" ht="15" hidden="false" customHeight="false" outlineLevel="0" collapsed="false">
      <c r="A20" s="8" t="s">
        <v>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2026-10-02T05:20:24Z</dcterms:created>
  <dc:creator>openpyxl</dc:creator>
  <dc:description/>
  <dc:language>en-US</dc:language>
  <cp:lastModifiedBy/>
  <dcterms:modified xsi:type="dcterms:W3CDTF">2026-10-02T05:20:25Z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