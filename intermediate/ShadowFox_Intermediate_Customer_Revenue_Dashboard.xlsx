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Insights" sheetId="3" state="visible" r:id="rId5"/>
    <sheet name="Raw_Data" sheetId="4" state="visible" r:id="rId6"/>
    <sheet name="Cleaning_Log" sheetId="5" state="visible" r:id="rId7"/>
    <sheet name="Clean_Data" sheetId="6" state="visible" r:id="rId8"/>
    <sheet name="Customers" sheetId="7" state="visible" r:id="rId9"/>
    <sheet name="Analysis" sheetId="8" state="visible" r:id="rId10"/>
  </sheets>
  <definedNames>
    <definedName function="false" hidden="true" localSheetId="5" name="_xlnm._FilterDatabase" vbProcedure="false">Clean_Data!$A$1:$N$2086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<sst xmlns="http://schemas.openxmlformats.org/spreadsheetml/2006/main" count="26267" uniqueCount="3076">
  <si>
    <t xml:space="preserve">ShadowFox Data Analyst Internship - Intermediate Level</t>
  </si>
  <si>
    <t xml:space="preserve">Intern: Rudra Kumar | SF-PID: SF-PID-2026-W6251 | Amrita Vishwa Vidyapeetham, Nagercoil</t>
  </si>
  <si>
    <t xml:space="preserve">Project: Customer and Revenue Analysis (Jan-Dec 2025)</t>
  </si>
  <si>
    <t xml:space="preserve">DATA NOTE: This is a SAMPLE dataset created for this exercise. It is not real company data.</t>
  </si>
  <si>
    <t xml:space="preserve">Currency is Indian Rupees (INR).</t>
  </si>
  <si>
    <t xml:space="preserve">Sheets</t>
  </si>
  <si>
    <t xml:space="preserve">Dashboard - KPIs and charts</t>
  </si>
  <si>
    <t xml:space="preserve">Insights - findings, reasons and recommendations</t>
  </si>
  <si>
    <t xml:space="preserve">Raw_Data - data before cleaning</t>
  </si>
  <si>
    <t xml:space="preserve">Cleaning_Log - each cleaning step and rows affected</t>
  </si>
  <si>
    <t xml:space="preserve">Clean_Data - cleaned order lines. Revenue and Profit are formulas.</t>
  </si>
  <si>
    <t xml:space="preserve">Customers - one row per customer, sorted by revenue (high to low), built with formulas</t>
  </si>
  <si>
    <t xml:space="preserve">Analysis - monthly, repeat-buyer, concentration, segment, category and region tables</t>
  </si>
  <si>
    <t xml:space="preserve">Formulas</t>
  </si>
  <si>
    <t xml:space="preserve">Revenue = Qty x UnitPrice x (1 - Discount)</t>
  </si>
  <si>
    <t xml:space="preserve">Profit = Revenue - (Qty x UnitCost)</t>
  </si>
  <si>
    <t xml:space="preserve">Repeat customer = a customer with more than 1 order</t>
  </si>
  <si>
    <t xml:space="preserve">Seasonality index = month revenue / average monthly revenue</t>
  </si>
  <si>
    <t xml:space="preserve">Top 10% share = revenue of the top 10% of customers / total revenue</t>
  </si>
  <si>
    <t xml:space="preserve">Customer and Revenue Dashboard - 2025 (Sample Data)</t>
  </si>
  <si>
    <t xml:space="preserve">Total Revenue (INR)</t>
  </si>
  <si>
    <t xml:space="preserve">Total Profit (INR)</t>
  </si>
  <si>
    <t xml:space="preserve">Profit Margin</t>
  </si>
  <si>
    <t xml:space="preserve">Total Orders</t>
  </si>
  <si>
    <t xml:space="preserve">Customers</t>
  </si>
  <si>
    <t xml:space="preserve">Repeat Rate</t>
  </si>
  <si>
    <t xml:space="preserve">Top 10% Customers Share</t>
  </si>
  <si>
    <t xml:space="preserve">Avg Order Value (INR)</t>
  </si>
  <si>
    <t xml:space="preserve">Key Insights, Possible Reasons and Recommendations (sample dataset)</t>
  </si>
  <si>
    <t xml:space="preserve">What the data shows</t>
  </si>
  <si>
    <t xml:space="preserve">1. Revenue is INR 205.72 lakh from 2085 orders and 799 customers. Profit is INR 62.48 lakh, a margin of 30.4%.</t>
  </si>
  <si>
    <t xml:space="preserve">2. 58.2% of customers ordered more than once (465 customers). They bring 88.3% of revenue.</t>
  </si>
  <si>
    <t xml:space="preserve">3. 41.8% of customers ordered only once. They are the largest single group but bring only 11.7% of revenue.</t>
  </si>
  <si>
    <t xml:space="preserve">4. Revenue is concentrated. The top 10% of customers give 42.4% of revenue. The top 20% give 62.3%. The bottom 50% give only 10.2%.</t>
  </si>
  <si>
    <t xml:space="preserve">5. Corporate customers spend most per customer (INR 0.87 lakh), against INR 0.14 lakh for Consumer and INR 0.25 lakh for Small Business.</t>
  </si>
  <si>
    <t xml:space="preserve">6. Seasonality: Dec is the best month (INR 20.97 lakh) and Jul is the weakest (INR 12.37 lakh). Oct to Dec give 28.7% of yearly revenue.</t>
  </si>
  <si>
    <t xml:space="preserve">7. Margins differ by category: Electronics 27.8%, Furniture 28.5%, Stationery 48.7%. South is the top region with 33.3% of revenue.</t>
  </si>
  <si>
    <t xml:space="preserve">Possible reasons</t>
  </si>
  <si>
    <t xml:space="preserve">- Corporate buyers order larger quantities, so a small group lifts revenue per customer.</t>
  </si>
  <si>
    <t xml:space="preserve">- November and December are strong months. Extra Q4 discounts may help volume.</t>
  </si>
  <si>
    <t xml:space="preserve">- July is the weakest month, which may point to a mid-year demand gap.</t>
  </si>
  <si>
    <t xml:space="preserve">- Many one-time buyers suggest weak follow-up after the first purchase.</t>
  </si>
  <si>
    <t xml:space="preserve">Recommendations</t>
  </si>
  <si>
    <t xml:space="preserve">1. Protect the top 10% of customers with account managers and early access offers.</t>
  </si>
  <si>
    <t xml:space="preserve">2. Run a second-purchase campaign for one-time customers, such as a coupon 30 days after the first order.</t>
  </si>
  <si>
    <t xml:space="preserve">3. Grow the Corporate segment with bulk-order pricing, since it earns the most per customer.</t>
  </si>
  <si>
    <t xml:space="preserve">4. Plan stock and marketing for November and December. Run an offer in July to lift the low month.</t>
  </si>
  <si>
    <t xml:space="preserve">5. Bundle Stationery with Furniture and Electronics orders to raise profit per order, as Stationery has the highest margin.</t>
  </si>
  <si>
    <t xml:space="preserve">Notes</t>
  </si>
  <si>
    <t xml:space="preserve">All figures come from the Analysis sheet. The data is a sample, so use the results for practice only.</t>
  </si>
  <si>
    <t xml:space="preserve">OrderID</t>
  </si>
  <si>
    <t xml:space="preserve">CustomerID</t>
  </si>
  <si>
    <t xml:space="preserve">Date</t>
  </si>
  <si>
    <t xml:space="preserve">Region</t>
  </si>
  <si>
    <t xml:space="preserve">Segment</t>
  </si>
  <si>
    <t xml:space="preserve">Category</t>
  </si>
  <si>
    <t xml:space="preserve">Product</t>
  </si>
  <si>
    <t xml:space="preserve">Qty</t>
  </si>
  <si>
    <t xml:space="preserve">UnitPrice</t>
  </si>
  <si>
    <t xml:space="preserve">Discount</t>
  </si>
  <si>
    <t xml:space="preserve">UnitCost</t>
  </si>
  <si>
    <t xml:space="preserve">ORD5001</t>
  </si>
  <si>
    <t xml:space="preserve">C0001</t>
  </si>
  <si>
    <t xml:space="preserve">North</t>
  </si>
  <si>
    <t xml:space="preserve">Consumer</t>
  </si>
  <si>
    <t xml:space="preserve">Stationery</t>
  </si>
  <si>
    <t xml:space="preserve">Planner</t>
  </si>
  <si>
    <t xml:space="preserve">ORD5002</t>
  </si>
  <si>
    <t xml:space="preserve">C0002</t>
  </si>
  <si>
    <t xml:space="preserve">Small Business</t>
  </si>
  <si>
    <t xml:space="preserve">Electronics</t>
  </si>
  <si>
    <t xml:space="preserve">Headphones</t>
  </si>
  <si>
    <t xml:space="preserve">ORD5003</t>
  </si>
  <si>
    <t xml:space="preserve">Furniture</t>
  </si>
  <si>
    <t xml:space="preserve">Office Chair</t>
  </si>
  <si>
    <t xml:space="preserve">ORD5004</t>
  </si>
  <si>
    <t xml:space="preserve">C0003</t>
  </si>
  <si>
    <t xml:space="preserve">South</t>
  </si>
  <si>
    <t xml:space="preserve">Notebook Set</t>
  </si>
  <si>
    <t xml:space="preserve">ORD5005</t>
  </si>
  <si>
    <t xml:space="preserve">C0004</t>
  </si>
  <si>
    <t xml:space="preserve">East</t>
  </si>
  <si>
    <t xml:space="preserve">Pen Pack</t>
  </si>
  <si>
    <t xml:space="preserve">ORD5006</t>
  </si>
  <si>
    <t xml:space="preserve">ORD5007</t>
  </si>
  <si>
    <t xml:space="preserve">Desk Lamp</t>
  </si>
  <si>
    <t xml:space="preserve">ORD5008</t>
  </si>
  <si>
    <t xml:space="preserve">Study Desk</t>
  </si>
  <si>
    <t xml:space="preserve">ORD5009</t>
  </si>
  <si>
    <t xml:space="preserve">ORD5010</t>
  </si>
  <si>
    <t xml:space="preserve">C0005</t>
  </si>
  <si>
    <t xml:space="preserve">West</t>
  </si>
  <si>
    <t xml:space="preserve">Corporate</t>
  </si>
  <si>
    <t xml:space="preserve">ORD5011</t>
  </si>
  <si>
    <t xml:space="preserve">ORD5012</t>
  </si>
  <si>
    <t xml:space="preserve">ORD5013</t>
  </si>
  <si>
    <t xml:space="preserve">C0006</t>
  </si>
  <si>
    <t xml:space="preserve">Bluetooth Speaker</t>
  </si>
  <si>
    <t xml:space="preserve">ORD5014</t>
  </si>
  <si>
    <t xml:space="preserve">C0007</t>
  </si>
  <si>
    <t xml:space="preserve">ORD5015</t>
  </si>
  <si>
    <t xml:space="preserve">C0008</t>
  </si>
  <si>
    <t xml:space="preserve">ORD5016</t>
  </si>
  <si>
    <t xml:space="preserve">C0009</t>
  </si>
  <si>
    <t xml:space="preserve">Bookshelf</t>
  </si>
  <si>
    <t xml:space="preserve">ORD5017</t>
  </si>
  <si>
    <t xml:space="preserve">C0010</t>
  </si>
  <si>
    <t xml:space="preserve">Marker Set</t>
  </si>
  <si>
    <t xml:space="preserve">ORD5018</t>
  </si>
  <si>
    <t xml:space="preserve">ORD5019</t>
  </si>
  <si>
    <t xml:space="preserve">ORD5020</t>
  </si>
  <si>
    <t xml:space="preserve">ORD5021</t>
  </si>
  <si>
    <t xml:space="preserve">ORD5022</t>
  </si>
  <si>
    <t xml:space="preserve">C0011</t>
  </si>
  <si>
    <t xml:space="preserve">ORD5023</t>
  </si>
  <si>
    <t xml:space="preserve">ORD5024</t>
  </si>
  <si>
    <t xml:space="preserve">ORD5025</t>
  </si>
  <si>
    <t xml:space="preserve">C0012</t>
  </si>
  <si>
    <t xml:space="preserve">ORD5026</t>
  </si>
  <si>
    <t xml:space="preserve">ORD5027</t>
  </si>
  <si>
    <t xml:space="preserve">C0013</t>
  </si>
  <si>
    <t xml:space="preserve">ORD5028</t>
  </si>
  <si>
    <t xml:space="preserve">Power Bank</t>
  </si>
  <si>
    <t xml:space="preserve">ORD5029</t>
  </si>
  <si>
    <t xml:space="preserve">ORD5030</t>
  </si>
  <si>
    <t xml:space="preserve">ORD5031</t>
  </si>
  <si>
    <t xml:space="preserve">Smart Watch</t>
  </si>
  <si>
    <t xml:space="preserve">ORD5032</t>
  </si>
  <si>
    <t xml:space="preserve">ORD5033</t>
  </si>
  <si>
    <t xml:space="preserve">C0014</t>
  </si>
  <si>
    <t xml:space="preserve">ORD5034</t>
  </si>
  <si>
    <t xml:space="preserve">ORD5035</t>
  </si>
  <si>
    <t xml:space="preserve">C0015</t>
  </si>
  <si>
    <t xml:space="preserve">ORD5036</t>
  </si>
  <si>
    <t xml:space="preserve">ORD5037</t>
  </si>
  <si>
    <t xml:space="preserve">ORD5038</t>
  </si>
  <si>
    <t xml:space="preserve">C0016</t>
  </si>
  <si>
    <t xml:space="preserve">ORD5039</t>
  </si>
  <si>
    <t xml:space="preserve">ORD5040</t>
  </si>
  <si>
    <t xml:space="preserve">ORD5041</t>
  </si>
  <si>
    <t xml:space="preserve">C0017</t>
  </si>
  <si>
    <t xml:space="preserve">ORD5042</t>
  </si>
  <si>
    <t xml:space="preserve">C0018</t>
  </si>
  <si>
    <t xml:space="preserve">ORD5043</t>
  </si>
  <si>
    <t xml:space="preserve">ORD5044</t>
  </si>
  <si>
    <t xml:space="preserve">C0019</t>
  </si>
  <si>
    <t xml:space="preserve">ORD5045</t>
  </si>
  <si>
    <t xml:space="preserve">ORD5046</t>
  </si>
  <si>
    <t xml:space="preserve">ORD5047</t>
  </si>
  <si>
    <t xml:space="preserve">ORD5048</t>
  </si>
  <si>
    <t xml:space="preserve">ORD5049</t>
  </si>
  <si>
    <t xml:space="preserve">C0020</t>
  </si>
  <si>
    <t xml:space="preserve">ORD5050</t>
  </si>
  <si>
    <t xml:space="preserve">C0021</t>
  </si>
  <si>
    <t xml:space="preserve">ORD5051</t>
  </si>
  <si>
    <t xml:space="preserve">ORD5052</t>
  </si>
  <si>
    <t xml:space="preserve">C0022</t>
  </si>
  <si>
    <t xml:space="preserve">ORD5053</t>
  </si>
  <si>
    <t xml:space="preserve">ORD5054</t>
  </si>
  <si>
    <t xml:space="preserve">ORD5055</t>
  </si>
  <si>
    <t xml:space="preserve">ORD5056</t>
  </si>
  <si>
    <t xml:space="preserve">C0023</t>
  </si>
  <si>
    <t xml:space="preserve">ORD5057</t>
  </si>
  <si>
    <t xml:space="preserve">C0024</t>
  </si>
  <si>
    <t xml:space="preserve">ORD5058</t>
  </si>
  <si>
    <t xml:space="preserve">ORD5059</t>
  </si>
  <si>
    <t xml:space="preserve">C0025</t>
  </si>
  <si>
    <t xml:space="preserve">ORD5060</t>
  </si>
  <si>
    <t xml:space="preserve">ORD5061</t>
  </si>
  <si>
    <t xml:space="preserve">ORD5062</t>
  </si>
  <si>
    <t xml:space="preserve">ORD5063</t>
  </si>
  <si>
    <t xml:space="preserve">ORD5064</t>
  </si>
  <si>
    <t xml:space="preserve">ORD5065</t>
  </si>
  <si>
    <t xml:space="preserve">ORD5066</t>
  </si>
  <si>
    <t xml:space="preserve">ORD5067</t>
  </si>
  <si>
    <t xml:space="preserve">C0026</t>
  </si>
  <si>
    <t xml:space="preserve">ORD5068</t>
  </si>
  <si>
    <t xml:space="preserve">ORD5069</t>
  </si>
  <si>
    <t xml:space="preserve">ORD5070</t>
  </si>
  <si>
    <t xml:space="preserve">ORD5071</t>
  </si>
  <si>
    <t xml:space="preserve">ORD5072</t>
  </si>
  <si>
    <t xml:space="preserve">ORD5073</t>
  </si>
  <si>
    <t xml:space="preserve">ORD5074</t>
  </si>
  <si>
    <t xml:space="preserve">ORD5075</t>
  </si>
  <si>
    <t xml:space="preserve">ORD5076</t>
  </si>
  <si>
    <t xml:space="preserve">ORD5077</t>
  </si>
  <si>
    <t xml:space="preserve">C0027</t>
  </si>
  <si>
    <t xml:space="preserve">ORD5078</t>
  </si>
  <si>
    <t xml:space="preserve">ORD5079</t>
  </si>
  <si>
    <t xml:space="preserve">C0028</t>
  </si>
  <si>
    <t xml:space="preserve">ORD5080</t>
  </si>
  <si>
    <t xml:space="preserve">C0029</t>
  </si>
  <si>
    <t xml:space="preserve">ORD5081</t>
  </si>
  <si>
    <t xml:space="preserve">C0030</t>
  </si>
  <si>
    <t xml:space="preserve">ORD5082</t>
  </si>
  <si>
    <t xml:space="preserve">ORD5083</t>
  </si>
  <si>
    <t xml:space="preserve">C0031</t>
  </si>
  <si>
    <t xml:space="preserve">ORD5084</t>
  </si>
  <si>
    <t xml:space="preserve">ORD5085</t>
  </si>
  <si>
    <t xml:space="preserve">ORD5086</t>
  </si>
  <si>
    <t xml:space="preserve">ORD5087</t>
  </si>
  <si>
    <t xml:space="preserve">ORD5088</t>
  </si>
  <si>
    <t xml:space="preserve">ORD5089</t>
  </si>
  <si>
    <t xml:space="preserve">C0032</t>
  </si>
  <si>
    <t xml:space="preserve">ORD5090</t>
  </si>
  <si>
    <t xml:space="preserve">C0033</t>
  </si>
  <si>
    <t xml:space="preserve">ORD5091</t>
  </si>
  <si>
    <t xml:space="preserve">ORD5092</t>
  </si>
  <si>
    <t xml:space="preserve">ORD5093</t>
  </si>
  <si>
    <t xml:space="preserve">ORD5094</t>
  </si>
  <si>
    <t xml:space="preserve">C0034</t>
  </si>
  <si>
    <t xml:space="preserve">ORD5095</t>
  </si>
  <si>
    <t xml:space="preserve">ORD5096</t>
  </si>
  <si>
    <t xml:space="preserve">ORD5097</t>
  </si>
  <si>
    <t xml:space="preserve">ORD5098</t>
  </si>
  <si>
    <t xml:space="preserve">ORD5099</t>
  </si>
  <si>
    <t xml:space="preserve">C0035</t>
  </si>
  <si>
    <t xml:space="preserve">ORD5100</t>
  </si>
  <si>
    <t xml:space="preserve">C0036</t>
  </si>
  <si>
    <t xml:space="preserve">ORD5101</t>
  </si>
  <si>
    <t xml:space="preserve">ORD5102</t>
  </si>
  <si>
    <t xml:space="preserve">ORD5103</t>
  </si>
  <si>
    <t xml:space="preserve">ORD5104</t>
  </si>
  <si>
    <t xml:space="preserve">ORD5105</t>
  </si>
  <si>
    <t xml:space="preserve">C0037</t>
  </si>
  <si>
    <t xml:space="preserve">ORD5106</t>
  </si>
  <si>
    <t xml:space="preserve">ORD5107</t>
  </si>
  <si>
    <t xml:space="preserve">C0038</t>
  </si>
  <si>
    <t xml:space="preserve">ORD5108</t>
  </si>
  <si>
    <t xml:space="preserve">ORD5109</t>
  </si>
  <si>
    <t xml:space="preserve">ORD5110</t>
  </si>
  <si>
    <t xml:space="preserve">ORD5111</t>
  </si>
  <si>
    <t xml:space="preserve">C0039</t>
  </si>
  <si>
    <t xml:space="preserve">ORD5112</t>
  </si>
  <si>
    <t xml:space="preserve">ORD5113</t>
  </si>
  <si>
    <t xml:space="preserve">ORD5114</t>
  </si>
  <si>
    <t xml:space="preserve">C0040</t>
  </si>
  <si>
    <t xml:space="preserve">ORD5115</t>
  </si>
  <si>
    <t xml:space="preserve">ORD5116</t>
  </si>
  <si>
    <t xml:space="preserve">ORD5117</t>
  </si>
  <si>
    <t xml:space="preserve">C0041</t>
  </si>
  <si>
    <t xml:space="preserve">ORD5118</t>
  </si>
  <si>
    <t xml:space="preserve">ORD5119</t>
  </si>
  <si>
    <t xml:space="preserve">ORD5120</t>
  </si>
  <si>
    <t xml:space="preserve">ORD5121</t>
  </si>
  <si>
    <t xml:space="preserve">ORD5122</t>
  </si>
  <si>
    <t xml:space="preserve">C0042</t>
  </si>
  <si>
    <t xml:space="preserve">ORD5123</t>
  </si>
  <si>
    <t xml:space="preserve">ORD5124</t>
  </si>
  <si>
    <t xml:space="preserve">ORD5125</t>
  </si>
  <si>
    <t xml:space="preserve">C0043</t>
  </si>
  <si>
    <t xml:space="preserve">ORD5126</t>
  </si>
  <si>
    <t xml:space="preserve">C0044</t>
  </si>
  <si>
    <t xml:space="preserve">ORD5127</t>
  </si>
  <si>
    <t xml:space="preserve">C0045</t>
  </si>
  <si>
    <t xml:space="preserve">ORD5128</t>
  </si>
  <si>
    <t xml:space="preserve">ORD5129</t>
  </si>
  <si>
    <t xml:space="preserve">ORD5130</t>
  </si>
  <si>
    <t xml:space="preserve">ORD5131</t>
  </si>
  <si>
    <t xml:space="preserve">ORD5132</t>
  </si>
  <si>
    <t xml:space="preserve">ORD5133</t>
  </si>
  <si>
    <t xml:space="preserve">ORD5134</t>
  </si>
  <si>
    <t xml:space="preserve">ORD5135</t>
  </si>
  <si>
    <t xml:space="preserve">C0046</t>
  </si>
  <si>
    <t xml:space="preserve">ORD5136</t>
  </si>
  <si>
    <t xml:space="preserve">C0047</t>
  </si>
  <si>
    <t xml:space="preserve">ORD5137</t>
  </si>
  <si>
    <t xml:space="preserve">C0048</t>
  </si>
  <si>
    <t xml:space="preserve">ORD5138</t>
  </si>
  <si>
    <t xml:space="preserve">ORD5139</t>
  </si>
  <si>
    <t xml:space="preserve">ORD5140</t>
  </si>
  <si>
    <t xml:space="preserve">ORD5141</t>
  </si>
  <si>
    <t xml:space="preserve">C0049</t>
  </si>
  <si>
    <t xml:space="preserve">ORD5142</t>
  </si>
  <si>
    <t xml:space="preserve">C0050</t>
  </si>
  <si>
    <t xml:space="preserve">ORD5143</t>
  </si>
  <si>
    <t xml:space="preserve">ORD5144</t>
  </si>
  <si>
    <t xml:space="preserve">C0051</t>
  </si>
  <si>
    <t xml:space="preserve">ORD5145</t>
  </si>
  <si>
    <t xml:space="preserve">C0052</t>
  </si>
  <si>
    <t xml:space="preserve">ORD5146</t>
  </si>
  <si>
    <t xml:space="preserve">C0053</t>
  </si>
  <si>
    <t xml:space="preserve">ORD5147</t>
  </si>
  <si>
    <t xml:space="preserve">ORD5148</t>
  </si>
  <si>
    <t xml:space="preserve">C0054</t>
  </si>
  <si>
    <t xml:space="preserve">ORD5149</t>
  </si>
  <si>
    <t xml:space="preserve">C0055</t>
  </si>
  <si>
    <t xml:space="preserve">ORD5150</t>
  </si>
  <si>
    <t xml:space="preserve">ORD5151</t>
  </si>
  <si>
    <t xml:space="preserve">ORD5152</t>
  </si>
  <si>
    <t xml:space="preserve">C0056</t>
  </si>
  <si>
    <t xml:space="preserve">ORD5153</t>
  </si>
  <si>
    <t xml:space="preserve">ORD5154</t>
  </si>
  <si>
    <t xml:space="preserve">C0057</t>
  </si>
  <si>
    <t xml:space="preserve">ORD5155</t>
  </si>
  <si>
    <t xml:space="preserve">C0058</t>
  </si>
  <si>
    <t xml:space="preserve">ORD5156</t>
  </si>
  <si>
    <t xml:space="preserve">ORD5157</t>
  </si>
  <si>
    <t xml:space="preserve">ORD5158</t>
  </si>
  <si>
    <t xml:space="preserve">C0059</t>
  </si>
  <si>
    <t xml:space="preserve">ORD5159</t>
  </si>
  <si>
    <t xml:space="preserve">ORD5160</t>
  </si>
  <si>
    <t xml:space="preserve">C0060</t>
  </si>
  <si>
    <t xml:space="preserve">ORD5161</t>
  </si>
  <si>
    <t xml:space="preserve">ORD5162</t>
  </si>
  <si>
    <t xml:space="preserve">C0061</t>
  </si>
  <si>
    <t xml:space="preserve">ORD5163</t>
  </si>
  <si>
    <t xml:space="preserve">ORD5164</t>
  </si>
  <si>
    <t xml:space="preserve">ORD5165</t>
  </si>
  <si>
    <t xml:space="preserve">ORD5166</t>
  </si>
  <si>
    <t xml:space="preserve">C0062</t>
  </si>
  <si>
    <t xml:space="preserve">ORD5167</t>
  </si>
  <si>
    <t xml:space="preserve">ORD5168</t>
  </si>
  <si>
    <t xml:space="preserve">ORD5169</t>
  </si>
  <si>
    <t xml:space="preserve">ORD5170</t>
  </si>
  <si>
    <t xml:space="preserve">ORD5171</t>
  </si>
  <si>
    <t xml:space="preserve">ORD5172</t>
  </si>
  <si>
    <t xml:space="preserve">ORD5173</t>
  </si>
  <si>
    <t xml:space="preserve">ORD5174</t>
  </si>
  <si>
    <t xml:space="preserve">ORD5175</t>
  </si>
  <si>
    <t xml:space="preserve">ORD5176</t>
  </si>
  <si>
    <t xml:space="preserve">C0063</t>
  </si>
  <si>
    <t xml:space="preserve">ORD5177</t>
  </si>
  <si>
    <t xml:space="preserve">C0064</t>
  </si>
  <si>
    <t xml:space="preserve">ORD5178</t>
  </si>
  <si>
    <t xml:space="preserve">ORD5179</t>
  </si>
  <si>
    <t xml:space="preserve">C0065</t>
  </si>
  <si>
    <t xml:space="preserve">ORD5180</t>
  </si>
  <si>
    <t xml:space="preserve">C0066</t>
  </si>
  <si>
    <t xml:space="preserve">ORD5181</t>
  </si>
  <si>
    <t xml:space="preserve">ORD5182</t>
  </si>
  <si>
    <t xml:space="preserve">ORD5183</t>
  </si>
  <si>
    <t xml:space="preserve">ORD5184</t>
  </si>
  <si>
    <t xml:space="preserve">ORD5185</t>
  </si>
  <si>
    <t xml:space="preserve">ORD5186</t>
  </si>
  <si>
    <t xml:space="preserve">C0067</t>
  </si>
  <si>
    <t xml:space="preserve">ORD5187</t>
  </si>
  <si>
    <t xml:space="preserve"> South</t>
  </si>
  <si>
    <t xml:space="preserve">ORD5188</t>
  </si>
  <si>
    <t xml:space="preserve">ORD5189</t>
  </si>
  <si>
    <t xml:space="preserve">ORD5190</t>
  </si>
  <si>
    <t xml:space="preserve">C0068</t>
  </si>
  <si>
    <t xml:space="preserve">ORD5191</t>
  </si>
  <si>
    <t xml:space="preserve">ORD5192</t>
  </si>
  <si>
    <t xml:space="preserve">ORD5193</t>
  </si>
  <si>
    <t xml:space="preserve">C0069</t>
  </si>
  <si>
    <t xml:space="preserve">ORD5194</t>
  </si>
  <si>
    <t xml:space="preserve">ORD5195</t>
  </si>
  <si>
    <t xml:space="preserve">ORD5196</t>
  </si>
  <si>
    <t xml:space="preserve">C0070</t>
  </si>
  <si>
    <t xml:space="preserve">ORD5197</t>
  </si>
  <si>
    <t xml:space="preserve">ORD5198</t>
  </si>
  <si>
    <t xml:space="preserve">ORD5199</t>
  </si>
  <si>
    <t xml:space="preserve">ORD5200</t>
  </si>
  <si>
    <t xml:space="preserve">ORD5201</t>
  </si>
  <si>
    <t xml:space="preserve">ORD5202</t>
  </si>
  <si>
    <t xml:space="preserve">ORD5203</t>
  </si>
  <si>
    <t xml:space="preserve">ORD5204</t>
  </si>
  <si>
    <t xml:space="preserve">C0071</t>
  </si>
  <si>
    <t xml:space="preserve">ORD5205</t>
  </si>
  <si>
    <t xml:space="preserve">ORD5206</t>
  </si>
  <si>
    <t xml:space="preserve">C0072</t>
  </si>
  <si>
    <t xml:space="preserve">ORD5207</t>
  </si>
  <si>
    <t xml:space="preserve">ORD5208</t>
  </si>
  <si>
    <t xml:space="preserve">ORD5209</t>
  </si>
  <si>
    <t xml:space="preserve">ORD5210</t>
  </si>
  <si>
    <t xml:space="preserve">ORD5211</t>
  </si>
  <si>
    <t xml:space="preserve">ORD5212</t>
  </si>
  <si>
    <t xml:space="preserve">ORD5213</t>
  </si>
  <si>
    <t xml:space="preserve">ORD5214</t>
  </si>
  <si>
    <t xml:space="preserve">ORD5215</t>
  </si>
  <si>
    <t xml:space="preserve">ORD5216</t>
  </si>
  <si>
    <t xml:space="preserve">ORD5217</t>
  </si>
  <si>
    <t xml:space="preserve">ORD5218</t>
  </si>
  <si>
    <t xml:space="preserve">C0073</t>
  </si>
  <si>
    <t xml:space="preserve">ORD5219</t>
  </si>
  <si>
    <t xml:space="preserve">C0074</t>
  </si>
  <si>
    <t xml:space="preserve">ORD5220</t>
  </si>
  <si>
    <t xml:space="preserve">ORD5221</t>
  </si>
  <si>
    <t xml:space="preserve">ORD5222</t>
  </si>
  <si>
    <t xml:space="preserve">ORD5223</t>
  </si>
  <si>
    <t xml:space="preserve">ORD5224</t>
  </si>
  <si>
    <t xml:space="preserve">C0075</t>
  </si>
  <si>
    <t xml:space="preserve">ORD5225</t>
  </si>
  <si>
    <t xml:space="preserve">C0076</t>
  </si>
  <si>
    <t xml:space="preserve">ORD5226</t>
  </si>
  <si>
    <t xml:space="preserve">ORD5227</t>
  </si>
  <si>
    <t xml:space="preserve">ORD5228</t>
  </si>
  <si>
    <t xml:space="preserve">C0077</t>
  </si>
  <si>
    <t xml:space="preserve">ORD5229</t>
  </si>
  <si>
    <t xml:space="preserve">ORD5230</t>
  </si>
  <si>
    <t xml:space="preserve">ORD5231</t>
  </si>
  <si>
    <t xml:space="preserve">ORD5232</t>
  </si>
  <si>
    <t xml:space="preserve">ORD5233</t>
  </si>
  <si>
    <t xml:space="preserve">C0078</t>
  </si>
  <si>
    <t xml:space="preserve">ORD5234</t>
  </si>
  <si>
    <t xml:space="preserve">C0079</t>
  </si>
  <si>
    <t xml:space="preserve">ORD5235</t>
  </si>
  <si>
    <t xml:space="preserve">ORD5236</t>
  </si>
  <si>
    <t xml:space="preserve">ORD5237</t>
  </si>
  <si>
    <t xml:space="preserve">ORD5238</t>
  </si>
  <si>
    <t xml:space="preserve">C0080</t>
  </si>
  <si>
    <t xml:space="preserve">ORD5239</t>
  </si>
  <si>
    <t xml:space="preserve">ORD5240</t>
  </si>
  <si>
    <t xml:space="preserve">C0081</t>
  </si>
  <si>
    <t xml:space="preserve">ORD5241</t>
  </si>
  <si>
    <t xml:space="preserve">C0082</t>
  </si>
  <si>
    <t xml:space="preserve">ORD5242</t>
  </si>
  <si>
    <t xml:space="preserve">C0083</t>
  </si>
  <si>
    <t xml:space="preserve">ORD5243</t>
  </si>
  <si>
    <t xml:space="preserve">ORD5244</t>
  </si>
  <si>
    <t xml:space="preserve">C0084</t>
  </si>
  <si>
    <t xml:space="preserve">ORD5245</t>
  </si>
  <si>
    <t xml:space="preserve">C0085</t>
  </si>
  <si>
    <t xml:space="preserve">ORD5246</t>
  </si>
  <si>
    <t xml:space="preserve">ORD5247</t>
  </si>
  <si>
    <t xml:space="preserve">C0086</t>
  </si>
  <si>
    <t xml:space="preserve">ORD5248</t>
  </si>
  <si>
    <t xml:space="preserve">C0087</t>
  </si>
  <si>
    <t xml:space="preserve">ORD5249</t>
  </si>
  <si>
    <t xml:space="preserve">C0088</t>
  </si>
  <si>
    <t xml:space="preserve">ORD5250</t>
  </si>
  <si>
    <t xml:space="preserve">C0089</t>
  </si>
  <si>
    <t xml:space="preserve">ORD5251</t>
  </si>
  <si>
    <t xml:space="preserve">ORD5252</t>
  </si>
  <si>
    <t xml:space="preserve">ORD5253</t>
  </si>
  <si>
    <t xml:space="preserve">C0090</t>
  </si>
  <si>
    <t xml:space="preserve">ORD5254</t>
  </si>
  <si>
    <t xml:space="preserve">C0091</t>
  </si>
  <si>
    <t xml:space="preserve">ORD5255</t>
  </si>
  <si>
    <t xml:space="preserve">C0092</t>
  </si>
  <si>
    <t xml:space="preserve">ORD5256</t>
  </si>
  <si>
    <t xml:space="preserve">ORD5257</t>
  </si>
  <si>
    <t xml:space="preserve">ORD5258</t>
  </si>
  <si>
    <t xml:space="preserve">ORD5259</t>
  </si>
  <si>
    <t xml:space="preserve">C0093</t>
  </si>
  <si>
    <t xml:space="preserve">ORD5260</t>
  </si>
  <si>
    <t xml:space="preserve">C0094</t>
  </si>
  <si>
    <t xml:space="preserve">ORD5261</t>
  </si>
  <si>
    <t xml:space="preserve">ORD5262</t>
  </si>
  <si>
    <t xml:space="preserve">C0095</t>
  </si>
  <si>
    <t xml:space="preserve">ORD5263</t>
  </si>
  <si>
    <t xml:space="preserve">C0096</t>
  </si>
  <si>
    <t xml:space="preserve">ORD5264</t>
  </si>
  <si>
    <t xml:space="preserve">ORD5265</t>
  </si>
  <si>
    <t xml:space="preserve">ORD5266</t>
  </si>
  <si>
    <t xml:space="preserve">C0097</t>
  </si>
  <si>
    <t xml:space="preserve">ORD5267</t>
  </si>
  <si>
    <t xml:space="preserve">C0098</t>
  </si>
  <si>
    <t xml:space="preserve">ORD5268</t>
  </si>
  <si>
    <t xml:space="preserve">C0099</t>
  </si>
  <si>
    <t xml:space="preserve">ORD5269</t>
  </si>
  <si>
    <t xml:space="preserve">ORD5270</t>
  </si>
  <si>
    <t xml:space="preserve">ORD5271</t>
  </si>
  <si>
    <t xml:space="preserve">ORD5272</t>
  </si>
  <si>
    <t xml:space="preserve">ORD5273</t>
  </si>
  <si>
    <t xml:space="preserve">ORD5274</t>
  </si>
  <si>
    <t xml:space="preserve">ORD5275</t>
  </si>
  <si>
    <t xml:space="preserve">ORD5276</t>
  </si>
  <si>
    <t xml:space="preserve">ORD5277</t>
  </si>
  <si>
    <t xml:space="preserve">ORD5278</t>
  </si>
  <si>
    <t xml:space="preserve">C0100</t>
  </si>
  <si>
    <t xml:space="preserve">ORD5279</t>
  </si>
  <si>
    <t xml:space="preserve">C0101</t>
  </si>
  <si>
    <t xml:space="preserve">ORD5280</t>
  </si>
  <si>
    <t xml:space="preserve">ORD5281</t>
  </si>
  <si>
    <t xml:space="preserve">C0102</t>
  </si>
  <si>
    <t xml:space="preserve">ORD5282</t>
  </si>
  <si>
    <t xml:space="preserve">ORD5283</t>
  </si>
  <si>
    <t xml:space="preserve">C0103</t>
  </si>
  <si>
    <t xml:space="preserve">ORD5284</t>
  </si>
  <si>
    <t xml:space="preserve">C0104</t>
  </si>
  <si>
    <t xml:space="preserve">ORD5285</t>
  </si>
  <si>
    <t xml:space="preserve">ORD5286</t>
  </si>
  <si>
    <t xml:space="preserve">ORD5287</t>
  </si>
  <si>
    <t xml:space="preserve">C0105</t>
  </si>
  <si>
    <t xml:space="preserve">ORD5288</t>
  </si>
  <si>
    <t xml:space="preserve">ORD5289</t>
  </si>
  <si>
    <t xml:space="preserve">ORD5290</t>
  </si>
  <si>
    <t xml:space="preserve">C0106</t>
  </si>
  <si>
    <t xml:space="preserve">ORD5291</t>
  </si>
  <si>
    <t xml:space="preserve">ORD5292</t>
  </si>
  <si>
    <t xml:space="preserve">C0107</t>
  </si>
  <si>
    <t xml:space="preserve">ORD5293</t>
  </si>
  <si>
    <t xml:space="preserve">C0108</t>
  </si>
  <si>
    <t xml:space="preserve">ORD5294</t>
  </si>
  <si>
    <t xml:space="preserve">C0109</t>
  </si>
  <si>
    <t xml:space="preserve">ORD5295</t>
  </si>
  <si>
    <t xml:space="preserve">ORD5296</t>
  </si>
  <si>
    <t xml:space="preserve">ORD5297</t>
  </si>
  <si>
    <t xml:space="preserve">ORD5298</t>
  </si>
  <si>
    <t xml:space="preserve">ORD5299</t>
  </si>
  <si>
    <t xml:space="preserve">C0110</t>
  </si>
  <si>
    <t xml:space="preserve">ORD5300</t>
  </si>
  <si>
    <t xml:space="preserve">ORD5301</t>
  </si>
  <si>
    <t xml:space="preserve">ORD5302</t>
  </si>
  <si>
    <t xml:space="preserve">ORD5303</t>
  </si>
  <si>
    <t xml:space="preserve">ORD5304</t>
  </si>
  <si>
    <t xml:space="preserve">ORD5305</t>
  </si>
  <si>
    <t xml:space="preserve">ORD5306</t>
  </si>
  <si>
    <t xml:space="preserve">ORD5307</t>
  </si>
  <si>
    <t xml:space="preserve">ORD5308</t>
  </si>
  <si>
    <t xml:space="preserve">ORD5309</t>
  </si>
  <si>
    <t xml:space="preserve">C0111</t>
  </si>
  <si>
    <t xml:space="preserve">ORD5310</t>
  </si>
  <si>
    <t xml:space="preserve">C0112</t>
  </si>
  <si>
    <t xml:space="preserve">ORD5311</t>
  </si>
  <si>
    <t xml:space="preserve">C0113</t>
  </si>
  <si>
    <t xml:space="preserve">ORD5312</t>
  </si>
  <si>
    <t xml:space="preserve">ORD5313</t>
  </si>
  <si>
    <t xml:space="preserve">C0114</t>
  </si>
  <si>
    <t xml:space="preserve">ORD5314</t>
  </si>
  <si>
    <t xml:space="preserve">ORD5315</t>
  </si>
  <si>
    <t xml:space="preserve">ORD5316</t>
  </si>
  <si>
    <t xml:space="preserve">C0115</t>
  </si>
  <si>
    <t xml:space="preserve">EAST </t>
  </si>
  <si>
    <t xml:space="preserve">ORD5317</t>
  </si>
  <si>
    <t xml:space="preserve">ORD5318</t>
  </si>
  <si>
    <t xml:space="preserve">ORD5319</t>
  </si>
  <si>
    <t xml:space="preserve">ORD5320</t>
  </si>
  <si>
    <t xml:space="preserve">C0116</t>
  </si>
  <si>
    <t xml:space="preserve">ORD5321</t>
  </si>
  <si>
    <t xml:space="preserve">ORD5322</t>
  </si>
  <si>
    <t xml:space="preserve">ORD5323</t>
  </si>
  <si>
    <t xml:space="preserve">ORD5324</t>
  </si>
  <si>
    <t xml:space="preserve">C0117</t>
  </si>
  <si>
    <t xml:space="preserve">north</t>
  </si>
  <si>
    <t xml:space="preserve">ORD5325</t>
  </si>
  <si>
    <t xml:space="preserve">ORD5326</t>
  </si>
  <si>
    <t xml:space="preserve">ORD5327</t>
  </si>
  <si>
    <t xml:space="preserve">C0118</t>
  </si>
  <si>
    <t xml:space="preserve">ORD5328</t>
  </si>
  <si>
    <t xml:space="preserve">ORD5329</t>
  </si>
  <si>
    <t xml:space="preserve">C0119</t>
  </si>
  <si>
    <t xml:space="preserve">ORD5330</t>
  </si>
  <si>
    <t xml:space="preserve">C0120</t>
  </si>
  <si>
    <t xml:space="preserve">ORD5331</t>
  </si>
  <si>
    <t xml:space="preserve">ORD5332</t>
  </si>
  <si>
    <t xml:space="preserve">C0121</t>
  </si>
  <si>
    <t xml:space="preserve">ORD5333</t>
  </si>
  <si>
    <t xml:space="preserve">ORD5334</t>
  </si>
  <si>
    <t xml:space="preserve">ORD5335</t>
  </si>
  <si>
    <t xml:space="preserve">C0122</t>
  </si>
  <si>
    <t xml:space="preserve">ORD5336</t>
  </si>
  <si>
    <t xml:space="preserve">C0123</t>
  </si>
  <si>
    <t xml:space="preserve">ORD5337</t>
  </si>
  <si>
    <t xml:space="preserve">C0124</t>
  </si>
  <si>
    <t xml:space="preserve">ORD5338</t>
  </si>
  <si>
    <t xml:space="preserve">C0125</t>
  </si>
  <si>
    <t xml:space="preserve">ORD5339</t>
  </si>
  <si>
    <t xml:space="preserve">ORD5340</t>
  </si>
  <si>
    <t xml:space="preserve">C0126</t>
  </si>
  <si>
    <t xml:space="preserve">ORD5341</t>
  </si>
  <si>
    <t xml:space="preserve">C0127</t>
  </si>
  <si>
    <t xml:space="preserve">ORD5342</t>
  </si>
  <si>
    <t xml:space="preserve">ORD5343</t>
  </si>
  <si>
    <t xml:space="preserve">ORD5344</t>
  </si>
  <si>
    <t xml:space="preserve">C0128</t>
  </si>
  <si>
    <t xml:space="preserve">ORD5345</t>
  </si>
  <si>
    <t xml:space="preserve">ORD5346</t>
  </si>
  <si>
    <t xml:space="preserve">ORD5347</t>
  </si>
  <si>
    <t xml:space="preserve">C0129</t>
  </si>
  <si>
    <t xml:space="preserve">ORD5348</t>
  </si>
  <si>
    <t xml:space="preserve">ORD5349</t>
  </si>
  <si>
    <t xml:space="preserve">C0130</t>
  </si>
  <si>
    <t xml:space="preserve">ORD5350</t>
  </si>
  <si>
    <t xml:space="preserve">C0131</t>
  </si>
  <si>
    <t xml:space="preserve">ORD5351</t>
  </si>
  <si>
    <t xml:space="preserve">C0132</t>
  </si>
  <si>
    <t xml:space="preserve">ORD5352</t>
  </si>
  <si>
    <t xml:space="preserve">C0133</t>
  </si>
  <si>
    <t xml:space="preserve">ORD5353</t>
  </si>
  <si>
    <t xml:space="preserve">ORD5354</t>
  </si>
  <si>
    <t xml:space="preserve">ORD5355</t>
  </si>
  <si>
    <t xml:space="preserve">ORD5356</t>
  </si>
  <si>
    <t xml:space="preserve">ORD5357</t>
  </si>
  <si>
    <t xml:space="preserve">ORD5358</t>
  </si>
  <si>
    <t xml:space="preserve">ORD5359</t>
  </si>
  <si>
    <t xml:space="preserve">ORD5360</t>
  </si>
  <si>
    <t xml:space="preserve">ORD5361</t>
  </si>
  <si>
    <t xml:space="preserve">ORD5362</t>
  </si>
  <si>
    <t xml:space="preserve">ORD5363</t>
  </si>
  <si>
    <t xml:space="preserve">C0134</t>
  </si>
  <si>
    <t xml:space="preserve">ORD5364</t>
  </si>
  <si>
    <t xml:space="preserve">C0135</t>
  </si>
  <si>
    <t xml:space="preserve">ORD5365</t>
  </si>
  <si>
    <t xml:space="preserve">ORD5366</t>
  </si>
  <si>
    <t xml:space="preserve">ORD5367</t>
  </si>
  <si>
    <t xml:space="preserve">ORD5368</t>
  </si>
  <si>
    <t xml:space="preserve">ORD5369</t>
  </si>
  <si>
    <t xml:space="preserve">ORD5370</t>
  </si>
  <si>
    <t xml:space="preserve">C0136</t>
  </si>
  <si>
    <t xml:space="preserve">ORD5371</t>
  </si>
  <si>
    <t xml:space="preserve">C0137</t>
  </si>
  <si>
    <t xml:space="preserve">ORD5372</t>
  </si>
  <si>
    <t xml:space="preserve">C0138</t>
  </si>
  <si>
    <t xml:space="preserve">ORD5373</t>
  </si>
  <si>
    <t xml:space="preserve">ORD5374</t>
  </si>
  <si>
    <t xml:space="preserve">C0139</t>
  </si>
  <si>
    <t xml:space="preserve">ORD5375</t>
  </si>
  <si>
    <t xml:space="preserve">C0140</t>
  </si>
  <si>
    <t xml:space="preserve">ORD5376</t>
  </si>
  <si>
    <t xml:space="preserve">C0141</t>
  </si>
  <si>
    <t xml:space="preserve">ORD5377</t>
  </si>
  <si>
    <t xml:space="preserve">ORD5378</t>
  </si>
  <si>
    <t xml:space="preserve">ORD5379</t>
  </si>
  <si>
    <t xml:space="preserve">C0142</t>
  </si>
  <si>
    <t xml:space="preserve">ORD5380</t>
  </si>
  <si>
    <t xml:space="preserve">C0143</t>
  </si>
  <si>
    <t xml:space="preserve">ORD5381</t>
  </si>
  <si>
    <t xml:space="preserve">ORD5382</t>
  </si>
  <si>
    <t xml:space="preserve">ORD5383</t>
  </si>
  <si>
    <t xml:space="preserve">C0144</t>
  </si>
  <si>
    <t xml:space="preserve">ORD5384</t>
  </si>
  <si>
    <t xml:space="preserve">C0145</t>
  </si>
  <si>
    <t xml:space="preserve">ORD5385</t>
  </si>
  <si>
    <t xml:space="preserve">C0146</t>
  </si>
  <si>
    <t xml:space="preserve">ORD5386</t>
  </si>
  <si>
    <t xml:space="preserve">ORD5387</t>
  </si>
  <si>
    <t xml:space="preserve">ORD5388</t>
  </si>
  <si>
    <t xml:space="preserve">ORD5389</t>
  </si>
  <si>
    <t xml:space="preserve">ORD5390</t>
  </si>
  <si>
    <t xml:space="preserve">C0147</t>
  </si>
  <si>
    <t xml:space="preserve">ORD5391</t>
  </si>
  <si>
    <t xml:space="preserve">ORD5392</t>
  </si>
  <si>
    <t xml:space="preserve">C0148</t>
  </si>
  <si>
    <t xml:space="preserve">ORD5393</t>
  </si>
  <si>
    <t xml:space="preserve">C0149</t>
  </si>
  <si>
    <t xml:space="preserve">ORD5394</t>
  </si>
  <si>
    <t xml:space="preserve">C0150</t>
  </si>
  <si>
    <t xml:space="preserve">ORD5395</t>
  </si>
  <si>
    <t xml:space="preserve">C0151</t>
  </si>
  <si>
    <t xml:space="preserve">ORD5396</t>
  </si>
  <si>
    <t xml:space="preserve">C0152</t>
  </si>
  <si>
    <t xml:space="preserve">ORD5397</t>
  </si>
  <si>
    <t xml:space="preserve">ORD5398</t>
  </si>
  <si>
    <t xml:space="preserve">C0153</t>
  </si>
  <si>
    <t xml:space="preserve">ORD5399</t>
  </si>
  <si>
    <t xml:space="preserve">C0154</t>
  </si>
  <si>
    <t xml:space="preserve">ORD5400</t>
  </si>
  <si>
    <t xml:space="preserve">C0155</t>
  </si>
  <si>
    <t xml:space="preserve">ORD5401</t>
  </si>
  <si>
    <t xml:space="preserve">C0156</t>
  </si>
  <si>
    <t xml:space="preserve">ORD5402</t>
  </si>
  <si>
    <t xml:space="preserve">C0157</t>
  </si>
  <si>
    <t xml:space="preserve">ORD5403</t>
  </si>
  <si>
    <t xml:space="preserve">C0158</t>
  </si>
  <si>
    <t xml:space="preserve">ORD5404</t>
  </si>
  <si>
    <t xml:space="preserve">ORD5405</t>
  </si>
  <si>
    <t xml:space="preserve">C0159</t>
  </si>
  <si>
    <t xml:space="preserve">ORD5406</t>
  </si>
  <si>
    <t xml:space="preserve"> north </t>
  </si>
  <si>
    <t xml:space="preserve">ORD5407</t>
  </si>
  <si>
    <t xml:space="preserve">ORD5408</t>
  </si>
  <si>
    <t xml:space="preserve">C0160</t>
  </si>
  <si>
    <t xml:space="preserve">ORD5409</t>
  </si>
  <si>
    <t xml:space="preserve">C0161</t>
  </si>
  <si>
    <t xml:space="preserve">ORD5410</t>
  </si>
  <si>
    <t xml:space="preserve">C0162</t>
  </si>
  <si>
    <t xml:space="preserve">ORD5411</t>
  </si>
  <si>
    <t xml:space="preserve">C0163</t>
  </si>
  <si>
    <t xml:space="preserve">ORD5412</t>
  </si>
  <si>
    <t xml:space="preserve">ORD5413</t>
  </si>
  <si>
    <t xml:space="preserve">ORD5414</t>
  </si>
  <si>
    <t xml:space="preserve">C0164</t>
  </si>
  <si>
    <t xml:space="preserve">ORD5415</t>
  </si>
  <si>
    <t xml:space="preserve">ORD5416</t>
  </si>
  <si>
    <t xml:space="preserve">ORD5417</t>
  </si>
  <si>
    <t xml:space="preserve">ORD5418</t>
  </si>
  <si>
    <t xml:space="preserve">ORD5419</t>
  </si>
  <si>
    <t xml:space="preserve">ORD5420</t>
  </si>
  <si>
    <t xml:space="preserve">C0165</t>
  </si>
  <si>
    <t xml:space="preserve">ORD5421</t>
  </si>
  <si>
    <t xml:space="preserve">C0166</t>
  </si>
  <si>
    <t xml:space="preserve">ORD5422</t>
  </si>
  <si>
    <t xml:space="preserve">ORD5423</t>
  </si>
  <si>
    <t xml:space="preserve">C0167</t>
  </si>
  <si>
    <t xml:space="preserve">ORD5424</t>
  </si>
  <si>
    <t xml:space="preserve">ORD5425</t>
  </si>
  <si>
    <t xml:space="preserve">ORD5426</t>
  </si>
  <si>
    <t xml:space="preserve">C0168</t>
  </si>
  <si>
    <t xml:space="preserve">ORD5427</t>
  </si>
  <si>
    <t xml:space="preserve">ORD5428</t>
  </si>
  <si>
    <t xml:space="preserve">ORD5429</t>
  </si>
  <si>
    <t xml:space="preserve">C0169</t>
  </si>
  <si>
    <t xml:space="preserve">ORD5430</t>
  </si>
  <si>
    <t xml:space="preserve">ORD5431</t>
  </si>
  <si>
    <t xml:space="preserve">ORD5432</t>
  </si>
  <si>
    <t xml:space="preserve">C0170</t>
  </si>
  <si>
    <t xml:space="preserve">ORD5433</t>
  </si>
  <si>
    <t xml:space="preserve">ORD5434</t>
  </si>
  <si>
    <t xml:space="preserve">ORD5435</t>
  </si>
  <si>
    <t xml:space="preserve">ORD5436</t>
  </si>
  <si>
    <t xml:space="preserve">ORD5437</t>
  </si>
  <si>
    <t xml:space="preserve">C0171</t>
  </si>
  <si>
    <t xml:space="preserve">ORD5438</t>
  </si>
  <si>
    <t xml:space="preserve">ORD5439</t>
  </si>
  <si>
    <t xml:space="preserve">C0172</t>
  </si>
  <si>
    <t xml:space="preserve">ORD5440</t>
  </si>
  <si>
    <t xml:space="preserve">C0173</t>
  </si>
  <si>
    <t xml:space="preserve">ORD5441</t>
  </si>
  <si>
    <t xml:space="preserve">ORD5442</t>
  </si>
  <si>
    <t xml:space="preserve">ORD5443</t>
  </si>
  <si>
    <t xml:space="preserve">C0174</t>
  </si>
  <si>
    <t xml:space="preserve">ORD5444</t>
  </si>
  <si>
    <t xml:space="preserve">ORD5445</t>
  </si>
  <si>
    <t xml:space="preserve">C0175</t>
  </si>
  <si>
    <t xml:space="preserve">ORD5446</t>
  </si>
  <si>
    <t xml:space="preserve">ORD5447</t>
  </si>
  <si>
    <t xml:space="preserve">ORD5448</t>
  </si>
  <si>
    <t xml:space="preserve">ORD5449</t>
  </si>
  <si>
    <t xml:space="preserve">C0176</t>
  </si>
  <si>
    <t xml:space="preserve">ORD5450</t>
  </si>
  <si>
    <t xml:space="preserve">C0177</t>
  </si>
  <si>
    <t xml:space="preserve">ORD5451</t>
  </si>
  <si>
    <t xml:space="preserve">ORD5452</t>
  </si>
  <si>
    <t xml:space="preserve">ORD5453</t>
  </si>
  <si>
    <t xml:space="preserve">C0178</t>
  </si>
  <si>
    <t xml:space="preserve">ORD5454</t>
  </si>
  <si>
    <t xml:space="preserve">C0179</t>
  </si>
  <si>
    <t xml:space="preserve">ORD5455</t>
  </si>
  <si>
    <t xml:space="preserve">C0180</t>
  </si>
  <si>
    <t xml:space="preserve">ORD5456</t>
  </si>
  <si>
    <t xml:space="preserve">C0181</t>
  </si>
  <si>
    <t xml:space="preserve">ORD5457</t>
  </si>
  <si>
    <t xml:space="preserve">C0182</t>
  </si>
  <si>
    <t xml:space="preserve">ORD5458</t>
  </si>
  <si>
    <t xml:space="preserve">ORD5459</t>
  </si>
  <si>
    <t xml:space="preserve">ORD5460</t>
  </si>
  <si>
    <t xml:space="preserve">ORD5461</t>
  </si>
  <si>
    <t xml:space="preserve">C0183</t>
  </si>
  <si>
    <t xml:space="preserve">ORD5462</t>
  </si>
  <si>
    <t xml:space="preserve">ORD5463</t>
  </si>
  <si>
    <t xml:space="preserve">ORD5464</t>
  </si>
  <si>
    <t xml:space="preserve">ORD5465</t>
  </si>
  <si>
    <t xml:space="preserve">C0184</t>
  </si>
  <si>
    <t xml:space="preserve">ORD5466</t>
  </si>
  <si>
    <t xml:space="preserve">C0185</t>
  </si>
  <si>
    <t xml:space="preserve">ORD5467</t>
  </si>
  <si>
    <t xml:space="preserve">ORD5468</t>
  </si>
  <si>
    <t xml:space="preserve">ORD5469</t>
  </si>
  <si>
    <t xml:space="preserve">C0186</t>
  </si>
  <si>
    <t xml:space="preserve">ORD5470</t>
  </si>
  <si>
    <t xml:space="preserve">ORD5471</t>
  </si>
  <si>
    <t xml:space="preserve">ORD5472</t>
  </si>
  <si>
    <t xml:space="preserve">ORD5473</t>
  </si>
  <si>
    <t xml:space="preserve">ORD5474</t>
  </si>
  <si>
    <t xml:space="preserve">C0187</t>
  </si>
  <si>
    <t xml:space="preserve">ORD5475</t>
  </si>
  <si>
    <t xml:space="preserve">ORD5476</t>
  </si>
  <si>
    <t xml:space="preserve">C0188</t>
  </si>
  <si>
    <t xml:space="preserve">ORD5477</t>
  </si>
  <si>
    <t xml:space="preserve">C0189</t>
  </si>
  <si>
    <t xml:space="preserve">ORD5478</t>
  </si>
  <si>
    <t xml:space="preserve">ORD5479</t>
  </si>
  <si>
    <t xml:space="preserve">ORD5480</t>
  </si>
  <si>
    <t xml:space="preserve">west</t>
  </si>
  <si>
    <t xml:space="preserve">ORD5481</t>
  </si>
  <si>
    <t xml:space="preserve">ORD5482</t>
  </si>
  <si>
    <t xml:space="preserve">C0190</t>
  </si>
  <si>
    <t xml:space="preserve">ORD5483</t>
  </si>
  <si>
    <t xml:space="preserve">C0191</t>
  </si>
  <si>
    <t xml:space="preserve">ORD5484</t>
  </si>
  <si>
    <t xml:space="preserve">ORD5485</t>
  </si>
  <si>
    <t xml:space="preserve">C0192</t>
  </si>
  <si>
    <t xml:space="preserve">ORD5486</t>
  </si>
  <si>
    <t xml:space="preserve">ORD5487</t>
  </si>
  <si>
    <t xml:space="preserve">C0193</t>
  </si>
  <si>
    <t xml:space="preserve">ORD5488</t>
  </si>
  <si>
    <t xml:space="preserve">C0194</t>
  </si>
  <si>
    <t xml:space="preserve">ORD5489</t>
  </si>
  <si>
    <t xml:space="preserve">ORD5490</t>
  </si>
  <si>
    <t xml:space="preserve">C0195</t>
  </si>
  <si>
    <t xml:space="preserve">ORD5491</t>
  </si>
  <si>
    <t xml:space="preserve">ORD5492</t>
  </si>
  <si>
    <t xml:space="preserve">C0196</t>
  </si>
  <si>
    <t xml:space="preserve">ORD5493</t>
  </si>
  <si>
    <t xml:space="preserve">ORD5494</t>
  </si>
  <si>
    <t xml:space="preserve">C0197</t>
  </si>
  <si>
    <t xml:space="preserve">ORD5495</t>
  </si>
  <si>
    <t xml:space="preserve">ORD5496</t>
  </si>
  <si>
    <t xml:space="preserve">ORD5497</t>
  </si>
  <si>
    <t xml:space="preserve">ORD5498</t>
  </si>
  <si>
    <t xml:space="preserve">C0198</t>
  </si>
  <si>
    <t xml:space="preserve">ORD5499</t>
  </si>
  <si>
    <t xml:space="preserve">ORD5500</t>
  </si>
  <si>
    <t xml:space="preserve">ORD5501</t>
  </si>
  <si>
    <t xml:space="preserve">C0199</t>
  </si>
  <si>
    <t xml:space="preserve">ORD5502</t>
  </si>
  <si>
    <t xml:space="preserve">C0200</t>
  </si>
  <si>
    <t xml:space="preserve">ORD5503</t>
  </si>
  <si>
    <t xml:space="preserve">ORD5504</t>
  </si>
  <si>
    <t xml:space="preserve">C0201</t>
  </si>
  <si>
    <t xml:space="preserve">ORD5505</t>
  </si>
  <si>
    <t xml:space="preserve">ORD5506</t>
  </si>
  <si>
    <t xml:space="preserve">C0202</t>
  </si>
  <si>
    <t xml:space="preserve">ORD5507</t>
  </si>
  <si>
    <t xml:space="preserve">C0203</t>
  </si>
  <si>
    <t xml:space="preserve">ORD5508</t>
  </si>
  <si>
    <t xml:space="preserve">ORD5509</t>
  </si>
  <si>
    <t xml:space="preserve">ORD5510</t>
  </si>
  <si>
    <t xml:space="preserve">C0204</t>
  </si>
  <si>
    <t xml:space="preserve">ORD5511</t>
  </si>
  <si>
    <t xml:space="preserve">ORD5512</t>
  </si>
  <si>
    <t xml:space="preserve">ORD5513</t>
  </si>
  <si>
    <t xml:space="preserve">C0205</t>
  </si>
  <si>
    <t xml:space="preserve">ORD5514</t>
  </si>
  <si>
    <t xml:space="preserve">C0206</t>
  </si>
  <si>
    <t xml:space="preserve">ORD5515</t>
  </si>
  <si>
    <t xml:space="preserve">ORD5516</t>
  </si>
  <si>
    <t xml:space="preserve">ORD5517</t>
  </si>
  <si>
    <t xml:space="preserve">ORD5518</t>
  </si>
  <si>
    <t xml:space="preserve">C0207</t>
  </si>
  <si>
    <t xml:space="preserve">ORD5519</t>
  </si>
  <si>
    <t xml:space="preserve">ORD5520</t>
  </si>
  <si>
    <t xml:space="preserve">ORD5521</t>
  </si>
  <si>
    <t xml:space="preserve">C0208</t>
  </si>
  <si>
    <t xml:space="preserve">ORD5522</t>
  </si>
  <si>
    <t xml:space="preserve">ORD5523</t>
  </si>
  <si>
    <t xml:space="preserve">ORD5524</t>
  </si>
  <si>
    <t xml:space="preserve">ORD5525</t>
  </si>
  <si>
    <t xml:space="preserve">ORD5526</t>
  </si>
  <si>
    <t xml:space="preserve">C0209</t>
  </si>
  <si>
    <t xml:space="preserve">ORD5527</t>
  </si>
  <si>
    <t xml:space="preserve">ORD5528</t>
  </si>
  <si>
    <t xml:space="preserve">ORD5529</t>
  </si>
  <si>
    <t xml:space="preserve">C0210</t>
  </si>
  <si>
    <t xml:space="preserve">ORD5530</t>
  </si>
  <si>
    <t xml:space="preserve">ORD5531</t>
  </si>
  <si>
    <t xml:space="preserve">C0211</t>
  </si>
  <si>
    <t xml:space="preserve">ORD5532</t>
  </si>
  <si>
    <t xml:space="preserve">ORD5533</t>
  </si>
  <si>
    <t xml:space="preserve">ORD5534</t>
  </si>
  <si>
    <t xml:space="preserve">ORD5535</t>
  </si>
  <si>
    <t xml:space="preserve">C0212</t>
  </si>
  <si>
    <t xml:space="preserve">ORD5536</t>
  </si>
  <si>
    <t xml:space="preserve">ORD5537</t>
  </si>
  <si>
    <t xml:space="preserve">C0213</t>
  </si>
  <si>
    <t xml:space="preserve">ORD5538</t>
  </si>
  <si>
    <t xml:space="preserve">C0214</t>
  </si>
  <si>
    <t xml:space="preserve">ORD5539</t>
  </si>
  <si>
    <t xml:space="preserve">C0215</t>
  </si>
  <si>
    <t xml:space="preserve">ORD5540</t>
  </si>
  <si>
    <t xml:space="preserve">C0216</t>
  </si>
  <si>
    <t xml:space="preserve">ORD5541</t>
  </si>
  <si>
    <t xml:space="preserve">ORD5542</t>
  </si>
  <si>
    <t xml:space="preserve">ORD5543</t>
  </si>
  <si>
    <t xml:space="preserve">ORD5544</t>
  </si>
  <si>
    <t xml:space="preserve">ORD5545</t>
  </si>
  <si>
    <t xml:space="preserve">ORD5546</t>
  </si>
  <si>
    <t xml:space="preserve">ORD5547</t>
  </si>
  <si>
    <t xml:space="preserve">ORD5548</t>
  </si>
  <si>
    <t xml:space="preserve">C0217</t>
  </si>
  <si>
    <t xml:space="preserve">ORD5549</t>
  </si>
  <si>
    <t xml:space="preserve">ORD5550</t>
  </si>
  <si>
    <t xml:space="preserve">C0218</t>
  </si>
  <si>
    <t xml:space="preserve">ORD5551</t>
  </si>
  <si>
    <t xml:space="preserve">ORD5552</t>
  </si>
  <si>
    <t xml:space="preserve">C0219</t>
  </si>
  <si>
    <t xml:space="preserve">ORD5553</t>
  </si>
  <si>
    <t xml:space="preserve">C0220</t>
  </si>
  <si>
    <t xml:space="preserve">ORD5554</t>
  </si>
  <si>
    <t xml:space="preserve">C0221</t>
  </si>
  <si>
    <t xml:space="preserve">ORD5555</t>
  </si>
  <si>
    <t xml:space="preserve">C0222</t>
  </si>
  <si>
    <t xml:space="preserve">ORD5556</t>
  </si>
  <si>
    <t xml:space="preserve">ORD5557</t>
  </si>
  <si>
    <t xml:space="preserve">ORD5558</t>
  </si>
  <si>
    <t xml:space="preserve">ORD5559</t>
  </si>
  <si>
    <t xml:space="preserve">ORD5560</t>
  </si>
  <si>
    <t xml:space="preserve">ORD5561</t>
  </si>
  <si>
    <t xml:space="preserve">C0223</t>
  </si>
  <si>
    <t xml:space="preserve">ORD5562</t>
  </si>
  <si>
    <t xml:space="preserve">ORD5563</t>
  </si>
  <si>
    <t xml:space="preserve">ORD5564</t>
  </si>
  <si>
    <t xml:space="preserve">C0224</t>
  </si>
  <si>
    <t xml:space="preserve">ORD5565</t>
  </si>
  <si>
    <t xml:space="preserve">ORD5566</t>
  </si>
  <si>
    <t xml:space="preserve">C0225</t>
  </si>
  <si>
    <t xml:space="preserve">ORD5567</t>
  </si>
  <si>
    <t xml:space="preserve">ORD5568</t>
  </si>
  <si>
    <t xml:space="preserve">ORD5569</t>
  </si>
  <si>
    <t xml:space="preserve">ORD5570</t>
  </si>
  <si>
    <t xml:space="preserve">ORD5571</t>
  </si>
  <si>
    <t xml:space="preserve">C0226</t>
  </si>
  <si>
    <t xml:space="preserve">ORD5572</t>
  </si>
  <si>
    <t xml:space="preserve">ORD5573</t>
  </si>
  <si>
    <t xml:space="preserve">ORD5574</t>
  </si>
  <si>
    <t xml:space="preserve">ORD5575</t>
  </si>
  <si>
    <t xml:space="preserve">C0227</t>
  </si>
  <si>
    <t xml:space="preserve">ORD5576</t>
  </si>
  <si>
    <t xml:space="preserve">C0228</t>
  </si>
  <si>
    <t xml:space="preserve">ORD5577</t>
  </si>
  <si>
    <t xml:space="preserve">C0229</t>
  </si>
  <si>
    <t xml:space="preserve">ORD5578</t>
  </si>
  <si>
    <t xml:space="preserve">ORD5579</t>
  </si>
  <si>
    <t xml:space="preserve">C0230</t>
  </si>
  <si>
    <t xml:space="preserve">ORD5580</t>
  </si>
  <si>
    <t xml:space="preserve">ORD5581</t>
  </si>
  <si>
    <t xml:space="preserve">C0231</t>
  </si>
  <si>
    <t xml:space="preserve">ORD5582</t>
  </si>
  <si>
    <t xml:space="preserve">ORD5583</t>
  </si>
  <si>
    <t xml:space="preserve">ORD5584</t>
  </si>
  <si>
    <t xml:space="preserve">ORD5585</t>
  </si>
  <si>
    <t xml:space="preserve">C0232</t>
  </si>
  <si>
    <t xml:space="preserve">ORD5586</t>
  </si>
  <si>
    <t xml:space="preserve">ORD5587</t>
  </si>
  <si>
    <t xml:space="preserve">ORD5588</t>
  </si>
  <si>
    <t xml:space="preserve">ORD5589</t>
  </si>
  <si>
    <t xml:space="preserve">ORD5590</t>
  </si>
  <si>
    <t xml:space="preserve">C0233</t>
  </si>
  <si>
    <t xml:space="preserve">ORD5591</t>
  </si>
  <si>
    <t xml:space="preserve">ORD5592</t>
  </si>
  <si>
    <t xml:space="preserve">ORD5593</t>
  </si>
  <si>
    <t xml:space="preserve">ORD5594</t>
  </si>
  <si>
    <t xml:space="preserve">C0234</t>
  </si>
  <si>
    <t xml:space="preserve">ORD5595</t>
  </si>
  <si>
    <t xml:space="preserve">ORD5596</t>
  </si>
  <si>
    <t xml:space="preserve">ORD5597</t>
  </si>
  <si>
    <t xml:space="preserve">C0235</t>
  </si>
  <si>
    <t xml:space="preserve">ORD5598</t>
  </si>
  <si>
    <t xml:space="preserve">ORD5599</t>
  </si>
  <si>
    <t xml:space="preserve">C0236</t>
  </si>
  <si>
    <t xml:space="preserve">ORD5600</t>
  </si>
  <si>
    <t xml:space="preserve">C0237</t>
  </si>
  <si>
    <t xml:space="preserve">ORD5601</t>
  </si>
  <si>
    <t xml:space="preserve">ORD5602</t>
  </si>
  <si>
    <t xml:space="preserve">ORD5603</t>
  </si>
  <si>
    <t xml:space="preserve">ORD5604</t>
  </si>
  <si>
    <t xml:space="preserve">ORD5605</t>
  </si>
  <si>
    <t xml:space="preserve">ORD5606</t>
  </si>
  <si>
    <t xml:space="preserve">C0238</t>
  </si>
  <si>
    <t xml:space="preserve">ORD5607</t>
  </si>
  <si>
    <t xml:space="preserve">ORD5608</t>
  </si>
  <si>
    <t xml:space="preserve">ORD5609</t>
  </si>
  <si>
    <t xml:space="preserve">ORD5610</t>
  </si>
  <si>
    <t xml:space="preserve">C0239</t>
  </si>
  <si>
    <t xml:space="preserve">ORD5611</t>
  </si>
  <si>
    <t xml:space="preserve">ORD5612</t>
  </si>
  <si>
    <t xml:space="preserve">C0240</t>
  </si>
  <si>
    <t xml:space="preserve">ORD5613</t>
  </si>
  <si>
    <t xml:space="preserve">ORD5614</t>
  </si>
  <si>
    <t xml:space="preserve">ORD5615</t>
  </si>
  <si>
    <t xml:space="preserve">C0241</t>
  </si>
  <si>
    <t xml:space="preserve">ORD5616</t>
  </si>
  <si>
    <t xml:space="preserve">ORD5617</t>
  </si>
  <si>
    <t xml:space="preserve">ORD5618</t>
  </si>
  <si>
    <t xml:space="preserve">ORD5619</t>
  </si>
  <si>
    <t xml:space="preserve">ORD5620</t>
  </si>
  <si>
    <t xml:space="preserve">C0242</t>
  </si>
  <si>
    <t xml:space="preserve">ORD5621</t>
  </si>
  <si>
    <t xml:space="preserve">C0243</t>
  </si>
  <si>
    <t xml:space="preserve">ORD5622</t>
  </si>
  <si>
    <t xml:space="preserve">ORD5623</t>
  </si>
  <si>
    <t xml:space="preserve">ORD5624</t>
  </si>
  <si>
    <t xml:space="preserve">ORD5625</t>
  </si>
  <si>
    <t xml:space="preserve">C0244</t>
  </si>
  <si>
    <t xml:space="preserve">ORD5626</t>
  </si>
  <si>
    <t xml:space="preserve">ORD5627</t>
  </si>
  <si>
    <t xml:space="preserve">ORD5628</t>
  </si>
  <si>
    <t xml:space="preserve">ORD5629</t>
  </si>
  <si>
    <t xml:space="preserve">ORD5630</t>
  </si>
  <si>
    <t xml:space="preserve">ORD5631</t>
  </si>
  <si>
    <t xml:space="preserve">ORD5632</t>
  </si>
  <si>
    <t xml:space="preserve">ORD5633</t>
  </si>
  <si>
    <t xml:space="preserve">C0245</t>
  </si>
  <si>
    <t xml:space="preserve">ORD5634</t>
  </si>
  <si>
    <t xml:space="preserve">C0246</t>
  </si>
  <si>
    <t xml:space="preserve">ORD5635</t>
  </si>
  <si>
    <t xml:space="preserve">C0247</t>
  </si>
  <si>
    <t xml:space="preserve">ORD5636</t>
  </si>
  <si>
    <t xml:space="preserve">ORD5637</t>
  </si>
  <si>
    <t xml:space="preserve">ORD5638</t>
  </si>
  <si>
    <t xml:space="preserve">ORD5639</t>
  </si>
  <si>
    <t xml:space="preserve">ORD5640</t>
  </si>
  <si>
    <t xml:space="preserve">ORD5641</t>
  </si>
  <si>
    <t xml:space="preserve">C0248</t>
  </si>
  <si>
    <t xml:space="preserve">ORD5642</t>
  </si>
  <si>
    <t xml:space="preserve">ORD5643</t>
  </si>
  <si>
    <t xml:space="preserve">ORD5644</t>
  </si>
  <si>
    <t xml:space="preserve">ORD5645</t>
  </si>
  <si>
    <t xml:space="preserve">ORD5646</t>
  </si>
  <si>
    <t xml:space="preserve">C0249</t>
  </si>
  <si>
    <t xml:space="preserve">ORD5647</t>
  </si>
  <si>
    <t xml:space="preserve">C0250</t>
  </si>
  <si>
    <t xml:space="preserve">ORD5648</t>
  </si>
  <si>
    <t xml:space="preserve">ORD5649</t>
  </si>
  <si>
    <t xml:space="preserve">C0251</t>
  </si>
  <si>
    <t xml:space="preserve">ORD5650</t>
  </si>
  <si>
    <t xml:space="preserve">ORD5651</t>
  </si>
  <si>
    <t xml:space="preserve">ORD5652</t>
  </si>
  <si>
    <t xml:space="preserve">C0252</t>
  </si>
  <si>
    <t xml:space="preserve">ORD5653</t>
  </si>
  <si>
    <t xml:space="preserve">ORD5654</t>
  </si>
  <si>
    <t xml:space="preserve">ORD5655</t>
  </si>
  <si>
    <t xml:space="preserve">C0253</t>
  </si>
  <si>
    <t xml:space="preserve">ORD5656</t>
  </si>
  <si>
    <t xml:space="preserve">ORD5657</t>
  </si>
  <si>
    <t xml:space="preserve">C0254</t>
  </si>
  <si>
    <t xml:space="preserve">ORD5658</t>
  </si>
  <si>
    <t xml:space="preserve">ORD5659</t>
  </si>
  <si>
    <t xml:space="preserve">C0255</t>
  </si>
  <si>
    <t xml:space="preserve">ORD5660</t>
  </si>
  <si>
    <t xml:space="preserve">ORD5661</t>
  </si>
  <si>
    <t xml:space="preserve">C0256</t>
  </si>
  <si>
    <t xml:space="preserve">ORD5662</t>
  </si>
  <si>
    <t xml:space="preserve">ORD5663</t>
  </si>
  <si>
    <t xml:space="preserve">C0257</t>
  </si>
  <si>
    <t xml:space="preserve">ORD5664</t>
  </si>
  <si>
    <t xml:space="preserve">C0258</t>
  </si>
  <si>
    <t xml:space="preserve">ORD5665</t>
  </si>
  <si>
    <t xml:space="preserve">ORD5666</t>
  </si>
  <si>
    <t xml:space="preserve">ORD5667</t>
  </si>
  <si>
    <t xml:space="preserve">ORD5668</t>
  </si>
  <si>
    <t xml:space="preserve">C0259</t>
  </si>
  <si>
    <t xml:space="preserve">ORD5669</t>
  </si>
  <si>
    <t xml:space="preserve">C0260</t>
  </si>
  <si>
    <t xml:space="preserve">ORD5670</t>
  </si>
  <si>
    <t xml:space="preserve">ORD5671</t>
  </si>
  <si>
    <t xml:space="preserve">ORD5672</t>
  </si>
  <si>
    <t xml:space="preserve">ORD5673</t>
  </si>
  <si>
    <t xml:space="preserve">ORD5674</t>
  </si>
  <si>
    <t xml:space="preserve">ORD5675</t>
  </si>
  <si>
    <t xml:space="preserve">C0261</t>
  </si>
  <si>
    <t xml:space="preserve">ORD5676</t>
  </si>
  <si>
    <t xml:space="preserve">ORD5677</t>
  </si>
  <si>
    <t xml:space="preserve">ORD5678</t>
  </si>
  <si>
    <t xml:space="preserve">C0262</t>
  </si>
  <si>
    <t xml:space="preserve">ORD5679</t>
  </si>
  <si>
    <t xml:space="preserve">ORD5680</t>
  </si>
  <si>
    <t xml:space="preserve">C0263</t>
  </si>
  <si>
    <t xml:space="preserve">ORD5681</t>
  </si>
  <si>
    <t xml:space="preserve">ORD5682</t>
  </si>
  <si>
    <t xml:space="preserve">ORD5683</t>
  </si>
  <si>
    <t xml:space="preserve">ORD5684</t>
  </si>
  <si>
    <t xml:space="preserve">ORD5685</t>
  </si>
  <si>
    <t xml:space="preserve">ORD5686</t>
  </si>
  <si>
    <t xml:space="preserve">ORD5687</t>
  </si>
  <si>
    <t xml:space="preserve">ORD5688</t>
  </si>
  <si>
    <t xml:space="preserve">C0264</t>
  </si>
  <si>
    <t xml:space="preserve">ORD5689</t>
  </si>
  <si>
    <t xml:space="preserve">C0265</t>
  </si>
  <si>
    <t xml:space="preserve">ORD5690</t>
  </si>
  <si>
    <t xml:space="preserve">C0266</t>
  </si>
  <si>
    <t xml:space="preserve">ORD5691</t>
  </si>
  <si>
    <t xml:space="preserve">C0267</t>
  </si>
  <si>
    <t xml:space="preserve">ORD5692</t>
  </si>
  <si>
    <t xml:space="preserve">ORD5693</t>
  </si>
  <si>
    <t xml:space="preserve">ORD5694</t>
  </si>
  <si>
    <t xml:space="preserve">ORD5695</t>
  </si>
  <si>
    <t xml:space="preserve">ORD5696</t>
  </si>
  <si>
    <t xml:space="preserve">C0268</t>
  </si>
  <si>
    <t xml:space="preserve">ORD5697</t>
  </si>
  <si>
    <t xml:space="preserve">ORD5698</t>
  </si>
  <si>
    <t xml:space="preserve">ORD5699</t>
  </si>
  <si>
    <t xml:space="preserve">C0269</t>
  </si>
  <si>
    <t xml:space="preserve">ORD5700</t>
  </si>
  <si>
    <t xml:space="preserve">ORD5701</t>
  </si>
  <si>
    <t xml:space="preserve">ORD5702</t>
  </si>
  <si>
    <t xml:space="preserve">C0270</t>
  </si>
  <si>
    <t xml:space="preserve">ORD5703</t>
  </si>
  <si>
    <t xml:space="preserve">C0271</t>
  </si>
  <si>
    <t xml:space="preserve">ORD5704</t>
  </si>
  <si>
    <t xml:space="preserve">C0272</t>
  </si>
  <si>
    <t xml:space="preserve">ORD5705</t>
  </si>
  <si>
    <t xml:space="preserve">ORD5706</t>
  </si>
  <si>
    <t xml:space="preserve">ORD5707</t>
  </si>
  <si>
    <t xml:space="preserve">ORD5708</t>
  </si>
  <si>
    <t xml:space="preserve">ORD5709</t>
  </si>
  <si>
    <t xml:space="preserve">C0273</t>
  </si>
  <si>
    <t xml:space="preserve">ORD5710</t>
  </si>
  <si>
    <t xml:space="preserve">C0274</t>
  </si>
  <si>
    <t xml:space="preserve">ORD5711</t>
  </si>
  <si>
    <t xml:space="preserve">ORD5712</t>
  </si>
  <si>
    <t xml:space="preserve">ORD5713</t>
  </si>
  <si>
    <t xml:space="preserve">ORD5714</t>
  </si>
  <si>
    <t xml:space="preserve">ORD5715</t>
  </si>
  <si>
    <t xml:space="preserve">ORD5716</t>
  </si>
  <si>
    <t xml:space="preserve">ORD5717</t>
  </si>
  <si>
    <t xml:space="preserve">C0275</t>
  </si>
  <si>
    <t xml:space="preserve">ORD5718</t>
  </si>
  <si>
    <t xml:space="preserve">ORD5719</t>
  </si>
  <si>
    <t xml:space="preserve">ORD5720</t>
  </si>
  <si>
    <t xml:space="preserve">ORD5721</t>
  </si>
  <si>
    <t xml:space="preserve">C0276</t>
  </si>
  <si>
    <t xml:space="preserve">ORD5722</t>
  </si>
  <si>
    <t xml:space="preserve">ORD5723</t>
  </si>
  <si>
    <t xml:space="preserve">ORD5724</t>
  </si>
  <si>
    <t xml:space="preserve">ORD5725</t>
  </si>
  <si>
    <t xml:space="preserve">ORD5726</t>
  </si>
  <si>
    <t xml:space="preserve">ORD5727</t>
  </si>
  <si>
    <t xml:space="preserve">ORD5728</t>
  </si>
  <si>
    <t xml:space="preserve">ORD5729</t>
  </si>
  <si>
    <t xml:space="preserve">C0277</t>
  </si>
  <si>
    <t xml:space="preserve">ORD5730</t>
  </si>
  <si>
    <t xml:space="preserve">ORD5731</t>
  </si>
  <si>
    <t xml:space="preserve">C0278</t>
  </si>
  <si>
    <t xml:space="preserve">ORD5732</t>
  </si>
  <si>
    <t xml:space="preserve">ORD5733</t>
  </si>
  <si>
    <t xml:space="preserve">C0279</t>
  </si>
  <si>
    <t xml:space="preserve">ORD5734</t>
  </si>
  <si>
    <t xml:space="preserve">ORD5735</t>
  </si>
  <si>
    <t xml:space="preserve">C0280</t>
  </si>
  <si>
    <t xml:space="preserve">ORD5736</t>
  </si>
  <si>
    <t xml:space="preserve">ORD5737</t>
  </si>
  <si>
    <t xml:space="preserve">ORD5738</t>
  </si>
  <si>
    <t xml:space="preserve">ORD5739</t>
  </si>
  <si>
    <t xml:space="preserve">ORD5740</t>
  </si>
  <si>
    <t xml:space="preserve">C0281</t>
  </si>
  <si>
    <t xml:space="preserve">ORD5741</t>
  </si>
  <si>
    <t xml:space="preserve">ORD5742</t>
  </si>
  <si>
    <t xml:space="preserve">ORD5743</t>
  </si>
  <si>
    <t xml:space="preserve">ORD5744</t>
  </si>
  <si>
    <t xml:space="preserve">ORD5745</t>
  </si>
  <si>
    <t xml:space="preserve">ORD5746</t>
  </si>
  <si>
    <t xml:space="preserve">C0282</t>
  </si>
  <si>
    <t xml:space="preserve">ORD5747</t>
  </si>
  <si>
    <t xml:space="preserve">ORD5748</t>
  </si>
  <si>
    <t xml:space="preserve">ORD5749</t>
  </si>
  <si>
    <t xml:space="preserve">C0283</t>
  </si>
  <si>
    <t xml:space="preserve">ORD5750</t>
  </si>
  <si>
    <t xml:space="preserve">ORD5751</t>
  </si>
  <si>
    <t xml:space="preserve">C0284</t>
  </si>
  <si>
    <t xml:space="preserve">ORD5752</t>
  </si>
  <si>
    <t xml:space="preserve">ORD5753</t>
  </si>
  <si>
    <t xml:space="preserve">ORD5754</t>
  </si>
  <si>
    <t xml:space="preserve">C0285</t>
  </si>
  <si>
    <t xml:space="preserve">ORD5755</t>
  </si>
  <si>
    <t xml:space="preserve">ORD5756</t>
  </si>
  <si>
    <t xml:space="preserve">ORD5757</t>
  </si>
  <si>
    <t xml:space="preserve">C0286</t>
  </si>
  <si>
    <t xml:space="preserve">ORD5758</t>
  </si>
  <si>
    <t xml:space="preserve">C0287</t>
  </si>
  <si>
    <t xml:space="preserve">ORD5759</t>
  </si>
  <si>
    <t xml:space="preserve">C0288</t>
  </si>
  <si>
    <t xml:space="preserve">ORD5760</t>
  </si>
  <si>
    <t xml:space="preserve">ORD5761</t>
  </si>
  <si>
    <t xml:space="preserve">C0289</t>
  </si>
  <si>
    <t xml:space="preserve">ORD5762</t>
  </si>
  <si>
    <t xml:space="preserve">C0290</t>
  </si>
  <si>
    <t xml:space="preserve">ORD5763</t>
  </si>
  <si>
    <t xml:space="preserve">ORD5764</t>
  </si>
  <si>
    <t xml:space="preserve">ORD5765</t>
  </si>
  <si>
    <t xml:space="preserve">C0291</t>
  </si>
  <si>
    <t xml:space="preserve">ORD5766</t>
  </si>
  <si>
    <t xml:space="preserve">ORD5767</t>
  </si>
  <si>
    <t xml:space="preserve">C0292</t>
  </si>
  <si>
    <t xml:space="preserve">ORD5768</t>
  </si>
  <si>
    <t xml:space="preserve">ORD5769</t>
  </si>
  <si>
    <t xml:space="preserve">ORD5770</t>
  </si>
  <si>
    <t xml:space="preserve">ORD5771</t>
  </si>
  <si>
    <t xml:space="preserve">ORD5772</t>
  </si>
  <si>
    <t xml:space="preserve">ORD5773</t>
  </si>
  <si>
    <t xml:space="preserve">C0293</t>
  </si>
  <si>
    <t xml:space="preserve">ORD5774</t>
  </si>
  <si>
    <t xml:space="preserve">ORD5775</t>
  </si>
  <si>
    <t xml:space="preserve">ORD5776</t>
  </si>
  <si>
    <t xml:space="preserve">C0294</t>
  </si>
  <si>
    <t xml:space="preserve">ORD5777</t>
  </si>
  <si>
    <t xml:space="preserve">ORD5778</t>
  </si>
  <si>
    <t xml:space="preserve">C0295</t>
  </si>
  <si>
    <t xml:space="preserve">ORD5779</t>
  </si>
  <si>
    <t xml:space="preserve">ORD5780</t>
  </si>
  <si>
    <t xml:space="preserve">C0296</t>
  </si>
  <si>
    <t xml:space="preserve">ORD5781</t>
  </si>
  <si>
    <t xml:space="preserve">C0297</t>
  </si>
  <si>
    <t xml:space="preserve">ORD5782</t>
  </si>
  <si>
    <t xml:space="preserve">ORD5783</t>
  </si>
  <si>
    <t xml:space="preserve">ORD5784</t>
  </si>
  <si>
    <t xml:space="preserve">ORD5785</t>
  </si>
  <si>
    <t xml:space="preserve">ORD5786</t>
  </si>
  <si>
    <t xml:space="preserve">C0298</t>
  </si>
  <si>
    <t xml:space="preserve">ORD5787</t>
  </si>
  <si>
    <t xml:space="preserve">ORD5788</t>
  </si>
  <si>
    <t xml:space="preserve">C0299</t>
  </si>
  <si>
    <t xml:space="preserve">ORD5789</t>
  </si>
  <si>
    <t xml:space="preserve">C0300</t>
  </si>
  <si>
    <t xml:space="preserve">ORD5790</t>
  </si>
  <si>
    <t xml:space="preserve">ORD5791</t>
  </si>
  <si>
    <t xml:space="preserve">C0301</t>
  </si>
  <si>
    <t xml:space="preserve">ORD5792</t>
  </si>
  <si>
    <t xml:space="preserve">ORD5793</t>
  </si>
  <si>
    <t xml:space="preserve">ORD5794</t>
  </si>
  <si>
    <t xml:space="preserve">ORD5795</t>
  </si>
  <si>
    <t xml:space="preserve">ORD5796</t>
  </si>
  <si>
    <t xml:space="preserve">C0302</t>
  </si>
  <si>
    <t xml:space="preserve">ORD5797</t>
  </si>
  <si>
    <t xml:space="preserve">ORD5798</t>
  </si>
  <si>
    <t xml:space="preserve">ORD5799</t>
  </si>
  <si>
    <t xml:space="preserve">ORD5800</t>
  </si>
  <si>
    <t xml:space="preserve">C0303</t>
  </si>
  <si>
    <t xml:space="preserve">ORD5801</t>
  </si>
  <si>
    <t xml:space="preserve">ORD5802</t>
  </si>
  <si>
    <t xml:space="preserve">ORD5803</t>
  </si>
  <si>
    <t xml:space="preserve">ORD5804</t>
  </si>
  <si>
    <t xml:space="preserve">C0304</t>
  </si>
  <si>
    <t xml:space="preserve">ORD5805</t>
  </si>
  <si>
    <t xml:space="preserve">ORD5806</t>
  </si>
  <si>
    <t xml:space="preserve">ORD5807</t>
  </si>
  <si>
    <t xml:space="preserve">ORD5808</t>
  </si>
  <si>
    <t xml:space="preserve">ORD5809</t>
  </si>
  <si>
    <t xml:space="preserve">ORD5810</t>
  </si>
  <si>
    <t xml:space="preserve">C0305</t>
  </si>
  <si>
    <t xml:space="preserve">ORD5811</t>
  </si>
  <si>
    <t xml:space="preserve">ORD5812</t>
  </si>
  <si>
    <t xml:space="preserve">C0306</t>
  </si>
  <si>
    <t xml:space="preserve">ORD5813</t>
  </si>
  <si>
    <t xml:space="preserve">ORD5814</t>
  </si>
  <si>
    <t xml:space="preserve">C0307</t>
  </si>
  <si>
    <t xml:space="preserve">ORD5815</t>
  </si>
  <si>
    <t xml:space="preserve">C0308</t>
  </si>
  <si>
    <t xml:space="preserve">ORD5816</t>
  </si>
  <si>
    <t xml:space="preserve">ORD5817</t>
  </si>
  <si>
    <t xml:space="preserve">ORD5818</t>
  </si>
  <si>
    <t xml:space="preserve">ORD5819</t>
  </si>
  <si>
    <t xml:space="preserve">ORD5820</t>
  </si>
  <si>
    <t xml:space="preserve">C0309</t>
  </si>
  <si>
    <t xml:space="preserve">ORD5821</t>
  </si>
  <si>
    <t xml:space="preserve">ORD5822</t>
  </si>
  <si>
    <t xml:space="preserve">C0310</t>
  </si>
  <si>
    <t xml:space="preserve">ORD5823</t>
  </si>
  <si>
    <t xml:space="preserve">C0311</t>
  </si>
  <si>
    <t xml:space="preserve">ORD5824</t>
  </si>
  <si>
    <t xml:space="preserve">C0312</t>
  </si>
  <si>
    <t xml:space="preserve">ORD5825</t>
  </si>
  <si>
    <t xml:space="preserve">ORD5826</t>
  </si>
  <si>
    <t xml:space="preserve">ORD5827</t>
  </si>
  <si>
    <t xml:space="preserve">C0313</t>
  </si>
  <si>
    <t xml:space="preserve">ORD5828</t>
  </si>
  <si>
    <t xml:space="preserve">C0314</t>
  </si>
  <si>
    <t xml:space="preserve">ORD5829</t>
  </si>
  <si>
    <t xml:space="preserve">C0315</t>
  </si>
  <si>
    <t xml:space="preserve">ORD5830</t>
  </si>
  <si>
    <t xml:space="preserve">C0316</t>
  </si>
  <si>
    <t xml:space="preserve">ORD5831</t>
  </si>
  <si>
    <t xml:space="preserve">ORD5832</t>
  </si>
  <si>
    <t xml:space="preserve">ORD5833</t>
  </si>
  <si>
    <t xml:space="preserve">C0317</t>
  </si>
  <si>
    <t xml:space="preserve">ORD5834</t>
  </si>
  <si>
    <t xml:space="preserve">C0318</t>
  </si>
  <si>
    <t xml:space="preserve">ORD5835</t>
  </si>
  <si>
    <t xml:space="preserve">C0319</t>
  </si>
  <si>
    <t xml:space="preserve">ORD5836</t>
  </si>
  <si>
    <t xml:space="preserve">C0320</t>
  </si>
  <si>
    <t xml:space="preserve">ORD5837</t>
  </si>
  <si>
    <t xml:space="preserve">ORD5838</t>
  </si>
  <si>
    <t xml:space="preserve">ORD5839</t>
  </si>
  <si>
    <t xml:space="preserve">C0321</t>
  </si>
  <si>
    <t xml:space="preserve">ORD5840</t>
  </si>
  <si>
    <t xml:space="preserve">C0322</t>
  </si>
  <si>
    <t xml:space="preserve">ORD5841</t>
  </si>
  <si>
    <t xml:space="preserve">ORD5842</t>
  </si>
  <si>
    <t xml:space="preserve">C0323</t>
  </si>
  <si>
    <t xml:space="preserve">ORD5843</t>
  </si>
  <si>
    <t xml:space="preserve">ORD5844</t>
  </si>
  <si>
    <t xml:space="preserve">C0324</t>
  </si>
  <si>
    <t xml:space="preserve">ORD5845</t>
  </si>
  <si>
    <t xml:space="preserve">C0325</t>
  </si>
  <si>
    <t xml:space="preserve">ORD5846</t>
  </si>
  <si>
    <t xml:space="preserve">C0326</t>
  </si>
  <si>
    <t xml:space="preserve">ORD5847</t>
  </si>
  <si>
    <t xml:space="preserve">ORD5848</t>
  </si>
  <si>
    <t xml:space="preserve">C0327</t>
  </si>
  <si>
    <t xml:space="preserve">ORD5849</t>
  </si>
  <si>
    <t xml:space="preserve">C0328</t>
  </si>
  <si>
    <t xml:space="preserve">ORD5850</t>
  </si>
  <si>
    <t xml:space="preserve">C0329</t>
  </si>
  <si>
    <t xml:space="preserve">ORD5851</t>
  </si>
  <si>
    <t xml:space="preserve">ORD5852</t>
  </si>
  <si>
    <t xml:space="preserve">C0330</t>
  </si>
  <si>
    <t xml:space="preserve">ORD5853</t>
  </si>
  <si>
    <t xml:space="preserve">C0331</t>
  </si>
  <si>
    <t xml:space="preserve">ORD5854</t>
  </si>
  <si>
    <t xml:space="preserve">ORD5855</t>
  </si>
  <si>
    <t xml:space="preserve">ORD5856</t>
  </si>
  <si>
    <t xml:space="preserve">ORD5857</t>
  </si>
  <si>
    <t xml:space="preserve">C0332</t>
  </si>
  <si>
    <t xml:space="preserve">ORD5858</t>
  </si>
  <si>
    <t xml:space="preserve">C0333</t>
  </si>
  <si>
    <t xml:space="preserve">ORD5859</t>
  </si>
  <si>
    <t xml:space="preserve">C0334</t>
  </si>
  <si>
    <t xml:space="preserve">ORD5860</t>
  </si>
  <si>
    <t xml:space="preserve">C0335</t>
  </si>
  <si>
    <t xml:space="preserve">ORD5861</t>
  </si>
  <si>
    <t xml:space="preserve">C0336</t>
  </si>
  <si>
    <t xml:space="preserve">ORD5862</t>
  </si>
  <si>
    <t xml:space="preserve">ORD5863</t>
  </si>
  <si>
    <t xml:space="preserve">C0337</t>
  </si>
  <si>
    <t xml:space="preserve">ORD5864</t>
  </si>
  <si>
    <t xml:space="preserve">ORD5865</t>
  </si>
  <si>
    <t xml:space="preserve">ORD5866</t>
  </si>
  <si>
    <t xml:space="preserve">ORD5867</t>
  </si>
  <si>
    <t xml:space="preserve">C0338</t>
  </si>
  <si>
    <t xml:space="preserve">ORD5868</t>
  </si>
  <si>
    <t xml:space="preserve">ORD5869</t>
  </si>
  <si>
    <t xml:space="preserve">C0339</t>
  </si>
  <si>
    <t xml:space="preserve">ORD5870</t>
  </si>
  <si>
    <t xml:space="preserve">C0340</t>
  </si>
  <si>
    <t xml:space="preserve">ORD5871</t>
  </si>
  <si>
    <t xml:space="preserve">ORD5872</t>
  </si>
  <si>
    <t xml:space="preserve">C0341</t>
  </si>
  <si>
    <t xml:space="preserve">ORD5873</t>
  </si>
  <si>
    <t xml:space="preserve">ORD5874</t>
  </si>
  <si>
    <t xml:space="preserve">ORD5875</t>
  </si>
  <si>
    <t xml:space="preserve">ORD5876</t>
  </si>
  <si>
    <t xml:space="preserve">ORD5877</t>
  </si>
  <si>
    <t xml:space="preserve">ORD5878</t>
  </si>
  <si>
    <t xml:space="preserve">ORD5879</t>
  </si>
  <si>
    <t xml:space="preserve">C0342</t>
  </si>
  <si>
    <t xml:space="preserve">ORD5880</t>
  </si>
  <si>
    <t xml:space="preserve">C0343</t>
  </si>
  <si>
    <t xml:space="preserve">ORD5881</t>
  </si>
  <si>
    <t xml:space="preserve">C0344</t>
  </si>
  <si>
    <t xml:space="preserve">ORD5882</t>
  </si>
  <si>
    <t xml:space="preserve">C0345</t>
  </si>
  <si>
    <t xml:space="preserve">ORD5883</t>
  </si>
  <si>
    <t xml:space="preserve">ORD5884</t>
  </si>
  <si>
    <t xml:space="preserve">C0346</t>
  </si>
  <si>
    <t xml:space="preserve">ORD5885</t>
  </si>
  <si>
    <t xml:space="preserve">C0347</t>
  </si>
  <si>
    <t xml:space="preserve">ORD5886</t>
  </si>
  <si>
    <t xml:space="preserve">ORD5887</t>
  </si>
  <si>
    <t xml:space="preserve">ORD5888</t>
  </si>
  <si>
    <t xml:space="preserve">ORD5889</t>
  </si>
  <si>
    <t xml:space="preserve">ORD5890</t>
  </si>
  <si>
    <t xml:space="preserve">ORD5891</t>
  </si>
  <si>
    <t xml:space="preserve">ORD5892</t>
  </si>
  <si>
    <t xml:space="preserve">ORD5893</t>
  </si>
  <si>
    <t xml:space="preserve">ORD5894</t>
  </si>
  <si>
    <t xml:space="preserve">C0348</t>
  </si>
  <si>
    <t xml:space="preserve">ORD5895</t>
  </si>
  <si>
    <t xml:space="preserve">C0349</t>
  </si>
  <si>
    <t xml:space="preserve">ORD5896</t>
  </si>
  <si>
    <t xml:space="preserve">ORD5897</t>
  </si>
  <si>
    <t xml:space="preserve">C0350</t>
  </si>
  <si>
    <t xml:space="preserve">ORD5898</t>
  </si>
  <si>
    <t xml:space="preserve">C0351</t>
  </si>
  <si>
    <t xml:space="preserve">ORD5899</t>
  </si>
  <si>
    <t xml:space="preserve">C0352</t>
  </si>
  <si>
    <t xml:space="preserve">ORD5900</t>
  </si>
  <si>
    <t xml:space="preserve">C0353</t>
  </si>
  <si>
    <t xml:space="preserve">ORD5901</t>
  </si>
  <si>
    <t xml:space="preserve">ORD5902</t>
  </si>
  <si>
    <t xml:space="preserve">ORD5903</t>
  </si>
  <si>
    <t xml:space="preserve">ORD5904</t>
  </si>
  <si>
    <t xml:space="preserve">ORD5905</t>
  </si>
  <si>
    <t xml:space="preserve">C0354</t>
  </si>
  <si>
    <t xml:space="preserve">ORD5906</t>
  </si>
  <si>
    <t xml:space="preserve">C0355</t>
  </si>
  <si>
    <t xml:space="preserve">ORD5907</t>
  </si>
  <si>
    <t xml:space="preserve">C0356</t>
  </si>
  <si>
    <t xml:space="preserve">ORD5908</t>
  </si>
  <si>
    <t xml:space="preserve">C0357</t>
  </si>
  <si>
    <t xml:space="preserve">ORD5909</t>
  </si>
  <si>
    <t xml:space="preserve">C0358</t>
  </si>
  <si>
    <t xml:space="preserve">ORD5910</t>
  </si>
  <si>
    <t xml:space="preserve">C0359</t>
  </si>
  <si>
    <t xml:space="preserve">ORD5911</t>
  </si>
  <si>
    <t xml:space="preserve">C0360</t>
  </si>
  <si>
    <t xml:space="preserve">ORD5912</t>
  </si>
  <si>
    <t xml:space="preserve">ORD5913</t>
  </si>
  <si>
    <t xml:space="preserve">ORD5914</t>
  </si>
  <si>
    <t xml:space="preserve">ORD5915</t>
  </si>
  <si>
    <t xml:space="preserve">ORD5916</t>
  </si>
  <si>
    <t xml:space="preserve">ORD5917</t>
  </si>
  <si>
    <t xml:space="preserve">ORD5918</t>
  </si>
  <si>
    <t xml:space="preserve">ORD5919</t>
  </si>
  <si>
    <t xml:space="preserve">C0361</t>
  </si>
  <si>
    <t xml:space="preserve">ORD5920</t>
  </si>
  <si>
    <t xml:space="preserve">ORD5921</t>
  </si>
  <si>
    <t xml:space="preserve">ORD5922</t>
  </si>
  <si>
    <t xml:space="preserve">ORD5923</t>
  </si>
  <si>
    <t xml:space="preserve">ORD5924</t>
  </si>
  <si>
    <t xml:space="preserve">C0362</t>
  </si>
  <si>
    <t xml:space="preserve">ORD5925</t>
  </si>
  <si>
    <t xml:space="preserve">C0363</t>
  </si>
  <si>
    <t xml:space="preserve">ORD5926</t>
  </si>
  <si>
    <t xml:space="preserve">ORD5927</t>
  </si>
  <si>
    <t xml:space="preserve">ORD5928</t>
  </si>
  <si>
    <t xml:space="preserve">ORD5929</t>
  </si>
  <si>
    <t xml:space="preserve">C0364</t>
  </si>
  <si>
    <t xml:space="preserve">ORD5930</t>
  </si>
  <si>
    <t xml:space="preserve">C0365</t>
  </si>
  <si>
    <t xml:space="preserve">ORD5931</t>
  </si>
  <si>
    <t xml:space="preserve">ORD5932</t>
  </si>
  <si>
    <t xml:space="preserve">ORD5933</t>
  </si>
  <si>
    <t xml:space="preserve">ORD5934</t>
  </si>
  <si>
    <t xml:space="preserve">C0366</t>
  </si>
  <si>
    <t xml:space="preserve">ORD5935</t>
  </si>
  <si>
    <t xml:space="preserve">ORD5936</t>
  </si>
  <si>
    <t xml:space="preserve">ORD5937</t>
  </si>
  <si>
    <t xml:space="preserve">ORD5938</t>
  </si>
  <si>
    <t xml:space="preserve">ORD5939</t>
  </si>
  <si>
    <t xml:space="preserve">C0367</t>
  </si>
  <si>
    <t xml:space="preserve">ORD5940</t>
  </si>
  <si>
    <t xml:space="preserve">C0368</t>
  </si>
  <si>
    <t xml:space="preserve">ORD5941</t>
  </si>
  <si>
    <t xml:space="preserve">C0369</t>
  </si>
  <si>
    <t xml:space="preserve">ORD5942</t>
  </si>
  <si>
    <t xml:space="preserve">ORD5943</t>
  </si>
  <si>
    <t xml:space="preserve">ORD5944</t>
  </si>
  <si>
    <t xml:space="preserve">C0370</t>
  </si>
  <si>
    <t xml:space="preserve">ORD5945</t>
  </si>
  <si>
    <t xml:space="preserve">ORD5946</t>
  </si>
  <si>
    <t xml:space="preserve">C0371</t>
  </si>
  <si>
    <t xml:space="preserve">ORD5947</t>
  </si>
  <si>
    <t xml:space="preserve">ORD5948</t>
  </si>
  <si>
    <t xml:space="preserve">ORD5949</t>
  </si>
  <si>
    <t xml:space="preserve">ORD5950</t>
  </si>
  <si>
    <t xml:space="preserve">ORD5951</t>
  </si>
  <si>
    <t xml:space="preserve">ORD5952</t>
  </si>
  <si>
    <t xml:space="preserve">ORD5953</t>
  </si>
  <si>
    <t xml:space="preserve">ORD5954</t>
  </si>
  <si>
    <t xml:space="preserve">C0372</t>
  </si>
  <si>
    <t xml:space="preserve">ORD5955</t>
  </si>
  <si>
    <t xml:space="preserve">C0373</t>
  </si>
  <si>
    <t xml:space="preserve">ORD5956</t>
  </si>
  <si>
    <t xml:space="preserve">C0374</t>
  </si>
  <si>
    <t xml:space="preserve">ORD5957</t>
  </si>
  <si>
    <t xml:space="preserve">C0375</t>
  </si>
  <si>
    <t xml:space="preserve">ORD5958</t>
  </si>
  <si>
    <t xml:space="preserve">C0376</t>
  </si>
  <si>
    <t xml:space="preserve">ORD5959</t>
  </si>
  <si>
    <t xml:space="preserve">C0377</t>
  </si>
  <si>
    <t xml:space="preserve">ORD5960</t>
  </si>
  <si>
    <t xml:space="preserve">ORD5961</t>
  </si>
  <si>
    <t xml:space="preserve">C0378</t>
  </si>
  <si>
    <t xml:space="preserve">ORD5962</t>
  </si>
  <si>
    <t xml:space="preserve">ORD5963</t>
  </si>
  <si>
    <t xml:space="preserve">ORD5964</t>
  </si>
  <si>
    <t xml:space="preserve">C0379</t>
  </si>
  <si>
    <t xml:space="preserve">ORD5965</t>
  </si>
  <si>
    <t xml:space="preserve">ORD5966</t>
  </si>
  <si>
    <t xml:space="preserve">C0380</t>
  </si>
  <si>
    <t xml:space="preserve">ORD5967</t>
  </si>
  <si>
    <t xml:space="preserve">ORD5968</t>
  </si>
  <si>
    <t xml:space="preserve">C0381</t>
  </si>
  <si>
    <t xml:space="preserve">ORD5969</t>
  </si>
  <si>
    <t xml:space="preserve">C0382</t>
  </si>
  <si>
    <t xml:space="preserve">ORD5970</t>
  </si>
  <si>
    <t xml:space="preserve">ORD5971</t>
  </si>
  <si>
    <t xml:space="preserve">ORD5972</t>
  </si>
  <si>
    <t xml:space="preserve">C0383</t>
  </si>
  <si>
    <t xml:space="preserve">ORD5973</t>
  </si>
  <si>
    <t xml:space="preserve">ORD5974</t>
  </si>
  <si>
    <t xml:space="preserve">ORD5975</t>
  </si>
  <si>
    <t xml:space="preserve">ORD5976</t>
  </si>
  <si>
    <t xml:space="preserve">ORD5977</t>
  </si>
  <si>
    <t xml:space="preserve">ORD5978</t>
  </si>
  <si>
    <t xml:space="preserve">ORD5979</t>
  </si>
  <si>
    <t xml:space="preserve">ORD5980</t>
  </si>
  <si>
    <t xml:space="preserve">ORD5981</t>
  </si>
  <si>
    <t xml:space="preserve">ORD5982</t>
  </si>
  <si>
    <t xml:space="preserve">C0384</t>
  </si>
  <si>
    <t xml:space="preserve">ORD5983</t>
  </si>
  <si>
    <t xml:space="preserve">ORD5984</t>
  </si>
  <si>
    <t xml:space="preserve">C0385</t>
  </si>
  <si>
    <t xml:space="preserve">ORD5985</t>
  </si>
  <si>
    <t xml:space="preserve">ORD5986</t>
  </si>
  <si>
    <t xml:space="preserve">C0386</t>
  </si>
  <si>
    <t xml:space="preserve">ORD5987</t>
  </si>
  <si>
    <t xml:space="preserve">C0387</t>
  </si>
  <si>
    <t xml:space="preserve">ORD5988</t>
  </si>
  <si>
    <t xml:space="preserve">ORD5989</t>
  </si>
  <si>
    <t xml:space="preserve">ORD5990</t>
  </si>
  <si>
    <t xml:space="preserve">ORD5991</t>
  </si>
  <si>
    <t xml:space="preserve">ORD5992</t>
  </si>
  <si>
    <t xml:space="preserve">ORD5993</t>
  </si>
  <si>
    <t xml:space="preserve">ORD5994</t>
  </si>
  <si>
    <t xml:space="preserve">ORD5995</t>
  </si>
  <si>
    <t xml:space="preserve">ORD5996</t>
  </si>
  <si>
    <t xml:space="preserve">ORD5997</t>
  </si>
  <si>
    <t xml:space="preserve">C0388</t>
  </si>
  <si>
    <t xml:space="preserve">ORD5998</t>
  </si>
  <si>
    <t xml:space="preserve">ORD5999</t>
  </si>
  <si>
    <t xml:space="preserve">ORD6000</t>
  </si>
  <si>
    <t xml:space="preserve">ORD6001</t>
  </si>
  <si>
    <t xml:space="preserve">C0389</t>
  </si>
  <si>
    <t xml:space="preserve">ORD6002</t>
  </si>
  <si>
    <t xml:space="preserve">ORD6003</t>
  </si>
  <si>
    <t xml:space="preserve">ORD6004</t>
  </si>
  <si>
    <t xml:space="preserve">ORD6005</t>
  </si>
  <si>
    <t xml:space="preserve">ORD6006</t>
  </si>
  <si>
    <t xml:space="preserve">ORD6007</t>
  </si>
  <si>
    <t xml:space="preserve">ORD6008</t>
  </si>
  <si>
    <t xml:space="preserve">ORD6009</t>
  </si>
  <si>
    <t xml:space="preserve">ORD6010</t>
  </si>
  <si>
    <t xml:space="preserve">ORD6011</t>
  </si>
  <si>
    <t xml:space="preserve">ORD6012</t>
  </si>
  <si>
    <t xml:space="preserve">C0390</t>
  </si>
  <si>
    <t xml:space="preserve">ORD6013</t>
  </si>
  <si>
    <t xml:space="preserve">C0391</t>
  </si>
  <si>
    <t xml:space="preserve">ORD6014</t>
  </si>
  <si>
    <t xml:space="preserve">C0392</t>
  </si>
  <si>
    <t xml:space="preserve">ORD6015</t>
  </si>
  <si>
    <t xml:space="preserve">C0393</t>
  </si>
  <si>
    <t xml:space="preserve">ORD6016</t>
  </si>
  <si>
    <t xml:space="preserve">C0394</t>
  </si>
  <si>
    <t xml:space="preserve">ORD6017</t>
  </si>
  <si>
    <t xml:space="preserve">ORD6018</t>
  </si>
  <si>
    <t xml:space="preserve">ORD6019</t>
  </si>
  <si>
    <t xml:space="preserve">ORD6020</t>
  </si>
  <si>
    <t xml:space="preserve">ORD6021</t>
  </si>
  <si>
    <t xml:space="preserve">ORD6022</t>
  </si>
  <si>
    <t xml:space="preserve">ORD6023</t>
  </si>
  <si>
    <t xml:space="preserve">ORD6024</t>
  </si>
  <si>
    <t xml:space="preserve">C0395</t>
  </si>
  <si>
    <t xml:space="preserve">ORD6025</t>
  </si>
  <si>
    <t xml:space="preserve">ORD6026</t>
  </si>
  <si>
    <t xml:space="preserve">C0396</t>
  </si>
  <si>
    <t xml:space="preserve">ORD6027</t>
  </si>
  <si>
    <t xml:space="preserve">ORD6028</t>
  </si>
  <si>
    <t xml:space="preserve">ORD6029</t>
  </si>
  <si>
    <t xml:space="preserve">ORD6030</t>
  </si>
  <si>
    <t xml:space="preserve">C0397</t>
  </si>
  <si>
    <t xml:space="preserve">ORD6031</t>
  </si>
  <si>
    <t xml:space="preserve">C0398</t>
  </si>
  <si>
    <t xml:space="preserve">ORD6032</t>
  </si>
  <si>
    <t xml:space="preserve">ORD6033</t>
  </si>
  <si>
    <t xml:space="preserve">ORD6034</t>
  </si>
  <si>
    <t xml:space="preserve">ORD6035</t>
  </si>
  <si>
    <t xml:space="preserve">ORD6036</t>
  </si>
  <si>
    <t xml:space="preserve">ORD6037</t>
  </si>
  <si>
    <t xml:space="preserve">C0399</t>
  </si>
  <si>
    <t xml:space="preserve">ORD6038</t>
  </si>
  <si>
    <t xml:space="preserve">C0400</t>
  </si>
  <si>
    <t xml:space="preserve">ORD6039</t>
  </si>
  <si>
    <t xml:space="preserve">ORD6040</t>
  </si>
  <si>
    <t xml:space="preserve">ORD6041</t>
  </si>
  <si>
    <t xml:space="preserve">ORD6042</t>
  </si>
  <si>
    <t xml:space="preserve">ORD6043</t>
  </si>
  <si>
    <t xml:space="preserve">C0401</t>
  </si>
  <si>
    <t xml:space="preserve">ORD6044</t>
  </si>
  <si>
    <t xml:space="preserve">ORD6045</t>
  </si>
  <si>
    <t xml:space="preserve">C0402</t>
  </si>
  <si>
    <t xml:space="preserve">ORD6046</t>
  </si>
  <si>
    <t xml:space="preserve">ORD6047</t>
  </si>
  <si>
    <t xml:space="preserve">ORD6048</t>
  </si>
  <si>
    <t xml:space="preserve">C0403</t>
  </si>
  <si>
    <t xml:space="preserve">ORD6049</t>
  </si>
  <si>
    <t xml:space="preserve">ORD6050</t>
  </si>
  <si>
    <t xml:space="preserve">ORD6051</t>
  </si>
  <si>
    <t xml:space="preserve">C0404</t>
  </si>
  <si>
    <t xml:space="preserve">ORD6052</t>
  </si>
  <si>
    <t xml:space="preserve">ORD6053</t>
  </si>
  <si>
    <t xml:space="preserve">ORD6054</t>
  </si>
  <si>
    <t xml:space="preserve">C0405</t>
  </si>
  <si>
    <t xml:space="preserve">ORD6055</t>
  </si>
  <si>
    <t xml:space="preserve">ORD6056</t>
  </si>
  <si>
    <t xml:space="preserve">ORD6057</t>
  </si>
  <si>
    <t xml:space="preserve">ORD6058</t>
  </si>
  <si>
    <t xml:space="preserve">C0406</t>
  </si>
  <si>
    <t xml:space="preserve">ORD6059</t>
  </si>
  <si>
    <t xml:space="preserve">C0407</t>
  </si>
  <si>
    <t xml:space="preserve">ORD6060</t>
  </si>
  <si>
    <t xml:space="preserve">ORD6061</t>
  </si>
  <si>
    <t xml:space="preserve">ORD6062</t>
  </si>
  <si>
    <t xml:space="preserve">ORD6063</t>
  </si>
  <si>
    <t xml:space="preserve">ORD6064</t>
  </si>
  <si>
    <t xml:space="preserve">C0408</t>
  </si>
  <si>
    <t xml:space="preserve">ORD6065</t>
  </si>
  <si>
    <t xml:space="preserve">C0409</t>
  </si>
  <si>
    <t xml:space="preserve">ORD6066</t>
  </si>
  <si>
    <t xml:space="preserve">C0410</t>
  </si>
  <si>
    <t xml:space="preserve">ORD6067</t>
  </si>
  <si>
    <t xml:space="preserve">ORD6068</t>
  </si>
  <si>
    <t xml:space="preserve">ORD6069</t>
  </si>
  <si>
    <t xml:space="preserve">C0411</t>
  </si>
  <si>
    <t xml:space="preserve">ORD6070</t>
  </si>
  <si>
    <t xml:space="preserve">ORD6071</t>
  </si>
  <si>
    <t xml:space="preserve">ORD6072</t>
  </si>
  <si>
    <t xml:space="preserve">ORD6073</t>
  </si>
  <si>
    <t xml:space="preserve">ORD6074</t>
  </si>
  <si>
    <t xml:space="preserve">C0412</t>
  </si>
  <si>
    <t xml:space="preserve">ORD6075</t>
  </si>
  <si>
    <t xml:space="preserve">ORD6076</t>
  </si>
  <si>
    <t xml:space="preserve">C0413</t>
  </si>
  <si>
    <t xml:space="preserve">ORD6077</t>
  </si>
  <si>
    <t xml:space="preserve">ORD6078</t>
  </si>
  <si>
    <t xml:space="preserve">C0414</t>
  </si>
  <si>
    <t xml:space="preserve">ORD6079</t>
  </si>
  <si>
    <t xml:space="preserve">ORD6080</t>
  </si>
  <si>
    <t xml:space="preserve">ORD6081</t>
  </si>
  <si>
    <t xml:space="preserve">ORD6082</t>
  </si>
  <si>
    <t xml:space="preserve">ORD6083</t>
  </si>
  <si>
    <t xml:space="preserve">ORD6084</t>
  </si>
  <si>
    <t xml:space="preserve">C0415</t>
  </si>
  <si>
    <t xml:space="preserve">ORD6085</t>
  </si>
  <si>
    <t xml:space="preserve">ORD6086</t>
  </si>
  <si>
    <t xml:space="preserve">ORD6087</t>
  </si>
  <si>
    <t xml:space="preserve">ORD6088</t>
  </si>
  <si>
    <t xml:space="preserve">ORD6089</t>
  </si>
  <si>
    <t xml:space="preserve">ORD6090</t>
  </si>
  <si>
    <t xml:space="preserve">ORD6091</t>
  </si>
  <si>
    <t xml:space="preserve">ORD6092</t>
  </si>
  <si>
    <t xml:space="preserve">C0416</t>
  </si>
  <si>
    <t xml:space="preserve">ORD6093</t>
  </si>
  <si>
    <t xml:space="preserve">ORD6094</t>
  </si>
  <si>
    <t xml:space="preserve">C0417</t>
  </si>
  <si>
    <t xml:space="preserve">ORD6095</t>
  </si>
  <si>
    <t xml:space="preserve">C0418</t>
  </si>
  <si>
    <t xml:space="preserve">ORD6096</t>
  </si>
  <si>
    <t xml:space="preserve">C0419</t>
  </si>
  <si>
    <t xml:space="preserve">ORD6097</t>
  </si>
  <si>
    <t xml:space="preserve">ORD6098</t>
  </si>
  <si>
    <t xml:space="preserve">C0420</t>
  </si>
  <si>
    <t xml:space="preserve">ORD6099</t>
  </si>
  <si>
    <t xml:space="preserve">C0421</t>
  </si>
  <si>
    <t xml:space="preserve">ORD6100</t>
  </si>
  <si>
    <t xml:space="preserve">C0422</t>
  </si>
  <si>
    <t xml:space="preserve">ORD6101</t>
  </si>
  <si>
    <t xml:space="preserve">ORD6102</t>
  </si>
  <si>
    <t xml:space="preserve">ORD6103</t>
  </si>
  <si>
    <t xml:space="preserve">ORD6104</t>
  </si>
  <si>
    <t xml:space="preserve">ORD6105</t>
  </si>
  <si>
    <t xml:space="preserve">ORD6106</t>
  </si>
  <si>
    <t xml:space="preserve">ORD6107</t>
  </si>
  <si>
    <t xml:space="preserve">ORD6108</t>
  </si>
  <si>
    <t xml:space="preserve">ORD6109</t>
  </si>
  <si>
    <t xml:space="preserve">ORD6110</t>
  </si>
  <si>
    <t xml:space="preserve">ORD6111</t>
  </si>
  <si>
    <t xml:space="preserve">C0423</t>
  </si>
  <si>
    <t xml:space="preserve">ORD6112</t>
  </si>
  <si>
    <t xml:space="preserve">ORD6113</t>
  </si>
  <si>
    <t xml:space="preserve">ORD6114</t>
  </si>
  <si>
    <t xml:space="preserve">ORD6115</t>
  </si>
  <si>
    <t xml:space="preserve">ORD6116</t>
  </si>
  <si>
    <t xml:space="preserve">C0424</t>
  </si>
  <si>
    <t xml:space="preserve">ORD6117</t>
  </si>
  <si>
    <t xml:space="preserve">ORD6118</t>
  </si>
  <si>
    <t xml:space="preserve">ORD6119</t>
  </si>
  <si>
    <t xml:space="preserve">ORD6120</t>
  </si>
  <si>
    <t xml:space="preserve">ORD6121</t>
  </si>
  <si>
    <t xml:space="preserve">C0425</t>
  </si>
  <si>
    <t xml:space="preserve">ORD6122</t>
  </si>
  <si>
    <t xml:space="preserve">ORD6123</t>
  </si>
  <si>
    <t xml:space="preserve">ORD6124</t>
  </si>
  <si>
    <t xml:space="preserve">ORD6125</t>
  </si>
  <si>
    <t xml:space="preserve">C0426</t>
  </si>
  <si>
    <t xml:space="preserve">ORD6126</t>
  </si>
  <si>
    <t xml:space="preserve">ORD6127</t>
  </si>
  <si>
    <t xml:space="preserve">C0427</t>
  </si>
  <si>
    <t xml:space="preserve">ORD6128</t>
  </si>
  <si>
    <t xml:space="preserve">C0428</t>
  </si>
  <si>
    <t xml:space="preserve">ORD6129</t>
  </si>
  <si>
    <t xml:space="preserve">ORD6130</t>
  </si>
  <si>
    <t xml:space="preserve">ORD6131</t>
  </si>
  <si>
    <t xml:space="preserve">C0429</t>
  </si>
  <si>
    <t xml:space="preserve">ORD6132</t>
  </si>
  <si>
    <t xml:space="preserve">ORD6133</t>
  </si>
  <si>
    <t xml:space="preserve">ORD6134</t>
  </si>
  <si>
    <t xml:space="preserve">C0430</t>
  </si>
  <si>
    <t xml:space="preserve">ORD6135</t>
  </si>
  <si>
    <t xml:space="preserve">ORD6136</t>
  </si>
  <si>
    <t xml:space="preserve">ORD6137</t>
  </si>
  <si>
    <t xml:space="preserve">C0431</t>
  </si>
  <si>
    <t xml:space="preserve">ORD6138</t>
  </si>
  <si>
    <t xml:space="preserve">ORD6139</t>
  </si>
  <si>
    <t xml:space="preserve">ORD6140</t>
  </si>
  <si>
    <t xml:space="preserve">ORD6141</t>
  </si>
  <si>
    <t xml:space="preserve">ORD6142</t>
  </si>
  <si>
    <t xml:space="preserve">ORD6143</t>
  </si>
  <si>
    <t xml:space="preserve">ORD6144</t>
  </si>
  <si>
    <t xml:space="preserve">ORD6145</t>
  </si>
  <si>
    <t xml:space="preserve">C0432</t>
  </si>
  <si>
    <t xml:space="preserve">ORD6146</t>
  </si>
  <si>
    <t xml:space="preserve">ORD6147</t>
  </si>
  <si>
    <t xml:space="preserve">ORD6148</t>
  </si>
  <si>
    <t xml:space="preserve">ORD6149</t>
  </si>
  <si>
    <t xml:space="preserve">ORD6150</t>
  </si>
  <si>
    <t xml:space="preserve">ORD6151</t>
  </si>
  <si>
    <t xml:space="preserve">ORD6152</t>
  </si>
  <si>
    <t xml:space="preserve">ORD6153</t>
  </si>
  <si>
    <t xml:space="preserve">ORD6154</t>
  </si>
  <si>
    <t xml:space="preserve">ORD6155</t>
  </si>
  <si>
    <t xml:space="preserve">ORD6156</t>
  </si>
  <si>
    <t xml:space="preserve">ORD6157</t>
  </si>
  <si>
    <t xml:space="preserve">ORD6158</t>
  </si>
  <si>
    <t xml:space="preserve">C0433</t>
  </si>
  <si>
    <t xml:space="preserve">ORD6159</t>
  </si>
  <si>
    <t xml:space="preserve">C0434</t>
  </si>
  <si>
    <t xml:space="preserve">ORD6160</t>
  </si>
  <si>
    <t xml:space="preserve">C0435</t>
  </si>
  <si>
    <t xml:space="preserve">ORD6161</t>
  </si>
  <si>
    <t xml:space="preserve">ORD6162</t>
  </si>
  <si>
    <t xml:space="preserve">ORD6163</t>
  </si>
  <si>
    <t xml:space="preserve">C0436</t>
  </si>
  <si>
    <t xml:space="preserve">ORD6164</t>
  </si>
  <si>
    <t xml:space="preserve">ORD6165</t>
  </si>
  <si>
    <t xml:space="preserve">ORD6166</t>
  </si>
  <si>
    <t xml:space="preserve">ORD6167</t>
  </si>
  <si>
    <t xml:space="preserve">C0437</t>
  </si>
  <si>
    <t xml:space="preserve">ORD6168</t>
  </si>
  <si>
    <t xml:space="preserve">ORD6169</t>
  </si>
  <si>
    <t xml:space="preserve">ORD6170</t>
  </si>
  <si>
    <t xml:space="preserve">ORD6171</t>
  </si>
  <si>
    <t xml:space="preserve">ORD6172</t>
  </si>
  <si>
    <t xml:space="preserve">ORD6173</t>
  </si>
  <si>
    <t xml:space="preserve">C0438</t>
  </si>
  <si>
    <t xml:space="preserve">ORD6174</t>
  </si>
  <si>
    <t xml:space="preserve">ORD6175</t>
  </si>
  <si>
    <t xml:space="preserve">C0439</t>
  </si>
  <si>
    <t xml:space="preserve">ORD6176</t>
  </si>
  <si>
    <t xml:space="preserve">C0440</t>
  </si>
  <si>
    <t xml:space="preserve">ORD6177</t>
  </si>
  <si>
    <t xml:space="preserve">C0441</t>
  </si>
  <si>
    <t xml:space="preserve">ORD6178</t>
  </si>
  <si>
    <t xml:space="preserve">C0442</t>
  </si>
  <si>
    <t xml:space="preserve">ORD6179</t>
  </si>
  <si>
    <t xml:space="preserve">ORD6180</t>
  </si>
  <si>
    <t xml:space="preserve">C0443</t>
  </si>
  <si>
    <t xml:space="preserve">ORD6181</t>
  </si>
  <si>
    <t xml:space="preserve">C0444</t>
  </si>
  <si>
    <t xml:space="preserve">ORD6182</t>
  </si>
  <si>
    <t xml:space="preserve">ORD6183</t>
  </si>
  <si>
    <t xml:space="preserve">ORD6184</t>
  </si>
  <si>
    <t xml:space="preserve">ORD6185</t>
  </si>
  <si>
    <t xml:space="preserve">ORD6186</t>
  </si>
  <si>
    <t xml:space="preserve">ORD6187</t>
  </si>
  <si>
    <t xml:space="preserve">ORD6188</t>
  </si>
  <si>
    <t xml:space="preserve">ORD6189</t>
  </si>
  <si>
    <t xml:space="preserve">ORD6190</t>
  </si>
  <si>
    <t xml:space="preserve">ORD6191</t>
  </si>
  <si>
    <t xml:space="preserve">C0445</t>
  </si>
  <si>
    <t xml:space="preserve">ORD6192</t>
  </si>
  <si>
    <t xml:space="preserve">ORD6193</t>
  </si>
  <si>
    <t xml:space="preserve">ORD6194</t>
  </si>
  <si>
    <t xml:space="preserve">ORD6195</t>
  </si>
  <si>
    <t xml:space="preserve">ORD6196</t>
  </si>
  <si>
    <t xml:space="preserve">C0446</t>
  </si>
  <si>
    <t xml:space="preserve">ORD6197</t>
  </si>
  <si>
    <t xml:space="preserve">ORD6198</t>
  </si>
  <si>
    <t xml:space="preserve">ORD6199</t>
  </si>
  <si>
    <t xml:space="preserve">ORD6200</t>
  </si>
  <si>
    <t xml:space="preserve">C0447</t>
  </si>
  <si>
    <t xml:space="preserve">ORD6201</t>
  </si>
  <si>
    <t xml:space="preserve">ORD6202</t>
  </si>
  <si>
    <t xml:space="preserve">ORD6203</t>
  </si>
  <si>
    <t xml:space="preserve">ORD6204</t>
  </si>
  <si>
    <t xml:space="preserve">ORD6205</t>
  </si>
  <si>
    <t xml:space="preserve">ORD6206</t>
  </si>
  <si>
    <t xml:space="preserve">C0448</t>
  </si>
  <si>
    <t xml:space="preserve">ORD6207</t>
  </si>
  <si>
    <t xml:space="preserve">ORD6208</t>
  </si>
  <si>
    <t xml:space="preserve">ORD6209</t>
  </si>
  <si>
    <t xml:space="preserve">C0449</t>
  </si>
  <si>
    <t xml:space="preserve">ORD6210</t>
  </si>
  <si>
    <t xml:space="preserve">ORD6211</t>
  </si>
  <si>
    <t xml:space="preserve">ORD6212</t>
  </si>
  <si>
    <t xml:space="preserve">ORD6213</t>
  </si>
  <si>
    <t xml:space="preserve">ORD6214</t>
  </si>
  <si>
    <t xml:space="preserve">C0450</t>
  </si>
  <si>
    <t xml:space="preserve">ORD6215</t>
  </si>
  <si>
    <t xml:space="preserve">ORD6216</t>
  </si>
  <si>
    <t xml:space="preserve">ORD6217</t>
  </si>
  <si>
    <t xml:space="preserve">C0451</t>
  </si>
  <si>
    <t xml:space="preserve">ORD6218</t>
  </si>
  <si>
    <t xml:space="preserve">ORD6219</t>
  </si>
  <si>
    <t xml:space="preserve">C0452</t>
  </si>
  <si>
    <t xml:space="preserve">ORD6220</t>
  </si>
  <si>
    <t xml:space="preserve">C0453</t>
  </si>
  <si>
    <t xml:space="preserve">ORD6221</t>
  </si>
  <si>
    <t xml:space="preserve">ORD6222</t>
  </si>
  <si>
    <t xml:space="preserve">C0454</t>
  </si>
  <si>
    <t xml:space="preserve">ORD6223</t>
  </si>
  <si>
    <t xml:space="preserve">ORD6224</t>
  </si>
  <si>
    <t xml:space="preserve">C0455</t>
  </si>
  <si>
    <t xml:space="preserve">ORD6225</t>
  </si>
  <si>
    <t xml:space="preserve">ORD6226</t>
  </si>
  <si>
    <t xml:space="preserve">ORD6227</t>
  </si>
  <si>
    <t xml:space="preserve">C0456</t>
  </si>
  <si>
    <t xml:space="preserve">ORD6228</t>
  </si>
  <si>
    <t xml:space="preserve">ORD6229</t>
  </si>
  <si>
    <t xml:space="preserve">ORD6230</t>
  </si>
  <si>
    <t xml:space="preserve">ORD6231</t>
  </si>
  <si>
    <t xml:space="preserve">ORD6232</t>
  </si>
  <si>
    <t xml:space="preserve">C0457</t>
  </si>
  <si>
    <t xml:space="preserve">ORD6233</t>
  </si>
  <si>
    <t xml:space="preserve">ORD6234</t>
  </si>
  <si>
    <t xml:space="preserve">C0458</t>
  </si>
  <si>
    <t xml:space="preserve">ORD6235</t>
  </si>
  <si>
    <t xml:space="preserve">C0459</t>
  </si>
  <si>
    <t xml:space="preserve">ORD6236</t>
  </si>
  <si>
    <t xml:space="preserve">C0460</t>
  </si>
  <si>
    <t xml:space="preserve">ORD6237</t>
  </si>
  <si>
    <t xml:space="preserve">ORD6238</t>
  </si>
  <si>
    <t xml:space="preserve">ORD6239</t>
  </si>
  <si>
    <t xml:space="preserve">ORD6240</t>
  </si>
  <si>
    <t xml:space="preserve">ORD6241</t>
  </si>
  <si>
    <t xml:space="preserve">C0461</t>
  </si>
  <si>
    <t xml:space="preserve">ORD6242</t>
  </si>
  <si>
    <t xml:space="preserve">ORD6243</t>
  </si>
  <si>
    <t xml:space="preserve">ORD6244</t>
  </si>
  <si>
    <t xml:space="preserve">ORD6245</t>
  </si>
  <si>
    <t xml:space="preserve">ORD6246</t>
  </si>
  <si>
    <t xml:space="preserve">C0462</t>
  </si>
  <si>
    <t xml:space="preserve">ORD6247</t>
  </si>
  <si>
    <t xml:space="preserve">C0463</t>
  </si>
  <si>
    <t xml:space="preserve">ORD6248</t>
  </si>
  <si>
    <t xml:space="preserve">ORD6249</t>
  </si>
  <si>
    <t xml:space="preserve">ORD6250</t>
  </si>
  <si>
    <t xml:space="preserve">C0464</t>
  </si>
  <si>
    <t xml:space="preserve">ORD6251</t>
  </si>
  <si>
    <t xml:space="preserve">C0465</t>
  </si>
  <si>
    <t xml:space="preserve">ORD6252</t>
  </si>
  <si>
    <t xml:space="preserve">C0466</t>
  </si>
  <si>
    <t xml:space="preserve">ORD6253</t>
  </si>
  <si>
    <t xml:space="preserve">ORD6254</t>
  </si>
  <si>
    <t xml:space="preserve">ORD6255</t>
  </si>
  <si>
    <t xml:space="preserve">ORD6256</t>
  </si>
  <si>
    <t xml:space="preserve">ORD6257</t>
  </si>
  <si>
    <t xml:space="preserve">C0467</t>
  </si>
  <si>
    <t xml:space="preserve">ORD6258</t>
  </si>
  <si>
    <t xml:space="preserve">C0468</t>
  </si>
  <si>
    <t xml:space="preserve">ORD6259</t>
  </si>
  <si>
    <t xml:space="preserve">ORD6260</t>
  </si>
  <si>
    <t xml:space="preserve">C0469</t>
  </si>
  <si>
    <t xml:space="preserve">ORD6261</t>
  </si>
  <si>
    <t xml:space="preserve">ORD6262</t>
  </si>
  <si>
    <t xml:space="preserve">ORD6263</t>
  </si>
  <si>
    <t xml:space="preserve">ORD6264</t>
  </si>
  <si>
    <t xml:space="preserve">C0470</t>
  </si>
  <si>
    <t xml:space="preserve">ORD6265</t>
  </si>
  <si>
    <t xml:space="preserve">C0471</t>
  </si>
  <si>
    <t xml:space="preserve">ORD6266</t>
  </si>
  <si>
    <t xml:space="preserve">ORD6267</t>
  </si>
  <si>
    <t xml:space="preserve">C0472</t>
  </si>
  <si>
    <t xml:space="preserve">ORD6268</t>
  </si>
  <si>
    <t xml:space="preserve">ORD6269</t>
  </si>
  <si>
    <t xml:space="preserve">C0473</t>
  </si>
  <si>
    <t xml:space="preserve">ORD6270</t>
  </si>
  <si>
    <t xml:space="preserve">C0474</t>
  </si>
  <si>
    <t xml:space="preserve">ORD6271</t>
  </si>
  <si>
    <t xml:space="preserve">C0475</t>
  </si>
  <si>
    <t xml:space="preserve">ORD6272</t>
  </si>
  <si>
    <t xml:space="preserve">C0476</t>
  </si>
  <si>
    <t xml:space="preserve">ORD6273</t>
  </si>
  <si>
    <t xml:space="preserve">C0477</t>
  </si>
  <si>
    <t xml:space="preserve">ORD6274</t>
  </si>
  <si>
    <t xml:space="preserve">C0478</t>
  </si>
  <si>
    <t xml:space="preserve">ORD6275</t>
  </si>
  <si>
    <t xml:space="preserve">C0479</t>
  </si>
  <si>
    <t xml:space="preserve">ORD6276</t>
  </si>
  <si>
    <t xml:space="preserve">C0480</t>
  </si>
  <si>
    <t xml:space="preserve">ORD6277</t>
  </si>
  <si>
    <t xml:space="preserve">ORD6278</t>
  </si>
  <si>
    <t xml:space="preserve">ORD6279</t>
  </si>
  <si>
    <t xml:space="preserve">ORD6280</t>
  </si>
  <si>
    <t xml:space="preserve">ORD6281</t>
  </si>
  <si>
    <t xml:space="preserve">ORD6282</t>
  </si>
  <si>
    <t xml:space="preserve">ORD6283</t>
  </si>
  <si>
    <t xml:space="preserve">ORD6284</t>
  </si>
  <si>
    <t xml:space="preserve">ORD6285</t>
  </si>
  <si>
    <t xml:space="preserve">ORD6286</t>
  </si>
  <si>
    <t xml:space="preserve">ORD6287</t>
  </si>
  <si>
    <t xml:space="preserve">ORD6288</t>
  </si>
  <si>
    <t xml:space="preserve">C0481</t>
  </si>
  <si>
    <t xml:space="preserve">ORD6289</t>
  </si>
  <si>
    <t xml:space="preserve">ORD6290</t>
  </si>
  <si>
    <t xml:space="preserve">ORD6291</t>
  </si>
  <si>
    <t xml:space="preserve">ORD6292</t>
  </si>
  <si>
    <t xml:space="preserve">C0482</t>
  </si>
  <si>
    <t xml:space="preserve">ORD6293</t>
  </si>
  <si>
    <t xml:space="preserve">ORD6294</t>
  </si>
  <si>
    <t xml:space="preserve">ORD6295</t>
  </si>
  <si>
    <t xml:space="preserve">ORD6296</t>
  </si>
  <si>
    <t xml:space="preserve">ORD6297</t>
  </si>
  <si>
    <t xml:space="preserve">ORD6298</t>
  </si>
  <si>
    <t xml:space="preserve">ORD6299</t>
  </si>
  <si>
    <t xml:space="preserve">ORD6300</t>
  </si>
  <si>
    <t xml:space="preserve">C0483</t>
  </si>
  <si>
    <t xml:space="preserve">ORD6301</t>
  </si>
  <si>
    <t xml:space="preserve">ORD6302</t>
  </si>
  <si>
    <t xml:space="preserve">ORD6303</t>
  </si>
  <si>
    <t xml:space="preserve">ORD6304</t>
  </si>
  <si>
    <t xml:space="preserve">ORD6305</t>
  </si>
  <si>
    <t xml:space="preserve">ORD6306</t>
  </si>
  <si>
    <t xml:space="preserve">C0484</t>
  </si>
  <si>
    <t xml:space="preserve">ORD6307</t>
  </si>
  <si>
    <t xml:space="preserve">C0485</t>
  </si>
  <si>
    <t xml:space="preserve">ORD6308</t>
  </si>
  <si>
    <t xml:space="preserve">ORD6309</t>
  </si>
  <si>
    <t xml:space="preserve">ORD6310</t>
  </si>
  <si>
    <t xml:space="preserve">C0486</t>
  </si>
  <si>
    <t xml:space="preserve">ORD6311</t>
  </si>
  <si>
    <t xml:space="preserve">ORD6312</t>
  </si>
  <si>
    <t xml:space="preserve">ORD6313</t>
  </si>
  <si>
    <t xml:space="preserve">ORD6314</t>
  </si>
  <si>
    <t xml:space="preserve">ORD6315</t>
  </si>
  <si>
    <t xml:space="preserve">ORD6316</t>
  </si>
  <si>
    <t xml:space="preserve">ORD6317</t>
  </si>
  <si>
    <t xml:space="preserve">ORD6318</t>
  </si>
  <si>
    <t xml:space="preserve">ORD6319</t>
  </si>
  <si>
    <t xml:space="preserve">ORD6320</t>
  </si>
  <si>
    <t xml:space="preserve">C0487</t>
  </si>
  <si>
    <t xml:space="preserve">ORD6321</t>
  </si>
  <si>
    <t xml:space="preserve">ORD6322</t>
  </si>
  <si>
    <t xml:space="preserve">C0488</t>
  </si>
  <si>
    <t xml:space="preserve">ORD6323</t>
  </si>
  <si>
    <t xml:space="preserve">ORD6324</t>
  </si>
  <si>
    <t xml:space="preserve">ORD6325</t>
  </si>
  <si>
    <t xml:space="preserve">C0489</t>
  </si>
  <si>
    <t xml:space="preserve">ORD6326</t>
  </si>
  <si>
    <t xml:space="preserve">ORD6327</t>
  </si>
  <si>
    <t xml:space="preserve">ORD6328</t>
  </si>
  <si>
    <t xml:space="preserve">ORD6329</t>
  </si>
  <si>
    <t xml:space="preserve">ORD6330</t>
  </si>
  <si>
    <t xml:space="preserve">C0490</t>
  </si>
  <si>
    <t xml:space="preserve">ORD6331</t>
  </si>
  <si>
    <t xml:space="preserve">C0491</t>
  </si>
  <si>
    <t xml:space="preserve">ORD6332</t>
  </si>
  <si>
    <t xml:space="preserve">ORD6333</t>
  </si>
  <si>
    <t xml:space="preserve">C0492</t>
  </si>
  <si>
    <t xml:space="preserve">ORD6334</t>
  </si>
  <si>
    <t xml:space="preserve">C0493</t>
  </si>
  <si>
    <t xml:space="preserve">ORD6335</t>
  </si>
  <si>
    <t xml:space="preserve">C0494</t>
  </si>
  <si>
    <t xml:space="preserve">ORD6336</t>
  </si>
  <si>
    <t xml:space="preserve">C0495</t>
  </si>
  <si>
    <t xml:space="preserve">ORD6337</t>
  </si>
  <si>
    <t xml:space="preserve">C0496</t>
  </si>
  <si>
    <t xml:space="preserve">ORD6338</t>
  </si>
  <si>
    <t xml:space="preserve">ORD6339</t>
  </si>
  <si>
    <t xml:space="preserve">ORD6340</t>
  </si>
  <si>
    <t xml:space="preserve">C0497</t>
  </si>
  <si>
    <t xml:space="preserve">ORD6341</t>
  </si>
  <si>
    <t xml:space="preserve">ORD6342</t>
  </si>
  <si>
    <t xml:space="preserve">ORD6343</t>
  </si>
  <si>
    <t xml:space="preserve">C0498</t>
  </si>
  <si>
    <t xml:space="preserve">ORD6344</t>
  </si>
  <si>
    <t xml:space="preserve">ORD6345</t>
  </si>
  <si>
    <t xml:space="preserve">C0499</t>
  </si>
  <si>
    <t xml:space="preserve">ORD6346</t>
  </si>
  <si>
    <t xml:space="preserve">ORD6347</t>
  </si>
  <si>
    <t xml:space="preserve">ORD6348</t>
  </si>
  <si>
    <t xml:space="preserve">C0500</t>
  </si>
  <si>
    <t xml:space="preserve">ORD6349</t>
  </si>
  <si>
    <t xml:space="preserve">C0501</t>
  </si>
  <si>
    <t xml:space="preserve">ORD6350</t>
  </si>
  <si>
    <t xml:space="preserve">ORD6351</t>
  </si>
  <si>
    <t xml:space="preserve">C0502</t>
  </si>
  <si>
    <t xml:space="preserve">ORD6352</t>
  </si>
  <si>
    <t xml:space="preserve">ORD6353</t>
  </si>
  <si>
    <t xml:space="preserve">C0503</t>
  </si>
  <si>
    <t xml:space="preserve">ORD6354</t>
  </si>
  <si>
    <t xml:space="preserve">C0504</t>
  </si>
  <si>
    <t xml:space="preserve">ORD6355</t>
  </si>
  <si>
    <t xml:space="preserve">ORD6356</t>
  </si>
  <si>
    <t xml:space="preserve">ORD6357</t>
  </si>
  <si>
    <t xml:space="preserve">ORD6358</t>
  </si>
  <si>
    <t xml:space="preserve">ORD6359</t>
  </si>
  <si>
    <t xml:space="preserve">ORD6360</t>
  </si>
  <si>
    <t xml:space="preserve">C0505</t>
  </si>
  <si>
    <t xml:space="preserve">ORD6361</t>
  </si>
  <si>
    <t xml:space="preserve">C0506</t>
  </si>
  <si>
    <t xml:space="preserve">ORD6362</t>
  </si>
  <si>
    <t xml:space="preserve">C0507</t>
  </si>
  <si>
    <t xml:space="preserve">ORD6363</t>
  </si>
  <si>
    <t xml:space="preserve">ORD6364</t>
  </si>
  <si>
    <t xml:space="preserve">ORD6365</t>
  </si>
  <si>
    <t xml:space="preserve">C0508</t>
  </si>
  <si>
    <t xml:space="preserve">ORD6366</t>
  </si>
  <si>
    <t xml:space="preserve">C0509</t>
  </si>
  <si>
    <t xml:space="preserve">ORD6367</t>
  </si>
  <si>
    <t xml:space="preserve">ORD6368</t>
  </si>
  <si>
    <t xml:space="preserve">ORD6369</t>
  </si>
  <si>
    <t xml:space="preserve">C0510</t>
  </si>
  <si>
    <t xml:space="preserve">ORD6370</t>
  </si>
  <si>
    <t xml:space="preserve">C0511</t>
  </si>
  <si>
    <t xml:space="preserve">ORD6371</t>
  </si>
  <si>
    <t xml:space="preserve">C0512</t>
  </si>
  <si>
    <t xml:space="preserve">ORD6372</t>
  </si>
  <si>
    <t xml:space="preserve">ORD6373</t>
  </si>
  <si>
    <t xml:space="preserve">C0513</t>
  </si>
  <si>
    <t xml:space="preserve">ORD6374</t>
  </si>
  <si>
    <t xml:space="preserve">ORD6375</t>
  </si>
  <si>
    <t xml:space="preserve">C0514</t>
  </si>
  <si>
    <t xml:space="preserve">ORD6376</t>
  </si>
  <si>
    <t xml:space="preserve">ORD6377</t>
  </si>
  <si>
    <t xml:space="preserve">ORD6378</t>
  </si>
  <si>
    <t xml:space="preserve">ORD6379</t>
  </si>
  <si>
    <t xml:space="preserve">C0515</t>
  </si>
  <si>
    <t xml:space="preserve">ORD6380</t>
  </si>
  <si>
    <t xml:space="preserve">ORD6381</t>
  </si>
  <si>
    <t xml:space="preserve">ORD6382</t>
  </si>
  <si>
    <t xml:space="preserve">ORD6383</t>
  </si>
  <si>
    <t xml:space="preserve">ORD6384</t>
  </si>
  <si>
    <t xml:space="preserve">C0516</t>
  </si>
  <si>
    <t xml:space="preserve">ORD6385</t>
  </si>
  <si>
    <t xml:space="preserve">ORD6386</t>
  </si>
  <si>
    <t xml:space="preserve">C0517</t>
  </si>
  <si>
    <t xml:space="preserve">ORD6387</t>
  </si>
  <si>
    <t xml:space="preserve">ORD6388</t>
  </si>
  <si>
    <t xml:space="preserve">ORD6389</t>
  </si>
  <si>
    <t xml:space="preserve">ORD6390</t>
  </si>
  <si>
    <t xml:space="preserve">C0518</t>
  </si>
  <si>
    <t xml:space="preserve">ORD6391</t>
  </si>
  <si>
    <t xml:space="preserve">C0519</t>
  </si>
  <si>
    <t xml:space="preserve">ORD6392</t>
  </si>
  <si>
    <t xml:space="preserve">ORD6393</t>
  </si>
  <si>
    <t xml:space="preserve">C0520</t>
  </si>
  <si>
    <t xml:space="preserve">ORD6394</t>
  </si>
  <si>
    <t xml:space="preserve">ORD6395</t>
  </si>
  <si>
    <t xml:space="preserve">ORD6396</t>
  </si>
  <si>
    <t xml:space="preserve">ORD6397</t>
  </si>
  <si>
    <t xml:space="preserve">ORD6398</t>
  </si>
  <si>
    <t xml:space="preserve">ORD6399</t>
  </si>
  <si>
    <t xml:space="preserve">ORD6400</t>
  </si>
  <si>
    <t xml:space="preserve">ORD6401</t>
  </si>
  <si>
    <t xml:space="preserve">ORD6402</t>
  </si>
  <si>
    <t xml:space="preserve">ORD6403</t>
  </si>
  <si>
    <t xml:space="preserve">C0521</t>
  </si>
  <si>
    <t xml:space="preserve">ORD6404</t>
  </si>
  <si>
    <t xml:space="preserve">C0522</t>
  </si>
  <si>
    <t xml:space="preserve">ORD6405</t>
  </si>
  <si>
    <t xml:space="preserve">ORD6406</t>
  </si>
  <si>
    <t xml:space="preserve">ORD6407</t>
  </si>
  <si>
    <t xml:space="preserve">C0523</t>
  </si>
  <si>
    <t xml:space="preserve">ORD6408</t>
  </si>
  <si>
    <t xml:space="preserve">C0524</t>
  </si>
  <si>
    <t xml:space="preserve">ORD6409</t>
  </si>
  <si>
    <t xml:space="preserve">ORD6410</t>
  </si>
  <si>
    <t xml:space="preserve">ORD6411</t>
  </si>
  <si>
    <t xml:space="preserve">C0525</t>
  </si>
  <si>
    <t xml:space="preserve">ORD6412</t>
  </si>
  <si>
    <t xml:space="preserve">ORD6413</t>
  </si>
  <si>
    <t xml:space="preserve">ORD6414</t>
  </si>
  <si>
    <t xml:space="preserve">ORD6415</t>
  </si>
  <si>
    <t xml:space="preserve">C0526</t>
  </si>
  <si>
    <t xml:space="preserve">ORD6416</t>
  </si>
  <si>
    <t xml:space="preserve">ORD6417</t>
  </si>
  <si>
    <t xml:space="preserve">C0527</t>
  </si>
  <si>
    <t xml:space="preserve">ORD6418</t>
  </si>
  <si>
    <t xml:space="preserve">ORD6419</t>
  </si>
  <si>
    <t xml:space="preserve">C0528</t>
  </si>
  <si>
    <t xml:space="preserve">ORD6420</t>
  </si>
  <si>
    <t xml:space="preserve">ORD6421</t>
  </si>
  <si>
    <t xml:space="preserve">ORD6422</t>
  </si>
  <si>
    <t xml:space="preserve">ORD6423</t>
  </si>
  <si>
    <t xml:space="preserve">ORD6424</t>
  </si>
  <si>
    <t xml:space="preserve">C0529</t>
  </si>
  <si>
    <t xml:space="preserve">ORD6425</t>
  </si>
  <si>
    <t xml:space="preserve">ORD6426</t>
  </si>
  <si>
    <t xml:space="preserve">ORD6427</t>
  </si>
  <si>
    <t xml:space="preserve">ORD6428</t>
  </si>
  <si>
    <t xml:space="preserve">ORD6429</t>
  </si>
  <si>
    <t xml:space="preserve">ORD6430</t>
  </si>
  <si>
    <t xml:space="preserve">C0530</t>
  </si>
  <si>
    <t xml:space="preserve">ORD6431</t>
  </si>
  <si>
    <t xml:space="preserve">ORD6432</t>
  </si>
  <si>
    <t xml:space="preserve">ORD6433</t>
  </si>
  <si>
    <t xml:space="preserve">ORD6434</t>
  </si>
  <si>
    <t xml:space="preserve">ORD6435</t>
  </si>
  <si>
    <t xml:space="preserve">ORD6436</t>
  </si>
  <si>
    <t xml:space="preserve">C0531</t>
  </si>
  <si>
    <t xml:space="preserve">ORD6437</t>
  </si>
  <si>
    <t xml:space="preserve">ORD6438</t>
  </si>
  <si>
    <t xml:space="preserve">ORD6439</t>
  </si>
  <si>
    <t xml:space="preserve">ORD6440</t>
  </si>
  <si>
    <t xml:space="preserve">ORD6441</t>
  </si>
  <si>
    <t xml:space="preserve">ORD6442</t>
  </si>
  <si>
    <t xml:space="preserve">ORD6443</t>
  </si>
  <si>
    <t xml:space="preserve">ORD6444</t>
  </si>
  <si>
    <t xml:space="preserve">C0532</t>
  </si>
  <si>
    <t xml:space="preserve">ORD6445</t>
  </si>
  <si>
    <t xml:space="preserve">C0533</t>
  </si>
  <si>
    <t xml:space="preserve">ORD6446</t>
  </si>
  <si>
    <t xml:space="preserve">ORD6447</t>
  </si>
  <si>
    <t xml:space="preserve">ORD6448</t>
  </si>
  <si>
    <t xml:space="preserve">C0534</t>
  </si>
  <si>
    <t xml:space="preserve">ORD6449</t>
  </si>
  <si>
    <t xml:space="preserve">ORD6450</t>
  </si>
  <si>
    <t xml:space="preserve">ORD6451</t>
  </si>
  <si>
    <t xml:space="preserve">ORD6452</t>
  </si>
  <si>
    <t xml:space="preserve">ORD6453</t>
  </si>
  <si>
    <t xml:space="preserve">C0535</t>
  </si>
  <si>
    <t xml:space="preserve">ORD6454</t>
  </si>
  <si>
    <t xml:space="preserve">C0536</t>
  </si>
  <si>
    <t xml:space="preserve">ORD6455</t>
  </si>
  <si>
    <t xml:space="preserve">ORD6456</t>
  </si>
  <si>
    <t xml:space="preserve">ORD6457</t>
  </si>
  <si>
    <t xml:space="preserve">C0537</t>
  </si>
  <si>
    <t xml:space="preserve">ORD6458</t>
  </si>
  <si>
    <t xml:space="preserve">ORD6459</t>
  </si>
  <si>
    <t xml:space="preserve">C0538</t>
  </si>
  <si>
    <t xml:space="preserve">ORD6460</t>
  </si>
  <si>
    <t xml:space="preserve">C0539</t>
  </si>
  <si>
    <t xml:space="preserve">ORD6461</t>
  </si>
  <si>
    <t xml:space="preserve">ORD6462</t>
  </si>
  <si>
    <t xml:space="preserve">C0540</t>
  </si>
  <si>
    <t xml:space="preserve">ORD6463</t>
  </si>
  <si>
    <t xml:space="preserve">ORD6464</t>
  </si>
  <si>
    <t xml:space="preserve">ORD6465</t>
  </si>
  <si>
    <t xml:space="preserve">C0541</t>
  </si>
  <si>
    <t xml:space="preserve">ORD6466</t>
  </si>
  <si>
    <t xml:space="preserve">ORD6467</t>
  </si>
  <si>
    <t xml:space="preserve">C0542</t>
  </si>
  <si>
    <t xml:space="preserve">ORD6468</t>
  </si>
  <si>
    <t xml:space="preserve">C0543</t>
  </si>
  <si>
    <t xml:space="preserve">ORD6469</t>
  </si>
  <si>
    <t xml:space="preserve">ORD6470</t>
  </si>
  <si>
    <t xml:space="preserve">ORD6471</t>
  </si>
  <si>
    <t xml:space="preserve">ORD6472</t>
  </si>
  <si>
    <t xml:space="preserve">ORD6473</t>
  </si>
  <si>
    <t xml:space="preserve">ORD6474</t>
  </si>
  <si>
    <t xml:space="preserve">ORD6475</t>
  </si>
  <si>
    <t xml:space="preserve">ORD6476</t>
  </si>
  <si>
    <t xml:space="preserve">ORD6477</t>
  </si>
  <si>
    <t xml:space="preserve">C0544</t>
  </si>
  <si>
    <t xml:space="preserve">ORD6478</t>
  </si>
  <si>
    <t xml:space="preserve">C0545</t>
  </si>
  <si>
    <t xml:space="preserve">ORD6479</t>
  </si>
  <si>
    <t xml:space="preserve">ORD6480</t>
  </si>
  <si>
    <t xml:space="preserve">ORD6481</t>
  </si>
  <si>
    <t xml:space="preserve">ORD6482</t>
  </si>
  <si>
    <t xml:space="preserve">C0546</t>
  </si>
  <si>
    <t xml:space="preserve">ORD6483</t>
  </si>
  <si>
    <t xml:space="preserve">ORD6484</t>
  </si>
  <si>
    <t xml:space="preserve">C0547</t>
  </si>
  <si>
    <t xml:space="preserve">ORD6485</t>
  </si>
  <si>
    <t xml:space="preserve">ORD6486</t>
  </si>
  <si>
    <t xml:space="preserve">ORD6487</t>
  </si>
  <si>
    <t xml:space="preserve">ORD6488</t>
  </si>
  <si>
    <t xml:space="preserve">C0548</t>
  </si>
  <si>
    <t xml:space="preserve">ORD6489</t>
  </si>
  <si>
    <t xml:space="preserve">C0549</t>
  </si>
  <si>
    <t xml:space="preserve">ORD6490</t>
  </si>
  <si>
    <t xml:space="preserve">ORD6491</t>
  </si>
  <si>
    <t xml:space="preserve">C0550</t>
  </si>
  <si>
    <t xml:space="preserve">ORD6492</t>
  </si>
  <si>
    <t xml:space="preserve">ORD6493</t>
  </si>
  <si>
    <t xml:space="preserve">C0551</t>
  </si>
  <si>
    <t xml:space="preserve">ORD6494</t>
  </si>
  <si>
    <t xml:space="preserve">C0552</t>
  </si>
  <si>
    <t xml:space="preserve">ORD6495</t>
  </si>
  <si>
    <t xml:space="preserve">ORD6496</t>
  </si>
  <si>
    <t xml:space="preserve">ORD6497</t>
  </si>
  <si>
    <t xml:space="preserve">C0553</t>
  </si>
  <si>
    <t xml:space="preserve">ORD6498</t>
  </si>
  <si>
    <t xml:space="preserve">ORD6499</t>
  </si>
  <si>
    <t xml:space="preserve">C0554</t>
  </si>
  <si>
    <t xml:space="preserve">ORD6500</t>
  </si>
  <si>
    <t xml:space="preserve">C0555</t>
  </si>
  <si>
    <t xml:space="preserve">ORD6501</t>
  </si>
  <si>
    <t xml:space="preserve">ORD6502</t>
  </si>
  <si>
    <t xml:space="preserve">ORD6503</t>
  </si>
  <si>
    <t xml:space="preserve">ORD6504</t>
  </si>
  <si>
    <t xml:space="preserve">C0556</t>
  </si>
  <si>
    <t xml:space="preserve">ORD6505</t>
  </si>
  <si>
    <t xml:space="preserve">C0557</t>
  </si>
  <si>
    <t xml:space="preserve">ORD6506</t>
  </si>
  <si>
    <t xml:space="preserve">C0558</t>
  </si>
  <si>
    <t xml:space="preserve">ORD6507</t>
  </si>
  <si>
    <t xml:space="preserve">ORD6508</t>
  </si>
  <si>
    <t xml:space="preserve">ORD6509</t>
  </si>
  <si>
    <t xml:space="preserve">ORD6510</t>
  </si>
  <si>
    <t xml:space="preserve">ORD6511</t>
  </si>
  <si>
    <t xml:space="preserve">ORD6512</t>
  </si>
  <si>
    <t xml:space="preserve">C0559</t>
  </si>
  <si>
    <t xml:space="preserve">ORD6513</t>
  </si>
  <si>
    <t xml:space="preserve">C0560</t>
  </si>
  <si>
    <t xml:space="preserve">ORD6514</t>
  </si>
  <si>
    <t xml:space="preserve">ORD6515</t>
  </si>
  <si>
    <t xml:space="preserve">ORD6516</t>
  </si>
  <si>
    <t xml:space="preserve">ORD6517</t>
  </si>
  <si>
    <t xml:space="preserve">C0561</t>
  </si>
  <si>
    <t xml:space="preserve">ORD6518</t>
  </si>
  <si>
    <t xml:space="preserve">ORD6519</t>
  </si>
  <si>
    <t xml:space="preserve">C0562</t>
  </si>
  <si>
    <t xml:space="preserve">ORD6520</t>
  </si>
  <si>
    <t xml:space="preserve">ORD6521</t>
  </si>
  <si>
    <t xml:space="preserve">ORD6522</t>
  </si>
  <si>
    <t xml:space="preserve">C0563</t>
  </si>
  <si>
    <t xml:space="preserve">ORD6523</t>
  </si>
  <si>
    <t xml:space="preserve">ORD6524</t>
  </si>
  <si>
    <t xml:space="preserve">C0564</t>
  </si>
  <si>
    <t xml:space="preserve">ORD6525</t>
  </si>
  <si>
    <t xml:space="preserve">C0565</t>
  </si>
  <si>
    <t xml:space="preserve">ORD6526</t>
  </si>
  <si>
    <t xml:space="preserve">ORD6527</t>
  </si>
  <si>
    <t xml:space="preserve">ORD6528</t>
  </si>
  <si>
    <t xml:space="preserve">ORD6529</t>
  </si>
  <si>
    <t xml:space="preserve">ORD6530</t>
  </si>
  <si>
    <t xml:space="preserve">C0566</t>
  </si>
  <si>
    <t xml:space="preserve">ORD6531</t>
  </si>
  <si>
    <t xml:space="preserve">C0567</t>
  </si>
  <si>
    <t xml:space="preserve">ORD6532</t>
  </si>
  <si>
    <t xml:space="preserve">ORD6533</t>
  </si>
  <si>
    <t xml:space="preserve">ORD6534</t>
  </si>
  <si>
    <t xml:space="preserve">ORD6535</t>
  </si>
  <si>
    <t xml:space="preserve">ORD6536</t>
  </si>
  <si>
    <t xml:space="preserve">ORD6537</t>
  </si>
  <si>
    <t xml:space="preserve">C0568</t>
  </si>
  <si>
    <t xml:space="preserve">ORD6538</t>
  </si>
  <si>
    <t xml:space="preserve">C0569</t>
  </si>
  <si>
    <t xml:space="preserve">ORD6539</t>
  </si>
  <si>
    <t xml:space="preserve">C0570</t>
  </si>
  <si>
    <t xml:space="preserve">ORD6540</t>
  </si>
  <si>
    <t xml:space="preserve">C0571</t>
  </si>
  <si>
    <t xml:space="preserve">ORD6541</t>
  </si>
  <si>
    <t xml:space="preserve">ORD6542</t>
  </si>
  <si>
    <t xml:space="preserve">ORD6543</t>
  </si>
  <si>
    <t xml:space="preserve">C0572</t>
  </si>
  <si>
    <t xml:space="preserve">ORD6544</t>
  </si>
  <si>
    <t xml:space="preserve">C0573</t>
  </si>
  <si>
    <t xml:space="preserve">ORD6545</t>
  </si>
  <si>
    <t xml:space="preserve">C0574</t>
  </si>
  <si>
    <t xml:space="preserve">ORD6546</t>
  </si>
  <si>
    <t xml:space="preserve">ORD6547</t>
  </si>
  <si>
    <t xml:space="preserve">C0575</t>
  </si>
  <si>
    <t xml:space="preserve">ORD6548</t>
  </si>
  <si>
    <t xml:space="preserve">ORD6549</t>
  </si>
  <si>
    <t xml:space="preserve">ORD6550</t>
  </si>
  <si>
    <t xml:space="preserve">C0576</t>
  </si>
  <si>
    <t xml:space="preserve">ORD6551</t>
  </si>
  <si>
    <t xml:space="preserve">C0577</t>
  </si>
  <si>
    <t xml:space="preserve">ORD6552</t>
  </si>
  <si>
    <t xml:space="preserve">ORD6553</t>
  </si>
  <si>
    <t xml:space="preserve">ORD6554</t>
  </si>
  <si>
    <t xml:space="preserve">ORD6555</t>
  </si>
  <si>
    <t xml:space="preserve">ORD6556</t>
  </si>
  <si>
    <t xml:space="preserve">C0578</t>
  </si>
  <si>
    <t xml:space="preserve">ORD6557</t>
  </si>
  <si>
    <t xml:space="preserve">ORD6558</t>
  </si>
  <si>
    <t xml:space="preserve">C0579</t>
  </si>
  <si>
    <t xml:space="preserve">ORD6559</t>
  </si>
  <si>
    <t xml:space="preserve">C0580</t>
  </si>
  <si>
    <t xml:space="preserve">ORD6560</t>
  </si>
  <si>
    <t xml:space="preserve">ORD6561</t>
  </si>
  <si>
    <t xml:space="preserve">ORD6562</t>
  </si>
  <si>
    <t xml:space="preserve">C0581</t>
  </si>
  <si>
    <t xml:space="preserve">ORD6563</t>
  </si>
  <si>
    <t xml:space="preserve">C0582</t>
  </si>
  <si>
    <t xml:space="preserve">ORD6564</t>
  </si>
  <si>
    <t xml:space="preserve">ORD6565</t>
  </si>
  <si>
    <t xml:space="preserve">C0583</t>
  </si>
  <si>
    <t xml:space="preserve">ORD6566</t>
  </si>
  <si>
    <t xml:space="preserve">C0584</t>
  </si>
  <si>
    <t xml:space="preserve">ORD6567</t>
  </si>
  <si>
    <t xml:space="preserve">ORD6568</t>
  </si>
  <si>
    <t xml:space="preserve">ORD6569</t>
  </si>
  <si>
    <t xml:space="preserve">ORD6570</t>
  </si>
  <si>
    <t xml:space="preserve">ORD6571</t>
  </si>
  <si>
    <t xml:space="preserve">C0585</t>
  </si>
  <si>
    <t xml:space="preserve">ORD6572</t>
  </si>
  <si>
    <t xml:space="preserve">C0586</t>
  </si>
  <si>
    <t xml:space="preserve">ORD6573</t>
  </si>
  <si>
    <t xml:space="preserve">C0587</t>
  </si>
  <si>
    <t xml:space="preserve">ORD6574</t>
  </si>
  <si>
    <t xml:space="preserve">C0588</t>
  </si>
  <si>
    <t xml:space="preserve">ORD6575</t>
  </si>
  <si>
    <t xml:space="preserve">ORD6576</t>
  </si>
  <si>
    <t xml:space="preserve">C0589</t>
  </si>
  <si>
    <t xml:space="preserve">ORD6577</t>
  </si>
  <si>
    <t xml:space="preserve">C0590</t>
  </si>
  <si>
    <t xml:space="preserve">ORD6578</t>
  </si>
  <si>
    <t xml:space="preserve">ORD6579</t>
  </si>
  <si>
    <t xml:space="preserve">C0591</t>
  </si>
  <si>
    <t xml:space="preserve">ORD6580</t>
  </si>
  <si>
    <t xml:space="preserve">C0592</t>
  </si>
  <si>
    <t xml:space="preserve">ORD6581</t>
  </si>
  <si>
    <t xml:space="preserve">ORD6582</t>
  </si>
  <si>
    <t xml:space="preserve">C0593</t>
  </si>
  <si>
    <t xml:space="preserve">ORD6583</t>
  </si>
  <si>
    <t xml:space="preserve">C0594</t>
  </si>
  <si>
    <t xml:space="preserve">ORD6584</t>
  </si>
  <si>
    <t xml:space="preserve">C0595</t>
  </si>
  <si>
    <t xml:space="preserve">ORD6585</t>
  </si>
  <si>
    <t xml:space="preserve">C0596</t>
  </si>
  <si>
    <t xml:space="preserve">ORD6586</t>
  </si>
  <si>
    <t xml:space="preserve">ORD6587</t>
  </si>
  <si>
    <t xml:space="preserve">ORD6588</t>
  </si>
  <si>
    <t xml:space="preserve">C0597</t>
  </si>
  <si>
    <t xml:space="preserve">ORD6589</t>
  </si>
  <si>
    <t xml:space="preserve">ORD6590</t>
  </si>
  <si>
    <t xml:space="preserve">C0598</t>
  </si>
  <si>
    <t xml:space="preserve">ORD6591</t>
  </si>
  <si>
    <t xml:space="preserve">ORD6592</t>
  </si>
  <si>
    <t xml:space="preserve">ORD6593</t>
  </si>
  <si>
    <t xml:space="preserve">ORD6594</t>
  </si>
  <si>
    <t xml:space="preserve">ORD6595</t>
  </si>
  <si>
    <t xml:space="preserve">ORD6596</t>
  </si>
  <si>
    <t xml:space="preserve">C0599</t>
  </si>
  <si>
    <t xml:space="preserve">ORD6597</t>
  </si>
  <si>
    <t xml:space="preserve">ORD6598</t>
  </si>
  <si>
    <t xml:space="preserve">ORD6599</t>
  </si>
  <si>
    <t xml:space="preserve">ORD6600</t>
  </si>
  <si>
    <t xml:space="preserve">ORD6601</t>
  </si>
  <si>
    <t xml:space="preserve">C0600</t>
  </si>
  <si>
    <t xml:space="preserve">ORD6602</t>
  </si>
  <si>
    <t xml:space="preserve">ORD6603</t>
  </si>
  <si>
    <t xml:space="preserve">ORD6604</t>
  </si>
  <si>
    <t xml:space="preserve">ORD6605</t>
  </si>
  <si>
    <t xml:space="preserve">ORD6606</t>
  </si>
  <si>
    <t xml:space="preserve">ORD6607</t>
  </si>
  <si>
    <t xml:space="preserve">ORD6608</t>
  </si>
  <si>
    <t xml:space="preserve">ORD6609</t>
  </si>
  <si>
    <t xml:space="preserve">C0601</t>
  </si>
  <si>
    <t xml:space="preserve">ORD6610</t>
  </si>
  <si>
    <t xml:space="preserve">C0602</t>
  </si>
  <si>
    <t xml:space="preserve">ORD6611</t>
  </si>
  <si>
    <t xml:space="preserve">ORD6612</t>
  </si>
  <si>
    <t xml:space="preserve">ORD6613</t>
  </si>
  <si>
    <t xml:space="preserve">C0603</t>
  </si>
  <si>
    <t xml:space="preserve">ORD6614</t>
  </si>
  <si>
    <t xml:space="preserve">C0604</t>
  </si>
  <si>
    <t xml:space="preserve">ORD6615</t>
  </si>
  <si>
    <t xml:space="preserve">ORD6616</t>
  </si>
  <si>
    <t xml:space="preserve">ORD6617</t>
  </si>
  <si>
    <t xml:space="preserve">ORD6618</t>
  </si>
  <si>
    <t xml:space="preserve">C0605</t>
  </si>
  <si>
    <t xml:space="preserve">ORD6619</t>
  </si>
  <si>
    <t xml:space="preserve">ORD6620</t>
  </si>
  <si>
    <t xml:space="preserve">ORD6621</t>
  </si>
  <si>
    <t xml:space="preserve">ORD6622</t>
  </si>
  <si>
    <t xml:space="preserve">C0606</t>
  </si>
  <si>
    <t xml:space="preserve">ORD6623</t>
  </si>
  <si>
    <t xml:space="preserve">ORD6624</t>
  </si>
  <si>
    <t xml:space="preserve">C0607</t>
  </si>
  <si>
    <t xml:space="preserve">ORD6625</t>
  </si>
  <si>
    <t xml:space="preserve">ORD6626</t>
  </si>
  <si>
    <t xml:space="preserve">ORD6627</t>
  </si>
  <si>
    <t xml:space="preserve">ORD6628</t>
  </si>
  <si>
    <t xml:space="preserve">ORD6629</t>
  </si>
  <si>
    <t xml:space="preserve">ORD6630</t>
  </si>
  <si>
    <t xml:space="preserve">ORD6631</t>
  </si>
  <si>
    <t xml:space="preserve">ORD6632</t>
  </si>
  <si>
    <t xml:space="preserve">ORD6633</t>
  </si>
  <si>
    <t xml:space="preserve">ORD6634</t>
  </si>
  <si>
    <t xml:space="preserve">C0608</t>
  </si>
  <si>
    <t xml:space="preserve">ORD6635</t>
  </si>
  <si>
    <t xml:space="preserve">ORD6636</t>
  </si>
  <si>
    <t xml:space="preserve">C0609</t>
  </si>
  <si>
    <t xml:space="preserve">ORD6637</t>
  </si>
  <si>
    <t xml:space="preserve">ORD6638</t>
  </si>
  <si>
    <t xml:space="preserve">C0610</t>
  </si>
  <si>
    <t xml:space="preserve">ORD6639</t>
  </si>
  <si>
    <t xml:space="preserve">C0611</t>
  </si>
  <si>
    <t xml:space="preserve">ORD6640</t>
  </si>
  <si>
    <t xml:space="preserve">ORD6641</t>
  </si>
  <si>
    <t xml:space="preserve">ORD6642</t>
  </si>
  <si>
    <t xml:space="preserve">ORD6643</t>
  </si>
  <si>
    <t xml:space="preserve">C0612</t>
  </si>
  <si>
    <t xml:space="preserve">ORD6644</t>
  </si>
  <si>
    <t xml:space="preserve">ORD6645</t>
  </si>
  <si>
    <t xml:space="preserve">C0613</t>
  </si>
  <si>
    <t xml:space="preserve">ORD6646</t>
  </si>
  <si>
    <t xml:space="preserve">ORD6647</t>
  </si>
  <si>
    <t xml:space="preserve">C0614</t>
  </si>
  <si>
    <t xml:space="preserve">ORD6648</t>
  </si>
  <si>
    <t xml:space="preserve">C0615</t>
  </si>
  <si>
    <t xml:space="preserve">ORD6649</t>
  </si>
  <si>
    <t xml:space="preserve">ORD6650</t>
  </si>
  <si>
    <t xml:space="preserve">ORD6651</t>
  </si>
  <si>
    <t xml:space="preserve">C0616</t>
  </si>
  <si>
    <t xml:space="preserve">ORD6652</t>
  </si>
  <si>
    <t xml:space="preserve">ORD6653</t>
  </si>
  <si>
    <t xml:space="preserve">C0617</t>
  </si>
  <si>
    <t xml:space="preserve">ORD6654</t>
  </si>
  <si>
    <t xml:space="preserve">ORD6655</t>
  </si>
  <si>
    <t xml:space="preserve">C0618</t>
  </si>
  <si>
    <t xml:space="preserve">ORD6656</t>
  </si>
  <si>
    <t xml:space="preserve">C0619</t>
  </si>
  <si>
    <t xml:space="preserve">ORD6657</t>
  </si>
  <si>
    <t xml:space="preserve">C0620</t>
  </si>
  <si>
    <t xml:space="preserve">ORD6658</t>
  </si>
  <si>
    <t xml:space="preserve">C0621</t>
  </si>
  <si>
    <t xml:space="preserve">ORD6659</t>
  </si>
  <si>
    <t xml:space="preserve">ORD6660</t>
  </si>
  <si>
    <t xml:space="preserve">C0622</t>
  </si>
  <si>
    <t xml:space="preserve">ORD6661</t>
  </si>
  <si>
    <t xml:space="preserve">ORD6662</t>
  </si>
  <si>
    <t xml:space="preserve">ORD6663</t>
  </si>
  <si>
    <t xml:space="preserve">ORD6664</t>
  </si>
  <si>
    <t xml:space="preserve">ORD6665</t>
  </si>
  <si>
    <t xml:space="preserve">ORD6666</t>
  </si>
  <si>
    <t xml:space="preserve">ORD6667</t>
  </si>
  <si>
    <t xml:space="preserve">ORD6668</t>
  </si>
  <si>
    <t xml:space="preserve">C0623</t>
  </si>
  <si>
    <t xml:space="preserve">ORD6669</t>
  </si>
  <si>
    <t xml:space="preserve">C0624</t>
  </si>
  <si>
    <t xml:space="preserve">ORD6670</t>
  </si>
  <si>
    <t xml:space="preserve">C0625</t>
  </si>
  <si>
    <t xml:space="preserve">ORD6671</t>
  </si>
  <si>
    <t xml:space="preserve">ORD6672</t>
  </si>
  <si>
    <t xml:space="preserve">C0626</t>
  </si>
  <si>
    <t xml:space="preserve">ORD6673</t>
  </si>
  <si>
    <t xml:space="preserve">C0627</t>
  </si>
  <si>
    <t xml:space="preserve">ORD6674</t>
  </si>
  <si>
    <t xml:space="preserve">C0628</t>
  </si>
  <si>
    <t xml:space="preserve">ORD6675</t>
  </si>
  <si>
    <t xml:space="preserve">C0629</t>
  </si>
  <si>
    <t xml:space="preserve">ORD6676</t>
  </si>
  <si>
    <t xml:space="preserve">C0630</t>
  </si>
  <si>
    <t xml:space="preserve">ORD6677</t>
  </si>
  <si>
    <t xml:space="preserve">ORD6678</t>
  </si>
  <si>
    <t xml:space="preserve">ORD6679</t>
  </si>
  <si>
    <t xml:space="preserve">ORD6680</t>
  </si>
  <si>
    <t xml:space="preserve">ORD6681</t>
  </si>
  <si>
    <t xml:space="preserve">C0631</t>
  </si>
  <si>
    <t xml:space="preserve">ORD6682</t>
  </si>
  <si>
    <t xml:space="preserve">C0632</t>
  </si>
  <si>
    <t xml:space="preserve">ORD6683</t>
  </si>
  <si>
    <t xml:space="preserve">ORD6684</t>
  </si>
  <si>
    <t xml:space="preserve">C0633</t>
  </si>
  <si>
    <t xml:space="preserve">ORD6685</t>
  </si>
  <si>
    <t xml:space="preserve">C0634</t>
  </si>
  <si>
    <t xml:space="preserve">ORD6686</t>
  </si>
  <si>
    <t xml:space="preserve">ORD6687</t>
  </si>
  <si>
    <t xml:space="preserve">ORD6688</t>
  </si>
  <si>
    <t xml:space="preserve">ORD6689</t>
  </si>
  <si>
    <t xml:space="preserve">ORD6690</t>
  </si>
  <si>
    <t xml:space="preserve">ORD6691</t>
  </si>
  <si>
    <t xml:space="preserve">ORD6692</t>
  </si>
  <si>
    <t xml:space="preserve">ORD6693</t>
  </si>
  <si>
    <t xml:space="preserve">C0635</t>
  </si>
  <si>
    <t xml:space="preserve">ORD6694</t>
  </si>
  <si>
    <t xml:space="preserve">C0636</t>
  </si>
  <si>
    <t xml:space="preserve">ORD6695</t>
  </si>
  <si>
    <t xml:space="preserve">ORD6696</t>
  </si>
  <si>
    <t xml:space="preserve">C0637</t>
  </si>
  <si>
    <t xml:space="preserve">ORD6697</t>
  </si>
  <si>
    <t xml:space="preserve">C0638</t>
  </si>
  <si>
    <t xml:space="preserve">ORD6698</t>
  </si>
  <si>
    <t xml:space="preserve">C0639</t>
  </si>
  <si>
    <t xml:space="preserve">ORD6699</t>
  </si>
  <si>
    <t xml:space="preserve">C0640</t>
  </si>
  <si>
    <t xml:space="preserve">ORD6700</t>
  </si>
  <si>
    <t xml:space="preserve">C0641</t>
  </si>
  <si>
    <t xml:space="preserve">ORD6701</t>
  </si>
  <si>
    <t xml:space="preserve">C0642</t>
  </si>
  <si>
    <t xml:space="preserve">ORD6702</t>
  </si>
  <si>
    <t xml:space="preserve">ORD6703</t>
  </si>
  <si>
    <t xml:space="preserve">C0643</t>
  </si>
  <si>
    <t xml:space="preserve">ORD6704</t>
  </si>
  <si>
    <t xml:space="preserve">ORD6705</t>
  </si>
  <si>
    <t xml:space="preserve">C0644</t>
  </si>
  <si>
    <t xml:space="preserve">ORD6706</t>
  </si>
  <si>
    <t xml:space="preserve">ORD6707</t>
  </si>
  <si>
    <t xml:space="preserve">ORD6708</t>
  </si>
  <si>
    <t xml:space="preserve">C0645</t>
  </si>
  <si>
    <t xml:space="preserve">ORD6709</t>
  </si>
  <si>
    <t xml:space="preserve">ORD6710</t>
  </si>
  <si>
    <t xml:space="preserve">ORD6711</t>
  </si>
  <si>
    <t xml:space="preserve">C0646</t>
  </si>
  <si>
    <t xml:space="preserve">ORD6712</t>
  </si>
  <si>
    <t xml:space="preserve">C0647</t>
  </si>
  <si>
    <t xml:space="preserve">ORD6713</t>
  </si>
  <si>
    <t xml:space="preserve">ORD6714</t>
  </si>
  <si>
    <t xml:space="preserve">C0648</t>
  </si>
  <si>
    <t xml:space="preserve">ORD6715</t>
  </si>
  <si>
    <t xml:space="preserve">ORD6716</t>
  </si>
  <si>
    <t xml:space="preserve">ORD6717</t>
  </si>
  <si>
    <t xml:space="preserve">ORD6718</t>
  </si>
  <si>
    <t xml:space="preserve">C0649</t>
  </si>
  <si>
    <t xml:space="preserve">ORD6719</t>
  </si>
  <si>
    <t xml:space="preserve">ORD6720</t>
  </si>
  <si>
    <t xml:space="preserve">C0650</t>
  </si>
  <si>
    <t xml:space="preserve">ORD6721</t>
  </si>
  <si>
    <t xml:space="preserve">C0651</t>
  </si>
  <si>
    <t xml:space="preserve">ORD6722</t>
  </si>
  <si>
    <t xml:space="preserve">C0652</t>
  </si>
  <si>
    <t xml:space="preserve">ORD6723</t>
  </si>
  <si>
    <t xml:space="preserve">C0653</t>
  </si>
  <si>
    <t xml:space="preserve">ORD6724</t>
  </si>
  <si>
    <t xml:space="preserve">C0654</t>
  </si>
  <si>
    <t xml:space="preserve">ORD6725</t>
  </si>
  <si>
    <t xml:space="preserve">ORD6726</t>
  </si>
  <si>
    <t xml:space="preserve">ORD6727</t>
  </si>
  <si>
    <t xml:space="preserve">C0655</t>
  </si>
  <si>
    <t xml:space="preserve">ORD6728</t>
  </si>
  <si>
    <t xml:space="preserve">ORD6729</t>
  </si>
  <si>
    <t xml:space="preserve">ORD6730</t>
  </si>
  <si>
    <t xml:space="preserve">ORD6731</t>
  </si>
  <si>
    <t xml:space="preserve">ORD6732</t>
  </si>
  <si>
    <t xml:space="preserve">ORD6733</t>
  </si>
  <si>
    <t xml:space="preserve">ORD6734</t>
  </si>
  <si>
    <t xml:space="preserve">ORD6735</t>
  </si>
  <si>
    <t xml:space="preserve">C0656</t>
  </si>
  <si>
    <t xml:space="preserve">ORD6736</t>
  </si>
  <si>
    <t xml:space="preserve">C0657</t>
  </si>
  <si>
    <t xml:space="preserve">ORD6737</t>
  </si>
  <si>
    <t xml:space="preserve">ORD6738</t>
  </si>
  <si>
    <t xml:space="preserve">ORD6739</t>
  </si>
  <si>
    <t xml:space="preserve">C0658</t>
  </si>
  <si>
    <t xml:space="preserve">ORD6740</t>
  </si>
  <si>
    <t xml:space="preserve">C0659</t>
  </si>
  <si>
    <t xml:space="preserve">ORD6741</t>
  </si>
  <si>
    <t xml:space="preserve">ORD6742</t>
  </si>
  <si>
    <t xml:space="preserve">ORD6743</t>
  </si>
  <si>
    <t xml:space="preserve">ORD6744</t>
  </si>
  <si>
    <t xml:space="preserve">ORD6745</t>
  </si>
  <si>
    <t xml:space="preserve">ORD6746</t>
  </si>
  <si>
    <t xml:space="preserve">ORD6747</t>
  </si>
  <si>
    <t xml:space="preserve">ORD6748</t>
  </si>
  <si>
    <t xml:space="preserve">C0660</t>
  </si>
  <si>
    <t xml:space="preserve">ORD6749</t>
  </si>
  <si>
    <t xml:space="preserve">C0661</t>
  </si>
  <si>
    <t xml:space="preserve">ORD6750</t>
  </si>
  <si>
    <t xml:space="preserve">C0662</t>
  </si>
  <si>
    <t xml:space="preserve">ORD6751</t>
  </si>
  <si>
    <t xml:space="preserve">ORD6752</t>
  </si>
  <si>
    <t xml:space="preserve">ORD6753</t>
  </si>
  <si>
    <t xml:space="preserve">C0663</t>
  </si>
  <si>
    <t xml:space="preserve">ORD6754</t>
  </si>
  <si>
    <t xml:space="preserve">C0664</t>
  </si>
  <si>
    <t xml:space="preserve">ORD6755</t>
  </si>
  <si>
    <t xml:space="preserve">C0665</t>
  </si>
  <si>
    <t xml:space="preserve">ORD6756</t>
  </si>
  <si>
    <t xml:space="preserve">ORD6757</t>
  </si>
  <si>
    <t xml:space="preserve">ORD6758</t>
  </si>
  <si>
    <t xml:space="preserve">ORD6759</t>
  </si>
  <si>
    <t xml:space="preserve">ORD6760</t>
  </si>
  <si>
    <t xml:space="preserve">ORD6761</t>
  </si>
  <si>
    <t xml:space="preserve">C0666</t>
  </si>
  <si>
    <t xml:space="preserve">ORD6762</t>
  </si>
  <si>
    <t xml:space="preserve">ORD6763</t>
  </si>
  <si>
    <t xml:space="preserve">ORD6764</t>
  </si>
  <si>
    <t xml:space="preserve">C0667</t>
  </si>
  <si>
    <t xml:space="preserve">ORD6765</t>
  </si>
  <si>
    <t xml:space="preserve">C0668</t>
  </si>
  <si>
    <t xml:space="preserve">ORD6766</t>
  </si>
  <si>
    <t xml:space="preserve">ORD6767</t>
  </si>
  <si>
    <t xml:space="preserve">C0669</t>
  </si>
  <si>
    <t xml:space="preserve">ORD6768</t>
  </si>
  <si>
    <t xml:space="preserve">ORD6769</t>
  </si>
  <si>
    <t xml:space="preserve">C0670</t>
  </si>
  <si>
    <t xml:space="preserve">ORD6770</t>
  </si>
  <si>
    <t xml:space="preserve">C0671</t>
  </si>
  <si>
    <t xml:space="preserve">ORD6771</t>
  </si>
  <si>
    <t xml:space="preserve">ORD6772</t>
  </si>
  <si>
    <t xml:space="preserve">ORD6773</t>
  </si>
  <si>
    <t xml:space="preserve">ORD6774</t>
  </si>
  <si>
    <t xml:space="preserve">ORD6775</t>
  </si>
  <si>
    <t xml:space="preserve">ORD6776</t>
  </si>
  <si>
    <t xml:space="preserve">ORD6777</t>
  </si>
  <si>
    <t xml:space="preserve">ORD6778</t>
  </si>
  <si>
    <t xml:space="preserve">ORD6779</t>
  </si>
  <si>
    <t xml:space="preserve">ORD6780</t>
  </si>
  <si>
    <t xml:space="preserve">C0672</t>
  </si>
  <si>
    <t xml:space="preserve">ORD6781</t>
  </si>
  <si>
    <t xml:space="preserve">C0673</t>
  </si>
  <si>
    <t xml:space="preserve">ORD6782</t>
  </si>
  <si>
    <t xml:space="preserve">ORD6783</t>
  </si>
  <si>
    <t xml:space="preserve">C0674</t>
  </si>
  <si>
    <t xml:space="preserve">ORD6784</t>
  </si>
  <si>
    <t xml:space="preserve">C0675</t>
  </si>
  <si>
    <t xml:space="preserve">ORD6785</t>
  </si>
  <si>
    <t xml:space="preserve">ORD6786</t>
  </si>
  <si>
    <t xml:space="preserve">C0676</t>
  </si>
  <si>
    <t xml:space="preserve">ORD6787</t>
  </si>
  <si>
    <t xml:space="preserve">ORD6788</t>
  </si>
  <si>
    <t xml:space="preserve">ORD6789</t>
  </si>
  <si>
    <t xml:space="preserve">ORD6790</t>
  </si>
  <si>
    <t xml:space="preserve">ORD6791</t>
  </si>
  <si>
    <t xml:space="preserve">ORD6792</t>
  </si>
  <si>
    <t xml:space="preserve">ORD6793</t>
  </si>
  <si>
    <t xml:space="preserve">ORD6794</t>
  </si>
  <si>
    <t xml:space="preserve">ORD6795</t>
  </si>
  <si>
    <t xml:space="preserve">ORD6796</t>
  </si>
  <si>
    <t xml:space="preserve">C0677</t>
  </si>
  <si>
    <t xml:space="preserve">ORD6797</t>
  </si>
  <si>
    <t xml:space="preserve">ORD6798</t>
  </si>
  <si>
    <t xml:space="preserve">ORD6799</t>
  </si>
  <si>
    <t xml:space="preserve">C0678</t>
  </si>
  <si>
    <t xml:space="preserve">ORD6800</t>
  </si>
  <si>
    <t xml:space="preserve">C0679</t>
  </si>
  <si>
    <t xml:space="preserve">ORD6801</t>
  </si>
  <si>
    <t xml:space="preserve">ORD6802</t>
  </si>
  <si>
    <t xml:space="preserve">ORD6803</t>
  </si>
  <si>
    <t xml:space="preserve">C0680</t>
  </si>
  <si>
    <t xml:space="preserve">ORD6804</t>
  </si>
  <si>
    <t xml:space="preserve">ORD6805</t>
  </si>
  <si>
    <t xml:space="preserve">C0681</t>
  </si>
  <si>
    <t xml:space="preserve">ORD6806</t>
  </si>
  <si>
    <t xml:space="preserve">C0682</t>
  </si>
  <si>
    <t xml:space="preserve">ORD6807</t>
  </si>
  <si>
    <t xml:space="preserve">ORD6808</t>
  </si>
  <si>
    <t xml:space="preserve">C0683</t>
  </si>
  <si>
    <t xml:space="preserve">ORD6809</t>
  </si>
  <si>
    <t xml:space="preserve">C0684</t>
  </si>
  <si>
    <t xml:space="preserve">ORD6810</t>
  </si>
  <si>
    <t xml:space="preserve">ORD6811</t>
  </si>
  <si>
    <t xml:space="preserve">ORD6812</t>
  </si>
  <si>
    <t xml:space="preserve">ORD6813</t>
  </si>
  <si>
    <t xml:space="preserve">C0685</t>
  </si>
  <si>
    <t xml:space="preserve">ORD6814</t>
  </si>
  <si>
    <t xml:space="preserve">ORD6815</t>
  </si>
  <si>
    <t xml:space="preserve">C0686</t>
  </si>
  <si>
    <t xml:space="preserve">ORD6816</t>
  </si>
  <si>
    <t xml:space="preserve">C0687</t>
  </si>
  <si>
    <t xml:space="preserve">ORD6817</t>
  </si>
  <si>
    <t xml:space="preserve">ORD6818</t>
  </si>
  <si>
    <t xml:space="preserve">ORD6819</t>
  </si>
  <si>
    <t xml:space="preserve">ORD6820</t>
  </si>
  <si>
    <t xml:space="preserve">ORD6821</t>
  </si>
  <si>
    <t xml:space="preserve">C0688</t>
  </si>
  <si>
    <t xml:space="preserve">ORD6822</t>
  </si>
  <si>
    <t xml:space="preserve">C0689</t>
  </si>
  <si>
    <t xml:space="preserve">ORD6823</t>
  </si>
  <si>
    <t xml:space="preserve">ORD6824</t>
  </si>
  <si>
    <t xml:space="preserve">ORD6825</t>
  </si>
  <si>
    <t xml:space="preserve">C0690</t>
  </si>
  <si>
    <t xml:space="preserve">ORD6826</t>
  </si>
  <si>
    <t xml:space="preserve">ORD6827</t>
  </si>
  <si>
    <t xml:space="preserve">ORD6828</t>
  </si>
  <si>
    <t xml:space="preserve">ORD6829</t>
  </si>
  <si>
    <t xml:space="preserve">ORD6830</t>
  </si>
  <si>
    <t xml:space="preserve">C0691</t>
  </si>
  <si>
    <t xml:space="preserve">ORD6831</t>
  </si>
  <si>
    <t xml:space="preserve">ORD6832</t>
  </si>
  <si>
    <t xml:space="preserve">ORD6833</t>
  </si>
  <si>
    <t xml:space="preserve">C0692</t>
  </si>
  <si>
    <t xml:space="preserve">ORD6834</t>
  </si>
  <si>
    <t xml:space="preserve">ORD6835</t>
  </si>
  <si>
    <t xml:space="preserve">ORD6836</t>
  </si>
  <si>
    <t xml:space="preserve">ORD6837</t>
  </si>
  <si>
    <t xml:space="preserve">ORD6838</t>
  </si>
  <si>
    <t xml:space="preserve">ORD6839</t>
  </si>
  <si>
    <t xml:space="preserve">C0693</t>
  </si>
  <si>
    <t xml:space="preserve">ORD6840</t>
  </si>
  <si>
    <t xml:space="preserve">C0694</t>
  </si>
  <si>
    <t xml:space="preserve">ORD6841</t>
  </si>
  <si>
    <t xml:space="preserve">C0695</t>
  </si>
  <si>
    <t xml:space="preserve">ORD6842</t>
  </si>
  <si>
    <t xml:space="preserve">ORD6843</t>
  </si>
  <si>
    <t xml:space="preserve">C0696</t>
  </si>
  <si>
    <t xml:space="preserve">ORD6844</t>
  </si>
  <si>
    <t xml:space="preserve">ORD6845</t>
  </si>
  <si>
    <t xml:space="preserve">C0697</t>
  </si>
  <si>
    <t xml:space="preserve">ORD6846</t>
  </si>
  <si>
    <t xml:space="preserve">ORD6847</t>
  </si>
  <si>
    <t xml:space="preserve">ORD6848</t>
  </si>
  <si>
    <t xml:space="preserve">ORD6849</t>
  </si>
  <si>
    <t xml:space="preserve">ORD6850</t>
  </si>
  <si>
    <t xml:space="preserve">ORD6851</t>
  </si>
  <si>
    <t xml:space="preserve">ORD6852</t>
  </si>
  <si>
    <t xml:space="preserve">ORD6853</t>
  </si>
  <si>
    <t xml:space="preserve">ORD6854</t>
  </si>
  <si>
    <t xml:space="preserve">ORD6855</t>
  </si>
  <si>
    <t xml:space="preserve">C0698</t>
  </si>
  <si>
    <t xml:space="preserve">ORD6856</t>
  </si>
  <si>
    <t xml:space="preserve">ORD6857</t>
  </si>
  <si>
    <t xml:space="preserve">ORD6858</t>
  </si>
  <si>
    <t xml:space="preserve">C0699</t>
  </si>
  <si>
    <t xml:space="preserve">ORD6859</t>
  </si>
  <si>
    <t xml:space="preserve">ORD6860</t>
  </si>
  <si>
    <t xml:space="preserve">ORD6861</t>
  </si>
  <si>
    <t xml:space="preserve">C0700</t>
  </si>
  <si>
    <t xml:space="preserve">ORD6862</t>
  </si>
  <si>
    <t xml:space="preserve">ORD6863</t>
  </si>
  <si>
    <t xml:space="preserve">C0701</t>
  </si>
  <si>
    <t xml:space="preserve">ORD6864</t>
  </si>
  <si>
    <t xml:space="preserve">ORD6865</t>
  </si>
  <si>
    <t xml:space="preserve">C0702</t>
  </si>
  <si>
    <t xml:space="preserve">ORD6866</t>
  </si>
  <si>
    <t xml:space="preserve">C0703</t>
  </si>
  <si>
    <t xml:space="preserve">ORD6867</t>
  </si>
  <si>
    <t xml:space="preserve">C0704</t>
  </si>
  <si>
    <t xml:space="preserve">ORD6868</t>
  </si>
  <si>
    <t xml:space="preserve">C0705</t>
  </si>
  <si>
    <t xml:space="preserve">ORD6869</t>
  </si>
  <si>
    <t xml:space="preserve">C0706</t>
  </si>
  <si>
    <t xml:space="preserve">ORD6870</t>
  </si>
  <si>
    <t xml:space="preserve">ORD6871</t>
  </si>
  <si>
    <t xml:space="preserve">C0707</t>
  </si>
  <si>
    <t xml:space="preserve">ORD6872</t>
  </si>
  <si>
    <t xml:space="preserve">C0708</t>
  </si>
  <si>
    <t xml:space="preserve">ORD6873</t>
  </si>
  <si>
    <t xml:space="preserve">ORD6874</t>
  </si>
  <si>
    <t xml:space="preserve">ORD6875</t>
  </si>
  <si>
    <t xml:space="preserve">ORD6876</t>
  </si>
  <si>
    <t xml:space="preserve">ORD6877</t>
  </si>
  <si>
    <t xml:space="preserve">ORD6878</t>
  </si>
  <si>
    <t xml:space="preserve">C0709</t>
  </si>
  <si>
    <t xml:space="preserve">ORD6879</t>
  </si>
  <si>
    <t xml:space="preserve">C0710</t>
  </si>
  <si>
    <t xml:space="preserve">ORD6880</t>
  </si>
  <si>
    <t xml:space="preserve">C0711</t>
  </si>
  <si>
    <t xml:space="preserve">ORD6881</t>
  </si>
  <si>
    <t xml:space="preserve">ORD6882</t>
  </si>
  <si>
    <t xml:space="preserve">ORD6883</t>
  </si>
  <si>
    <t xml:space="preserve">ORD6884</t>
  </si>
  <si>
    <t xml:space="preserve">C0712</t>
  </si>
  <si>
    <t xml:space="preserve">ORD6885</t>
  </si>
  <si>
    <t xml:space="preserve">ORD6886</t>
  </si>
  <si>
    <t xml:space="preserve">C0713</t>
  </si>
  <si>
    <t xml:space="preserve">ORD6887</t>
  </si>
  <si>
    <t xml:space="preserve">C0714</t>
  </si>
  <si>
    <t xml:space="preserve">ORD6888</t>
  </si>
  <si>
    <t xml:space="preserve">ORD6889</t>
  </si>
  <si>
    <t xml:space="preserve">ORD6890</t>
  </si>
  <si>
    <t xml:space="preserve">ORD6891</t>
  </si>
  <si>
    <t xml:space="preserve">ORD6892</t>
  </si>
  <si>
    <t xml:space="preserve">ORD6893</t>
  </si>
  <si>
    <t xml:space="preserve">C0715</t>
  </si>
  <si>
    <t xml:space="preserve">ORD6894</t>
  </si>
  <si>
    <t xml:space="preserve">C0716</t>
  </si>
  <si>
    <t xml:space="preserve">ORD6895</t>
  </si>
  <si>
    <t xml:space="preserve">C0717</t>
  </si>
  <si>
    <t xml:space="preserve">ORD6896</t>
  </si>
  <si>
    <t xml:space="preserve">ORD6897</t>
  </si>
  <si>
    <t xml:space="preserve">ORD6898</t>
  </si>
  <si>
    <t xml:space="preserve">ORD6899</t>
  </si>
  <si>
    <t xml:space="preserve">ORD6900</t>
  </si>
  <si>
    <t xml:space="preserve">ORD6901</t>
  </si>
  <si>
    <t xml:space="preserve">ORD6902</t>
  </si>
  <si>
    <t xml:space="preserve">ORD6903</t>
  </si>
  <si>
    <t xml:space="preserve">ORD6904</t>
  </si>
  <si>
    <t xml:space="preserve">ORD6905</t>
  </si>
  <si>
    <t xml:space="preserve">C0718</t>
  </si>
  <si>
    <t xml:space="preserve">ORD6906</t>
  </si>
  <si>
    <t xml:space="preserve">ORD6907</t>
  </si>
  <si>
    <t xml:space="preserve">ORD6908</t>
  </si>
  <si>
    <t xml:space="preserve">ORD6909</t>
  </si>
  <si>
    <t xml:space="preserve">ORD6910</t>
  </si>
  <si>
    <t xml:space="preserve">C0719</t>
  </si>
  <si>
    <t xml:space="preserve">ORD6911</t>
  </si>
  <si>
    <t xml:space="preserve">ORD6912</t>
  </si>
  <si>
    <t xml:space="preserve">ORD6913</t>
  </si>
  <si>
    <t xml:space="preserve">C0720</t>
  </si>
  <si>
    <t xml:space="preserve">ORD6914</t>
  </si>
  <si>
    <t xml:space="preserve">ORD6915</t>
  </si>
  <si>
    <t xml:space="preserve">ORD6916</t>
  </si>
  <si>
    <t xml:space="preserve">ORD6917</t>
  </si>
  <si>
    <t xml:space="preserve">C0721</t>
  </si>
  <si>
    <t xml:space="preserve">ORD6918</t>
  </si>
  <si>
    <t xml:space="preserve">ORD6919</t>
  </si>
  <si>
    <t xml:space="preserve">C0722</t>
  </si>
  <si>
    <t xml:space="preserve">ORD6920</t>
  </si>
  <si>
    <t xml:space="preserve">C0723</t>
  </si>
  <si>
    <t xml:space="preserve">ORD6921</t>
  </si>
  <si>
    <t xml:space="preserve">C0724</t>
  </si>
  <si>
    <t xml:space="preserve">ORD6922</t>
  </si>
  <si>
    <t xml:space="preserve">ORD6923</t>
  </si>
  <si>
    <t xml:space="preserve">ORD6924</t>
  </si>
  <si>
    <t xml:space="preserve">ORD6925</t>
  </si>
  <si>
    <t xml:space="preserve">ORD6926</t>
  </si>
  <si>
    <t xml:space="preserve">ORD6927</t>
  </si>
  <si>
    <t xml:space="preserve">C0725</t>
  </si>
  <si>
    <t xml:space="preserve">ORD6928</t>
  </si>
  <si>
    <t xml:space="preserve">C0726</t>
  </si>
  <si>
    <t xml:space="preserve">ORD6929</t>
  </si>
  <si>
    <t xml:space="preserve">C0727</t>
  </si>
  <si>
    <t xml:space="preserve">ORD6930</t>
  </si>
  <si>
    <t xml:space="preserve">ORD6931</t>
  </si>
  <si>
    <t xml:space="preserve">ORD6932</t>
  </si>
  <si>
    <t xml:space="preserve">C0728</t>
  </si>
  <si>
    <t xml:space="preserve">ORD6933</t>
  </si>
  <si>
    <t xml:space="preserve">ORD6934</t>
  </si>
  <si>
    <t xml:space="preserve">C0729</t>
  </si>
  <si>
    <t xml:space="preserve">ORD6935</t>
  </si>
  <si>
    <t xml:space="preserve">ORD6936</t>
  </si>
  <si>
    <t xml:space="preserve">C0730</t>
  </si>
  <si>
    <t xml:space="preserve">ORD6937</t>
  </si>
  <si>
    <t xml:space="preserve">C0731</t>
  </si>
  <si>
    <t xml:space="preserve">ORD6938</t>
  </si>
  <si>
    <t xml:space="preserve">C0732</t>
  </si>
  <si>
    <t xml:space="preserve">ORD6939</t>
  </si>
  <si>
    <t xml:space="preserve">ORD6940</t>
  </si>
  <si>
    <t xml:space="preserve">ORD6941</t>
  </si>
  <si>
    <t xml:space="preserve">ORD6942</t>
  </si>
  <si>
    <t xml:space="preserve">C0733</t>
  </si>
  <si>
    <t xml:space="preserve">ORD6943</t>
  </si>
  <si>
    <t xml:space="preserve">C0734</t>
  </si>
  <si>
    <t xml:space="preserve">ORD6944</t>
  </si>
  <si>
    <t xml:space="preserve">C0735</t>
  </si>
  <si>
    <t xml:space="preserve">ORD6945</t>
  </si>
  <si>
    <t xml:space="preserve">ORD6946</t>
  </si>
  <si>
    <t xml:space="preserve">ORD6947</t>
  </si>
  <si>
    <t xml:space="preserve">ORD6948</t>
  </si>
  <si>
    <t xml:space="preserve">ORD6949</t>
  </si>
  <si>
    <t xml:space="preserve">C0736</t>
  </si>
  <si>
    <t xml:space="preserve">ORD6950</t>
  </si>
  <si>
    <t xml:space="preserve">ORD6951</t>
  </si>
  <si>
    <t xml:space="preserve">ORD6952</t>
  </si>
  <si>
    <t xml:space="preserve">C0737</t>
  </si>
  <si>
    <t xml:space="preserve">ORD6953</t>
  </si>
  <si>
    <t xml:space="preserve">ORD6954</t>
  </si>
  <si>
    <t xml:space="preserve">C0738</t>
  </si>
  <si>
    <t xml:space="preserve">ORD6955</t>
  </si>
  <si>
    <t xml:space="preserve">C0739</t>
  </si>
  <si>
    <t xml:space="preserve">ORD6956</t>
  </si>
  <si>
    <t xml:space="preserve">ORD6957</t>
  </si>
  <si>
    <t xml:space="preserve">C0740</t>
  </si>
  <si>
    <t xml:space="preserve">ORD6958</t>
  </si>
  <si>
    <t xml:space="preserve">C0741</t>
  </si>
  <si>
    <t xml:space="preserve">ORD6959</t>
  </si>
  <si>
    <t xml:space="preserve">C0742</t>
  </si>
  <si>
    <t xml:space="preserve">ORD6960</t>
  </si>
  <si>
    <t xml:space="preserve">ORD6961</t>
  </si>
  <si>
    <t xml:space="preserve">C0743</t>
  </si>
  <si>
    <t xml:space="preserve">ORD6962</t>
  </si>
  <si>
    <t xml:space="preserve">ORD6963</t>
  </si>
  <si>
    <t xml:space="preserve">ORD6964</t>
  </si>
  <si>
    <t xml:space="preserve">C0744</t>
  </si>
  <si>
    <t xml:space="preserve">ORD6965</t>
  </si>
  <si>
    <t xml:space="preserve">ORD6966</t>
  </si>
  <si>
    <t xml:space="preserve">ORD6967</t>
  </si>
  <si>
    <t xml:space="preserve">ORD6968</t>
  </si>
  <si>
    <t xml:space="preserve">ORD6969</t>
  </si>
  <si>
    <t xml:space="preserve">ORD6970</t>
  </si>
  <si>
    <t xml:space="preserve">ORD6971</t>
  </si>
  <si>
    <t xml:space="preserve">ORD6972</t>
  </si>
  <si>
    <t xml:space="preserve">C0745</t>
  </si>
  <si>
    <t xml:space="preserve">ORD6973</t>
  </si>
  <si>
    <t xml:space="preserve">ORD6974</t>
  </si>
  <si>
    <t xml:space="preserve">ORD6975</t>
  </si>
  <si>
    <t xml:space="preserve">ORD6976</t>
  </si>
  <si>
    <t xml:space="preserve">C0746</t>
  </si>
  <si>
    <t xml:space="preserve">ORD6977</t>
  </si>
  <si>
    <t xml:space="preserve">C0747</t>
  </si>
  <si>
    <t xml:space="preserve">ORD6978</t>
  </si>
  <si>
    <t xml:space="preserve">C0748</t>
  </si>
  <si>
    <t xml:space="preserve">ORD6979</t>
  </si>
  <si>
    <t xml:space="preserve">C0749</t>
  </si>
  <si>
    <t xml:space="preserve">ORD6980</t>
  </si>
  <si>
    <t xml:space="preserve">C0750</t>
  </si>
  <si>
    <t xml:space="preserve">ORD6981</t>
  </si>
  <si>
    <t xml:space="preserve">ORD6982</t>
  </si>
  <si>
    <t xml:space="preserve">C0751</t>
  </si>
  <si>
    <t xml:space="preserve">ORD6983</t>
  </si>
  <si>
    <t xml:space="preserve">C0752</t>
  </si>
  <si>
    <t xml:space="preserve">ORD6984</t>
  </si>
  <si>
    <t xml:space="preserve">C0753</t>
  </si>
  <si>
    <t xml:space="preserve">ORD6985</t>
  </si>
  <si>
    <t xml:space="preserve">ORD6986</t>
  </si>
  <si>
    <t xml:space="preserve">C0754</t>
  </si>
  <si>
    <t xml:space="preserve">ORD6987</t>
  </si>
  <si>
    <t xml:space="preserve">ORD6988</t>
  </si>
  <si>
    <t xml:space="preserve">ORD6989</t>
  </si>
  <si>
    <t xml:space="preserve">ORD6990</t>
  </si>
  <si>
    <t xml:space="preserve">ORD6991</t>
  </si>
  <si>
    <t xml:space="preserve">ORD6992</t>
  </si>
  <si>
    <t xml:space="preserve">C0755</t>
  </si>
  <si>
    <t xml:space="preserve">ORD6993</t>
  </si>
  <si>
    <t xml:space="preserve">ORD6994</t>
  </si>
  <si>
    <t xml:space="preserve">ORD6995</t>
  </si>
  <si>
    <t xml:space="preserve">ORD6996</t>
  </si>
  <si>
    <t xml:space="preserve">C0756</t>
  </si>
  <si>
    <t xml:space="preserve">ORD6997</t>
  </si>
  <si>
    <t xml:space="preserve">C0757</t>
  </si>
  <si>
    <t xml:space="preserve">ORD6998</t>
  </si>
  <si>
    <t xml:space="preserve">C0758</t>
  </si>
  <si>
    <t xml:space="preserve">ORD6999</t>
  </si>
  <si>
    <t xml:space="preserve">ORD7000</t>
  </si>
  <si>
    <t xml:space="preserve">C0760</t>
  </si>
  <si>
    <t xml:space="preserve">ORD7001</t>
  </si>
  <si>
    <t xml:space="preserve">ORD7002</t>
  </si>
  <si>
    <t xml:space="preserve">ORD7003</t>
  </si>
  <si>
    <t xml:space="preserve">ORD7004</t>
  </si>
  <si>
    <t xml:space="preserve">ORD7005</t>
  </si>
  <si>
    <t xml:space="preserve">ORD7006</t>
  </si>
  <si>
    <t xml:space="preserve">C0761</t>
  </si>
  <si>
    <t xml:space="preserve">ORD7007</t>
  </si>
  <si>
    <t xml:space="preserve">C0762</t>
  </si>
  <si>
    <t xml:space="preserve">ORD7008</t>
  </si>
  <si>
    <t xml:space="preserve">ORD7009</t>
  </si>
  <si>
    <t xml:space="preserve">ORD7010</t>
  </si>
  <si>
    <t xml:space="preserve">C0763</t>
  </si>
  <si>
    <t xml:space="preserve">ORD7011</t>
  </si>
  <si>
    <t xml:space="preserve">ORD7012</t>
  </si>
  <si>
    <t xml:space="preserve">C0764</t>
  </si>
  <si>
    <t xml:space="preserve">ORD7013</t>
  </si>
  <si>
    <t xml:space="preserve">ORD7014</t>
  </si>
  <si>
    <t xml:space="preserve">C0765</t>
  </si>
  <si>
    <t xml:space="preserve">ORD7015</t>
  </si>
  <si>
    <t xml:space="preserve">ORD7016</t>
  </si>
  <si>
    <t xml:space="preserve">ORD7017</t>
  </si>
  <si>
    <t xml:space="preserve">ORD7018</t>
  </si>
  <si>
    <t xml:space="preserve">C0766</t>
  </si>
  <si>
    <t xml:space="preserve">ORD7019</t>
  </si>
  <si>
    <t xml:space="preserve">C0767</t>
  </si>
  <si>
    <t xml:space="preserve">ORD7020</t>
  </si>
  <si>
    <t xml:space="preserve">C0768</t>
  </si>
  <si>
    <t xml:space="preserve">ORD7021</t>
  </si>
  <si>
    <t xml:space="preserve">ORD7022</t>
  </si>
  <si>
    <t xml:space="preserve">ORD7023</t>
  </si>
  <si>
    <t xml:space="preserve">C0769</t>
  </si>
  <si>
    <t xml:space="preserve">ORD7024</t>
  </si>
  <si>
    <t xml:space="preserve">C0770</t>
  </si>
  <si>
    <t xml:space="preserve">ORD7025</t>
  </si>
  <si>
    <t xml:space="preserve">C0771</t>
  </si>
  <si>
    <t xml:space="preserve">ORD7026</t>
  </si>
  <si>
    <t xml:space="preserve">C0772</t>
  </si>
  <si>
    <t xml:space="preserve">ORD7027</t>
  </si>
  <si>
    <t xml:space="preserve">ORD7028</t>
  </si>
  <si>
    <t xml:space="preserve">ORD7029</t>
  </si>
  <si>
    <t xml:space="preserve">ORD7030</t>
  </si>
  <si>
    <t xml:space="preserve">C0773</t>
  </si>
  <si>
    <t xml:space="preserve">ORD7031</t>
  </si>
  <si>
    <t xml:space="preserve">C0774</t>
  </si>
  <si>
    <t xml:space="preserve">ORD7032</t>
  </si>
  <si>
    <t xml:space="preserve">C0775</t>
  </si>
  <si>
    <t xml:space="preserve">ORD7033</t>
  </si>
  <si>
    <t xml:space="preserve">ORD7034</t>
  </si>
  <si>
    <t xml:space="preserve">ORD7035</t>
  </si>
  <si>
    <t xml:space="preserve">ORD7036</t>
  </si>
  <si>
    <t xml:space="preserve">ORD7037</t>
  </si>
  <si>
    <t xml:space="preserve">C0776</t>
  </si>
  <si>
    <t xml:space="preserve">ORD7038</t>
  </si>
  <si>
    <t xml:space="preserve">C0777</t>
  </si>
  <si>
    <t xml:space="preserve">ORD7039</t>
  </si>
  <si>
    <t xml:space="preserve">C0778</t>
  </si>
  <si>
    <t xml:space="preserve">ORD7040</t>
  </si>
  <si>
    <t xml:space="preserve">ORD7041</t>
  </si>
  <si>
    <t xml:space="preserve">ORD7042</t>
  </si>
  <si>
    <t xml:space="preserve">C0779</t>
  </si>
  <si>
    <t xml:space="preserve">ORD7043</t>
  </si>
  <si>
    <t xml:space="preserve">ORD7044</t>
  </si>
  <si>
    <t xml:space="preserve">ORD7045</t>
  </si>
  <si>
    <t xml:space="preserve">ORD7046</t>
  </si>
  <si>
    <t xml:space="preserve">C0780</t>
  </si>
  <si>
    <t xml:space="preserve">ORD7047</t>
  </si>
  <si>
    <t xml:space="preserve">ORD7048</t>
  </si>
  <si>
    <t xml:space="preserve">ORD7049</t>
  </si>
  <si>
    <t xml:space="preserve">C0781</t>
  </si>
  <si>
    <t xml:space="preserve">ORD7050</t>
  </si>
  <si>
    <t xml:space="preserve">ORD7051</t>
  </si>
  <si>
    <t xml:space="preserve">ORD7052</t>
  </si>
  <si>
    <t xml:space="preserve">ORD7053</t>
  </si>
  <si>
    <t xml:space="preserve">ORD7054</t>
  </si>
  <si>
    <t xml:space="preserve">ORD7055</t>
  </si>
  <si>
    <t xml:space="preserve">ORD7056</t>
  </si>
  <si>
    <t xml:space="preserve">ORD7057</t>
  </si>
  <si>
    <t xml:space="preserve">C0782</t>
  </si>
  <si>
    <t xml:space="preserve">ORD7058</t>
  </si>
  <si>
    <t xml:space="preserve">C0783</t>
  </si>
  <si>
    <t xml:space="preserve">ORD7059</t>
  </si>
  <si>
    <t xml:space="preserve">C0784</t>
  </si>
  <si>
    <t xml:space="preserve">ORD7060</t>
  </si>
  <si>
    <t xml:space="preserve">ORD7061</t>
  </si>
  <si>
    <t xml:space="preserve">ORD7062</t>
  </si>
  <si>
    <t xml:space="preserve">ORD7063</t>
  </si>
  <si>
    <t xml:space="preserve">C0785</t>
  </si>
  <si>
    <t xml:space="preserve">ORD7064</t>
  </si>
  <si>
    <t xml:space="preserve">ORD7065</t>
  </si>
  <si>
    <t xml:space="preserve">ORD7066</t>
  </si>
  <si>
    <t xml:space="preserve">ORD7067</t>
  </si>
  <si>
    <t xml:space="preserve">ORD7068</t>
  </si>
  <si>
    <t xml:space="preserve">ORD7069</t>
  </si>
  <si>
    <t xml:space="preserve">ORD7070</t>
  </si>
  <si>
    <t xml:space="preserve">ORD7071</t>
  </si>
  <si>
    <t xml:space="preserve">C0786</t>
  </si>
  <si>
    <t xml:space="preserve">ORD7072</t>
  </si>
  <si>
    <t xml:space="preserve">C0787</t>
  </si>
  <si>
    <t xml:space="preserve">ORD7073</t>
  </si>
  <si>
    <t xml:space="preserve">ORD7074</t>
  </si>
  <si>
    <t xml:space="preserve">ORD7075</t>
  </si>
  <si>
    <t xml:space="preserve">ORD7076</t>
  </si>
  <si>
    <t xml:space="preserve">C0788</t>
  </si>
  <si>
    <t xml:space="preserve">ORD7077</t>
  </si>
  <si>
    <t xml:space="preserve">C0789</t>
  </si>
  <si>
    <t xml:space="preserve">ORD7078</t>
  </si>
  <si>
    <t xml:space="preserve">C0790</t>
  </si>
  <si>
    <t xml:space="preserve">ORD7079</t>
  </si>
  <si>
    <t xml:space="preserve">ORD7080</t>
  </si>
  <si>
    <t xml:space="preserve">ORD7081</t>
  </si>
  <si>
    <t xml:space="preserve">C0791</t>
  </si>
  <si>
    <t xml:space="preserve">ORD7082</t>
  </si>
  <si>
    <t xml:space="preserve">ORD7083</t>
  </si>
  <si>
    <t xml:space="preserve">ORD7084</t>
  </si>
  <si>
    <t xml:space="preserve">C0792</t>
  </si>
  <si>
    <t xml:space="preserve">ORD7085</t>
  </si>
  <si>
    <t xml:space="preserve">ORD7086</t>
  </si>
  <si>
    <t xml:space="preserve">ORD7087</t>
  </si>
  <si>
    <t xml:space="preserve">C0793</t>
  </si>
  <si>
    <t xml:space="preserve">ORD7088</t>
  </si>
  <si>
    <t xml:space="preserve">C0794</t>
  </si>
  <si>
    <t xml:space="preserve">ORD7089</t>
  </si>
  <si>
    <t xml:space="preserve">ORD7090</t>
  </si>
  <si>
    <t xml:space="preserve">ORD7091</t>
  </si>
  <si>
    <t xml:space="preserve">ORD7092</t>
  </si>
  <si>
    <t xml:space="preserve">ORD7093</t>
  </si>
  <si>
    <t xml:space="preserve">ORD7094</t>
  </si>
  <si>
    <t xml:space="preserve">ORD7095</t>
  </si>
  <si>
    <t xml:space="preserve">ORD7096</t>
  </si>
  <si>
    <t xml:space="preserve">C0795</t>
  </si>
  <si>
    <t xml:space="preserve">ORD7097</t>
  </si>
  <si>
    <t xml:space="preserve">ORD7098</t>
  </si>
  <si>
    <t xml:space="preserve">C0796</t>
  </si>
  <si>
    <t xml:space="preserve">ORD7099</t>
  </si>
  <si>
    <t xml:space="preserve">ORD7100</t>
  </si>
  <si>
    <t xml:space="preserve">ORD7101</t>
  </si>
  <si>
    <t xml:space="preserve">ORD7102</t>
  </si>
  <si>
    <t xml:space="preserve">C0797</t>
  </si>
  <si>
    <t xml:space="preserve">ORD7103</t>
  </si>
  <si>
    <t xml:space="preserve">C0798</t>
  </si>
  <si>
    <t xml:space="preserve">ORD7104</t>
  </si>
  <si>
    <t xml:space="preserve">ORD7105</t>
  </si>
  <si>
    <t xml:space="preserve">ORD7106</t>
  </si>
  <si>
    <t xml:space="preserve">ORD7107</t>
  </si>
  <si>
    <t xml:space="preserve">ORD7108</t>
  </si>
  <si>
    <t xml:space="preserve">C0799</t>
  </si>
  <si>
    <t xml:space="preserve">ORD7109</t>
  </si>
  <si>
    <t xml:space="preserve">ORD7110</t>
  </si>
  <si>
    <t xml:space="preserve">ORD7111</t>
  </si>
  <si>
    <t xml:space="preserve">ORD7112</t>
  </si>
  <si>
    <t xml:space="preserve">C0800</t>
  </si>
  <si>
    <t xml:space="preserve">Step</t>
  </si>
  <si>
    <t xml:space="preserve">Action</t>
  </si>
  <si>
    <t xml:space="preserve">Rows affected</t>
  </si>
  <si>
    <t xml:space="preserve">Start</t>
  </si>
  <si>
    <t xml:space="preserve">Rows in raw data</t>
  </si>
  <si>
    <t xml:space="preserve">1</t>
  </si>
  <si>
    <t xml:space="preserve">Removed exact duplicate rows</t>
  </si>
  <si>
    <t xml:space="preserve">2</t>
  </si>
  <si>
    <t xml:space="preserve">Trimmed spaces and fixed text case in Region</t>
  </si>
  <si>
    <t xml:space="preserve">3</t>
  </si>
  <si>
    <t xml:space="preserve">Missing Region labelled "Unspecified" (rows kept)</t>
  </si>
  <si>
    <t xml:space="preserve">4</t>
  </si>
  <si>
    <t xml:space="preserve">Removed rows with missing CustomerID (cannot be used for customer analysis)</t>
  </si>
  <si>
    <t xml:space="preserve">5</t>
  </si>
  <si>
    <t xml:space="preserve">Removed rows with missing Qty (revenue cannot be calculated)</t>
  </si>
  <si>
    <t xml:space="preserve">End</t>
  </si>
  <si>
    <t xml:space="preserve">Rows in clean data</t>
  </si>
  <si>
    <t xml:space="preserve">Month</t>
  </si>
  <si>
    <t xml:space="preserve">Revenue</t>
  </si>
  <si>
    <t xml:space="preserve">Profit</t>
  </si>
  <si>
    <t xml:space="preserve">Unspecified</t>
  </si>
  <si>
    <t xml:space="preserve">Orders</t>
  </si>
  <si>
    <t xml:space="preserve">Type</t>
  </si>
  <si>
    <t xml:space="preserve">Cumulative Share</t>
  </si>
  <si>
    <t xml:space="preserve">Summary tables (all values calculated from Clean_Data and Customers)</t>
  </si>
  <si>
    <t xml:space="preserve">Month No</t>
  </si>
  <si>
    <t xml:space="preserve">MoM Growth</t>
  </si>
  <si>
    <t xml:space="preserve">Seasonality Index</t>
  </si>
  <si>
    <t xml:space="preserve">Orders per customer</t>
  </si>
  <si>
    <t xml:space="preserve">Share of Customers</t>
  </si>
  <si>
    <t xml:space="preserve">Share of Revenue</t>
  </si>
  <si>
    <t xml:space="preserve">Customer KPI</t>
  </si>
  <si>
    <t xml:space="preserve">Value</t>
  </si>
  <si>
    <t xml:space="preserve">Jan</t>
  </si>
  <si>
    <t xml:space="preserve">1 order</t>
  </si>
  <si>
    <t xml:space="preserve">Total customers</t>
  </si>
  <si>
    <t xml:space="preserve">Feb</t>
  </si>
  <si>
    <t xml:space="preserve">2 orders</t>
  </si>
  <si>
    <t xml:space="preserve">Repeat customers</t>
  </si>
  <si>
    <t xml:space="preserve">Mar</t>
  </si>
  <si>
    <t xml:space="preserve">3 orders</t>
  </si>
  <si>
    <t xml:space="preserve">Repeat rate</t>
  </si>
  <si>
    <t xml:space="preserve">Apr</t>
  </si>
  <si>
    <t xml:space="preserve">4-5 orders</t>
  </si>
  <si>
    <t xml:space="preserve">Revenue from repeat customers</t>
  </si>
  <si>
    <t xml:space="preserve">May</t>
  </si>
  <si>
    <t xml:space="preserve">6+ orders</t>
  </si>
  <si>
    <t xml:space="preserve">Repeat revenue share</t>
  </si>
  <si>
    <t xml:space="preserve">Jun</t>
  </si>
  <si>
    <t xml:space="preserve">Total</t>
  </si>
  <si>
    <t xml:space="preserve">Top 10% customers revenue</t>
  </si>
  <si>
    <t xml:space="preserve">Jul</t>
  </si>
  <si>
    <t xml:space="preserve">Top 10% share</t>
  </si>
  <si>
    <t xml:space="preserve">Aug</t>
  </si>
  <si>
    <t xml:space="preserve">Top 20% customers revenue</t>
  </si>
  <si>
    <t xml:space="preserve">Sep</t>
  </si>
  <si>
    <t xml:space="preserve">Customer Decile</t>
  </si>
  <si>
    <t xml:space="preserve">Top 20% share</t>
  </si>
  <si>
    <t xml:space="preserve">Oct</t>
  </si>
  <si>
    <t xml:space="preserve">Decile 1</t>
  </si>
  <si>
    <t xml:space="preserve">Revenue per customer</t>
  </si>
  <si>
    <t xml:space="preserve">Nov</t>
  </si>
  <si>
    <t xml:space="preserve">Decile 2</t>
  </si>
  <si>
    <t xml:space="preserve">Average order value</t>
  </si>
  <si>
    <t xml:space="preserve">Dec</t>
  </si>
  <si>
    <t xml:space="preserve">Decile 3</t>
  </si>
  <si>
    <t xml:space="preserve">Decile 4</t>
  </si>
  <si>
    <t xml:space="preserve">Decile 5</t>
  </si>
  <si>
    <t xml:space="preserve">Decile 6</t>
  </si>
  <si>
    <t xml:space="preserve">Decile 7</t>
  </si>
  <si>
    <t xml:space="preserve">Decile 8</t>
  </si>
  <si>
    <t xml:space="preserve">Decile 9</t>
  </si>
  <si>
    <t xml:space="preserve">Decile 10</t>
  </si>
  <si>
    <t xml:space="preserve">Decile 1 = top 10% of customers by revenue</t>
  </si>
  <si>
    <t xml:space="preserve">Margin</t>
  </si>
  <si>
    <t xml:space="preserve">Revenue per Customer</t>
  </si>
  <si>
    <t xml:space="preserve">Avg Order Value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</si>
</sst>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%"/>
    <numFmt numFmtId="168" formatCode="dd\-mmm\-yyyy"/>
    <numFmt numFmtId="169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Analysis!C3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Analysis!$C$4:$C$15</c:f>
              <c:numCache>
                <c:formatCode>#,##0</c:formatCode>
                <c:ptCount val="12"/>
                <c:pt idx="0">
                  <c:v>1484130</c:v>
                </c:pt>
                <c:pt idx="1">
                  <c:v>1500235</c:v>
                </c:pt>
                <c:pt idx="2">
                  <c:v>1587085</c:v>
                </c:pt>
                <c:pt idx="3">
                  <c:v>1742470</c:v>
                </c:pt>
                <c:pt idx="4">
                  <c:v>2009810</c:v>
                </c:pt>
                <c:pt idx="5">
                  <c:v>1484227.5</c:v>
                </c:pt>
                <c:pt idx="6">
                  <c:v>1237125</c:v>
                </c:pt>
                <c:pt idx="7">
                  <c:v>1856082.5</c:v>
                </c:pt>
                <c:pt idx="8">
                  <c:v>1774650</c:v>
                </c:pt>
                <c:pt idx="9">
                  <c:v>1724992.5</c:v>
                </c:pt>
                <c:pt idx="10">
                  <c:v>2073995</c:v>
                </c:pt>
                <c:pt idx="11">
                  <c:v>2096965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613143"/>
        <c:axId val="74043327"/>
      </c:lineChart>
      <c:catAx>
        <c:axId val="36613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043327"/>
        <c:crosses val="autoZero"/>
        <c:auto val="1"/>
        <c:lblAlgn val="ctr"/>
        <c:lblOffset val="100"/>
        <c:noMultiLvlLbl val="0"/>
      </c:catAx>
      <c:valAx>
        <c:axId val="740433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131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per Customer: Number of Customers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Analysis!J3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Analysis!$I$4:$I$8</c:f>
              <c:strCache>
                <c:ptCount val="5"/>
                <c:pt idx="0">
                  <c:v>1 order</c:v>
                </c:pt>
                <c:pt idx="1">
                  <c:v>2 orders</c:v>
                </c:pt>
                <c:pt idx="2">
                  <c:v>3 orders</c:v>
                </c:pt>
                <c:pt idx="3">
                  <c:v>4-5 orders</c:v>
                </c:pt>
                <c:pt idx="4">
                  <c:v>6+ orders</c:v>
                </c:pt>
              </c:strCache>
            </c:strRef>
          </c:cat>
          <c:val>
            <c:numRef>
              <c:f>Analysis!$J$4:$J$8</c:f>
              <c:numCache>
                <c:formatCode>General</c:formatCode>
                <c:ptCount val="5"/>
                <c:pt idx="0">
                  <c:v>334</c:v>
                </c:pt>
                <c:pt idx="1">
                  <c:v>169</c:v>
                </c:pt>
                <c:pt idx="2">
                  <c:v>109</c:v>
                </c:pt>
                <c:pt idx="3">
                  <c:v>114</c:v>
                </c:pt>
                <c:pt idx="4">
                  <c:v>73</c:v>
                </c:pt>
              </c:numCache>
            </c:numRef>
          </c:val>
        </c:ser>
        <c:gapWidth val="150"/>
        <c:overlap val="0"/>
        <c:axId val="65165857"/>
        <c:axId val="55106572"/>
      </c:barChart>
      <c:catAx>
        <c:axId val="651658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06572"/>
        <c:crosses val="autoZero"/>
        <c:auto val="1"/>
        <c:lblAlgn val="ctr"/>
        <c:lblOffset val="100"/>
        <c:noMultiLvlLbl val="0"/>
      </c:catAx>
      <c:valAx>
        <c:axId val="551065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658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Revenue by Customer Decile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Analysis!L12</c:f>
              <c:strCache>
                <c:ptCount val="1"/>
                <c:pt idx="0">
                  <c:v>Share of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Analysis!$I$13:$I$22</c:f>
              <c:strCache>
                <c:ptCount val="10"/>
                <c:pt idx="0">
                  <c:v>Decile 1</c:v>
                </c:pt>
                <c:pt idx="1">
                  <c:v>Decile 2</c:v>
                </c:pt>
                <c:pt idx="2">
                  <c:v>Decile 3</c:v>
                </c:pt>
                <c:pt idx="3">
                  <c:v>Decile 4</c:v>
                </c:pt>
                <c:pt idx="4">
                  <c:v>Decile 5</c:v>
                </c:pt>
                <c:pt idx="5">
                  <c:v>Decile 6</c:v>
                </c:pt>
                <c:pt idx="6">
                  <c:v>Decile 7</c:v>
                </c:pt>
                <c:pt idx="7">
                  <c:v>Decile 8</c:v>
                </c:pt>
                <c:pt idx="8">
                  <c:v>Decile 9</c:v>
                </c:pt>
                <c:pt idx="9">
                  <c:v>Decile 10</c:v>
                </c:pt>
              </c:strCache>
            </c:strRef>
          </c:cat>
          <c:val>
            <c:numRef>
              <c:f>Analysis!$L$13:$L$22</c:f>
              <c:numCache>
                <c:formatCode>0.0%</c:formatCode>
                <c:ptCount val="10"/>
                <c:pt idx="0">
                  <c:v>0.424320127086795</c:v>
                </c:pt>
                <c:pt idx="1">
                  <c:v>0.198219598777791</c:v>
                </c:pt>
                <c:pt idx="2">
                  <c:v>0.127285732740271</c:v>
                </c:pt>
                <c:pt idx="3">
                  <c:v>0.0883813216341279</c:v>
                </c:pt>
                <c:pt idx="4">
                  <c:v>0.0607441728086806</c:v>
                </c:pt>
                <c:pt idx="5">
                  <c:v>0.0393148036501968</c:v>
                </c:pt>
                <c:pt idx="6">
                  <c:v>0.0271584587955313</c:v>
                </c:pt>
                <c:pt idx="7">
                  <c:v>0.0174778370404974</c:v>
                </c:pt>
                <c:pt idx="8">
                  <c:v>0.0113074873124052</c:v>
                </c:pt>
                <c:pt idx="9">
                  <c:v>0.00579046015370337</c:v>
                </c:pt>
              </c:numCache>
            </c:numRef>
          </c:val>
        </c:ser>
        <c:gapWidth val="150"/>
        <c:overlap val="0"/>
        <c:axId val="48625678"/>
        <c:axId val="42190828"/>
      </c:barChart>
      <c:catAx>
        <c:axId val="486256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90828"/>
        <c:crosses val="autoZero"/>
        <c:auto val="1"/>
        <c:lblAlgn val="ctr"/>
        <c:lblOffset val="100"/>
        <c:noMultiLvlLbl val="0"/>
      </c:catAx>
      <c:valAx>
        <c:axId val="421908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256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Segment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Analysis!D27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Analysis!$A$28:$A$30</c:f>
              <c:strCache>
                <c:ptCount val="3"/>
                <c:pt idx="0">
                  <c:v>Consumer</c:v>
                </c:pt>
                <c:pt idx="1">
                  <c:v>Small Business</c:v>
                </c:pt>
                <c:pt idx="2">
                  <c:v>Corporate</c:v>
                </c:pt>
              </c:strCache>
            </c:strRef>
          </c:cat>
          <c:val>
            <c:numRef>
              <c:f>Analysis!$D$28:$D$30</c:f>
              <c:numCache>
                <c:formatCode>#,##0</c:formatCode>
                <c:ptCount val="3"/>
                <c:pt idx="0">
                  <c:v>6629660</c:v>
                </c:pt>
                <c:pt idx="1">
                  <c:v>5374527.5</c:v>
                </c:pt>
                <c:pt idx="2">
                  <c:v>8567580</c:v>
                </c:pt>
              </c:numCache>
            </c:numRef>
          </c:val>
        </c:ser>
        <c:gapWidth val="150"/>
        <c:overlap val="0"/>
        <c:axId val="81421618"/>
        <c:axId val="8952471"/>
      </c:barChart>
      <c:catAx>
        <c:axId val="814216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2471"/>
        <c:crosses val="autoZero"/>
        <c:auto val="1"/>
        <c:lblAlgn val="ctr"/>
        <c:lblOffset val="100"/>
        <c:noMultiLvlLbl val="0"/>
      </c:catAx>
      <c:valAx>
        <c:axId val="89524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216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Analysis!D34</c:f>
              <c:strCache>
                <c:ptCount val="1"/>
                <c:pt idx="0">
                  <c:v>Margin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Analysis!$A$35:$A$37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Analysis!$D$35:$D$37</c:f>
              <c:numCache>
                <c:formatCode>0.0%</c:formatCode>
                <c:ptCount val="3"/>
                <c:pt idx="0">
                  <c:v>0.27796039214369</c:v>
                </c:pt>
                <c:pt idx="1">
                  <c:v>0.284571949795901</c:v>
                </c:pt>
                <c:pt idx="2">
                  <c:v>0.486830288389482</c:v>
                </c:pt>
              </c:numCache>
            </c:numRef>
          </c:val>
        </c:ser>
        <c:gapWidth val="150"/>
        <c:overlap val="0"/>
        <c:axId val="313516"/>
        <c:axId val="53428515"/>
      </c:barChart>
      <c:catAx>
        <c:axId val="3135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28515"/>
        <c:crosses val="autoZero"/>
        <c:auto val="1"/>
        <c:lblAlgn val="ctr"/>
        <c:lblOffset val="100"/>
        <c:noMultiLvlLbl val="0"/>
      </c:catAx>
      <c:valAx>
        <c:axId val="534285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5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Seasonality Index (1.0 = average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Analysis!G3</c:f>
              <c:strCache>
                <c:ptCount val="1"/>
                <c:pt idx="0">
                  <c:v>Seasonality Index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Analysis!$G$4:$G$15</c:f>
              <c:numCache>
                <c:formatCode>0.00</c:formatCode>
                <c:ptCount val="12"/>
                <c:pt idx="0">
                  <c:v>0.865728236526103</c:v>
                </c:pt>
                <c:pt idx="1">
                  <c:v>0.875122665079702</c:v>
                </c:pt>
                <c:pt idx="2">
                  <c:v>0.925784330393584</c:v>
                </c:pt>
                <c:pt idx="3">
                  <c:v>1.01642408704065</c:v>
                </c:pt>
                <c:pt idx="4">
                  <c:v>1.17236985105922</c:v>
                </c:pt>
                <c:pt idx="5">
                  <c:v>0.865785110589063</c:v>
                </c:pt>
                <c:pt idx="6">
                  <c:v>0.72164436040802</c:v>
                </c:pt>
                <c:pt idx="7">
                  <c:v>1.08269695348249</c:v>
                </c:pt>
                <c:pt idx="8">
                  <c:v>1.03519544443617</c:v>
                </c:pt>
                <c:pt idx="9">
                  <c:v>1.00622904667769</c:v>
                </c:pt>
                <c:pt idx="10">
                  <c:v>1.20981048419879</c:v>
                </c:pt>
                <c:pt idx="11">
                  <c:v>1.22320943010852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738578"/>
        <c:axId val="12581384"/>
      </c:lineChart>
      <c:catAx>
        <c:axId val="517385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81384"/>
        <c:crosses val="autoZero"/>
        <c:auto val="1"/>
        <c:lblAlgn val="ctr"/>
        <c:lblOffset val="100"/>
        <c:noMultiLvlLbl val="0"/>
      </c:catAx>
      <c:valAx>
        <c:axId val="125813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385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130680</xdr:rowOff>
    </xdr:from>
    <xdr:to>
      <xdr:col>7</xdr:col>
      <xdr:colOff>152280</xdr:colOff>
      <xdr:row>22</xdr:row>
      <xdr:rowOff>163440</xdr:rowOff>
    </xdr:to>
    <xdr:graphicFrame>
      <xdr:nvGraphicFramePr>
        <xdr:cNvPr id="0" name="Chart 1"/>
        <xdr:cNvGraphicFramePr/>
      </xdr:nvGraphicFramePr>
      <xdr:xfrm>
        <a:off x="0" y="22096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130680</xdr:rowOff>
    </xdr:from>
    <xdr:to>
      <xdr:col>14</xdr:col>
      <xdr:colOff>479880</xdr:colOff>
      <xdr:row>22</xdr:row>
      <xdr:rowOff>163440</xdr:rowOff>
    </xdr:to>
    <xdr:graphicFrame>
      <xdr:nvGraphicFramePr>
        <xdr:cNvPr id="1" name="Chart 2"/>
        <xdr:cNvGraphicFramePr/>
      </xdr:nvGraphicFramePr>
      <xdr:xfrm>
        <a:off x="5427360" y="22096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130680</xdr:rowOff>
    </xdr:from>
    <xdr:to>
      <xdr:col>7</xdr:col>
      <xdr:colOff>152280</xdr:colOff>
      <xdr:row>38</xdr:row>
      <xdr:rowOff>163440</xdr:rowOff>
    </xdr:to>
    <xdr:graphicFrame>
      <xdr:nvGraphicFramePr>
        <xdr:cNvPr id="2" name="Chart 3"/>
        <xdr:cNvGraphicFramePr/>
      </xdr:nvGraphicFramePr>
      <xdr:xfrm>
        <a:off x="0" y="525780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130680</xdr:rowOff>
    </xdr:from>
    <xdr:to>
      <xdr:col>14</xdr:col>
      <xdr:colOff>479880</xdr:colOff>
      <xdr:row>38</xdr:row>
      <xdr:rowOff>163440</xdr:rowOff>
    </xdr:to>
    <xdr:graphicFrame>
      <xdr:nvGraphicFramePr>
        <xdr:cNvPr id="3" name="Chart 4"/>
        <xdr:cNvGraphicFramePr/>
      </xdr:nvGraphicFramePr>
      <xdr:xfrm>
        <a:off x="5427360" y="525780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40</xdr:row>
      <xdr:rowOff>131040</xdr:rowOff>
    </xdr:from>
    <xdr:to>
      <xdr:col>7</xdr:col>
      <xdr:colOff>152280</xdr:colOff>
      <xdr:row>54</xdr:row>
      <xdr:rowOff>163440</xdr:rowOff>
    </xdr:to>
    <xdr:graphicFrame>
      <xdr:nvGraphicFramePr>
        <xdr:cNvPr id="4" name="Chart 5"/>
        <xdr:cNvGraphicFramePr/>
      </xdr:nvGraphicFramePr>
      <xdr:xfrm>
        <a:off x="0" y="830592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40</xdr:row>
      <xdr:rowOff>131040</xdr:rowOff>
    </xdr:from>
    <xdr:to>
      <xdr:col>14</xdr:col>
      <xdr:colOff>479880</xdr:colOff>
      <xdr:row>54</xdr:row>
      <xdr:rowOff>163440</xdr:rowOff>
    </xdr:to>
    <xdr:graphicFrame>
      <xdr:nvGraphicFramePr>
        <xdr:cNvPr id="5" name="Chart 6"/>
        <xdr:cNvGraphicFramePr/>
      </xdr:nvGraphicFramePr>
      <xdr:xfrm>
        <a:off x="5427360" y="830592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1"/>
  </cols>
  <sheetData>
    <row r="1" customFormat="false" ht="19.7" hidden="false" customHeight="false" outlineLevel="0" collapsed="false">
      <c r="A1" s="4" t="s">
        <v>19</v>
      </c>
    </row>
    <row r="3" customFormat="false" ht="21.75" hidden="false" customHeight="true" outlineLevel="0" collapsed="false">
      <c r="A3" s="5" t="s">
        <v>20</v>
      </c>
      <c r="B3" s="5"/>
      <c r="C3" s="5"/>
      <c r="D3" s="5" t="s">
        <v>21</v>
      </c>
      <c r="E3" s="5"/>
      <c r="F3" s="5"/>
      <c r="G3" s="5" t="s">
        <v>22</v>
      </c>
      <c r="H3" s="5"/>
      <c r="I3" s="5"/>
      <c r="J3" s="5" t="s">
        <v>23</v>
      </c>
      <c r="K3" s="5"/>
      <c r="L3" s="5"/>
    </row>
    <row r="4" customFormat="false" ht="27.75" hidden="false" customHeight="true" outlineLevel="0" collapsed="false">
      <c r="A4" s="6" t="n">
        <f aca="false">Analysis!C16</f>
        <v>20571767.5</v>
      </c>
      <c r="B4" s="6"/>
      <c r="C4" s="6"/>
      <c r="D4" s="6" t="n">
        <f aca="false">Analysis!D16</f>
        <v>6248167.5</v>
      </c>
      <c r="E4" s="6"/>
      <c r="F4" s="6"/>
      <c r="G4" s="7" t="n">
        <f aca="false">Analysis!D16/Analysis!C16</f>
        <v>0.303725360497099</v>
      </c>
      <c r="H4" s="7"/>
      <c r="I4" s="7"/>
      <c r="J4" s="6" t="n">
        <f aca="false">Analysis!E16</f>
        <v>2085</v>
      </c>
      <c r="K4" s="6"/>
      <c r="L4" s="6"/>
    </row>
    <row r="6" customFormat="false" ht="21.75" hidden="false" customHeight="true" outlineLevel="0" collapsed="false">
      <c r="A6" s="5" t="s">
        <v>24</v>
      </c>
      <c r="B6" s="5"/>
      <c r="C6" s="5"/>
      <c r="D6" s="5" t="s">
        <v>25</v>
      </c>
      <c r="E6" s="5"/>
      <c r="F6" s="5"/>
      <c r="G6" s="5" t="s">
        <v>26</v>
      </c>
      <c r="H6" s="5"/>
      <c r="I6" s="5"/>
      <c r="J6" s="5" t="s">
        <v>27</v>
      </c>
      <c r="K6" s="5"/>
      <c r="L6" s="5"/>
    </row>
    <row r="7" customFormat="false" ht="27.75" hidden="false" customHeight="true" outlineLevel="0" collapsed="false">
      <c r="A7" s="6" t="n">
        <f aca="false">Analysis!P4</f>
        <v>799</v>
      </c>
      <c r="B7" s="6"/>
      <c r="C7" s="6"/>
      <c r="D7" s="7" t="n">
        <f aca="false">Analysis!P6</f>
        <v>0.5819774718398</v>
      </c>
      <c r="E7" s="7"/>
      <c r="F7" s="7"/>
      <c r="G7" s="7" t="n">
        <f aca="false">Analysis!P10</f>
        <v>0.424320127086795</v>
      </c>
      <c r="H7" s="7"/>
      <c r="I7" s="7"/>
      <c r="J7" s="6" t="n">
        <f aca="false">Analysis!P14</f>
        <v>9866.5551558753</v>
      </c>
      <c r="K7" s="6"/>
      <c r="L7" s="6"/>
    </row>
  </sheetData>
  <mergeCells count="16">
    <mergeCell ref="A3:C3"/>
    <mergeCell ref="D3:F3"/>
    <mergeCell ref="G3:I3"/>
    <mergeCell ref="J3:L3"/>
    <mergeCell ref="A4:C4"/>
    <mergeCell ref="D4:F4"/>
    <mergeCell ref="G4:I4"/>
    <mergeCell ref="J4:L4"/>
    <mergeCell ref="A6:C6"/>
    <mergeCell ref="D6:F6"/>
    <mergeCell ref="G6:I6"/>
    <mergeCell ref="J6:L6"/>
    <mergeCell ref="A7:C7"/>
    <mergeCell ref="D7:F7"/>
    <mergeCell ref="G7:I7"/>
    <mergeCell ref="J7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5"/>
  </cols>
  <sheetData>
    <row r="1" customFormat="false" ht="16.15" hidden="false" customHeight="false" outlineLevel="0" collapsed="false">
      <c r="A1" s="8" t="s">
        <v>28</v>
      </c>
    </row>
    <row r="3" customFormat="false" ht="15" hidden="false" customHeight="false" outlineLevel="0" collapsed="false">
      <c r="A3" s="3" t="s">
        <v>29</v>
      </c>
    </row>
    <row r="4" customFormat="false" ht="15" hidden="false" customHeight="false" outlineLevel="0" collapsed="false">
      <c r="A4" s="2" t="s">
        <v>30</v>
      </c>
    </row>
    <row r="5" customFormat="false" ht="15" hidden="false" customHeight="false" outlineLevel="0" collapsed="false">
      <c r="A5" s="2" t="s">
        <v>31</v>
      </c>
    </row>
    <row r="6" customFormat="false" ht="15" hidden="false" customHeight="false" outlineLevel="0" collapsed="false">
      <c r="A6" s="2" t="s">
        <v>32</v>
      </c>
    </row>
    <row r="7" customFormat="false" ht="15" hidden="false" customHeight="false" outlineLevel="0" collapsed="false">
      <c r="A7" s="2" t="s">
        <v>33</v>
      </c>
    </row>
    <row r="8" customFormat="false" ht="15" hidden="false" customHeight="false" outlineLevel="0" collapsed="false">
      <c r="A8" s="2" t="s">
        <v>34</v>
      </c>
    </row>
    <row r="9" customFormat="false" ht="15" hidden="false" customHeight="false" outlineLevel="0" collapsed="false">
      <c r="A9" s="2" t="s">
        <v>35</v>
      </c>
    </row>
    <row r="10" customFormat="false" ht="15" hidden="false" customHeight="false" outlineLevel="0" collapsed="false">
      <c r="A10" s="2" t="s">
        <v>36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37</v>
      </c>
    </row>
    <row r="13" customFormat="false" ht="15" hidden="false" customHeight="false" outlineLevel="0" collapsed="false">
      <c r="A13" s="2" t="s">
        <v>38</v>
      </c>
    </row>
    <row r="14" customFormat="false" ht="15" hidden="false" customHeight="false" outlineLevel="0" collapsed="false">
      <c r="A14" s="2" t="s">
        <v>39</v>
      </c>
    </row>
    <row r="15" customFormat="false" ht="15" hidden="false" customHeight="false" outlineLevel="0" collapsed="false">
      <c r="A15" s="2" t="s">
        <v>40</v>
      </c>
    </row>
    <row r="16" customFormat="false" ht="15" hidden="false" customHeight="false" outlineLevel="0" collapsed="false">
      <c r="A16" s="2" t="s">
        <v>41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42</v>
      </c>
    </row>
    <row r="19" customFormat="false" ht="15" hidden="false" customHeight="false" outlineLevel="0" collapsed="false">
      <c r="A19" s="2" t="s">
        <v>43</v>
      </c>
    </row>
    <row r="20" customFormat="false" ht="15" hidden="false" customHeight="false" outlineLevel="0" collapsed="false">
      <c r="A20" s="2" t="s">
        <v>44</v>
      </c>
    </row>
    <row r="21" customFormat="false" ht="15" hidden="false" customHeight="false" outlineLevel="0" collapsed="false">
      <c r="A21" s="2" t="s">
        <v>45</v>
      </c>
    </row>
    <row r="22" customFormat="false" ht="15" hidden="false" customHeight="false" outlineLevel="0" collapsed="false">
      <c r="A22" s="2" t="s">
        <v>46</v>
      </c>
    </row>
    <row r="23" customFormat="false" ht="15" hidden="false" customHeight="false" outlineLevel="0" collapsed="false">
      <c r="A23" s="2" t="s">
        <v>47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48</v>
      </c>
    </row>
    <row r="26" customFormat="false" ht="15" hidden="false" customHeight="false" outlineLevel="0" collapsed="false">
      <c r="A26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9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1" min="10" style="0" width="9"/>
  </cols>
  <sheetData>
    <row r="1" customFormat="false" ht="26.85" hidden="false" customHeight="false" outlineLevel="0" collapsed="false">
      <c r="A1" s="9" t="s">
        <v>50</v>
      </c>
      <c r="B1" s="9" t="s">
        <v>51</v>
      </c>
      <c r="C1" s="9" t="s">
        <v>52</v>
      </c>
      <c r="D1" s="9" t="s">
        <v>53</v>
      </c>
      <c r="E1" s="9" t="s">
        <v>54</v>
      </c>
      <c r="F1" s="9" t="s">
        <v>55</v>
      </c>
      <c r="G1" s="9" t="s">
        <v>56</v>
      </c>
      <c r="H1" s="9" t="s">
        <v>57</v>
      </c>
      <c r="I1" s="9" t="s">
        <v>58</v>
      </c>
      <c r="J1" s="9" t="s">
        <v>59</v>
      </c>
      <c r="K1" s="9" t="s">
        <v>60</v>
      </c>
    </row>
    <row r="2" customFormat="false" ht="15" hidden="false" customHeight="false" outlineLevel="0" collapsed="false">
      <c r="A2" s="2" t="s">
        <v>61</v>
      </c>
      <c r="B2" s="2" t="s">
        <v>62</v>
      </c>
      <c r="C2" s="10" t="n">
        <v>45719</v>
      </c>
      <c r="D2" s="2" t="s">
        <v>63</v>
      </c>
      <c r="E2" s="2" t="s">
        <v>64</v>
      </c>
      <c r="F2" s="2" t="s">
        <v>65</v>
      </c>
      <c r="G2" s="2" t="s">
        <v>66</v>
      </c>
      <c r="H2" s="2" t="n">
        <v>3</v>
      </c>
      <c r="I2" s="2" t="n">
        <v>600</v>
      </c>
      <c r="J2" s="2" t="n">
        <v>0</v>
      </c>
      <c r="K2" s="2" t="n">
        <v>300</v>
      </c>
    </row>
    <row r="3" customFormat="false" ht="15" hidden="false" customHeight="false" outlineLevel="0" collapsed="false">
      <c r="A3" s="2" t="s">
        <v>67</v>
      </c>
      <c r="B3" s="2" t="s">
        <v>68</v>
      </c>
      <c r="C3" s="10" t="n">
        <v>45998</v>
      </c>
      <c r="D3" s="2" t="s">
        <v>63</v>
      </c>
      <c r="E3" s="2" t="s">
        <v>69</v>
      </c>
      <c r="F3" s="2" t="s">
        <v>70</v>
      </c>
      <c r="G3" s="2" t="s">
        <v>71</v>
      </c>
      <c r="H3" s="2" t="n">
        <v>5</v>
      </c>
      <c r="I3" s="2" t="n">
        <v>2500</v>
      </c>
      <c r="J3" s="2" t="n">
        <v>0.15</v>
      </c>
      <c r="K3" s="2" t="n">
        <v>1600</v>
      </c>
    </row>
    <row r="4" customFormat="false" ht="15" hidden="false" customHeight="false" outlineLevel="0" collapsed="false">
      <c r="A4" s="2" t="s">
        <v>72</v>
      </c>
      <c r="B4" s="2" t="s">
        <v>68</v>
      </c>
      <c r="C4" s="10" t="n">
        <v>45696</v>
      </c>
      <c r="D4" s="2" t="s">
        <v>63</v>
      </c>
      <c r="E4" s="2" t="s">
        <v>69</v>
      </c>
      <c r="F4" s="2" t="s">
        <v>73</v>
      </c>
      <c r="G4" s="2" t="s">
        <v>74</v>
      </c>
      <c r="H4" s="2" t="n">
        <v>4</v>
      </c>
      <c r="I4" s="2" t="n">
        <v>7000</v>
      </c>
      <c r="J4" s="2" t="n">
        <v>0</v>
      </c>
      <c r="K4" s="2" t="n">
        <v>4800</v>
      </c>
    </row>
    <row r="5" customFormat="false" ht="15" hidden="false" customHeight="false" outlineLevel="0" collapsed="false">
      <c r="A5" s="2" t="s">
        <v>75</v>
      </c>
      <c r="B5" s="2" t="s">
        <v>76</v>
      </c>
      <c r="C5" s="10" t="n">
        <v>45995</v>
      </c>
      <c r="D5" s="2" t="s">
        <v>77</v>
      </c>
      <c r="E5" s="2" t="s">
        <v>64</v>
      </c>
      <c r="F5" s="2" t="s">
        <v>65</v>
      </c>
      <c r="G5" s="2" t="s">
        <v>78</v>
      </c>
      <c r="H5" s="2" t="n">
        <v>6</v>
      </c>
      <c r="I5" s="2" t="n">
        <v>400</v>
      </c>
      <c r="J5" s="2" t="n">
        <v>0.15</v>
      </c>
      <c r="K5" s="2" t="n">
        <v>200</v>
      </c>
    </row>
    <row r="6" customFormat="false" ht="15" hidden="false" customHeight="false" outlineLevel="0" collapsed="false">
      <c r="A6" s="2" t="s">
        <v>79</v>
      </c>
      <c r="B6" s="2" t="s">
        <v>80</v>
      </c>
      <c r="C6" s="10" t="n">
        <v>45943</v>
      </c>
      <c r="D6" s="2" t="s">
        <v>81</v>
      </c>
      <c r="E6" s="2" t="s">
        <v>69</v>
      </c>
      <c r="F6" s="2" t="s">
        <v>65</v>
      </c>
      <c r="G6" s="2" t="s">
        <v>82</v>
      </c>
      <c r="H6" s="2" t="n">
        <v>6</v>
      </c>
      <c r="I6" s="2" t="n">
        <v>250</v>
      </c>
      <c r="J6" s="2" t="n">
        <v>0.15</v>
      </c>
      <c r="K6" s="2" t="n">
        <v>100</v>
      </c>
    </row>
    <row r="7" customFormat="false" ht="15" hidden="false" customHeight="false" outlineLevel="0" collapsed="false">
      <c r="A7" s="2" t="s">
        <v>83</v>
      </c>
      <c r="B7" s="2" t="s">
        <v>80</v>
      </c>
      <c r="C7" s="10" t="n">
        <v>45910</v>
      </c>
      <c r="D7" s="2" t="s">
        <v>81</v>
      </c>
      <c r="E7" s="2" t="s">
        <v>69</v>
      </c>
      <c r="F7" s="2" t="s">
        <v>73</v>
      </c>
      <c r="G7" s="2" t="s">
        <v>74</v>
      </c>
      <c r="H7" s="2" t="n">
        <v>1</v>
      </c>
      <c r="I7" s="2" t="n">
        <v>7000</v>
      </c>
      <c r="J7" s="2" t="n">
        <v>0</v>
      </c>
      <c r="K7" s="2" t="n">
        <v>4800</v>
      </c>
    </row>
    <row r="8" customFormat="false" ht="15" hidden="false" customHeight="false" outlineLevel="0" collapsed="false">
      <c r="A8" s="2" t="s">
        <v>84</v>
      </c>
      <c r="B8" s="2" t="s">
        <v>80</v>
      </c>
      <c r="C8" s="10" t="n">
        <v>46001</v>
      </c>
      <c r="D8" s="2" t="s">
        <v>81</v>
      </c>
      <c r="E8" s="2" t="s">
        <v>69</v>
      </c>
      <c r="F8" s="2" t="s">
        <v>73</v>
      </c>
      <c r="G8" s="2" t="s">
        <v>85</v>
      </c>
      <c r="H8" s="2" t="n">
        <v>5</v>
      </c>
      <c r="I8" s="2" t="n">
        <v>1200</v>
      </c>
      <c r="J8" s="2" t="n">
        <v>0.15</v>
      </c>
      <c r="K8" s="2" t="n">
        <v>600</v>
      </c>
    </row>
    <row r="9" customFormat="false" ht="15" hidden="false" customHeight="false" outlineLevel="0" collapsed="false">
      <c r="A9" s="2" t="s">
        <v>86</v>
      </c>
      <c r="B9" s="2" t="s">
        <v>80</v>
      </c>
      <c r="C9" s="10" t="n">
        <v>45881</v>
      </c>
      <c r="D9" s="2" t="s">
        <v>81</v>
      </c>
      <c r="E9" s="2" t="s">
        <v>69</v>
      </c>
      <c r="F9" s="2" t="s">
        <v>73</v>
      </c>
      <c r="G9" s="2" t="s">
        <v>87</v>
      </c>
      <c r="H9" s="2" t="n">
        <v>5</v>
      </c>
      <c r="I9" s="2" t="n">
        <v>9000</v>
      </c>
      <c r="J9" s="2" t="n">
        <v>0</v>
      </c>
      <c r="K9" s="2" t="n">
        <v>6200</v>
      </c>
    </row>
    <row r="10" customFormat="false" ht="15" hidden="false" customHeight="false" outlineLevel="0" collapsed="false">
      <c r="A10" s="2" t="s">
        <v>88</v>
      </c>
      <c r="B10" s="2" t="s">
        <v>80</v>
      </c>
      <c r="C10" s="10" t="n">
        <v>45920</v>
      </c>
      <c r="D10" s="2" t="s">
        <v>81</v>
      </c>
      <c r="E10" s="2" t="s">
        <v>69</v>
      </c>
      <c r="F10" s="2" t="s">
        <v>65</v>
      </c>
      <c r="G10" s="2" t="s">
        <v>78</v>
      </c>
      <c r="H10" s="2" t="n">
        <v>7</v>
      </c>
      <c r="I10" s="2" t="n">
        <v>400</v>
      </c>
      <c r="J10" s="2" t="n">
        <v>0</v>
      </c>
      <c r="K10" s="2" t="n">
        <v>200</v>
      </c>
    </row>
    <row r="11" customFormat="false" ht="15" hidden="false" customHeight="false" outlineLevel="0" collapsed="false">
      <c r="A11" s="2" t="s">
        <v>89</v>
      </c>
      <c r="B11" s="2" t="s">
        <v>90</v>
      </c>
      <c r="C11" s="10" t="n">
        <v>45823</v>
      </c>
      <c r="D11" s="2" t="s">
        <v>91</v>
      </c>
      <c r="E11" s="2" t="s">
        <v>92</v>
      </c>
      <c r="F11" s="2" t="s">
        <v>73</v>
      </c>
      <c r="G11" s="2" t="s">
        <v>87</v>
      </c>
      <c r="H11" s="2" t="n">
        <v>5</v>
      </c>
      <c r="I11" s="2" t="n">
        <v>9000</v>
      </c>
      <c r="J11" s="2" t="n">
        <v>0.1</v>
      </c>
      <c r="K11" s="2" t="n">
        <v>6200</v>
      </c>
    </row>
    <row r="12" customFormat="false" ht="15" hidden="false" customHeight="false" outlineLevel="0" collapsed="false">
      <c r="A12" s="2" t="s">
        <v>93</v>
      </c>
      <c r="B12" s="2" t="s">
        <v>90</v>
      </c>
      <c r="C12" s="10" t="n">
        <v>45953</v>
      </c>
      <c r="D12" s="2"/>
      <c r="E12" s="2" t="s">
        <v>92</v>
      </c>
      <c r="F12" s="2" t="s">
        <v>73</v>
      </c>
      <c r="G12" s="2" t="s">
        <v>85</v>
      </c>
      <c r="H12" s="2" t="n">
        <v>3</v>
      </c>
      <c r="I12" s="2" t="n">
        <v>1200</v>
      </c>
      <c r="J12" s="2" t="n">
        <v>0.1</v>
      </c>
      <c r="K12" s="2" t="n">
        <v>600</v>
      </c>
    </row>
    <row r="13" customFormat="false" ht="15" hidden="false" customHeight="false" outlineLevel="0" collapsed="false">
      <c r="A13" s="2" t="s">
        <v>94</v>
      </c>
      <c r="B13" s="2" t="s">
        <v>90</v>
      </c>
      <c r="C13" s="10" t="n">
        <v>45727</v>
      </c>
      <c r="D13" s="2" t="s">
        <v>91</v>
      </c>
      <c r="E13" s="2" t="s">
        <v>92</v>
      </c>
      <c r="F13" s="2" t="s">
        <v>73</v>
      </c>
      <c r="G13" s="2" t="s">
        <v>87</v>
      </c>
      <c r="H13" s="2" t="n">
        <v>4</v>
      </c>
      <c r="I13" s="2" t="n">
        <v>9000</v>
      </c>
      <c r="J13" s="2" t="n">
        <v>0.15</v>
      </c>
      <c r="K13" s="2" t="n">
        <v>6200</v>
      </c>
    </row>
    <row r="14" customFormat="false" ht="15" hidden="false" customHeight="false" outlineLevel="0" collapsed="false">
      <c r="A14" s="2" t="s">
        <v>95</v>
      </c>
      <c r="B14" s="2" t="s">
        <v>96</v>
      </c>
      <c r="C14" s="10" t="n">
        <v>45917</v>
      </c>
      <c r="D14" s="2" t="s">
        <v>63</v>
      </c>
      <c r="E14" s="2" t="s">
        <v>64</v>
      </c>
      <c r="F14" s="2" t="s">
        <v>70</v>
      </c>
      <c r="G14" s="2" t="s">
        <v>97</v>
      </c>
      <c r="H14" s="2" t="n">
        <v>2</v>
      </c>
      <c r="I14" s="2" t="n">
        <v>3000</v>
      </c>
      <c r="J14" s="2" t="n">
        <v>0</v>
      </c>
      <c r="K14" s="2" t="n">
        <v>2000</v>
      </c>
    </row>
    <row r="15" customFormat="false" ht="15" hidden="false" customHeight="false" outlineLevel="0" collapsed="false">
      <c r="A15" s="2" t="s">
        <v>98</v>
      </c>
      <c r="B15" s="2" t="s">
        <v>99</v>
      </c>
      <c r="C15" s="10" t="n">
        <v>45671</v>
      </c>
      <c r="D15" s="2" t="s">
        <v>91</v>
      </c>
      <c r="E15" s="2" t="s">
        <v>64</v>
      </c>
      <c r="F15" s="2" t="s">
        <v>73</v>
      </c>
      <c r="G15" s="2" t="s">
        <v>85</v>
      </c>
      <c r="H15" s="2" t="n">
        <v>1</v>
      </c>
      <c r="I15" s="2" t="n">
        <v>1200</v>
      </c>
      <c r="J15" s="2" t="n">
        <v>0.05</v>
      </c>
      <c r="K15" s="2" t="n">
        <v>600</v>
      </c>
    </row>
    <row r="16" customFormat="false" ht="15" hidden="false" customHeight="false" outlineLevel="0" collapsed="false">
      <c r="A16" s="2" t="s">
        <v>100</v>
      </c>
      <c r="B16" s="2" t="s">
        <v>101</v>
      </c>
      <c r="C16" s="10" t="n">
        <v>46010</v>
      </c>
      <c r="D16" s="2" t="s">
        <v>81</v>
      </c>
      <c r="E16" s="2" t="s">
        <v>64</v>
      </c>
      <c r="F16" s="2" t="s">
        <v>73</v>
      </c>
      <c r="G16" s="2" t="s">
        <v>74</v>
      </c>
      <c r="H16" s="2" t="n">
        <v>3</v>
      </c>
      <c r="I16" s="2" t="n">
        <v>7000</v>
      </c>
      <c r="J16" s="2" t="n">
        <v>0.15</v>
      </c>
      <c r="K16" s="2" t="n">
        <v>4800</v>
      </c>
    </row>
    <row r="17" customFormat="false" ht="15" hidden="false" customHeight="false" outlineLevel="0" collapsed="false">
      <c r="A17" s="2" t="s">
        <v>102</v>
      </c>
      <c r="B17" s="2" t="s">
        <v>103</v>
      </c>
      <c r="C17" s="10" t="n">
        <v>46010</v>
      </c>
      <c r="D17" s="2" t="s">
        <v>81</v>
      </c>
      <c r="E17" s="2" t="s">
        <v>64</v>
      </c>
      <c r="F17" s="2" t="s">
        <v>73</v>
      </c>
      <c r="G17" s="2" t="s">
        <v>104</v>
      </c>
      <c r="H17" s="2" t="n">
        <v>2</v>
      </c>
      <c r="I17" s="2" t="n">
        <v>5500</v>
      </c>
      <c r="J17" s="2" t="n">
        <v>0.1</v>
      </c>
      <c r="K17" s="2" t="n">
        <v>3600</v>
      </c>
    </row>
    <row r="18" customFormat="false" ht="15" hidden="false" customHeight="false" outlineLevel="0" collapsed="false">
      <c r="A18" s="2" t="s">
        <v>105</v>
      </c>
      <c r="B18" s="2" t="s">
        <v>106</v>
      </c>
      <c r="C18" s="10" t="n">
        <v>45977</v>
      </c>
      <c r="D18" s="2" t="s">
        <v>63</v>
      </c>
      <c r="E18" s="2" t="s">
        <v>64</v>
      </c>
      <c r="F18" s="2" t="s">
        <v>65</v>
      </c>
      <c r="G18" s="2" t="s">
        <v>107</v>
      </c>
      <c r="H18" s="2" t="n">
        <v>2</v>
      </c>
      <c r="I18" s="2" t="n">
        <v>500</v>
      </c>
      <c r="J18" s="2" t="n">
        <v>0.05</v>
      </c>
      <c r="K18" s="2" t="n">
        <v>250</v>
      </c>
    </row>
    <row r="19" customFormat="false" ht="15" hidden="false" customHeight="false" outlineLevel="0" collapsed="false">
      <c r="A19" s="2" t="s">
        <v>108</v>
      </c>
      <c r="B19" s="2" t="s">
        <v>106</v>
      </c>
      <c r="C19" s="10" t="n">
        <v>45922</v>
      </c>
      <c r="D19" s="2" t="s">
        <v>63</v>
      </c>
      <c r="E19" s="2" t="s">
        <v>64</v>
      </c>
      <c r="F19" s="2" t="s">
        <v>65</v>
      </c>
      <c r="G19" s="2" t="s">
        <v>78</v>
      </c>
      <c r="H19" s="2" t="n">
        <v>2</v>
      </c>
      <c r="I19" s="2" t="n">
        <v>400</v>
      </c>
      <c r="J19" s="2" t="n">
        <v>0.1</v>
      </c>
      <c r="K19" s="2" t="n">
        <v>200</v>
      </c>
    </row>
    <row r="20" customFormat="false" ht="15" hidden="false" customHeight="false" outlineLevel="0" collapsed="false">
      <c r="A20" s="2" t="s">
        <v>109</v>
      </c>
      <c r="B20" s="2" t="s">
        <v>106</v>
      </c>
      <c r="C20" s="10" t="n">
        <v>45931</v>
      </c>
      <c r="D20" s="2" t="s">
        <v>63</v>
      </c>
      <c r="E20" s="2" t="s">
        <v>64</v>
      </c>
      <c r="F20" s="2" t="s">
        <v>73</v>
      </c>
      <c r="G20" s="2" t="s">
        <v>85</v>
      </c>
      <c r="H20" s="2" t="n">
        <v>2</v>
      </c>
      <c r="I20" s="2" t="n">
        <v>1200</v>
      </c>
      <c r="J20" s="2" t="n">
        <v>0.05</v>
      </c>
      <c r="K20" s="2" t="n">
        <v>600</v>
      </c>
    </row>
    <row r="21" customFormat="false" ht="15" hidden="false" customHeight="false" outlineLevel="0" collapsed="false">
      <c r="A21" s="2" t="s">
        <v>110</v>
      </c>
      <c r="B21" s="2" t="s">
        <v>106</v>
      </c>
      <c r="C21" s="10" t="n">
        <v>46007</v>
      </c>
      <c r="D21" s="2" t="s">
        <v>63</v>
      </c>
      <c r="E21" s="2" t="s">
        <v>64</v>
      </c>
      <c r="F21" s="2" t="s">
        <v>65</v>
      </c>
      <c r="G21" s="2" t="s">
        <v>107</v>
      </c>
      <c r="H21" s="2" t="n">
        <v>4</v>
      </c>
      <c r="I21" s="2" t="n">
        <v>500</v>
      </c>
      <c r="J21" s="2" t="n">
        <v>0.05</v>
      </c>
      <c r="K21" s="2" t="n">
        <v>250</v>
      </c>
    </row>
    <row r="22" customFormat="false" ht="15" hidden="false" customHeight="false" outlineLevel="0" collapsed="false">
      <c r="A22" s="2" t="s">
        <v>111</v>
      </c>
      <c r="B22" s="2" t="s">
        <v>106</v>
      </c>
      <c r="C22" s="10" t="n">
        <v>45974</v>
      </c>
      <c r="D22" s="2" t="s">
        <v>63</v>
      </c>
      <c r="E22" s="2" t="s">
        <v>64</v>
      </c>
      <c r="F22" s="2" t="s">
        <v>70</v>
      </c>
      <c r="G22" s="2" t="s">
        <v>71</v>
      </c>
      <c r="H22" s="2" t="n">
        <v>1</v>
      </c>
      <c r="I22" s="2" t="n">
        <v>2500</v>
      </c>
      <c r="J22" s="2" t="n">
        <v>0.05</v>
      </c>
      <c r="K22" s="2" t="n">
        <v>1600</v>
      </c>
    </row>
    <row r="23" customFormat="false" ht="15" hidden="false" customHeight="false" outlineLevel="0" collapsed="false">
      <c r="A23" s="2" t="s">
        <v>112</v>
      </c>
      <c r="B23" s="2" t="s">
        <v>113</v>
      </c>
      <c r="C23" s="10" t="n">
        <v>45884</v>
      </c>
      <c r="D23" s="2" t="s">
        <v>63</v>
      </c>
      <c r="E23" s="2" t="s">
        <v>69</v>
      </c>
      <c r="F23" s="2" t="s">
        <v>65</v>
      </c>
      <c r="G23" s="2" t="s">
        <v>107</v>
      </c>
      <c r="H23" s="2" t="n">
        <v>20</v>
      </c>
      <c r="I23" s="2" t="n">
        <v>500</v>
      </c>
      <c r="J23" s="2" t="n">
        <v>0</v>
      </c>
      <c r="K23" s="2" t="n">
        <v>250</v>
      </c>
    </row>
    <row r="24" customFormat="false" ht="15" hidden="false" customHeight="false" outlineLevel="0" collapsed="false">
      <c r="A24" s="2" t="s">
        <v>114</v>
      </c>
      <c r="B24" s="2" t="s">
        <v>113</v>
      </c>
      <c r="C24" s="10" t="n">
        <v>45958</v>
      </c>
      <c r="D24" s="2" t="s">
        <v>63</v>
      </c>
      <c r="E24" s="2" t="s">
        <v>69</v>
      </c>
      <c r="F24" s="2" t="s">
        <v>70</v>
      </c>
      <c r="G24" s="2" t="s">
        <v>97</v>
      </c>
      <c r="H24" s="2" t="n">
        <v>3</v>
      </c>
      <c r="I24" s="2" t="n">
        <v>3000</v>
      </c>
      <c r="J24" s="2" t="n">
        <v>0.1</v>
      </c>
      <c r="K24" s="2" t="n">
        <v>2000</v>
      </c>
    </row>
    <row r="25" customFormat="false" ht="15" hidden="false" customHeight="false" outlineLevel="0" collapsed="false">
      <c r="A25" s="2" t="s">
        <v>115</v>
      </c>
      <c r="B25" s="2" t="s">
        <v>113</v>
      </c>
      <c r="C25" s="10" t="n">
        <v>45999</v>
      </c>
      <c r="D25" s="2" t="s">
        <v>63</v>
      </c>
      <c r="E25" s="2" t="s">
        <v>69</v>
      </c>
      <c r="F25" s="2" t="s">
        <v>73</v>
      </c>
      <c r="G25" s="2" t="s">
        <v>104</v>
      </c>
      <c r="H25" s="2" t="n">
        <v>4</v>
      </c>
      <c r="I25" s="2" t="n">
        <v>5500</v>
      </c>
      <c r="J25" s="2" t="n">
        <v>0.1</v>
      </c>
      <c r="K25" s="2" t="n">
        <v>3600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10" t="n">
        <v>45738</v>
      </c>
      <c r="D26" s="2" t="s">
        <v>81</v>
      </c>
      <c r="E26" s="2" t="s">
        <v>69</v>
      </c>
      <c r="F26" s="2" t="s">
        <v>73</v>
      </c>
      <c r="G26" s="2" t="s">
        <v>87</v>
      </c>
      <c r="H26" s="2" t="n">
        <v>2</v>
      </c>
      <c r="I26" s="2" t="n">
        <v>9000</v>
      </c>
      <c r="J26" s="2" t="n">
        <v>0</v>
      </c>
      <c r="K26" s="2" t="n">
        <v>6200</v>
      </c>
    </row>
    <row r="27" customFormat="false" ht="15" hidden="false" customHeight="false" outlineLevel="0" collapsed="false">
      <c r="A27" s="2" t="s">
        <v>118</v>
      </c>
      <c r="B27" s="2" t="s">
        <v>117</v>
      </c>
      <c r="C27" s="10" t="n">
        <v>45844</v>
      </c>
      <c r="D27" s="2" t="s">
        <v>81</v>
      </c>
      <c r="E27" s="2" t="s">
        <v>69</v>
      </c>
      <c r="F27" s="2" t="s">
        <v>65</v>
      </c>
      <c r="G27" s="2" t="s">
        <v>82</v>
      </c>
      <c r="H27" s="2" t="n">
        <v>20</v>
      </c>
      <c r="I27" s="2" t="n">
        <v>250</v>
      </c>
      <c r="J27" s="2" t="n">
        <v>0.1</v>
      </c>
      <c r="K27" s="2" t="n">
        <v>100</v>
      </c>
    </row>
    <row r="28" customFormat="false" ht="15" hidden="false" customHeight="false" outlineLevel="0" collapsed="false">
      <c r="A28" s="2" t="s">
        <v>119</v>
      </c>
      <c r="B28" s="2" t="s">
        <v>120</v>
      </c>
      <c r="C28" s="10" t="n">
        <v>45887</v>
      </c>
      <c r="D28" s="2" t="s">
        <v>81</v>
      </c>
      <c r="E28" s="2" t="s">
        <v>64</v>
      </c>
      <c r="F28" s="2" t="s">
        <v>73</v>
      </c>
      <c r="G28" s="2" t="s">
        <v>104</v>
      </c>
      <c r="H28" s="2" t="n">
        <v>2</v>
      </c>
      <c r="I28" s="2" t="n">
        <v>5500</v>
      </c>
      <c r="J28" s="2" t="n">
        <v>0.05</v>
      </c>
      <c r="K28" s="2" t="n">
        <v>3600</v>
      </c>
    </row>
    <row r="29" customFormat="false" ht="15" hidden="false" customHeight="false" outlineLevel="0" collapsed="false">
      <c r="A29" s="2" t="s">
        <v>121</v>
      </c>
      <c r="B29" s="2" t="s">
        <v>120</v>
      </c>
      <c r="C29" s="10" t="n">
        <v>46014</v>
      </c>
      <c r="D29" s="2" t="s">
        <v>81</v>
      </c>
      <c r="E29" s="2" t="s">
        <v>64</v>
      </c>
      <c r="F29" s="2" t="s">
        <v>70</v>
      </c>
      <c r="G29" s="2" t="s">
        <v>122</v>
      </c>
      <c r="H29" s="2" t="n">
        <v>3</v>
      </c>
      <c r="I29" s="2" t="n">
        <v>1500</v>
      </c>
      <c r="J29" s="2" t="n">
        <v>0.05</v>
      </c>
      <c r="K29" s="2" t="n">
        <v>900</v>
      </c>
    </row>
    <row r="30" customFormat="false" ht="15" hidden="false" customHeight="false" outlineLevel="0" collapsed="false">
      <c r="A30" s="2" t="s">
        <v>123</v>
      </c>
      <c r="B30" s="2" t="s">
        <v>120</v>
      </c>
      <c r="C30" s="10" t="n">
        <v>45943</v>
      </c>
      <c r="D30" s="2" t="s">
        <v>81</v>
      </c>
      <c r="E30" s="2" t="s">
        <v>64</v>
      </c>
      <c r="F30" s="2" t="s">
        <v>70</v>
      </c>
      <c r="G30" s="2" t="s">
        <v>71</v>
      </c>
      <c r="H30" s="2" t="n">
        <v>2</v>
      </c>
      <c r="I30" s="2" t="n">
        <v>2500</v>
      </c>
      <c r="J30" s="2" t="n">
        <v>0.1</v>
      </c>
      <c r="K30" s="2" t="n">
        <v>1600</v>
      </c>
    </row>
    <row r="31" customFormat="false" ht="15" hidden="false" customHeight="false" outlineLevel="0" collapsed="false">
      <c r="A31" s="2" t="s">
        <v>124</v>
      </c>
      <c r="B31" s="2" t="s">
        <v>120</v>
      </c>
      <c r="C31" s="10" t="n">
        <v>45690</v>
      </c>
      <c r="D31" s="2" t="s">
        <v>81</v>
      </c>
      <c r="E31" s="2" t="s">
        <v>64</v>
      </c>
      <c r="F31" s="2" t="s">
        <v>65</v>
      </c>
      <c r="G31" s="2" t="s">
        <v>107</v>
      </c>
      <c r="H31" s="2" t="n">
        <v>2</v>
      </c>
      <c r="I31" s="2" t="n">
        <v>500</v>
      </c>
      <c r="J31" s="2" t="n">
        <v>0.05</v>
      </c>
      <c r="K31" s="2" t="n">
        <v>250</v>
      </c>
    </row>
    <row r="32" customFormat="false" ht="15" hidden="false" customHeight="false" outlineLevel="0" collapsed="false">
      <c r="A32" s="2" t="s">
        <v>125</v>
      </c>
      <c r="B32" s="2" t="s">
        <v>120</v>
      </c>
      <c r="C32" s="10" t="n">
        <v>45812</v>
      </c>
      <c r="D32" s="2" t="s">
        <v>81</v>
      </c>
      <c r="E32" s="2" t="s">
        <v>64</v>
      </c>
      <c r="F32" s="2" t="s">
        <v>70</v>
      </c>
      <c r="G32" s="2" t="s">
        <v>126</v>
      </c>
      <c r="H32" s="2" t="n">
        <v>1</v>
      </c>
      <c r="I32" s="2" t="n">
        <v>4500</v>
      </c>
      <c r="J32" s="2" t="n">
        <v>0</v>
      </c>
      <c r="K32" s="2" t="n">
        <v>3300</v>
      </c>
    </row>
    <row r="33" customFormat="false" ht="15" hidden="false" customHeight="false" outlineLevel="0" collapsed="false">
      <c r="A33" s="2" t="s">
        <v>127</v>
      </c>
      <c r="B33" s="2" t="s">
        <v>120</v>
      </c>
      <c r="C33" s="10" t="n">
        <v>45980</v>
      </c>
      <c r="D33" s="2" t="s">
        <v>81</v>
      </c>
      <c r="E33" s="2" t="s">
        <v>64</v>
      </c>
      <c r="F33" s="2" t="s">
        <v>73</v>
      </c>
      <c r="G33" s="2" t="s">
        <v>104</v>
      </c>
      <c r="H33" s="2" t="n">
        <v>3</v>
      </c>
      <c r="I33" s="2" t="n">
        <v>5500</v>
      </c>
      <c r="J33" s="2" t="n">
        <v>0.05</v>
      </c>
      <c r="K33" s="2" t="n">
        <v>3600</v>
      </c>
    </row>
    <row r="34" customFormat="false" ht="15" hidden="false" customHeight="false" outlineLevel="0" collapsed="false">
      <c r="A34" s="2" t="s">
        <v>128</v>
      </c>
      <c r="B34" s="2" t="s">
        <v>129</v>
      </c>
      <c r="C34" s="10" t="n">
        <v>45736</v>
      </c>
      <c r="D34" s="2" t="s">
        <v>77</v>
      </c>
      <c r="E34" s="2" t="s">
        <v>64</v>
      </c>
      <c r="F34" s="2" t="s">
        <v>65</v>
      </c>
      <c r="G34" s="2" t="s">
        <v>82</v>
      </c>
      <c r="H34" s="2" t="n">
        <v>6</v>
      </c>
      <c r="I34" s="2" t="n">
        <v>250</v>
      </c>
      <c r="J34" s="2" t="n">
        <v>0</v>
      </c>
      <c r="K34" s="2" t="n">
        <v>100</v>
      </c>
    </row>
    <row r="35" customFormat="false" ht="15" hidden="false" customHeight="false" outlineLevel="0" collapsed="false">
      <c r="A35" s="2" t="s">
        <v>130</v>
      </c>
      <c r="B35" s="2" t="s">
        <v>129</v>
      </c>
      <c r="C35" s="10" t="n">
        <v>45996</v>
      </c>
      <c r="D35" s="2" t="s">
        <v>77</v>
      </c>
      <c r="E35" s="2" t="s">
        <v>64</v>
      </c>
      <c r="F35" s="2" t="s">
        <v>73</v>
      </c>
      <c r="G35" s="2" t="s">
        <v>74</v>
      </c>
      <c r="H35" s="2" t="n">
        <v>1</v>
      </c>
      <c r="I35" s="2" t="n">
        <v>7000</v>
      </c>
      <c r="J35" s="2" t="n">
        <v>0.1</v>
      </c>
      <c r="K35" s="2" t="n">
        <v>4800</v>
      </c>
    </row>
    <row r="36" customFormat="false" ht="15" hidden="false" customHeight="false" outlineLevel="0" collapsed="false">
      <c r="A36" s="2" t="s">
        <v>131</v>
      </c>
      <c r="B36" s="2" t="s">
        <v>132</v>
      </c>
      <c r="C36" s="10" t="n">
        <v>45842</v>
      </c>
      <c r="D36" s="2" t="s">
        <v>77</v>
      </c>
      <c r="E36" s="2" t="s">
        <v>64</v>
      </c>
      <c r="F36" s="2" t="s">
        <v>70</v>
      </c>
      <c r="G36" s="2" t="s">
        <v>122</v>
      </c>
      <c r="H36" s="2" t="n">
        <v>2</v>
      </c>
      <c r="I36" s="2" t="n">
        <v>1500</v>
      </c>
      <c r="J36" s="2" t="n">
        <v>0.05</v>
      </c>
      <c r="K36" s="2" t="n">
        <v>900</v>
      </c>
    </row>
    <row r="37" customFormat="false" ht="15" hidden="false" customHeight="false" outlineLevel="0" collapsed="false">
      <c r="A37" s="2" t="s">
        <v>133</v>
      </c>
      <c r="B37" s="2" t="s">
        <v>132</v>
      </c>
      <c r="C37" s="10" t="n">
        <v>45910</v>
      </c>
      <c r="D37" s="2" t="s">
        <v>77</v>
      </c>
      <c r="E37" s="2" t="s">
        <v>64</v>
      </c>
      <c r="F37" s="2" t="s">
        <v>70</v>
      </c>
      <c r="G37" s="2" t="s">
        <v>71</v>
      </c>
      <c r="H37" s="2" t="n">
        <v>2</v>
      </c>
      <c r="I37" s="2" t="n">
        <v>2500</v>
      </c>
      <c r="J37" s="2" t="n">
        <v>0.05</v>
      </c>
      <c r="K37" s="2" t="n">
        <v>1600</v>
      </c>
    </row>
    <row r="38" customFormat="false" ht="15" hidden="false" customHeight="false" outlineLevel="0" collapsed="false">
      <c r="A38" s="2" t="s">
        <v>134</v>
      </c>
      <c r="B38" s="2" t="s">
        <v>132</v>
      </c>
      <c r="C38" s="10" t="n">
        <v>45740</v>
      </c>
      <c r="D38" s="2" t="s">
        <v>77</v>
      </c>
      <c r="E38" s="2" t="s">
        <v>64</v>
      </c>
      <c r="F38" s="2" t="s">
        <v>70</v>
      </c>
      <c r="G38" s="2" t="s">
        <v>71</v>
      </c>
      <c r="H38" s="2" t="n">
        <v>1</v>
      </c>
      <c r="I38" s="2" t="n">
        <v>2500</v>
      </c>
      <c r="J38" s="2" t="n">
        <v>0</v>
      </c>
      <c r="K38" s="2" t="n">
        <v>1600</v>
      </c>
    </row>
    <row r="39" customFormat="false" ht="15" hidden="false" customHeight="false" outlineLevel="0" collapsed="false">
      <c r="A39" s="2" t="s">
        <v>135</v>
      </c>
      <c r="B39" s="2" t="s">
        <v>136</v>
      </c>
      <c r="C39" s="10" t="n">
        <v>45968</v>
      </c>
      <c r="D39" s="2" t="s">
        <v>63</v>
      </c>
      <c r="E39" s="2" t="s">
        <v>92</v>
      </c>
      <c r="F39" s="2" t="s">
        <v>70</v>
      </c>
      <c r="G39" s="2" t="s">
        <v>122</v>
      </c>
      <c r="H39" s="2" t="n">
        <v>6</v>
      </c>
      <c r="I39" s="2" t="n">
        <v>1500</v>
      </c>
      <c r="J39" s="2" t="n">
        <v>0.05</v>
      </c>
      <c r="K39" s="2" t="n">
        <v>900</v>
      </c>
    </row>
    <row r="40" customFormat="false" ht="15" hidden="false" customHeight="false" outlineLevel="0" collapsed="false">
      <c r="A40" s="2" t="s">
        <v>137</v>
      </c>
      <c r="B40" s="2" t="s">
        <v>136</v>
      </c>
      <c r="C40" s="10" t="n">
        <v>45829</v>
      </c>
      <c r="D40" s="2" t="s">
        <v>63</v>
      </c>
      <c r="E40" s="2" t="s">
        <v>92</v>
      </c>
      <c r="F40" s="2" t="s">
        <v>73</v>
      </c>
      <c r="G40" s="2" t="s">
        <v>104</v>
      </c>
      <c r="H40" s="2" t="n">
        <v>2</v>
      </c>
      <c r="I40" s="2" t="n">
        <v>5500</v>
      </c>
      <c r="J40" s="2" t="n">
        <v>0.1</v>
      </c>
      <c r="K40" s="2" t="n">
        <v>3600</v>
      </c>
    </row>
    <row r="41" customFormat="false" ht="15" hidden="false" customHeight="false" outlineLevel="0" collapsed="false">
      <c r="A41" s="2" t="s">
        <v>138</v>
      </c>
      <c r="B41" s="2" t="s">
        <v>136</v>
      </c>
      <c r="C41" s="10" t="n">
        <v>45906</v>
      </c>
      <c r="D41" s="2" t="s">
        <v>63</v>
      </c>
      <c r="E41" s="2" t="s">
        <v>92</v>
      </c>
      <c r="F41" s="2" t="s">
        <v>70</v>
      </c>
      <c r="G41" s="2" t="s">
        <v>71</v>
      </c>
      <c r="H41" s="2" t="n">
        <v>6</v>
      </c>
      <c r="I41" s="2" t="n">
        <v>2500</v>
      </c>
      <c r="J41" s="2" t="n">
        <v>0.1</v>
      </c>
      <c r="K41" s="2" t="n">
        <v>1600</v>
      </c>
    </row>
    <row r="42" customFormat="false" ht="15" hidden="false" customHeight="false" outlineLevel="0" collapsed="false">
      <c r="A42" s="2" t="s">
        <v>139</v>
      </c>
      <c r="B42" s="2" t="s">
        <v>140</v>
      </c>
      <c r="C42" s="10" t="n">
        <v>45986</v>
      </c>
      <c r="D42" s="2" t="s">
        <v>91</v>
      </c>
      <c r="E42" s="2" t="s">
        <v>64</v>
      </c>
      <c r="F42" s="2" t="s">
        <v>65</v>
      </c>
      <c r="G42" s="2" t="s">
        <v>66</v>
      </c>
      <c r="H42" s="2" t="n">
        <v>8</v>
      </c>
      <c r="I42" s="2" t="n">
        <v>600</v>
      </c>
      <c r="J42" s="2" t="n">
        <v>0.15</v>
      </c>
      <c r="K42" s="2" t="n">
        <v>300</v>
      </c>
    </row>
    <row r="43" customFormat="false" ht="15" hidden="false" customHeight="false" outlineLevel="0" collapsed="false">
      <c r="A43" s="2" t="s">
        <v>141</v>
      </c>
      <c r="B43" s="2" t="s">
        <v>142</v>
      </c>
      <c r="C43" s="10" t="n">
        <v>45926</v>
      </c>
      <c r="D43" s="2" t="s">
        <v>91</v>
      </c>
      <c r="E43" s="2" t="s">
        <v>64</v>
      </c>
      <c r="F43" s="2" t="s">
        <v>70</v>
      </c>
      <c r="G43" s="2" t="s">
        <v>122</v>
      </c>
      <c r="H43" s="2" t="n">
        <v>3</v>
      </c>
      <c r="I43" s="2" t="n">
        <v>1500</v>
      </c>
      <c r="J43" s="2" t="n">
        <v>0</v>
      </c>
      <c r="K43" s="2" t="n">
        <v>900</v>
      </c>
    </row>
    <row r="44" customFormat="false" ht="15" hidden="false" customHeight="false" outlineLevel="0" collapsed="false">
      <c r="A44" s="2" t="s">
        <v>143</v>
      </c>
      <c r="B44" s="2" t="s">
        <v>142</v>
      </c>
      <c r="C44" s="10" t="n">
        <v>45763</v>
      </c>
      <c r="D44" s="2" t="s">
        <v>91</v>
      </c>
      <c r="E44" s="2" t="s">
        <v>64</v>
      </c>
      <c r="F44" s="2" t="s">
        <v>70</v>
      </c>
      <c r="G44" s="2" t="s">
        <v>126</v>
      </c>
      <c r="H44" s="2" t="n">
        <v>2</v>
      </c>
      <c r="I44" s="2" t="n">
        <v>4500</v>
      </c>
      <c r="J44" s="2" t="n">
        <v>0.1</v>
      </c>
      <c r="K44" s="2" t="n">
        <v>3300</v>
      </c>
    </row>
    <row r="45" customFormat="false" ht="15" hidden="false" customHeight="false" outlineLevel="0" collapsed="false">
      <c r="A45" s="2" t="s">
        <v>144</v>
      </c>
      <c r="B45" s="2" t="s">
        <v>145</v>
      </c>
      <c r="C45" s="10" t="n">
        <v>45704</v>
      </c>
      <c r="D45" s="2" t="s">
        <v>91</v>
      </c>
      <c r="E45" s="2" t="s">
        <v>92</v>
      </c>
      <c r="F45" s="2" t="s">
        <v>65</v>
      </c>
      <c r="G45" s="2" t="s">
        <v>66</v>
      </c>
      <c r="H45" s="2" t="n">
        <v>10</v>
      </c>
      <c r="I45" s="2" t="n">
        <v>600</v>
      </c>
      <c r="J45" s="2" t="n">
        <v>0.1</v>
      </c>
      <c r="K45" s="2" t="n">
        <v>300</v>
      </c>
    </row>
    <row r="46" customFormat="false" ht="15" hidden="false" customHeight="false" outlineLevel="0" collapsed="false">
      <c r="A46" s="2" t="s">
        <v>146</v>
      </c>
      <c r="B46" s="2" t="s">
        <v>145</v>
      </c>
      <c r="C46" s="10" t="n">
        <v>45956</v>
      </c>
      <c r="D46" s="2" t="s">
        <v>91</v>
      </c>
      <c r="E46" s="2" t="s">
        <v>92</v>
      </c>
      <c r="F46" s="2" t="s">
        <v>73</v>
      </c>
      <c r="G46" s="2" t="s">
        <v>104</v>
      </c>
      <c r="H46" s="2" t="n">
        <v>4</v>
      </c>
      <c r="I46" s="2" t="n">
        <v>5500</v>
      </c>
      <c r="J46" s="2" t="n">
        <v>0.15</v>
      </c>
      <c r="K46" s="2" t="n">
        <v>3600</v>
      </c>
    </row>
    <row r="47" customFormat="false" ht="15" hidden="false" customHeight="false" outlineLevel="0" collapsed="false">
      <c r="A47" s="2" t="s">
        <v>147</v>
      </c>
      <c r="B47" s="2" t="s">
        <v>145</v>
      </c>
      <c r="C47" s="10" t="n">
        <v>45724</v>
      </c>
      <c r="D47" s="2" t="s">
        <v>91</v>
      </c>
      <c r="E47" s="2" t="s">
        <v>92</v>
      </c>
      <c r="F47" s="2" t="s">
        <v>73</v>
      </c>
      <c r="G47" s="2" t="s">
        <v>104</v>
      </c>
      <c r="H47" s="2" t="n">
        <v>3</v>
      </c>
      <c r="I47" s="2" t="n">
        <v>5500</v>
      </c>
      <c r="J47" s="2" t="n">
        <v>0</v>
      </c>
      <c r="K47" s="2" t="n">
        <v>3600</v>
      </c>
    </row>
    <row r="48" customFormat="false" ht="15" hidden="false" customHeight="false" outlineLevel="0" collapsed="false">
      <c r="A48" s="2" t="s">
        <v>148</v>
      </c>
      <c r="B48" s="2" t="s">
        <v>145</v>
      </c>
      <c r="C48" s="10" t="n">
        <v>45858</v>
      </c>
      <c r="D48" s="2" t="s">
        <v>91</v>
      </c>
      <c r="E48" s="2" t="s">
        <v>92</v>
      </c>
      <c r="F48" s="2" t="s">
        <v>70</v>
      </c>
      <c r="G48" s="2" t="s">
        <v>97</v>
      </c>
      <c r="H48" s="2" t="n">
        <v>3</v>
      </c>
      <c r="I48" s="2" t="n">
        <v>3000</v>
      </c>
      <c r="J48" s="2" t="n">
        <v>0.15</v>
      </c>
      <c r="K48" s="2" t="n">
        <v>2000</v>
      </c>
    </row>
    <row r="49" customFormat="false" ht="15" hidden="false" customHeight="false" outlineLevel="0" collapsed="false">
      <c r="A49" s="2" t="s">
        <v>149</v>
      </c>
      <c r="B49" s="2" t="s">
        <v>145</v>
      </c>
      <c r="C49" s="10" t="n">
        <v>45684</v>
      </c>
      <c r="D49" s="2" t="s">
        <v>91</v>
      </c>
      <c r="E49" s="2" t="s">
        <v>92</v>
      </c>
      <c r="F49" s="2" t="s">
        <v>73</v>
      </c>
      <c r="G49" s="2" t="s">
        <v>74</v>
      </c>
      <c r="H49" s="2" t="n">
        <v>8</v>
      </c>
      <c r="I49" s="2" t="n">
        <v>7000</v>
      </c>
      <c r="J49" s="2" t="n">
        <v>0</v>
      </c>
      <c r="K49" s="2" t="n">
        <v>4800</v>
      </c>
    </row>
    <row r="50" customFormat="false" ht="15" hidden="false" customHeight="false" outlineLevel="0" collapsed="false">
      <c r="A50" s="2" t="s">
        <v>150</v>
      </c>
      <c r="B50" s="2" t="s">
        <v>151</v>
      </c>
      <c r="C50" s="10" t="n">
        <v>45791</v>
      </c>
      <c r="D50" s="2" t="s">
        <v>91</v>
      </c>
      <c r="E50" s="2" t="s">
        <v>64</v>
      </c>
      <c r="F50" s="2" t="s">
        <v>65</v>
      </c>
      <c r="G50" s="2" t="s">
        <v>78</v>
      </c>
      <c r="H50" s="2" t="n">
        <v>5</v>
      </c>
      <c r="I50" s="2" t="n">
        <v>400</v>
      </c>
      <c r="J50" s="2" t="n">
        <v>0</v>
      </c>
      <c r="K50" s="2" t="n">
        <v>200</v>
      </c>
    </row>
    <row r="51" customFormat="false" ht="15" hidden="false" customHeight="false" outlineLevel="0" collapsed="false">
      <c r="A51" s="2" t="s">
        <v>152</v>
      </c>
      <c r="B51" s="2" t="s">
        <v>153</v>
      </c>
      <c r="C51" s="10" t="n">
        <v>45954</v>
      </c>
      <c r="D51" s="2" t="s">
        <v>77</v>
      </c>
      <c r="E51" s="2" t="s">
        <v>69</v>
      </c>
      <c r="F51" s="2" t="s">
        <v>70</v>
      </c>
      <c r="G51" s="2" t="s">
        <v>122</v>
      </c>
      <c r="H51" s="2" t="n">
        <v>4</v>
      </c>
      <c r="I51" s="2" t="n">
        <v>1500</v>
      </c>
      <c r="J51" s="2" t="n">
        <v>0.1</v>
      </c>
      <c r="K51" s="2" t="n">
        <v>900</v>
      </c>
    </row>
    <row r="52" customFormat="false" ht="15" hidden="false" customHeight="false" outlineLevel="0" collapsed="false">
      <c r="A52" s="2" t="s">
        <v>154</v>
      </c>
      <c r="B52" s="2" t="s">
        <v>153</v>
      </c>
      <c r="C52" s="10" t="n">
        <v>45717</v>
      </c>
      <c r="D52" s="2" t="s">
        <v>77</v>
      </c>
      <c r="E52" s="2" t="s">
        <v>69</v>
      </c>
      <c r="F52" s="2" t="s">
        <v>73</v>
      </c>
      <c r="G52" s="2" t="s">
        <v>74</v>
      </c>
      <c r="H52" s="2" t="n">
        <v>2</v>
      </c>
      <c r="I52" s="2" t="n">
        <v>7000</v>
      </c>
      <c r="J52" s="2" t="n">
        <v>0</v>
      </c>
      <c r="K52" s="2" t="n">
        <v>4800</v>
      </c>
    </row>
    <row r="53" customFormat="false" ht="15" hidden="false" customHeight="false" outlineLevel="0" collapsed="false">
      <c r="A53" s="2" t="s">
        <v>155</v>
      </c>
      <c r="B53" s="2" t="s">
        <v>156</v>
      </c>
      <c r="C53" s="10" t="n">
        <v>45767</v>
      </c>
      <c r="D53" s="2" t="s">
        <v>91</v>
      </c>
      <c r="E53" s="2" t="s">
        <v>92</v>
      </c>
      <c r="F53" s="2" t="s">
        <v>73</v>
      </c>
      <c r="G53" s="2" t="s">
        <v>87</v>
      </c>
      <c r="H53" s="2" t="n">
        <v>8</v>
      </c>
      <c r="I53" s="2" t="n">
        <v>9000</v>
      </c>
      <c r="J53" s="2" t="n">
        <v>0.05</v>
      </c>
      <c r="K53" s="2" t="n">
        <v>6200</v>
      </c>
    </row>
    <row r="54" customFormat="false" ht="15" hidden="false" customHeight="false" outlineLevel="0" collapsed="false">
      <c r="A54" s="2" t="s">
        <v>157</v>
      </c>
      <c r="B54" s="2" t="s">
        <v>156</v>
      </c>
      <c r="C54" s="10" t="n">
        <v>45962</v>
      </c>
      <c r="D54" s="2" t="s">
        <v>91</v>
      </c>
      <c r="E54" s="2" t="s">
        <v>92</v>
      </c>
      <c r="F54" s="2" t="s">
        <v>73</v>
      </c>
      <c r="G54" s="2" t="s">
        <v>85</v>
      </c>
      <c r="H54" s="2" t="n">
        <v>3</v>
      </c>
      <c r="I54" s="2" t="n">
        <v>1200</v>
      </c>
      <c r="J54" s="2" t="n">
        <v>0.1</v>
      </c>
      <c r="K54" s="2" t="n">
        <v>600</v>
      </c>
    </row>
    <row r="55" customFormat="false" ht="15" hidden="false" customHeight="false" outlineLevel="0" collapsed="false">
      <c r="A55" s="2" t="s">
        <v>158</v>
      </c>
      <c r="B55" s="2" t="s">
        <v>156</v>
      </c>
      <c r="C55" s="10" t="n">
        <v>45914</v>
      </c>
      <c r="D55" s="2" t="s">
        <v>91</v>
      </c>
      <c r="E55" s="2" t="s">
        <v>92</v>
      </c>
      <c r="F55" s="2" t="s">
        <v>65</v>
      </c>
      <c r="G55" s="2" t="s">
        <v>78</v>
      </c>
      <c r="H55" s="2" t="n">
        <v>26</v>
      </c>
      <c r="I55" s="2" t="n">
        <v>400</v>
      </c>
      <c r="J55" s="2" t="n">
        <v>0.05</v>
      </c>
      <c r="K55" s="2" t="n">
        <v>200</v>
      </c>
    </row>
    <row r="56" customFormat="false" ht="15" hidden="false" customHeight="false" outlineLevel="0" collapsed="false">
      <c r="A56" s="2" t="s">
        <v>159</v>
      </c>
      <c r="B56" s="2" t="s">
        <v>156</v>
      </c>
      <c r="C56" s="10" t="n">
        <v>45818</v>
      </c>
      <c r="D56" s="2" t="s">
        <v>91</v>
      </c>
      <c r="E56" s="2" t="s">
        <v>92</v>
      </c>
      <c r="F56" s="2" t="s">
        <v>73</v>
      </c>
      <c r="G56" s="2" t="s">
        <v>87</v>
      </c>
      <c r="H56" s="2" t="n">
        <v>4</v>
      </c>
      <c r="I56" s="2" t="n">
        <v>9000</v>
      </c>
      <c r="J56" s="2" t="n">
        <v>0.05</v>
      </c>
      <c r="K56" s="2" t="n">
        <v>6200</v>
      </c>
    </row>
    <row r="57" customFormat="false" ht="15" hidden="false" customHeight="false" outlineLevel="0" collapsed="false">
      <c r="A57" s="2" t="s">
        <v>160</v>
      </c>
      <c r="B57" s="2" t="s">
        <v>161</v>
      </c>
      <c r="C57" s="10" t="n">
        <v>45702</v>
      </c>
      <c r="D57" s="2" t="s">
        <v>63</v>
      </c>
      <c r="E57" s="2" t="s">
        <v>64</v>
      </c>
      <c r="F57" s="2" t="s">
        <v>70</v>
      </c>
      <c r="G57" s="2" t="s">
        <v>126</v>
      </c>
      <c r="H57" s="2" t="n">
        <v>3</v>
      </c>
      <c r="I57" s="2" t="n">
        <v>4500</v>
      </c>
      <c r="J57" s="2" t="n">
        <v>0.1</v>
      </c>
      <c r="K57" s="2" t="n">
        <v>3300</v>
      </c>
    </row>
    <row r="58" customFormat="false" ht="15" hidden="false" customHeight="false" outlineLevel="0" collapsed="false">
      <c r="A58" s="2" t="s">
        <v>162</v>
      </c>
      <c r="B58" s="2" t="s">
        <v>163</v>
      </c>
      <c r="C58" s="10" t="n">
        <v>46013</v>
      </c>
      <c r="D58" s="2" t="s">
        <v>81</v>
      </c>
      <c r="E58" s="2" t="s">
        <v>64</v>
      </c>
      <c r="F58" s="2" t="s">
        <v>65</v>
      </c>
      <c r="G58" s="2" t="s">
        <v>82</v>
      </c>
      <c r="H58" s="2" t="n">
        <v>2</v>
      </c>
      <c r="I58" s="2" t="n">
        <v>250</v>
      </c>
      <c r="J58" s="2" t="n">
        <v>0.1</v>
      </c>
      <c r="K58" s="2" t="n">
        <v>100</v>
      </c>
    </row>
    <row r="59" customFormat="false" ht="15" hidden="false" customHeight="false" outlineLevel="0" collapsed="false">
      <c r="A59" s="2" t="s">
        <v>164</v>
      </c>
      <c r="B59" s="2" t="s">
        <v>163</v>
      </c>
      <c r="C59" s="10" t="n">
        <v>45764</v>
      </c>
      <c r="D59" s="2" t="s">
        <v>81</v>
      </c>
      <c r="E59" s="2" t="s">
        <v>64</v>
      </c>
      <c r="F59" s="2" t="s">
        <v>70</v>
      </c>
      <c r="G59" s="2" t="s">
        <v>97</v>
      </c>
      <c r="H59" s="2" t="n">
        <v>3</v>
      </c>
      <c r="I59" s="2" t="n">
        <v>3000</v>
      </c>
      <c r="J59" s="2" t="n">
        <v>0</v>
      </c>
      <c r="K59" s="2" t="n">
        <v>2000</v>
      </c>
    </row>
    <row r="60" customFormat="false" ht="15" hidden="false" customHeight="false" outlineLevel="0" collapsed="false">
      <c r="A60" s="2" t="s">
        <v>165</v>
      </c>
      <c r="B60" s="2" t="s">
        <v>166</v>
      </c>
      <c r="C60" s="10" t="n">
        <v>45986</v>
      </c>
      <c r="D60" s="2" t="s">
        <v>63</v>
      </c>
      <c r="E60" s="2" t="s">
        <v>92</v>
      </c>
      <c r="F60" s="2" t="s">
        <v>73</v>
      </c>
      <c r="G60" s="2" t="s">
        <v>74</v>
      </c>
      <c r="H60" s="2" t="n">
        <v>6</v>
      </c>
      <c r="I60" s="2" t="n">
        <v>7000</v>
      </c>
      <c r="J60" s="2" t="n">
        <v>0.05</v>
      </c>
      <c r="K60" s="2" t="n">
        <v>4800</v>
      </c>
    </row>
    <row r="61" customFormat="false" ht="15" hidden="false" customHeight="false" outlineLevel="0" collapsed="false">
      <c r="A61" s="2" t="s">
        <v>167</v>
      </c>
      <c r="B61" s="2" t="s">
        <v>166</v>
      </c>
      <c r="C61" s="10" t="n">
        <v>45706</v>
      </c>
      <c r="D61" s="2" t="s">
        <v>63</v>
      </c>
      <c r="E61" s="2" t="s">
        <v>92</v>
      </c>
      <c r="F61" s="2" t="s">
        <v>73</v>
      </c>
      <c r="G61" s="2" t="s">
        <v>87</v>
      </c>
      <c r="H61" s="2" t="n">
        <v>5</v>
      </c>
      <c r="I61" s="2" t="n">
        <v>9000</v>
      </c>
      <c r="J61" s="2" t="n">
        <v>0</v>
      </c>
      <c r="K61" s="2" t="n">
        <v>6200</v>
      </c>
    </row>
    <row r="62" customFormat="false" ht="15" hidden="false" customHeight="false" outlineLevel="0" collapsed="false">
      <c r="A62" s="2" t="s">
        <v>168</v>
      </c>
      <c r="B62" s="2" t="s">
        <v>166</v>
      </c>
      <c r="C62" s="10" t="n">
        <v>45803</v>
      </c>
      <c r="D62" s="2" t="s">
        <v>63</v>
      </c>
      <c r="E62" s="2" t="s">
        <v>92</v>
      </c>
      <c r="F62" s="2" t="s">
        <v>73</v>
      </c>
      <c r="G62" s="2" t="s">
        <v>74</v>
      </c>
      <c r="H62" s="2" t="n">
        <v>6</v>
      </c>
      <c r="I62" s="2" t="n">
        <v>7000</v>
      </c>
      <c r="J62" s="2" t="n">
        <v>0.15</v>
      </c>
      <c r="K62" s="2" t="n">
        <v>4800</v>
      </c>
    </row>
    <row r="63" customFormat="false" ht="15" hidden="false" customHeight="false" outlineLevel="0" collapsed="false">
      <c r="A63" s="2" t="s">
        <v>169</v>
      </c>
      <c r="B63" s="2" t="s">
        <v>166</v>
      </c>
      <c r="C63" s="10" t="n">
        <v>45697</v>
      </c>
      <c r="D63" s="2" t="s">
        <v>63</v>
      </c>
      <c r="E63" s="2" t="s">
        <v>92</v>
      </c>
      <c r="F63" s="2" t="s">
        <v>70</v>
      </c>
      <c r="G63" s="2" t="s">
        <v>71</v>
      </c>
      <c r="H63" s="2" t="n">
        <v>3</v>
      </c>
      <c r="I63" s="2" t="n">
        <v>2500</v>
      </c>
      <c r="J63" s="2" t="n">
        <v>0.05</v>
      </c>
      <c r="K63" s="2" t="n">
        <v>1600</v>
      </c>
    </row>
    <row r="64" customFormat="false" ht="15" hidden="false" customHeight="false" outlineLevel="0" collapsed="false">
      <c r="A64" s="2" t="s">
        <v>170</v>
      </c>
      <c r="B64" s="2" t="s">
        <v>166</v>
      </c>
      <c r="C64" s="10" t="n">
        <v>45986</v>
      </c>
      <c r="D64" s="2" t="s">
        <v>63</v>
      </c>
      <c r="E64" s="2" t="s">
        <v>92</v>
      </c>
      <c r="F64" s="2" t="s">
        <v>70</v>
      </c>
      <c r="G64" s="2" t="s">
        <v>71</v>
      </c>
      <c r="H64" s="2" t="n">
        <v>5</v>
      </c>
      <c r="I64" s="2" t="n">
        <v>2500</v>
      </c>
      <c r="J64" s="2" t="n">
        <v>0.05</v>
      </c>
      <c r="K64" s="2" t="n">
        <v>1600</v>
      </c>
    </row>
    <row r="65" customFormat="false" ht="15" hidden="false" customHeight="false" outlineLevel="0" collapsed="false">
      <c r="A65" s="2" t="s">
        <v>171</v>
      </c>
      <c r="B65" s="2" t="s">
        <v>166</v>
      </c>
      <c r="C65" s="10" t="n">
        <v>45861</v>
      </c>
      <c r="D65" s="2" t="s">
        <v>63</v>
      </c>
      <c r="E65" s="2" t="s">
        <v>92</v>
      </c>
      <c r="F65" s="2" t="s">
        <v>73</v>
      </c>
      <c r="G65" s="2" t="s">
        <v>74</v>
      </c>
      <c r="H65" s="2" t="n">
        <v>6</v>
      </c>
      <c r="I65" s="2" t="n">
        <v>7000</v>
      </c>
      <c r="J65" s="2" t="n">
        <v>0.05</v>
      </c>
      <c r="K65" s="2" t="n">
        <v>4800</v>
      </c>
    </row>
    <row r="66" customFormat="false" ht="15" hidden="false" customHeight="false" outlineLevel="0" collapsed="false">
      <c r="A66" s="2" t="s">
        <v>172</v>
      </c>
      <c r="B66" s="2" t="s">
        <v>166</v>
      </c>
      <c r="C66" s="10" t="n">
        <v>45825</v>
      </c>
      <c r="D66" s="2" t="s">
        <v>63</v>
      </c>
      <c r="E66" s="2" t="s">
        <v>92</v>
      </c>
      <c r="F66" s="2" t="s">
        <v>73</v>
      </c>
      <c r="G66" s="2" t="s">
        <v>104</v>
      </c>
      <c r="H66" s="2" t="n">
        <v>6</v>
      </c>
      <c r="I66" s="2" t="n">
        <v>5500</v>
      </c>
      <c r="J66" s="2" t="n">
        <v>0.15</v>
      </c>
      <c r="K66" s="2" t="n">
        <v>3600</v>
      </c>
    </row>
    <row r="67" customFormat="false" ht="15" hidden="false" customHeight="false" outlineLevel="0" collapsed="false">
      <c r="A67" s="2" t="s">
        <v>173</v>
      </c>
      <c r="B67" s="2" t="s">
        <v>166</v>
      </c>
      <c r="C67" s="10" t="n">
        <v>45835</v>
      </c>
      <c r="D67" s="2" t="s">
        <v>63</v>
      </c>
      <c r="E67" s="2" t="s">
        <v>92</v>
      </c>
      <c r="F67" s="2" t="s">
        <v>70</v>
      </c>
      <c r="G67" s="2" t="s">
        <v>126</v>
      </c>
      <c r="H67" s="2" t="n">
        <v>4</v>
      </c>
      <c r="I67" s="2" t="n">
        <v>4500</v>
      </c>
      <c r="J67" s="2" t="n">
        <v>0.05</v>
      </c>
      <c r="K67" s="2" t="n">
        <v>3300</v>
      </c>
    </row>
    <row r="68" customFormat="false" ht="15" hidden="false" customHeight="false" outlineLevel="0" collapsed="false">
      <c r="A68" s="2" t="s">
        <v>174</v>
      </c>
      <c r="B68" s="2" t="s">
        <v>175</v>
      </c>
      <c r="C68" s="10" t="n">
        <v>45703</v>
      </c>
      <c r="D68" s="2" t="s">
        <v>77</v>
      </c>
      <c r="E68" s="2" t="s">
        <v>64</v>
      </c>
      <c r="F68" s="2" t="s">
        <v>73</v>
      </c>
      <c r="G68" s="2" t="s">
        <v>85</v>
      </c>
      <c r="H68" s="2" t="n">
        <v>1</v>
      </c>
      <c r="I68" s="2" t="n">
        <v>1200</v>
      </c>
      <c r="J68" s="2" t="n">
        <v>0.05</v>
      </c>
      <c r="K68" s="2" t="n">
        <v>600</v>
      </c>
    </row>
    <row r="69" customFormat="false" ht="15" hidden="false" customHeight="false" outlineLevel="0" collapsed="false">
      <c r="A69" s="2" t="s">
        <v>176</v>
      </c>
      <c r="B69" s="2" t="s">
        <v>175</v>
      </c>
      <c r="C69" s="10" t="n">
        <v>45695</v>
      </c>
      <c r="D69" s="2" t="s">
        <v>77</v>
      </c>
      <c r="E69" s="2" t="s">
        <v>64</v>
      </c>
      <c r="F69" s="2" t="s">
        <v>70</v>
      </c>
      <c r="G69" s="2" t="s">
        <v>122</v>
      </c>
      <c r="H69" s="2" t="n">
        <v>1</v>
      </c>
      <c r="I69" s="2" t="n">
        <v>1500</v>
      </c>
      <c r="J69" s="2" t="n">
        <v>0</v>
      </c>
      <c r="K69" s="2" t="n">
        <v>900</v>
      </c>
    </row>
    <row r="70" customFormat="false" ht="15" hidden="false" customHeight="false" outlineLevel="0" collapsed="false">
      <c r="A70" s="2" t="s">
        <v>177</v>
      </c>
      <c r="B70" s="2" t="s">
        <v>175</v>
      </c>
      <c r="C70" s="10" t="n">
        <v>45831</v>
      </c>
      <c r="D70" s="2" t="s">
        <v>77</v>
      </c>
      <c r="E70" s="2" t="s">
        <v>64</v>
      </c>
      <c r="F70" s="2" t="s">
        <v>65</v>
      </c>
      <c r="G70" s="2" t="s">
        <v>66</v>
      </c>
      <c r="H70" s="2" t="n">
        <v>8</v>
      </c>
      <c r="I70" s="2" t="n">
        <v>600</v>
      </c>
      <c r="J70" s="2" t="n">
        <v>0</v>
      </c>
      <c r="K70" s="2" t="n">
        <v>300</v>
      </c>
    </row>
    <row r="71" customFormat="false" ht="15" hidden="false" customHeight="false" outlineLevel="0" collapsed="false">
      <c r="A71" s="2" t="s">
        <v>178</v>
      </c>
      <c r="B71" s="2" t="s">
        <v>175</v>
      </c>
      <c r="C71" s="10" t="n">
        <v>45969</v>
      </c>
      <c r="D71" s="2" t="s">
        <v>77</v>
      </c>
      <c r="E71" s="2" t="s">
        <v>64</v>
      </c>
      <c r="F71" s="2" t="s">
        <v>70</v>
      </c>
      <c r="G71" s="2" t="s">
        <v>122</v>
      </c>
      <c r="H71" s="2" t="n">
        <v>1</v>
      </c>
      <c r="I71" s="2" t="n">
        <v>1500</v>
      </c>
      <c r="J71" s="2" t="n">
        <v>0.1</v>
      </c>
      <c r="K71" s="2" t="n">
        <v>900</v>
      </c>
    </row>
    <row r="72" customFormat="false" ht="15" hidden="false" customHeight="false" outlineLevel="0" collapsed="false">
      <c r="A72" s="2" t="s">
        <v>179</v>
      </c>
      <c r="B72" s="2" t="s">
        <v>175</v>
      </c>
      <c r="C72" s="10" t="n">
        <v>45722</v>
      </c>
      <c r="D72" s="2" t="s">
        <v>77</v>
      </c>
      <c r="E72" s="2" t="s">
        <v>64</v>
      </c>
      <c r="F72" s="2" t="s">
        <v>73</v>
      </c>
      <c r="G72" s="2" t="s">
        <v>74</v>
      </c>
      <c r="H72" s="2" t="n">
        <v>2</v>
      </c>
      <c r="I72" s="2" t="n">
        <v>7000</v>
      </c>
      <c r="J72" s="2" t="n">
        <v>0</v>
      </c>
      <c r="K72" s="2" t="n">
        <v>4800</v>
      </c>
    </row>
    <row r="73" customFormat="false" ht="15" hidden="false" customHeight="false" outlineLevel="0" collapsed="false">
      <c r="A73" s="2" t="s">
        <v>180</v>
      </c>
      <c r="B73" s="2" t="s">
        <v>175</v>
      </c>
      <c r="C73" s="10" t="n">
        <v>45664</v>
      </c>
      <c r="D73" s="2" t="s">
        <v>77</v>
      </c>
      <c r="E73" s="2" t="s">
        <v>64</v>
      </c>
      <c r="F73" s="2" t="s">
        <v>65</v>
      </c>
      <c r="G73" s="2" t="s">
        <v>107</v>
      </c>
      <c r="H73" s="2" t="n">
        <v>6</v>
      </c>
      <c r="I73" s="2" t="n">
        <v>500</v>
      </c>
      <c r="J73" s="2" t="n">
        <v>0.05</v>
      </c>
      <c r="K73" s="2" t="n">
        <v>250</v>
      </c>
    </row>
    <row r="74" customFormat="false" ht="15" hidden="false" customHeight="false" outlineLevel="0" collapsed="false">
      <c r="A74" s="2" t="s">
        <v>181</v>
      </c>
      <c r="B74" s="2" t="s">
        <v>175</v>
      </c>
      <c r="C74" s="10" t="n">
        <v>45717</v>
      </c>
      <c r="D74" s="2" t="s">
        <v>77</v>
      </c>
      <c r="E74" s="2" t="s">
        <v>64</v>
      </c>
      <c r="F74" s="2" t="s">
        <v>70</v>
      </c>
      <c r="G74" s="2" t="s">
        <v>122</v>
      </c>
      <c r="H74" s="2" t="n">
        <v>2</v>
      </c>
      <c r="I74" s="2" t="n">
        <v>1500</v>
      </c>
      <c r="J74" s="2" t="n">
        <v>0</v>
      </c>
      <c r="K74" s="2" t="n">
        <v>900</v>
      </c>
    </row>
    <row r="75" customFormat="false" ht="15" hidden="false" customHeight="false" outlineLevel="0" collapsed="false">
      <c r="A75" s="2" t="s">
        <v>182</v>
      </c>
      <c r="B75" s="2" t="s">
        <v>175</v>
      </c>
      <c r="C75" s="10" t="n">
        <v>45760</v>
      </c>
      <c r="D75" s="2" t="s">
        <v>77</v>
      </c>
      <c r="E75" s="2" t="s">
        <v>64</v>
      </c>
      <c r="F75" s="2" t="s">
        <v>70</v>
      </c>
      <c r="G75" s="2" t="s">
        <v>122</v>
      </c>
      <c r="H75" s="2" t="n">
        <v>3</v>
      </c>
      <c r="I75" s="2" t="n">
        <v>1500</v>
      </c>
      <c r="J75" s="2" t="n">
        <v>0</v>
      </c>
      <c r="K75" s="2" t="n">
        <v>900</v>
      </c>
    </row>
    <row r="76" customFormat="false" ht="15" hidden="false" customHeight="false" outlineLevel="0" collapsed="false">
      <c r="A76" s="2" t="s">
        <v>183</v>
      </c>
      <c r="B76" s="2" t="s">
        <v>175</v>
      </c>
      <c r="C76" s="10" t="n">
        <v>45812</v>
      </c>
      <c r="D76" s="2" t="s">
        <v>77</v>
      </c>
      <c r="E76" s="2" t="s">
        <v>64</v>
      </c>
      <c r="F76" s="2" t="s">
        <v>65</v>
      </c>
      <c r="G76" s="2" t="s">
        <v>66</v>
      </c>
      <c r="H76" s="2" t="n">
        <v>6</v>
      </c>
      <c r="I76" s="2" t="n">
        <v>600</v>
      </c>
      <c r="J76" s="2" t="n">
        <v>0</v>
      </c>
      <c r="K76" s="2" t="n">
        <v>300</v>
      </c>
    </row>
    <row r="77" customFormat="false" ht="15" hidden="false" customHeight="false" outlineLevel="0" collapsed="false">
      <c r="A77" s="2" t="s">
        <v>184</v>
      </c>
      <c r="B77" s="2" t="s">
        <v>175</v>
      </c>
      <c r="C77" s="10" t="n">
        <v>45690</v>
      </c>
      <c r="D77" s="2" t="s">
        <v>77</v>
      </c>
      <c r="E77" s="2" t="s">
        <v>64</v>
      </c>
      <c r="F77" s="2" t="s">
        <v>70</v>
      </c>
      <c r="G77" s="2" t="s">
        <v>126</v>
      </c>
      <c r="H77" s="2" t="n">
        <v>1</v>
      </c>
      <c r="I77" s="2" t="n">
        <v>4500</v>
      </c>
      <c r="J77" s="2" t="n">
        <v>0</v>
      </c>
      <c r="K77" s="2" t="n">
        <v>3300</v>
      </c>
    </row>
    <row r="78" customFormat="false" ht="15" hidden="false" customHeight="false" outlineLevel="0" collapsed="false">
      <c r="A78" s="2" t="s">
        <v>185</v>
      </c>
      <c r="B78" s="2" t="s">
        <v>186</v>
      </c>
      <c r="C78" s="10" t="n">
        <v>45897</v>
      </c>
      <c r="D78" s="2" t="s">
        <v>91</v>
      </c>
      <c r="E78" s="2" t="s">
        <v>64</v>
      </c>
      <c r="F78" s="2" t="s">
        <v>70</v>
      </c>
      <c r="G78" s="2" t="s">
        <v>126</v>
      </c>
      <c r="H78" s="2" t="n">
        <v>2</v>
      </c>
      <c r="I78" s="2" t="n">
        <v>4500</v>
      </c>
      <c r="J78" s="2" t="n">
        <v>0.05</v>
      </c>
      <c r="K78" s="2" t="n">
        <v>3300</v>
      </c>
    </row>
    <row r="79" customFormat="false" ht="15" hidden="false" customHeight="false" outlineLevel="0" collapsed="false">
      <c r="A79" s="2" t="s">
        <v>187</v>
      </c>
      <c r="B79" s="2" t="s">
        <v>186</v>
      </c>
      <c r="C79" s="10" t="n">
        <v>45735</v>
      </c>
      <c r="D79" s="2" t="s">
        <v>91</v>
      </c>
      <c r="E79" s="2" t="s">
        <v>64</v>
      </c>
      <c r="F79" s="2" t="s">
        <v>70</v>
      </c>
      <c r="G79" s="2" t="s">
        <v>122</v>
      </c>
      <c r="H79" s="2" t="n">
        <v>2</v>
      </c>
      <c r="I79" s="2" t="n">
        <v>1500</v>
      </c>
      <c r="J79" s="2" t="n">
        <v>0.1</v>
      </c>
      <c r="K79" s="2" t="n">
        <v>900</v>
      </c>
    </row>
    <row r="80" customFormat="false" ht="15" hidden="false" customHeight="false" outlineLevel="0" collapsed="false">
      <c r="A80" s="2" t="s">
        <v>188</v>
      </c>
      <c r="B80" s="2" t="s">
        <v>189</v>
      </c>
      <c r="C80" s="10" t="n">
        <v>45871</v>
      </c>
      <c r="D80" s="2" t="s">
        <v>77</v>
      </c>
      <c r="E80" s="2" t="s">
        <v>69</v>
      </c>
      <c r="F80" s="2" t="s">
        <v>73</v>
      </c>
      <c r="G80" s="2" t="s">
        <v>85</v>
      </c>
      <c r="H80" s="2" t="n">
        <v>3</v>
      </c>
      <c r="I80" s="2" t="n">
        <v>1200</v>
      </c>
      <c r="J80" s="2" t="n">
        <v>0</v>
      </c>
      <c r="K80" s="2" t="n">
        <v>600</v>
      </c>
    </row>
    <row r="81" customFormat="false" ht="15" hidden="false" customHeight="false" outlineLevel="0" collapsed="false">
      <c r="A81" s="2" t="s">
        <v>190</v>
      </c>
      <c r="B81" s="2" t="s">
        <v>191</v>
      </c>
      <c r="C81" s="10" t="n">
        <v>45890</v>
      </c>
      <c r="D81" s="2" t="s">
        <v>91</v>
      </c>
      <c r="E81" s="2" t="s">
        <v>69</v>
      </c>
      <c r="F81" s="2" t="s">
        <v>65</v>
      </c>
      <c r="G81" s="2" t="s">
        <v>82</v>
      </c>
      <c r="H81" s="2" t="n">
        <v>7</v>
      </c>
      <c r="I81" s="2" t="n">
        <v>250</v>
      </c>
      <c r="J81" s="2" t="n">
        <v>0</v>
      </c>
      <c r="K81" s="2" t="n">
        <v>100</v>
      </c>
    </row>
    <row r="82" customFormat="false" ht="15" hidden="false" customHeight="false" outlineLevel="0" collapsed="false">
      <c r="A82" s="2" t="s">
        <v>192</v>
      </c>
      <c r="B82" s="2" t="s">
        <v>193</v>
      </c>
      <c r="C82" s="10" t="n">
        <v>45933</v>
      </c>
      <c r="D82" s="2" t="s">
        <v>77</v>
      </c>
      <c r="E82" s="2" t="s">
        <v>64</v>
      </c>
      <c r="F82" s="2" t="s">
        <v>73</v>
      </c>
      <c r="G82" s="2" t="s">
        <v>74</v>
      </c>
      <c r="H82" s="2" t="n">
        <v>2</v>
      </c>
      <c r="I82" s="2" t="n">
        <v>7000</v>
      </c>
      <c r="J82" s="2" t="n">
        <v>0.05</v>
      </c>
      <c r="K82" s="2" t="n">
        <v>4800</v>
      </c>
    </row>
    <row r="83" customFormat="false" ht="15" hidden="false" customHeight="false" outlineLevel="0" collapsed="false">
      <c r="A83" s="2" t="s">
        <v>194</v>
      </c>
      <c r="B83" s="2" t="s">
        <v>193</v>
      </c>
      <c r="C83" s="10" t="n">
        <v>45727</v>
      </c>
      <c r="D83" s="2" t="s">
        <v>77</v>
      </c>
      <c r="E83" s="2" t="s">
        <v>64</v>
      </c>
      <c r="F83" s="2" t="s">
        <v>65</v>
      </c>
      <c r="G83" s="2" t="s">
        <v>66</v>
      </c>
      <c r="H83" s="2" t="n">
        <v>8</v>
      </c>
      <c r="I83" s="2" t="n">
        <v>600</v>
      </c>
      <c r="J83" s="2" t="n">
        <v>0</v>
      </c>
      <c r="K83" s="2" t="n">
        <v>300</v>
      </c>
    </row>
    <row r="84" customFormat="false" ht="15" hidden="false" customHeight="false" outlineLevel="0" collapsed="false">
      <c r="A84" s="2" t="s">
        <v>195</v>
      </c>
      <c r="B84" s="2" t="s">
        <v>196</v>
      </c>
      <c r="C84" s="10" t="n">
        <v>46008</v>
      </c>
      <c r="D84" s="2" t="s">
        <v>77</v>
      </c>
      <c r="E84" s="2" t="s">
        <v>64</v>
      </c>
      <c r="F84" s="2" t="s">
        <v>70</v>
      </c>
      <c r="G84" s="2" t="s">
        <v>97</v>
      </c>
      <c r="H84" s="2" t="n">
        <v>2</v>
      </c>
      <c r="I84" s="2" t="n">
        <v>3000</v>
      </c>
      <c r="J84" s="2" t="n">
        <v>0.05</v>
      </c>
      <c r="K84" s="2" t="n">
        <v>2000</v>
      </c>
    </row>
    <row r="85" customFormat="false" ht="15" hidden="false" customHeight="false" outlineLevel="0" collapsed="false">
      <c r="A85" s="2" t="s">
        <v>197</v>
      </c>
      <c r="B85" s="2" t="s">
        <v>196</v>
      </c>
      <c r="C85" s="10" t="n">
        <v>45814</v>
      </c>
      <c r="D85" s="2" t="s">
        <v>77</v>
      </c>
      <c r="E85" s="2" t="s">
        <v>64</v>
      </c>
      <c r="F85" s="2" t="s">
        <v>70</v>
      </c>
      <c r="G85" s="2" t="s">
        <v>126</v>
      </c>
      <c r="H85" s="2" t="n">
        <v>1</v>
      </c>
      <c r="I85" s="2" t="n">
        <v>4500</v>
      </c>
      <c r="J85" s="2" t="n">
        <v>0</v>
      </c>
      <c r="K85" s="2" t="n">
        <v>3300</v>
      </c>
    </row>
    <row r="86" customFormat="false" ht="15" hidden="false" customHeight="false" outlineLevel="0" collapsed="false">
      <c r="A86" s="2" t="s">
        <v>198</v>
      </c>
      <c r="B86" s="2" t="s">
        <v>196</v>
      </c>
      <c r="C86" s="10" t="n">
        <v>45818</v>
      </c>
      <c r="D86" s="2" t="s">
        <v>77</v>
      </c>
      <c r="E86" s="2" t="s">
        <v>64</v>
      </c>
      <c r="F86" s="2" t="s">
        <v>70</v>
      </c>
      <c r="G86" s="2" t="s">
        <v>126</v>
      </c>
      <c r="H86" s="2" t="n">
        <v>2</v>
      </c>
      <c r="I86" s="2" t="n">
        <v>4500</v>
      </c>
      <c r="J86" s="2" t="n">
        <v>0</v>
      </c>
      <c r="K86" s="2" t="n">
        <v>3300</v>
      </c>
    </row>
    <row r="87" customFormat="false" ht="15" hidden="false" customHeight="false" outlineLevel="0" collapsed="false">
      <c r="A87" s="2" t="s">
        <v>199</v>
      </c>
      <c r="B87" s="2" t="s">
        <v>196</v>
      </c>
      <c r="C87" s="10" t="n">
        <v>45803</v>
      </c>
      <c r="D87" s="2" t="s">
        <v>77</v>
      </c>
      <c r="E87" s="2" t="s">
        <v>64</v>
      </c>
      <c r="F87" s="2" t="s">
        <v>73</v>
      </c>
      <c r="G87" s="2" t="s">
        <v>85</v>
      </c>
      <c r="H87" s="2" t="n">
        <v>3</v>
      </c>
      <c r="I87" s="2" t="n">
        <v>1200</v>
      </c>
      <c r="J87" s="2" t="n">
        <v>0</v>
      </c>
      <c r="K87" s="2" t="n">
        <v>600</v>
      </c>
    </row>
    <row r="88" customFormat="false" ht="15" hidden="false" customHeight="false" outlineLevel="0" collapsed="false">
      <c r="A88" s="2" t="s">
        <v>200</v>
      </c>
      <c r="B88" s="2" t="s">
        <v>196</v>
      </c>
      <c r="C88" s="10" t="n">
        <v>45954</v>
      </c>
      <c r="D88" s="2" t="s">
        <v>77</v>
      </c>
      <c r="E88" s="2" t="s">
        <v>64</v>
      </c>
      <c r="F88" s="2" t="s">
        <v>65</v>
      </c>
      <c r="G88" s="2" t="s">
        <v>78</v>
      </c>
      <c r="H88" s="2" t="n">
        <v>4</v>
      </c>
      <c r="I88" s="2" t="n">
        <v>400</v>
      </c>
      <c r="J88" s="2" t="n">
        <v>0.05</v>
      </c>
      <c r="K88" s="2" t="n">
        <v>200</v>
      </c>
    </row>
    <row r="89" customFormat="false" ht="15" hidden="false" customHeight="false" outlineLevel="0" collapsed="false">
      <c r="A89" s="2" t="s">
        <v>201</v>
      </c>
      <c r="B89" s="2" t="s">
        <v>196</v>
      </c>
      <c r="C89" s="10" t="n">
        <v>45934</v>
      </c>
      <c r="D89" s="2" t="s">
        <v>77</v>
      </c>
      <c r="E89" s="2" t="s">
        <v>64</v>
      </c>
      <c r="F89" s="2" t="s">
        <v>65</v>
      </c>
      <c r="G89" s="2" t="s">
        <v>82</v>
      </c>
      <c r="H89" s="2" t="n">
        <v>6</v>
      </c>
      <c r="I89" s="2" t="n">
        <v>250</v>
      </c>
      <c r="J89" s="2" t="n">
        <v>0.1</v>
      </c>
      <c r="K89" s="2" t="n">
        <v>100</v>
      </c>
    </row>
    <row r="90" customFormat="false" ht="15" hidden="false" customHeight="false" outlineLevel="0" collapsed="false">
      <c r="A90" s="2" t="s">
        <v>202</v>
      </c>
      <c r="B90" s="2" t="s">
        <v>203</v>
      </c>
      <c r="C90" s="10" t="n">
        <v>45794</v>
      </c>
      <c r="D90" s="2" t="s">
        <v>77</v>
      </c>
      <c r="E90" s="2" t="s">
        <v>64</v>
      </c>
      <c r="F90" s="2" t="s">
        <v>70</v>
      </c>
      <c r="G90" s="2" t="s">
        <v>97</v>
      </c>
      <c r="H90" s="2" t="n">
        <v>3</v>
      </c>
      <c r="I90" s="2" t="n">
        <v>3000</v>
      </c>
      <c r="J90" s="2" t="n">
        <v>0.05</v>
      </c>
      <c r="K90" s="2" t="n">
        <v>2000</v>
      </c>
    </row>
    <row r="91" customFormat="false" ht="15" hidden="false" customHeight="false" outlineLevel="0" collapsed="false">
      <c r="A91" s="2" t="s">
        <v>204</v>
      </c>
      <c r="B91" s="2" t="s">
        <v>205</v>
      </c>
      <c r="C91" s="10" t="n">
        <v>45937</v>
      </c>
      <c r="D91" s="2" t="s">
        <v>63</v>
      </c>
      <c r="E91" s="2" t="s">
        <v>64</v>
      </c>
      <c r="F91" s="2" t="s">
        <v>73</v>
      </c>
      <c r="G91" s="2" t="s">
        <v>104</v>
      </c>
      <c r="H91" s="2" t="n">
        <v>3</v>
      </c>
      <c r="I91" s="2" t="n">
        <v>5500</v>
      </c>
      <c r="J91" s="2" t="n">
        <v>0.05</v>
      </c>
      <c r="K91" s="2" t="n">
        <v>3600</v>
      </c>
    </row>
    <row r="92" customFormat="false" ht="15" hidden="false" customHeight="false" outlineLevel="0" collapsed="false">
      <c r="A92" s="2" t="s">
        <v>206</v>
      </c>
      <c r="B92" s="2" t="s">
        <v>205</v>
      </c>
      <c r="C92" s="10" t="n">
        <v>45931</v>
      </c>
      <c r="D92" s="2" t="s">
        <v>63</v>
      </c>
      <c r="E92" s="2" t="s">
        <v>64</v>
      </c>
      <c r="F92" s="2" t="s">
        <v>70</v>
      </c>
      <c r="G92" s="2" t="s">
        <v>126</v>
      </c>
      <c r="H92" s="2" t="n">
        <v>2</v>
      </c>
      <c r="I92" s="2" t="n">
        <v>4500</v>
      </c>
      <c r="J92" s="2" t="n">
        <v>0.05</v>
      </c>
      <c r="K92" s="2" t="n">
        <v>3300</v>
      </c>
    </row>
    <row r="93" customFormat="false" ht="15" hidden="false" customHeight="false" outlineLevel="0" collapsed="false">
      <c r="A93" s="2" t="s">
        <v>207</v>
      </c>
      <c r="B93" s="2" t="s">
        <v>205</v>
      </c>
      <c r="C93" s="10" t="n">
        <v>45993</v>
      </c>
      <c r="D93" s="2" t="s">
        <v>63</v>
      </c>
      <c r="E93" s="2" t="s">
        <v>64</v>
      </c>
      <c r="F93" s="2" t="s">
        <v>70</v>
      </c>
      <c r="G93" s="2" t="s">
        <v>71</v>
      </c>
      <c r="H93" s="2" t="n">
        <v>3</v>
      </c>
      <c r="I93" s="2" t="n">
        <v>2500</v>
      </c>
      <c r="J93" s="2" t="n">
        <v>0.05</v>
      </c>
      <c r="K93" s="2" t="n">
        <v>1600</v>
      </c>
    </row>
    <row r="94" customFormat="false" ht="15" hidden="false" customHeight="false" outlineLevel="0" collapsed="false">
      <c r="A94" s="2" t="s">
        <v>208</v>
      </c>
      <c r="B94" s="2" t="s">
        <v>205</v>
      </c>
      <c r="C94" s="10" t="n">
        <v>46013</v>
      </c>
      <c r="D94" s="2" t="s">
        <v>63</v>
      </c>
      <c r="E94" s="2" t="s">
        <v>64</v>
      </c>
      <c r="F94" s="2" t="s">
        <v>65</v>
      </c>
      <c r="G94" s="2" t="s">
        <v>78</v>
      </c>
      <c r="H94" s="2" t="n">
        <v>7</v>
      </c>
      <c r="I94" s="2" t="n">
        <v>400</v>
      </c>
      <c r="J94" s="2" t="n">
        <v>0.15</v>
      </c>
      <c r="K94" s="2" t="n">
        <v>200</v>
      </c>
    </row>
    <row r="95" customFormat="false" ht="15" hidden="false" customHeight="false" outlineLevel="0" collapsed="false">
      <c r="A95" s="2" t="s">
        <v>209</v>
      </c>
      <c r="B95" s="2" t="s">
        <v>210</v>
      </c>
      <c r="C95" s="10" t="n">
        <v>45779</v>
      </c>
      <c r="D95" s="2" t="s">
        <v>77</v>
      </c>
      <c r="E95" s="2" t="s">
        <v>64</v>
      </c>
      <c r="F95" s="2" t="s">
        <v>65</v>
      </c>
      <c r="G95" s="2" t="s">
        <v>66</v>
      </c>
      <c r="H95" s="2" t="n">
        <v>6</v>
      </c>
      <c r="I95" s="2" t="n">
        <v>600</v>
      </c>
      <c r="J95" s="2" t="n">
        <v>0</v>
      </c>
      <c r="K95" s="2" t="n">
        <v>300</v>
      </c>
    </row>
    <row r="96" customFormat="false" ht="15" hidden="false" customHeight="false" outlineLevel="0" collapsed="false">
      <c r="A96" s="2" t="s">
        <v>211</v>
      </c>
      <c r="B96" s="2" t="s">
        <v>210</v>
      </c>
      <c r="C96" s="10" t="n">
        <v>45809</v>
      </c>
      <c r="D96" s="2" t="s">
        <v>77</v>
      </c>
      <c r="E96" s="2" t="s">
        <v>64</v>
      </c>
      <c r="F96" s="2" t="s">
        <v>65</v>
      </c>
      <c r="G96" s="2" t="s">
        <v>107</v>
      </c>
      <c r="H96" s="2" t="n">
        <v>3</v>
      </c>
      <c r="I96" s="2" t="n">
        <v>500</v>
      </c>
      <c r="J96" s="2" t="n">
        <v>0.05</v>
      </c>
      <c r="K96" s="2" t="n">
        <v>250</v>
      </c>
    </row>
    <row r="97" customFormat="false" ht="15" hidden="false" customHeight="false" outlineLevel="0" collapsed="false">
      <c r="A97" s="2" t="s">
        <v>212</v>
      </c>
      <c r="B97" s="2" t="s">
        <v>210</v>
      </c>
      <c r="C97" s="10" t="n">
        <v>45785</v>
      </c>
      <c r="D97" s="2" t="s">
        <v>77</v>
      </c>
      <c r="E97" s="2" t="s">
        <v>64</v>
      </c>
      <c r="F97" s="2" t="s">
        <v>73</v>
      </c>
      <c r="G97" s="2" t="s">
        <v>104</v>
      </c>
      <c r="H97" s="2" t="n">
        <v>2</v>
      </c>
      <c r="I97" s="2" t="n">
        <v>5500</v>
      </c>
      <c r="J97" s="2" t="n">
        <v>0</v>
      </c>
      <c r="K97" s="2" t="n">
        <v>3600</v>
      </c>
    </row>
    <row r="98" customFormat="false" ht="15" hidden="false" customHeight="false" outlineLevel="0" collapsed="false">
      <c r="A98" s="2" t="s">
        <v>213</v>
      </c>
      <c r="B98" s="2" t="s">
        <v>210</v>
      </c>
      <c r="C98" s="10" t="n">
        <v>45717</v>
      </c>
      <c r="D98" s="2" t="s">
        <v>77</v>
      </c>
      <c r="E98" s="2" t="s">
        <v>64</v>
      </c>
      <c r="F98" s="2" t="s">
        <v>65</v>
      </c>
      <c r="G98" s="2" t="s">
        <v>78</v>
      </c>
      <c r="H98" s="2" t="n">
        <v>4</v>
      </c>
      <c r="I98" s="2" t="n">
        <v>400</v>
      </c>
      <c r="J98" s="2" t="n">
        <v>0</v>
      </c>
      <c r="K98" s="2" t="n">
        <v>200</v>
      </c>
    </row>
    <row r="99" customFormat="false" ht="15" hidden="false" customHeight="false" outlineLevel="0" collapsed="false">
      <c r="A99" s="2" t="s">
        <v>214</v>
      </c>
      <c r="B99" s="2" t="s">
        <v>210</v>
      </c>
      <c r="C99" s="10" t="n">
        <v>46008</v>
      </c>
      <c r="D99" s="2" t="s">
        <v>77</v>
      </c>
      <c r="E99" s="2" t="s">
        <v>64</v>
      </c>
      <c r="F99" s="2" t="s">
        <v>73</v>
      </c>
      <c r="G99" s="2" t="s">
        <v>104</v>
      </c>
      <c r="H99" s="2" t="n">
        <v>2</v>
      </c>
      <c r="I99" s="2" t="n">
        <v>5500</v>
      </c>
      <c r="J99" s="2" t="n">
        <v>0.05</v>
      </c>
      <c r="K99" s="2" t="n">
        <v>3600</v>
      </c>
    </row>
    <row r="100" customFormat="false" ht="15" hidden="false" customHeight="false" outlineLevel="0" collapsed="false">
      <c r="A100" s="2" t="s">
        <v>215</v>
      </c>
      <c r="B100" s="2" t="s">
        <v>216</v>
      </c>
      <c r="C100" s="10" t="n">
        <v>45964</v>
      </c>
      <c r="D100" s="2" t="s">
        <v>91</v>
      </c>
      <c r="E100" s="2" t="s">
        <v>64</v>
      </c>
      <c r="F100" s="2" t="s">
        <v>73</v>
      </c>
      <c r="G100" s="2" t="s">
        <v>87</v>
      </c>
      <c r="H100" s="2" t="n">
        <v>1</v>
      </c>
      <c r="I100" s="2" t="n">
        <v>9000</v>
      </c>
      <c r="J100" s="2" t="n">
        <v>0.05</v>
      </c>
      <c r="K100" s="2" t="n">
        <v>6200</v>
      </c>
    </row>
    <row r="101" customFormat="false" ht="15" hidden="false" customHeight="false" outlineLevel="0" collapsed="false">
      <c r="A101" s="2" t="s">
        <v>217</v>
      </c>
      <c r="B101" s="2" t="s">
        <v>218</v>
      </c>
      <c r="C101" s="10" t="n">
        <v>45949</v>
      </c>
      <c r="D101" s="2" t="s">
        <v>63</v>
      </c>
      <c r="E101" s="2" t="s">
        <v>69</v>
      </c>
      <c r="F101" s="2" t="s">
        <v>65</v>
      </c>
      <c r="G101" s="2" t="s">
        <v>66</v>
      </c>
      <c r="H101" s="2" t="n">
        <v>7</v>
      </c>
      <c r="I101" s="2" t="n">
        <v>600</v>
      </c>
      <c r="J101" s="2" t="n">
        <v>0.1</v>
      </c>
      <c r="K101" s="2" t="n">
        <v>300</v>
      </c>
    </row>
    <row r="102" customFormat="false" ht="15" hidden="false" customHeight="false" outlineLevel="0" collapsed="false">
      <c r="A102" s="2" t="s">
        <v>219</v>
      </c>
      <c r="B102" s="2" t="s">
        <v>218</v>
      </c>
      <c r="C102" s="10" t="n">
        <v>45951</v>
      </c>
      <c r="D102" s="2" t="s">
        <v>63</v>
      </c>
      <c r="E102" s="2" t="s">
        <v>69</v>
      </c>
      <c r="F102" s="2" t="s">
        <v>65</v>
      </c>
      <c r="G102" s="2" t="s">
        <v>78</v>
      </c>
      <c r="H102" s="2" t="n">
        <v>5</v>
      </c>
      <c r="I102" s="2" t="n">
        <v>400</v>
      </c>
      <c r="J102" s="2" t="n">
        <v>0.05</v>
      </c>
      <c r="K102" s="2" t="n">
        <v>200</v>
      </c>
    </row>
    <row r="103" customFormat="false" ht="15" hidden="false" customHeight="false" outlineLevel="0" collapsed="false">
      <c r="A103" s="2" t="s">
        <v>220</v>
      </c>
      <c r="B103" s="2" t="s">
        <v>218</v>
      </c>
      <c r="C103" s="10" t="n">
        <v>45729</v>
      </c>
      <c r="D103" s="2" t="s">
        <v>63</v>
      </c>
      <c r="E103" s="2" t="s">
        <v>69</v>
      </c>
      <c r="F103" s="2" t="s">
        <v>65</v>
      </c>
      <c r="G103" s="2" t="s">
        <v>82</v>
      </c>
      <c r="H103" s="2" t="n">
        <v>9</v>
      </c>
      <c r="I103" s="2" t="n">
        <v>250</v>
      </c>
      <c r="J103" s="2" t="n">
        <v>0.1</v>
      </c>
      <c r="K103" s="2" t="n">
        <v>100</v>
      </c>
    </row>
    <row r="104" customFormat="false" ht="15" hidden="false" customHeight="false" outlineLevel="0" collapsed="false">
      <c r="A104" s="2" t="s">
        <v>221</v>
      </c>
      <c r="B104" s="2" t="s">
        <v>218</v>
      </c>
      <c r="C104" s="10" t="n">
        <v>45681</v>
      </c>
      <c r="D104" s="2" t="s">
        <v>63</v>
      </c>
      <c r="E104" s="2" t="s">
        <v>69</v>
      </c>
      <c r="F104" s="2" t="s">
        <v>65</v>
      </c>
      <c r="G104" s="2" t="s">
        <v>66</v>
      </c>
      <c r="H104" s="2" t="n">
        <v>20</v>
      </c>
      <c r="I104" s="2" t="n">
        <v>600</v>
      </c>
      <c r="J104" s="2" t="n">
        <v>0</v>
      </c>
      <c r="K104" s="2" t="n">
        <v>300</v>
      </c>
    </row>
    <row r="105" customFormat="false" ht="15" hidden="false" customHeight="false" outlineLevel="0" collapsed="false">
      <c r="A105" s="2" t="s">
        <v>222</v>
      </c>
      <c r="B105" s="2" t="s">
        <v>218</v>
      </c>
      <c r="C105" s="10" t="n">
        <v>45954</v>
      </c>
      <c r="D105" s="2" t="s">
        <v>63</v>
      </c>
      <c r="E105" s="2" t="s">
        <v>69</v>
      </c>
      <c r="F105" s="2" t="s">
        <v>73</v>
      </c>
      <c r="G105" s="2" t="s">
        <v>87</v>
      </c>
      <c r="H105" s="2" t="n">
        <v>5</v>
      </c>
      <c r="I105" s="2" t="n">
        <v>9000</v>
      </c>
      <c r="J105" s="2" t="n">
        <v>0.1</v>
      </c>
      <c r="K105" s="2" t="n">
        <v>6200</v>
      </c>
    </row>
    <row r="106" customFormat="false" ht="15" hidden="false" customHeight="false" outlineLevel="0" collapsed="false">
      <c r="A106" s="2" t="s">
        <v>223</v>
      </c>
      <c r="B106" s="2" t="s">
        <v>224</v>
      </c>
      <c r="C106" s="10" t="n">
        <v>45835</v>
      </c>
      <c r="D106" s="2" t="s">
        <v>77</v>
      </c>
      <c r="E106" s="2" t="s">
        <v>69</v>
      </c>
      <c r="F106" s="2" t="s">
        <v>73</v>
      </c>
      <c r="G106" s="2" t="s">
        <v>87</v>
      </c>
      <c r="H106" s="2" t="n">
        <v>5</v>
      </c>
      <c r="I106" s="2" t="n">
        <v>9000</v>
      </c>
      <c r="J106" s="2" t="n">
        <v>0</v>
      </c>
      <c r="K106" s="2" t="n">
        <v>6200</v>
      </c>
    </row>
    <row r="107" customFormat="false" ht="15" hidden="false" customHeight="false" outlineLevel="0" collapsed="false">
      <c r="A107" s="2" t="s">
        <v>225</v>
      </c>
      <c r="B107" s="2" t="s">
        <v>224</v>
      </c>
      <c r="C107" s="10" t="n">
        <v>45982</v>
      </c>
      <c r="D107" s="2" t="s">
        <v>77</v>
      </c>
      <c r="E107" s="2" t="s">
        <v>69</v>
      </c>
      <c r="F107" s="2" t="s">
        <v>70</v>
      </c>
      <c r="G107" s="2" t="s">
        <v>126</v>
      </c>
      <c r="H107" s="2" t="n">
        <v>1</v>
      </c>
      <c r="I107" s="2" t="n">
        <v>4500</v>
      </c>
      <c r="J107" s="2" t="n">
        <v>0.05</v>
      </c>
      <c r="K107" s="2" t="n">
        <v>3300</v>
      </c>
    </row>
    <row r="108" customFormat="false" ht="15" hidden="false" customHeight="false" outlineLevel="0" collapsed="false">
      <c r="A108" s="2" t="s">
        <v>226</v>
      </c>
      <c r="B108" s="2" t="s">
        <v>227</v>
      </c>
      <c r="C108" s="10" t="n">
        <v>45856</v>
      </c>
      <c r="D108" s="2" t="s">
        <v>91</v>
      </c>
      <c r="E108" s="2" t="s">
        <v>64</v>
      </c>
      <c r="F108" s="2" t="s">
        <v>70</v>
      </c>
      <c r="G108" s="2" t="s">
        <v>122</v>
      </c>
      <c r="H108" s="2" t="n">
        <v>1</v>
      </c>
      <c r="I108" s="2" t="n">
        <v>1500</v>
      </c>
      <c r="J108" s="2" t="n">
        <v>0.05</v>
      </c>
      <c r="K108" s="2" t="n">
        <v>900</v>
      </c>
    </row>
    <row r="109" customFormat="false" ht="15" hidden="false" customHeight="false" outlineLevel="0" collapsed="false">
      <c r="A109" s="2" t="s">
        <v>228</v>
      </c>
      <c r="B109" s="2" t="s">
        <v>227</v>
      </c>
      <c r="C109" s="10" t="n">
        <v>45983</v>
      </c>
      <c r="D109" s="2" t="s">
        <v>91</v>
      </c>
      <c r="E109" s="2" t="s">
        <v>64</v>
      </c>
      <c r="F109" s="2" t="s">
        <v>70</v>
      </c>
      <c r="G109" s="2" t="s">
        <v>71</v>
      </c>
      <c r="H109" s="2" t="n">
        <v>3</v>
      </c>
      <c r="I109" s="2" t="n">
        <v>2500</v>
      </c>
      <c r="J109" s="2" t="n">
        <v>0.15</v>
      </c>
      <c r="K109" s="2" t="n">
        <v>1600</v>
      </c>
    </row>
    <row r="110" customFormat="false" ht="15" hidden="false" customHeight="false" outlineLevel="0" collapsed="false">
      <c r="A110" s="2" t="s">
        <v>229</v>
      </c>
      <c r="B110" s="2" t="s">
        <v>227</v>
      </c>
      <c r="C110" s="10" t="n">
        <v>45987</v>
      </c>
      <c r="D110" s="2" t="s">
        <v>91</v>
      </c>
      <c r="E110" s="2" t="s">
        <v>64</v>
      </c>
      <c r="F110" s="2" t="s">
        <v>70</v>
      </c>
      <c r="G110" s="2" t="s">
        <v>126</v>
      </c>
      <c r="H110" s="2" t="n">
        <v>2</v>
      </c>
      <c r="I110" s="2" t="n">
        <v>4500</v>
      </c>
      <c r="J110" s="2" t="n">
        <v>0.1</v>
      </c>
      <c r="K110" s="2" t="n">
        <v>3300</v>
      </c>
    </row>
    <row r="111" customFormat="false" ht="15" hidden="false" customHeight="false" outlineLevel="0" collapsed="false">
      <c r="A111" s="2" t="s">
        <v>230</v>
      </c>
      <c r="B111" s="2" t="s">
        <v>227</v>
      </c>
      <c r="C111" s="10" t="n">
        <v>45952</v>
      </c>
      <c r="D111" s="2" t="s">
        <v>91</v>
      </c>
      <c r="E111" s="2" t="s">
        <v>64</v>
      </c>
      <c r="F111" s="2" t="s">
        <v>70</v>
      </c>
      <c r="G111" s="2" t="s">
        <v>71</v>
      </c>
      <c r="H111" s="2" t="n">
        <v>3</v>
      </c>
      <c r="I111" s="2" t="n">
        <v>2500</v>
      </c>
      <c r="J111" s="2" t="n">
        <v>0.05</v>
      </c>
      <c r="K111" s="2" t="n">
        <v>1600</v>
      </c>
    </row>
    <row r="112" customFormat="false" ht="15" hidden="false" customHeight="false" outlineLevel="0" collapsed="false">
      <c r="A112" s="2" t="s">
        <v>231</v>
      </c>
      <c r="B112" s="2" t="s">
        <v>232</v>
      </c>
      <c r="C112" s="10" t="n">
        <v>45716</v>
      </c>
      <c r="D112" s="2" t="s">
        <v>77</v>
      </c>
      <c r="E112" s="2" t="s">
        <v>64</v>
      </c>
      <c r="F112" s="2" t="s">
        <v>65</v>
      </c>
      <c r="G112" s="2" t="s">
        <v>78</v>
      </c>
      <c r="H112" s="2" t="n">
        <v>7</v>
      </c>
      <c r="I112" s="2" t="n">
        <v>400</v>
      </c>
      <c r="J112" s="2" t="n">
        <v>0</v>
      </c>
      <c r="K112" s="2" t="n">
        <v>200</v>
      </c>
    </row>
    <row r="113" customFormat="false" ht="15" hidden="false" customHeight="false" outlineLevel="0" collapsed="false">
      <c r="A113" s="2" t="s">
        <v>233</v>
      </c>
      <c r="B113" s="2" t="s">
        <v>232</v>
      </c>
      <c r="C113" s="10" t="n">
        <v>45673</v>
      </c>
      <c r="D113" s="2" t="s">
        <v>77</v>
      </c>
      <c r="E113" s="2" t="s">
        <v>64</v>
      </c>
      <c r="F113" s="2" t="s">
        <v>70</v>
      </c>
      <c r="G113" s="2" t="s">
        <v>122</v>
      </c>
      <c r="H113" s="2" t="n">
        <v>1</v>
      </c>
      <c r="I113" s="2" t="n">
        <v>1500</v>
      </c>
      <c r="J113" s="2" t="n">
        <v>0.05</v>
      </c>
      <c r="K113" s="2" t="n">
        <v>900</v>
      </c>
    </row>
    <row r="114" customFormat="false" ht="15" hidden="false" customHeight="false" outlineLevel="0" collapsed="false">
      <c r="A114" s="2" t="s">
        <v>234</v>
      </c>
      <c r="B114" s="2" t="s">
        <v>232</v>
      </c>
      <c r="C114" s="10" t="n">
        <v>45682</v>
      </c>
      <c r="D114" s="2" t="s">
        <v>77</v>
      </c>
      <c r="E114" s="2" t="s">
        <v>64</v>
      </c>
      <c r="F114" s="2" t="s">
        <v>73</v>
      </c>
      <c r="G114" s="2" t="s">
        <v>85</v>
      </c>
      <c r="H114" s="2" t="n">
        <v>1</v>
      </c>
      <c r="I114" s="2" t="n">
        <v>1200</v>
      </c>
      <c r="J114" s="2" t="n">
        <v>0</v>
      </c>
      <c r="K114" s="2" t="n">
        <v>600</v>
      </c>
    </row>
    <row r="115" customFormat="false" ht="15" hidden="false" customHeight="false" outlineLevel="0" collapsed="false">
      <c r="A115" s="2" t="s">
        <v>235</v>
      </c>
      <c r="B115" s="2" t="s">
        <v>236</v>
      </c>
      <c r="C115" s="10" t="n">
        <v>45693</v>
      </c>
      <c r="D115" s="2" t="s">
        <v>91</v>
      </c>
      <c r="E115" s="2" t="s">
        <v>64</v>
      </c>
      <c r="F115" s="2" t="s">
        <v>65</v>
      </c>
      <c r="G115" s="2" t="s">
        <v>78</v>
      </c>
      <c r="H115" s="2" t="n">
        <v>6</v>
      </c>
      <c r="I115" s="2" t="n">
        <v>400</v>
      </c>
      <c r="J115" s="2" t="n">
        <v>0.1</v>
      </c>
      <c r="K115" s="2" t="n">
        <v>200</v>
      </c>
    </row>
    <row r="116" customFormat="false" ht="15" hidden="false" customHeight="false" outlineLevel="0" collapsed="false">
      <c r="A116" s="2" t="s">
        <v>237</v>
      </c>
      <c r="B116" s="2" t="s">
        <v>236</v>
      </c>
      <c r="C116" s="10" t="n">
        <v>45721</v>
      </c>
      <c r="D116" s="2" t="s">
        <v>91</v>
      </c>
      <c r="E116" s="2" t="s">
        <v>64</v>
      </c>
      <c r="F116" s="2" t="s">
        <v>65</v>
      </c>
      <c r="G116" s="2" t="s">
        <v>66</v>
      </c>
      <c r="H116" s="2" t="n">
        <v>4</v>
      </c>
      <c r="I116" s="2" t="n">
        <v>600</v>
      </c>
      <c r="J116" s="2" t="n">
        <v>0.1</v>
      </c>
      <c r="K116" s="2" t="n">
        <v>300</v>
      </c>
    </row>
    <row r="117" customFormat="false" ht="15" hidden="false" customHeight="false" outlineLevel="0" collapsed="false">
      <c r="A117" s="2" t="s">
        <v>238</v>
      </c>
      <c r="B117" s="2" t="s">
        <v>236</v>
      </c>
      <c r="C117" s="10" t="n">
        <v>45952</v>
      </c>
      <c r="D117" s="2" t="s">
        <v>91</v>
      </c>
      <c r="E117" s="2" t="s">
        <v>64</v>
      </c>
      <c r="F117" s="2" t="s">
        <v>65</v>
      </c>
      <c r="G117" s="2" t="s">
        <v>78</v>
      </c>
      <c r="H117" s="2" t="n">
        <v>5</v>
      </c>
      <c r="I117" s="2" t="n">
        <v>400</v>
      </c>
      <c r="J117" s="2" t="n">
        <v>0.05</v>
      </c>
      <c r="K117" s="2" t="n">
        <v>200</v>
      </c>
    </row>
    <row r="118" customFormat="false" ht="15" hidden="false" customHeight="false" outlineLevel="0" collapsed="false">
      <c r="A118" s="2" t="s">
        <v>239</v>
      </c>
      <c r="B118" s="2" t="s">
        <v>240</v>
      </c>
      <c r="C118" s="10" t="n">
        <v>45910</v>
      </c>
      <c r="D118" s="2" t="s">
        <v>91</v>
      </c>
      <c r="E118" s="2" t="s">
        <v>64</v>
      </c>
      <c r="F118" s="2" t="s">
        <v>70</v>
      </c>
      <c r="G118" s="2" t="s">
        <v>71</v>
      </c>
      <c r="H118" s="2" t="n">
        <v>3</v>
      </c>
      <c r="I118" s="2" t="n">
        <v>2500</v>
      </c>
      <c r="J118" s="2" t="n">
        <v>0.05</v>
      </c>
      <c r="K118" s="2" t="n">
        <v>1600</v>
      </c>
    </row>
    <row r="119" customFormat="false" ht="15" hidden="false" customHeight="false" outlineLevel="0" collapsed="false">
      <c r="A119" s="2" t="s">
        <v>241</v>
      </c>
      <c r="B119" s="2" t="s">
        <v>240</v>
      </c>
      <c r="C119" s="10" t="n">
        <v>45706</v>
      </c>
      <c r="D119" s="2" t="s">
        <v>91</v>
      </c>
      <c r="E119" s="2" t="s">
        <v>64</v>
      </c>
      <c r="F119" s="2" t="s">
        <v>65</v>
      </c>
      <c r="G119" s="2" t="s">
        <v>66</v>
      </c>
      <c r="H119" s="2" t="n">
        <v>5</v>
      </c>
      <c r="I119" s="2" t="n">
        <v>600</v>
      </c>
      <c r="J119" s="2" t="n">
        <v>0</v>
      </c>
      <c r="K119" s="2" t="n">
        <v>300</v>
      </c>
    </row>
    <row r="120" customFormat="false" ht="15" hidden="false" customHeight="false" outlineLevel="0" collapsed="false">
      <c r="A120" s="2" t="s">
        <v>242</v>
      </c>
      <c r="B120" s="2" t="s">
        <v>240</v>
      </c>
      <c r="C120" s="10" t="n">
        <v>45910</v>
      </c>
      <c r="D120" s="2" t="s">
        <v>91</v>
      </c>
      <c r="E120" s="2" t="s">
        <v>64</v>
      </c>
      <c r="F120" s="2" t="s">
        <v>70</v>
      </c>
      <c r="G120" s="2" t="s">
        <v>126</v>
      </c>
      <c r="H120" s="2" t="n">
        <v>2</v>
      </c>
      <c r="I120" s="2" t="n">
        <v>4500</v>
      </c>
      <c r="J120" s="2" t="n">
        <v>0</v>
      </c>
      <c r="K120" s="2" t="n">
        <v>3300</v>
      </c>
    </row>
    <row r="121" customFormat="false" ht="15" hidden="false" customHeight="false" outlineLevel="0" collapsed="false">
      <c r="A121" s="2" t="s">
        <v>243</v>
      </c>
      <c r="B121" s="2" t="s">
        <v>240</v>
      </c>
      <c r="C121" s="10" t="n">
        <v>45790</v>
      </c>
      <c r="D121" s="2" t="s">
        <v>91</v>
      </c>
      <c r="E121" s="2" t="s">
        <v>64</v>
      </c>
      <c r="F121" s="2" t="s">
        <v>73</v>
      </c>
      <c r="G121" s="2" t="s">
        <v>85</v>
      </c>
      <c r="H121" s="2" t="n">
        <v>1</v>
      </c>
      <c r="I121" s="2" t="n">
        <v>1200</v>
      </c>
      <c r="J121" s="2" t="n">
        <v>0</v>
      </c>
      <c r="K121" s="2" t="n">
        <v>600</v>
      </c>
    </row>
    <row r="122" customFormat="false" ht="15" hidden="false" customHeight="false" outlineLevel="0" collapsed="false">
      <c r="A122" s="2" t="s">
        <v>244</v>
      </c>
      <c r="B122" s="2" t="s">
        <v>240</v>
      </c>
      <c r="C122" s="10" t="n">
        <v>45752</v>
      </c>
      <c r="D122" s="2" t="s">
        <v>91</v>
      </c>
      <c r="E122" s="2" t="s">
        <v>64</v>
      </c>
      <c r="F122" s="2" t="s">
        <v>65</v>
      </c>
      <c r="G122" s="2" t="s">
        <v>82</v>
      </c>
      <c r="H122" s="2" t="n">
        <v>3</v>
      </c>
      <c r="I122" s="2" t="n">
        <v>250</v>
      </c>
      <c r="J122" s="2" t="n">
        <v>0</v>
      </c>
      <c r="K122" s="2" t="n">
        <v>100</v>
      </c>
    </row>
    <row r="123" customFormat="false" ht="15" hidden="false" customHeight="false" outlineLevel="0" collapsed="false">
      <c r="A123" s="2" t="s">
        <v>245</v>
      </c>
      <c r="B123" s="2" t="s">
        <v>246</v>
      </c>
      <c r="C123" s="10" t="n">
        <v>45970</v>
      </c>
      <c r="D123" s="2" t="s">
        <v>77</v>
      </c>
      <c r="E123" s="2" t="s">
        <v>64</v>
      </c>
      <c r="F123" s="2" t="s">
        <v>73</v>
      </c>
      <c r="G123" s="2" t="s">
        <v>104</v>
      </c>
      <c r="H123" s="2" t="n">
        <v>2</v>
      </c>
      <c r="I123" s="2" t="n">
        <v>5500</v>
      </c>
      <c r="J123" s="2" t="n">
        <v>0.15</v>
      </c>
      <c r="K123" s="2" t="n">
        <v>3600</v>
      </c>
    </row>
    <row r="124" customFormat="false" ht="15" hidden="false" customHeight="false" outlineLevel="0" collapsed="false">
      <c r="A124" s="2" t="s">
        <v>247</v>
      </c>
      <c r="B124" s="2" t="s">
        <v>246</v>
      </c>
      <c r="C124" s="10" t="n">
        <v>45946</v>
      </c>
      <c r="D124" s="2" t="s">
        <v>77</v>
      </c>
      <c r="E124" s="2" t="s">
        <v>64</v>
      </c>
      <c r="F124" s="2" t="s">
        <v>70</v>
      </c>
      <c r="G124" s="2" t="s">
        <v>71</v>
      </c>
      <c r="H124" s="2" t="n">
        <v>3</v>
      </c>
      <c r="I124" s="2" t="n">
        <v>2500</v>
      </c>
      <c r="J124" s="2" t="n">
        <v>0.1</v>
      </c>
      <c r="K124" s="2" t="n">
        <v>1600</v>
      </c>
    </row>
    <row r="125" customFormat="false" ht="15" hidden="false" customHeight="false" outlineLevel="0" collapsed="false">
      <c r="A125" s="2" t="s">
        <v>248</v>
      </c>
      <c r="B125" s="2" t="s">
        <v>246</v>
      </c>
      <c r="C125" s="10" t="n">
        <v>45983</v>
      </c>
      <c r="D125" s="2" t="s">
        <v>77</v>
      </c>
      <c r="E125" s="2" t="s">
        <v>64</v>
      </c>
      <c r="F125" s="2" t="s">
        <v>73</v>
      </c>
      <c r="G125" s="2" t="s">
        <v>85</v>
      </c>
      <c r="H125" s="2" t="n">
        <v>1</v>
      </c>
      <c r="I125" s="2" t="n">
        <v>1200</v>
      </c>
      <c r="J125" s="2" t="n">
        <v>0.1</v>
      </c>
      <c r="K125" s="2" t="n">
        <v>600</v>
      </c>
    </row>
    <row r="126" customFormat="false" ht="15" hidden="false" customHeight="false" outlineLevel="0" collapsed="false">
      <c r="A126" s="2" t="s">
        <v>249</v>
      </c>
      <c r="B126" s="2" t="s">
        <v>250</v>
      </c>
      <c r="C126" s="10" t="n">
        <v>45822</v>
      </c>
      <c r="D126" s="2" t="s">
        <v>81</v>
      </c>
      <c r="E126" s="2" t="s">
        <v>69</v>
      </c>
      <c r="F126" s="2" t="s">
        <v>73</v>
      </c>
      <c r="G126" s="2" t="s">
        <v>85</v>
      </c>
      <c r="H126" s="2" t="n">
        <v>3</v>
      </c>
      <c r="I126" s="2" t="n">
        <v>1200</v>
      </c>
      <c r="J126" s="2" t="n">
        <v>0</v>
      </c>
      <c r="K126" s="2" t="n">
        <v>600</v>
      </c>
    </row>
    <row r="127" customFormat="false" ht="15" hidden="false" customHeight="false" outlineLevel="0" collapsed="false">
      <c r="A127" s="2" t="s">
        <v>251</v>
      </c>
      <c r="B127" s="2" t="s">
        <v>252</v>
      </c>
      <c r="C127" s="10" t="n">
        <v>45748</v>
      </c>
      <c r="D127" s="2" t="s">
        <v>63</v>
      </c>
      <c r="E127" s="2" t="s">
        <v>64</v>
      </c>
      <c r="F127" s="2" t="s">
        <v>65</v>
      </c>
      <c r="G127" s="2" t="s">
        <v>66</v>
      </c>
      <c r="H127" s="2" t="n">
        <v>5</v>
      </c>
      <c r="I127" s="2" t="n">
        <v>600</v>
      </c>
      <c r="J127" s="2" t="n">
        <v>0</v>
      </c>
      <c r="K127" s="2" t="n">
        <v>300</v>
      </c>
    </row>
    <row r="128" customFormat="false" ht="15" hidden="false" customHeight="false" outlineLevel="0" collapsed="false">
      <c r="A128" s="2" t="s">
        <v>253</v>
      </c>
      <c r="B128" s="2" t="s">
        <v>254</v>
      </c>
      <c r="C128" s="10" t="n">
        <v>45873</v>
      </c>
      <c r="D128" s="2" t="s">
        <v>77</v>
      </c>
      <c r="E128" s="2" t="s">
        <v>64</v>
      </c>
      <c r="F128" s="2" t="s">
        <v>65</v>
      </c>
      <c r="G128" s="2" t="s">
        <v>66</v>
      </c>
      <c r="H128" s="2" t="n">
        <v>8</v>
      </c>
      <c r="I128" s="2" t="n">
        <v>600</v>
      </c>
      <c r="J128" s="2" t="n">
        <v>0.05</v>
      </c>
      <c r="K128" s="2" t="n">
        <v>300</v>
      </c>
    </row>
    <row r="129" customFormat="false" ht="15" hidden="false" customHeight="false" outlineLevel="0" collapsed="false">
      <c r="A129" s="2" t="s">
        <v>255</v>
      </c>
      <c r="B129" s="2" t="s">
        <v>254</v>
      </c>
      <c r="C129" s="10" t="n">
        <v>45666</v>
      </c>
      <c r="D129" s="2" t="s">
        <v>77</v>
      </c>
      <c r="E129" s="2" t="s">
        <v>64</v>
      </c>
      <c r="F129" s="2" t="s">
        <v>70</v>
      </c>
      <c r="G129" s="2" t="s">
        <v>126</v>
      </c>
      <c r="H129" s="2" t="n">
        <v>3</v>
      </c>
      <c r="I129" s="2" t="n">
        <v>4500</v>
      </c>
      <c r="J129" s="2" t="n">
        <v>0</v>
      </c>
      <c r="K129" s="2" t="n">
        <v>3300</v>
      </c>
    </row>
    <row r="130" customFormat="false" ht="15" hidden="false" customHeight="false" outlineLevel="0" collapsed="false">
      <c r="A130" s="2" t="s">
        <v>256</v>
      </c>
      <c r="B130" s="2" t="s">
        <v>254</v>
      </c>
      <c r="C130" s="10" t="n">
        <v>45964</v>
      </c>
      <c r="D130" s="2" t="s">
        <v>77</v>
      </c>
      <c r="E130" s="2" t="s">
        <v>64</v>
      </c>
      <c r="F130" s="2" t="s">
        <v>65</v>
      </c>
      <c r="G130" s="2" t="s">
        <v>66</v>
      </c>
      <c r="H130" s="2" t="n">
        <v>2</v>
      </c>
      <c r="I130" s="2" t="n">
        <v>600</v>
      </c>
      <c r="J130" s="2" t="n">
        <v>0.15</v>
      </c>
      <c r="K130" s="2" t="n">
        <v>300</v>
      </c>
    </row>
    <row r="131" customFormat="false" ht="15" hidden="false" customHeight="false" outlineLevel="0" collapsed="false">
      <c r="A131" s="2" t="s">
        <v>257</v>
      </c>
      <c r="B131" s="2" t="s">
        <v>254</v>
      </c>
      <c r="C131" s="10" t="n">
        <v>45939</v>
      </c>
      <c r="D131" s="2" t="s">
        <v>77</v>
      </c>
      <c r="E131" s="2" t="s">
        <v>64</v>
      </c>
      <c r="F131" s="2" t="s">
        <v>65</v>
      </c>
      <c r="G131" s="2" t="s">
        <v>66</v>
      </c>
      <c r="H131" s="2" t="n">
        <v>5</v>
      </c>
      <c r="I131" s="2" t="n">
        <v>600</v>
      </c>
      <c r="J131" s="2" t="n">
        <v>0.05</v>
      </c>
      <c r="K131" s="2" t="n">
        <v>300</v>
      </c>
    </row>
    <row r="132" customFormat="false" ht="15" hidden="false" customHeight="false" outlineLevel="0" collapsed="false">
      <c r="A132" s="2" t="s">
        <v>258</v>
      </c>
      <c r="B132" s="2" t="s">
        <v>254</v>
      </c>
      <c r="C132" s="10" t="n">
        <v>45665</v>
      </c>
      <c r="D132" s="2" t="s">
        <v>77</v>
      </c>
      <c r="E132" s="2" t="s">
        <v>64</v>
      </c>
      <c r="F132" s="2" t="s">
        <v>73</v>
      </c>
      <c r="G132" s="2" t="s">
        <v>74</v>
      </c>
      <c r="H132" s="2" t="n">
        <v>1</v>
      </c>
      <c r="I132" s="2" t="n">
        <v>7000</v>
      </c>
      <c r="J132" s="2" t="n">
        <v>0</v>
      </c>
      <c r="K132" s="2" t="n">
        <v>4800</v>
      </c>
    </row>
    <row r="133" customFormat="false" ht="15" hidden="false" customHeight="false" outlineLevel="0" collapsed="false">
      <c r="A133" s="2" t="s">
        <v>259</v>
      </c>
      <c r="B133" s="2" t="s">
        <v>254</v>
      </c>
      <c r="C133" s="10" t="n">
        <v>45955</v>
      </c>
      <c r="D133" s="2" t="s">
        <v>77</v>
      </c>
      <c r="E133" s="2" t="s">
        <v>64</v>
      </c>
      <c r="F133" s="2" t="s">
        <v>73</v>
      </c>
      <c r="G133" s="2" t="s">
        <v>104</v>
      </c>
      <c r="H133" s="2" t="n">
        <v>2</v>
      </c>
      <c r="I133" s="2" t="n">
        <v>5500</v>
      </c>
      <c r="J133" s="2" t="n">
        <v>0.05</v>
      </c>
      <c r="K133" s="2" t="n">
        <v>3600</v>
      </c>
    </row>
    <row r="134" customFormat="false" ht="15" hidden="false" customHeight="false" outlineLevel="0" collapsed="false">
      <c r="A134" s="2" t="s">
        <v>260</v>
      </c>
      <c r="B134" s="2" t="s">
        <v>254</v>
      </c>
      <c r="C134" s="10" t="n">
        <v>45948</v>
      </c>
      <c r="D134" s="2" t="s">
        <v>77</v>
      </c>
      <c r="E134" s="2" t="s">
        <v>64</v>
      </c>
      <c r="F134" s="2" t="s">
        <v>73</v>
      </c>
      <c r="G134" s="2" t="s">
        <v>104</v>
      </c>
      <c r="H134" s="2" t="n">
        <v>2</v>
      </c>
      <c r="I134" s="2" t="n">
        <v>5500</v>
      </c>
      <c r="J134" s="2" t="n">
        <v>0.1</v>
      </c>
      <c r="K134" s="2" t="n">
        <v>3600</v>
      </c>
    </row>
    <row r="135" customFormat="false" ht="15" hidden="false" customHeight="false" outlineLevel="0" collapsed="false">
      <c r="A135" s="2" t="s">
        <v>261</v>
      </c>
      <c r="B135" s="2" t="s">
        <v>254</v>
      </c>
      <c r="C135" s="10" t="n">
        <v>45792</v>
      </c>
      <c r="D135" s="2" t="s">
        <v>77</v>
      </c>
      <c r="E135" s="2" t="s">
        <v>64</v>
      </c>
      <c r="F135" s="2" t="s">
        <v>70</v>
      </c>
      <c r="G135" s="2" t="s">
        <v>126</v>
      </c>
      <c r="H135" s="2" t="n">
        <v>3</v>
      </c>
      <c r="I135" s="2" t="n">
        <v>4500</v>
      </c>
      <c r="J135" s="2" t="n">
        <v>0.05</v>
      </c>
      <c r="K135" s="2" t="n">
        <v>3300</v>
      </c>
    </row>
    <row r="136" customFormat="false" ht="15" hidden="false" customHeight="false" outlineLevel="0" collapsed="false">
      <c r="A136" s="2" t="s">
        <v>262</v>
      </c>
      <c r="B136" s="2" t="s">
        <v>263</v>
      </c>
      <c r="C136" s="10" t="n">
        <v>45795</v>
      </c>
      <c r="D136" s="2" t="s">
        <v>81</v>
      </c>
      <c r="E136" s="2" t="s">
        <v>69</v>
      </c>
      <c r="F136" s="2" t="s">
        <v>65</v>
      </c>
      <c r="G136" s="2" t="s">
        <v>82</v>
      </c>
      <c r="H136" s="2" t="n">
        <v>14</v>
      </c>
      <c r="I136" s="2" t="n">
        <v>250</v>
      </c>
      <c r="J136" s="2" t="n">
        <v>0</v>
      </c>
      <c r="K136" s="2" t="n">
        <v>100</v>
      </c>
    </row>
    <row r="137" customFormat="false" ht="15" hidden="false" customHeight="false" outlineLevel="0" collapsed="false">
      <c r="A137" s="2" t="s">
        <v>264</v>
      </c>
      <c r="B137" s="2" t="s">
        <v>265</v>
      </c>
      <c r="C137" s="10" t="n">
        <v>46001</v>
      </c>
      <c r="D137" s="2" t="s">
        <v>63</v>
      </c>
      <c r="E137" s="2" t="s">
        <v>64</v>
      </c>
      <c r="F137" s="2" t="s">
        <v>65</v>
      </c>
      <c r="G137" s="2" t="s">
        <v>82</v>
      </c>
      <c r="H137" s="2" t="n">
        <v>3</v>
      </c>
      <c r="I137" s="2" t="n">
        <v>250</v>
      </c>
      <c r="J137" s="2" t="n">
        <v>0.05</v>
      </c>
      <c r="K137" s="2" t="n">
        <v>100</v>
      </c>
    </row>
    <row r="138" customFormat="false" ht="15" hidden="false" customHeight="false" outlineLevel="0" collapsed="false">
      <c r="A138" s="2" t="s">
        <v>266</v>
      </c>
      <c r="B138" s="2" t="s">
        <v>267</v>
      </c>
      <c r="C138" s="10" t="n">
        <v>45940</v>
      </c>
      <c r="D138" s="2" t="s">
        <v>63</v>
      </c>
      <c r="E138" s="2" t="s">
        <v>92</v>
      </c>
      <c r="F138" s="2" t="s">
        <v>73</v>
      </c>
      <c r="G138" s="2" t="s">
        <v>104</v>
      </c>
      <c r="H138" s="2" t="n">
        <v>5</v>
      </c>
      <c r="I138" s="2" t="n">
        <v>5500</v>
      </c>
      <c r="J138" s="2" t="n">
        <v>0.1</v>
      </c>
      <c r="K138" s="2" t="n">
        <v>3600</v>
      </c>
    </row>
    <row r="139" customFormat="false" ht="15" hidden="false" customHeight="false" outlineLevel="0" collapsed="false">
      <c r="A139" s="2" t="s">
        <v>268</v>
      </c>
      <c r="B139" s="2" t="s">
        <v>267</v>
      </c>
      <c r="C139" s="10" t="n">
        <v>45859</v>
      </c>
      <c r="D139" s="2" t="s">
        <v>63</v>
      </c>
      <c r="E139" s="2" t="s">
        <v>92</v>
      </c>
      <c r="F139" s="2" t="s">
        <v>70</v>
      </c>
      <c r="G139" s="2" t="s">
        <v>97</v>
      </c>
      <c r="H139" s="2" t="n">
        <v>2</v>
      </c>
      <c r="I139" s="2" t="n">
        <v>3000</v>
      </c>
      <c r="J139" s="2" t="n">
        <v>0.05</v>
      </c>
      <c r="K139" s="2" t="n">
        <v>2000</v>
      </c>
    </row>
    <row r="140" customFormat="false" ht="15" hidden="false" customHeight="false" outlineLevel="0" collapsed="false">
      <c r="A140" s="2" t="s">
        <v>269</v>
      </c>
      <c r="B140" s="2" t="s">
        <v>267</v>
      </c>
      <c r="C140" s="10" t="n">
        <v>45887</v>
      </c>
      <c r="D140" s="2" t="s">
        <v>63</v>
      </c>
      <c r="E140" s="2" t="s">
        <v>92</v>
      </c>
      <c r="F140" s="2" t="s">
        <v>73</v>
      </c>
      <c r="G140" s="2" t="s">
        <v>87</v>
      </c>
      <c r="H140" s="2" t="n">
        <v>6</v>
      </c>
      <c r="I140" s="2" t="n">
        <v>9000</v>
      </c>
      <c r="J140" s="2" t="n">
        <v>0.15</v>
      </c>
      <c r="K140" s="2" t="n">
        <v>6200</v>
      </c>
    </row>
    <row r="141" customFormat="false" ht="15" hidden="false" customHeight="false" outlineLevel="0" collapsed="false">
      <c r="A141" s="2" t="s">
        <v>270</v>
      </c>
      <c r="B141" s="2" t="s">
        <v>267</v>
      </c>
      <c r="C141" s="10" t="n">
        <v>46005</v>
      </c>
      <c r="D141" s="2" t="s">
        <v>63</v>
      </c>
      <c r="E141" s="2" t="s">
        <v>92</v>
      </c>
      <c r="F141" s="2" t="s">
        <v>65</v>
      </c>
      <c r="G141" s="2" t="s">
        <v>82</v>
      </c>
      <c r="H141" s="2" t="n">
        <v>34</v>
      </c>
      <c r="I141" s="2" t="n">
        <v>250</v>
      </c>
      <c r="J141" s="2" t="n">
        <v>0.15</v>
      </c>
      <c r="K141" s="2" t="n">
        <v>100</v>
      </c>
    </row>
    <row r="142" customFormat="false" ht="15" hidden="false" customHeight="false" outlineLevel="0" collapsed="false">
      <c r="A142" s="2" t="s">
        <v>271</v>
      </c>
      <c r="B142" s="2" t="s">
        <v>272</v>
      </c>
      <c r="C142" s="10" t="n">
        <v>45936</v>
      </c>
      <c r="D142" s="2" t="s">
        <v>63</v>
      </c>
      <c r="E142" s="2" t="s">
        <v>64</v>
      </c>
      <c r="F142" s="2" t="s">
        <v>73</v>
      </c>
      <c r="G142" s="2" t="s">
        <v>87</v>
      </c>
      <c r="H142" s="2" t="n">
        <v>3</v>
      </c>
      <c r="I142" s="2" t="n">
        <v>9000</v>
      </c>
      <c r="J142" s="2" t="n">
        <v>0.05</v>
      </c>
      <c r="K142" s="2" t="n">
        <v>6200</v>
      </c>
    </row>
    <row r="143" customFormat="false" ht="15" hidden="false" customHeight="false" outlineLevel="0" collapsed="false">
      <c r="A143" s="2" t="s">
        <v>273</v>
      </c>
      <c r="B143" s="2" t="s">
        <v>274</v>
      </c>
      <c r="C143" s="10" t="n">
        <v>45850</v>
      </c>
      <c r="D143" s="2" t="s">
        <v>63</v>
      </c>
      <c r="E143" s="2" t="s">
        <v>69</v>
      </c>
      <c r="F143" s="2" t="s">
        <v>65</v>
      </c>
      <c r="G143" s="2" t="s">
        <v>66</v>
      </c>
      <c r="H143" s="2" t="n">
        <v>7</v>
      </c>
      <c r="I143" s="2" t="n">
        <v>600</v>
      </c>
      <c r="J143" s="2" t="n">
        <v>0</v>
      </c>
      <c r="K143" s="2" t="n">
        <v>300</v>
      </c>
    </row>
    <row r="144" customFormat="false" ht="15" hidden="false" customHeight="false" outlineLevel="0" collapsed="false">
      <c r="A144" s="2" t="s">
        <v>275</v>
      </c>
      <c r="B144" s="2" t="s">
        <v>274</v>
      </c>
      <c r="C144" s="10" t="n">
        <v>45801</v>
      </c>
      <c r="D144" s="2" t="s">
        <v>63</v>
      </c>
      <c r="E144" s="2" t="s">
        <v>69</v>
      </c>
      <c r="F144" s="2" t="s">
        <v>65</v>
      </c>
      <c r="G144" s="2" t="s">
        <v>66</v>
      </c>
      <c r="H144" s="2" t="n">
        <v>11</v>
      </c>
      <c r="I144" s="2" t="n">
        <v>600</v>
      </c>
      <c r="J144" s="2" t="n">
        <v>0</v>
      </c>
      <c r="K144" s="2" t="n">
        <v>300</v>
      </c>
    </row>
    <row r="145" customFormat="false" ht="15" hidden="false" customHeight="false" outlineLevel="0" collapsed="false">
      <c r="A145" s="2" t="s">
        <v>276</v>
      </c>
      <c r="B145" s="2" t="s">
        <v>277</v>
      </c>
      <c r="C145" s="10" t="n">
        <v>45845</v>
      </c>
      <c r="D145" s="2" t="s">
        <v>63</v>
      </c>
      <c r="E145" s="2" t="s">
        <v>64</v>
      </c>
      <c r="F145" s="2" t="s">
        <v>70</v>
      </c>
      <c r="G145" s="2" t="s">
        <v>97</v>
      </c>
      <c r="H145" s="2" t="n">
        <v>2</v>
      </c>
      <c r="I145" s="2" t="n">
        <v>3000</v>
      </c>
      <c r="J145" s="2" t="n">
        <v>0.1</v>
      </c>
      <c r="K145" s="2" t="n">
        <v>2000</v>
      </c>
    </row>
    <row r="146" customFormat="false" ht="15" hidden="false" customHeight="false" outlineLevel="0" collapsed="false">
      <c r="A146" s="2" t="s">
        <v>278</v>
      </c>
      <c r="B146" s="2" t="s">
        <v>279</v>
      </c>
      <c r="C146" s="10" t="n">
        <v>46007</v>
      </c>
      <c r="D146" s="2" t="s">
        <v>91</v>
      </c>
      <c r="E146" s="2" t="s">
        <v>64</v>
      </c>
      <c r="F146" s="2" t="s">
        <v>65</v>
      </c>
      <c r="G146" s="2" t="s">
        <v>107</v>
      </c>
      <c r="H146" s="2" t="n">
        <v>4</v>
      </c>
      <c r="I146" s="2" t="n">
        <v>500</v>
      </c>
      <c r="J146" s="2" t="n">
        <v>0.05</v>
      </c>
      <c r="K146" s="2" t="n">
        <v>250</v>
      </c>
    </row>
    <row r="147" customFormat="false" ht="15" hidden="false" customHeight="false" outlineLevel="0" collapsed="false">
      <c r="A147" s="2" t="s">
        <v>280</v>
      </c>
      <c r="B147" s="2" t="s">
        <v>281</v>
      </c>
      <c r="C147" s="10" t="n">
        <v>45886</v>
      </c>
      <c r="D147" s="2" t="s">
        <v>77</v>
      </c>
      <c r="E147" s="2" t="s">
        <v>69</v>
      </c>
      <c r="F147" s="2" t="s">
        <v>73</v>
      </c>
      <c r="G147" s="2" t="s">
        <v>104</v>
      </c>
      <c r="H147" s="2" t="n">
        <v>3</v>
      </c>
      <c r="I147" s="2" t="n">
        <v>5500</v>
      </c>
      <c r="J147" s="2" t="n">
        <v>0.1</v>
      </c>
      <c r="K147" s="2" t="n">
        <v>3600</v>
      </c>
    </row>
    <row r="148" customFormat="false" ht="15" hidden="false" customHeight="false" outlineLevel="0" collapsed="false">
      <c r="A148" s="2" t="s">
        <v>282</v>
      </c>
      <c r="B148" s="2" t="s">
        <v>281</v>
      </c>
      <c r="C148" s="10" t="n">
        <v>45729</v>
      </c>
      <c r="D148" s="2" t="s">
        <v>77</v>
      </c>
      <c r="E148" s="2" t="s">
        <v>69</v>
      </c>
      <c r="F148" s="2" t="s">
        <v>73</v>
      </c>
      <c r="G148" s="2" t="s">
        <v>87</v>
      </c>
      <c r="H148" s="2" t="n">
        <v>3</v>
      </c>
      <c r="I148" s="2" t="n">
        <v>9000</v>
      </c>
      <c r="J148" s="2" t="n">
        <v>0.05</v>
      </c>
      <c r="K148" s="2" t="n">
        <v>6200</v>
      </c>
    </row>
    <row r="149" customFormat="false" ht="15" hidden="false" customHeight="false" outlineLevel="0" collapsed="false">
      <c r="A149" s="2" t="s">
        <v>283</v>
      </c>
      <c r="B149" s="2" t="s">
        <v>284</v>
      </c>
      <c r="C149" s="10" t="n">
        <v>45935</v>
      </c>
      <c r="D149" s="2" t="s">
        <v>77</v>
      </c>
      <c r="E149" s="2" t="s">
        <v>64</v>
      </c>
      <c r="F149" s="2" t="s">
        <v>70</v>
      </c>
      <c r="G149" s="2" t="s">
        <v>97</v>
      </c>
      <c r="H149" s="2" t="n">
        <v>2</v>
      </c>
      <c r="I149" s="2" t="n">
        <v>3000</v>
      </c>
      <c r="J149" s="2" t="n">
        <v>0.05</v>
      </c>
      <c r="K149" s="2" t="n">
        <v>2000</v>
      </c>
    </row>
    <row r="150" customFormat="false" ht="15" hidden="false" customHeight="false" outlineLevel="0" collapsed="false">
      <c r="A150" s="2" t="s">
        <v>285</v>
      </c>
      <c r="B150" s="2" t="s">
        <v>286</v>
      </c>
      <c r="C150" s="10" t="n">
        <v>45962</v>
      </c>
      <c r="D150" s="2" t="s">
        <v>77</v>
      </c>
      <c r="E150" s="2" t="s">
        <v>64</v>
      </c>
      <c r="F150" s="2" t="s">
        <v>70</v>
      </c>
      <c r="G150" s="2" t="s">
        <v>71</v>
      </c>
      <c r="H150" s="2" t="n">
        <v>2</v>
      </c>
      <c r="I150" s="2" t="n">
        <v>2500</v>
      </c>
      <c r="J150" s="2" t="n">
        <v>0.1</v>
      </c>
      <c r="K150" s="2" t="n">
        <v>1600</v>
      </c>
    </row>
    <row r="151" customFormat="false" ht="15" hidden="false" customHeight="false" outlineLevel="0" collapsed="false">
      <c r="A151" s="2" t="s">
        <v>287</v>
      </c>
      <c r="B151" s="2" t="s">
        <v>286</v>
      </c>
      <c r="C151" s="10" t="n">
        <v>45895</v>
      </c>
      <c r="D151" s="2" t="s">
        <v>77</v>
      </c>
      <c r="E151" s="2" t="s">
        <v>64</v>
      </c>
      <c r="F151" s="2" t="s">
        <v>65</v>
      </c>
      <c r="G151" s="2" t="s">
        <v>78</v>
      </c>
      <c r="H151" s="2" t="n">
        <v>5</v>
      </c>
      <c r="I151" s="2" t="n">
        <v>400</v>
      </c>
      <c r="J151" s="2" t="n">
        <v>0</v>
      </c>
      <c r="K151" s="2" t="n">
        <v>200</v>
      </c>
    </row>
    <row r="152" customFormat="false" ht="15" hidden="false" customHeight="false" outlineLevel="0" collapsed="false">
      <c r="A152" s="2" t="s">
        <v>288</v>
      </c>
      <c r="B152" s="2" t="s">
        <v>286</v>
      </c>
      <c r="C152" s="10" t="n">
        <v>45952</v>
      </c>
      <c r="D152" s="2" t="s">
        <v>77</v>
      </c>
      <c r="E152" s="2" t="s">
        <v>64</v>
      </c>
      <c r="F152" s="2" t="s">
        <v>73</v>
      </c>
      <c r="G152" s="2" t="s">
        <v>74</v>
      </c>
      <c r="H152" s="2" t="n">
        <v>1</v>
      </c>
      <c r="I152" s="2" t="n">
        <v>7000</v>
      </c>
      <c r="J152" s="2" t="n">
        <v>0.15</v>
      </c>
      <c r="K152" s="2" t="n">
        <v>4800</v>
      </c>
    </row>
    <row r="153" customFormat="false" ht="15" hidden="false" customHeight="false" outlineLevel="0" collapsed="false">
      <c r="A153" s="2" t="s">
        <v>289</v>
      </c>
      <c r="B153" s="2" t="s">
        <v>290</v>
      </c>
      <c r="C153" s="10" t="n">
        <v>45863</v>
      </c>
      <c r="D153" s="2" t="s">
        <v>77</v>
      </c>
      <c r="E153" s="2" t="s">
        <v>64</v>
      </c>
      <c r="F153" s="2" t="s">
        <v>65</v>
      </c>
      <c r="G153" s="2" t="s">
        <v>78</v>
      </c>
      <c r="H153" s="2" t="n">
        <v>8</v>
      </c>
      <c r="I153" s="2" t="n">
        <v>400</v>
      </c>
      <c r="J153" s="2" t="n">
        <v>0.1</v>
      </c>
      <c r="K153" s="2" t="n">
        <v>200</v>
      </c>
    </row>
    <row r="154" customFormat="false" ht="15" hidden="false" customHeight="false" outlineLevel="0" collapsed="false">
      <c r="A154" s="2" t="s">
        <v>291</v>
      </c>
      <c r="B154" s="2" t="s">
        <v>290</v>
      </c>
      <c r="C154" s="10" t="n">
        <v>45779</v>
      </c>
      <c r="D154" s="2" t="s">
        <v>77</v>
      </c>
      <c r="E154" s="2" t="s">
        <v>64</v>
      </c>
      <c r="F154" s="2" t="s">
        <v>65</v>
      </c>
      <c r="G154" s="2" t="s">
        <v>78</v>
      </c>
      <c r="H154" s="2" t="n">
        <v>2</v>
      </c>
      <c r="I154" s="2" t="n">
        <v>400</v>
      </c>
      <c r="J154" s="2" t="n">
        <v>0.1</v>
      </c>
      <c r="K154" s="2" t="n">
        <v>200</v>
      </c>
    </row>
    <row r="155" customFormat="false" ht="15" hidden="false" customHeight="false" outlineLevel="0" collapsed="false">
      <c r="A155" s="2" t="s">
        <v>292</v>
      </c>
      <c r="B155" s="2" t="s">
        <v>293</v>
      </c>
      <c r="C155" s="10" t="n">
        <v>45892</v>
      </c>
      <c r="D155" s="2" t="s">
        <v>77</v>
      </c>
      <c r="E155" s="2" t="s">
        <v>64</v>
      </c>
      <c r="F155" s="2" t="s">
        <v>65</v>
      </c>
      <c r="G155" s="2" t="s">
        <v>66</v>
      </c>
      <c r="H155" s="2" t="n">
        <v>3</v>
      </c>
      <c r="I155" s="2" t="n">
        <v>600</v>
      </c>
      <c r="J155" s="2" t="n">
        <v>0.05</v>
      </c>
      <c r="K155" s="2" t="n">
        <v>300</v>
      </c>
    </row>
    <row r="156" customFormat="false" ht="15" hidden="false" customHeight="false" outlineLevel="0" collapsed="false">
      <c r="A156" s="2" t="s">
        <v>294</v>
      </c>
      <c r="B156" s="2" t="s">
        <v>295</v>
      </c>
      <c r="C156" s="10" t="n">
        <v>45919</v>
      </c>
      <c r="D156" s="2" t="s">
        <v>81</v>
      </c>
      <c r="E156" s="2" t="s">
        <v>69</v>
      </c>
      <c r="F156" s="2" t="s">
        <v>65</v>
      </c>
      <c r="G156" s="2" t="s">
        <v>78</v>
      </c>
      <c r="H156" s="2" t="n">
        <v>7</v>
      </c>
      <c r="I156" s="2" t="n">
        <v>400</v>
      </c>
      <c r="J156" s="2" t="n">
        <v>0.1</v>
      </c>
      <c r="K156" s="2" t="n">
        <v>200</v>
      </c>
    </row>
    <row r="157" customFormat="false" ht="15" hidden="false" customHeight="false" outlineLevel="0" collapsed="false">
      <c r="A157" s="2" t="s">
        <v>296</v>
      </c>
      <c r="B157" s="2" t="s">
        <v>295</v>
      </c>
      <c r="C157" s="10" t="n">
        <v>45901</v>
      </c>
      <c r="D157" s="2" t="s">
        <v>81</v>
      </c>
      <c r="E157" s="2" t="s">
        <v>69</v>
      </c>
      <c r="F157" s="2" t="s">
        <v>73</v>
      </c>
      <c r="G157" s="2" t="s">
        <v>87</v>
      </c>
      <c r="H157" s="2" t="n">
        <v>3</v>
      </c>
      <c r="I157" s="2" t="n">
        <v>9000</v>
      </c>
      <c r="J157" s="2" t="n">
        <v>0.1</v>
      </c>
      <c r="K157" s="2" t="n">
        <v>6200</v>
      </c>
    </row>
    <row r="158" customFormat="false" ht="15" hidden="false" customHeight="false" outlineLevel="0" collapsed="false">
      <c r="A158" s="2" t="s">
        <v>297</v>
      </c>
      <c r="B158" s="2" t="s">
        <v>295</v>
      </c>
      <c r="C158" s="10" t="n">
        <v>45727</v>
      </c>
      <c r="D158" s="2" t="s">
        <v>81</v>
      </c>
      <c r="E158" s="2" t="s">
        <v>69</v>
      </c>
      <c r="F158" s="2" t="s">
        <v>73</v>
      </c>
      <c r="G158" s="2" t="s">
        <v>74</v>
      </c>
      <c r="H158" s="2" t="n">
        <v>3</v>
      </c>
      <c r="I158" s="2" t="n">
        <v>7000</v>
      </c>
      <c r="J158" s="2" t="n">
        <v>0</v>
      </c>
      <c r="K158" s="2" t="n">
        <v>4800</v>
      </c>
    </row>
    <row r="159" customFormat="false" ht="15" hidden="false" customHeight="false" outlineLevel="0" collapsed="false">
      <c r="A159" s="2" t="s">
        <v>298</v>
      </c>
      <c r="B159" s="2" t="s">
        <v>299</v>
      </c>
      <c r="C159" s="10" t="n">
        <v>45870</v>
      </c>
      <c r="D159" s="2" t="s">
        <v>63</v>
      </c>
      <c r="E159" s="2" t="s">
        <v>64</v>
      </c>
      <c r="F159" s="2" t="s">
        <v>65</v>
      </c>
      <c r="G159" s="2" t="s">
        <v>82</v>
      </c>
      <c r="H159" s="2" t="n">
        <v>5</v>
      </c>
      <c r="I159" s="2" t="n">
        <v>250</v>
      </c>
      <c r="J159" s="2" t="n">
        <v>0</v>
      </c>
      <c r="K159" s="2" t="n">
        <v>100</v>
      </c>
    </row>
    <row r="160" customFormat="false" ht="15" hidden="false" customHeight="false" outlineLevel="0" collapsed="false">
      <c r="A160" s="2" t="s">
        <v>300</v>
      </c>
      <c r="B160" s="2" t="s">
        <v>299</v>
      </c>
      <c r="C160" s="10" t="n">
        <v>45998</v>
      </c>
      <c r="D160" s="2" t="s">
        <v>63</v>
      </c>
      <c r="E160" s="2" t="s">
        <v>64</v>
      </c>
      <c r="F160" s="2" t="s">
        <v>65</v>
      </c>
      <c r="G160" s="2" t="s">
        <v>107</v>
      </c>
      <c r="H160" s="2" t="n">
        <v>7</v>
      </c>
      <c r="I160" s="2" t="n">
        <v>500</v>
      </c>
      <c r="J160" s="2" t="n">
        <v>0.05</v>
      </c>
      <c r="K160" s="2" t="n">
        <v>250</v>
      </c>
    </row>
    <row r="161" customFormat="false" ht="15" hidden="false" customHeight="false" outlineLevel="0" collapsed="false">
      <c r="A161" s="2" t="s">
        <v>301</v>
      </c>
      <c r="B161" s="2" t="s">
        <v>302</v>
      </c>
      <c r="C161" s="10" t="n">
        <v>45999</v>
      </c>
      <c r="D161" s="2" t="s">
        <v>77</v>
      </c>
      <c r="E161" s="2" t="s">
        <v>69</v>
      </c>
      <c r="F161" s="2" t="s">
        <v>65</v>
      </c>
      <c r="G161" s="2" t="s">
        <v>107</v>
      </c>
      <c r="H161" s="2" t="n">
        <v>18</v>
      </c>
      <c r="I161" s="2" t="n">
        <v>500</v>
      </c>
      <c r="J161" s="2" t="n">
        <v>0.05</v>
      </c>
      <c r="K161" s="2" t="n">
        <v>250</v>
      </c>
    </row>
    <row r="162" customFormat="false" ht="15" hidden="false" customHeight="false" outlineLevel="0" collapsed="false">
      <c r="A162" s="2" t="s">
        <v>303</v>
      </c>
      <c r="B162" s="2" t="s">
        <v>302</v>
      </c>
      <c r="C162" s="10" t="n">
        <v>45680</v>
      </c>
      <c r="D162" s="2" t="s">
        <v>77</v>
      </c>
      <c r="E162" s="2" t="s">
        <v>69</v>
      </c>
      <c r="F162" s="2" t="s">
        <v>65</v>
      </c>
      <c r="G162" s="2" t="s">
        <v>107</v>
      </c>
      <c r="H162" s="2" t="n">
        <v>12</v>
      </c>
      <c r="I162" s="2" t="n">
        <v>500</v>
      </c>
      <c r="J162" s="2" t="n">
        <v>0</v>
      </c>
      <c r="K162" s="2" t="n">
        <v>250</v>
      </c>
    </row>
    <row r="163" customFormat="false" ht="15" hidden="false" customHeight="false" outlineLevel="0" collapsed="false">
      <c r="A163" s="2" t="s">
        <v>304</v>
      </c>
      <c r="B163" s="2" t="s">
        <v>305</v>
      </c>
      <c r="C163" s="10" t="n">
        <v>45907</v>
      </c>
      <c r="D163" s="2" t="s">
        <v>81</v>
      </c>
      <c r="E163" s="2" t="s">
        <v>92</v>
      </c>
      <c r="F163" s="2" t="s">
        <v>73</v>
      </c>
      <c r="G163" s="2" t="s">
        <v>104</v>
      </c>
      <c r="H163" s="2" t="n">
        <v>4</v>
      </c>
      <c r="I163" s="2" t="n">
        <v>5500</v>
      </c>
      <c r="J163" s="2" t="n">
        <v>0.15</v>
      </c>
      <c r="K163" s="2" t="n">
        <v>3600</v>
      </c>
    </row>
    <row r="164" customFormat="false" ht="15" hidden="false" customHeight="false" outlineLevel="0" collapsed="false">
      <c r="A164" s="2" t="s">
        <v>306</v>
      </c>
      <c r="B164" s="2" t="s">
        <v>305</v>
      </c>
      <c r="C164" s="10" t="n">
        <v>45916</v>
      </c>
      <c r="D164" s="2" t="s">
        <v>81</v>
      </c>
      <c r="E164" s="2" t="s">
        <v>92</v>
      </c>
      <c r="F164" s="2" t="s">
        <v>73</v>
      </c>
      <c r="G164" s="2" t="s">
        <v>74</v>
      </c>
      <c r="H164" s="2" t="n">
        <v>2</v>
      </c>
      <c r="I164" s="2" t="n">
        <v>7000</v>
      </c>
      <c r="J164" s="2" t="n">
        <v>0.05</v>
      </c>
      <c r="K164" s="2" t="n">
        <v>4800</v>
      </c>
    </row>
    <row r="165" customFormat="false" ht="15" hidden="false" customHeight="false" outlineLevel="0" collapsed="false">
      <c r="A165" s="2" t="s">
        <v>307</v>
      </c>
      <c r="B165" s="2" t="s">
        <v>305</v>
      </c>
      <c r="C165" s="10" t="n">
        <v>45877</v>
      </c>
      <c r="D165" s="2" t="s">
        <v>81</v>
      </c>
      <c r="E165" s="2" t="s">
        <v>92</v>
      </c>
      <c r="F165" s="2" t="s">
        <v>73</v>
      </c>
      <c r="G165" s="2" t="s">
        <v>87</v>
      </c>
      <c r="H165" s="2" t="n">
        <v>3</v>
      </c>
      <c r="I165" s="2" t="n">
        <v>9000</v>
      </c>
      <c r="J165" s="2" t="n">
        <v>0.15</v>
      </c>
      <c r="K165" s="2" t="n">
        <v>6200</v>
      </c>
    </row>
    <row r="166" customFormat="false" ht="15" hidden="false" customHeight="false" outlineLevel="0" collapsed="false">
      <c r="A166" s="2" t="s">
        <v>308</v>
      </c>
      <c r="B166" s="2" t="s">
        <v>305</v>
      </c>
      <c r="C166" s="10" t="n">
        <v>45767</v>
      </c>
      <c r="D166" s="2" t="s">
        <v>81</v>
      </c>
      <c r="E166" s="2" t="s">
        <v>92</v>
      </c>
      <c r="F166" s="2" t="s">
        <v>70</v>
      </c>
      <c r="G166" s="2" t="s">
        <v>122</v>
      </c>
      <c r="H166" s="2" t="n">
        <v>6</v>
      </c>
      <c r="I166" s="2" t="n">
        <v>1500</v>
      </c>
      <c r="J166" s="2" t="n">
        <v>0.15</v>
      </c>
      <c r="K166" s="2" t="n">
        <v>900</v>
      </c>
    </row>
    <row r="167" customFormat="false" ht="15" hidden="false" customHeight="false" outlineLevel="0" collapsed="false">
      <c r="A167" s="2" t="s">
        <v>309</v>
      </c>
      <c r="B167" s="2" t="s">
        <v>310</v>
      </c>
      <c r="C167" s="10" t="n">
        <v>46011</v>
      </c>
      <c r="D167" s="2" t="s">
        <v>91</v>
      </c>
      <c r="E167" s="2" t="s">
        <v>69</v>
      </c>
      <c r="F167" s="2" t="s">
        <v>70</v>
      </c>
      <c r="G167" s="2" t="s">
        <v>126</v>
      </c>
      <c r="H167" s="2" t="n">
        <v>4</v>
      </c>
      <c r="I167" s="2" t="n">
        <v>4500</v>
      </c>
      <c r="J167" s="2" t="n">
        <v>0.05</v>
      </c>
      <c r="K167" s="2" t="n">
        <v>3300</v>
      </c>
    </row>
    <row r="168" customFormat="false" ht="15" hidden="false" customHeight="false" outlineLevel="0" collapsed="false">
      <c r="A168" s="2" t="s">
        <v>311</v>
      </c>
      <c r="B168" s="2" t="s">
        <v>310</v>
      </c>
      <c r="C168" s="10" t="n">
        <v>46011</v>
      </c>
      <c r="D168" s="2" t="s">
        <v>91</v>
      </c>
      <c r="E168" s="2" t="s">
        <v>69</v>
      </c>
      <c r="F168" s="2" t="s">
        <v>65</v>
      </c>
      <c r="G168" s="2" t="s">
        <v>82</v>
      </c>
      <c r="H168" s="2" t="n">
        <v>6</v>
      </c>
      <c r="I168" s="2" t="n">
        <v>250</v>
      </c>
      <c r="J168" s="2" t="n">
        <v>0.05</v>
      </c>
      <c r="K168" s="2" t="n">
        <v>100</v>
      </c>
    </row>
    <row r="169" customFormat="false" ht="15" hidden="false" customHeight="false" outlineLevel="0" collapsed="false">
      <c r="A169" s="2" t="s">
        <v>312</v>
      </c>
      <c r="B169" s="2" t="s">
        <v>310</v>
      </c>
      <c r="C169" s="10" t="n">
        <v>45783</v>
      </c>
      <c r="D169" s="2" t="s">
        <v>91</v>
      </c>
      <c r="E169" s="2" t="s">
        <v>69</v>
      </c>
      <c r="F169" s="2" t="s">
        <v>73</v>
      </c>
      <c r="G169" s="2" t="s">
        <v>87</v>
      </c>
      <c r="H169" s="2" t="n">
        <v>1</v>
      </c>
      <c r="I169" s="2" t="n">
        <v>9000</v>
      </c>
      <c r="J169" s="2" t="n">
        <v>0</v>
      </c>
      <c r="K169" s="2" t="n">
        <v>6200</v>
      </c>
    </row>
    <row r="170" customFormat="false" ht="15" hidden="false" customHeight="false" outlineLevel="0" collapsed="false">
      <c r="A170" s="2" t="s">
        <v>313</v>
      </c>
      <c r="B170" s="2" t="s">
        <v>310</v>
      </c>
      <c r="C170" s="10" t="n">
        <v>45903</v>
      </c>
      <c r="D170" s="2" t="s">
        <v>91</v>
      </c>
      <c r="E170" s="2" t="s">
        <v>69</v>
      </c>
      <c r="F170" s="2" t="s">
        <v>70</v>
      </c>
      <c r="G170" s="2" t="s">
        <v>97</v>
      </c>
      <c r="H170" s="2" t="n">
        <v>3</v>
      </c>
      <c r="I170" s="2" t="n">
        <v>3000</v>
      </c>
      <c r="J170" s="2" t="n">
        <v>0</v>
      </c>
      <c r="K170" s="2" t="n">
        <v>2000</v>
      </c>
    </row>
    <row r="171" customFormat="false" ht="15" hidden="false" customHeight="false" outlineLevel="0" collapsed="false">
      <c r="A171" s="2" t="s">
        <v>314</v>
      </c>
      <c r="B171" s="2" t="s">
        <v>310</v>
      </c>
      <c r="C171" s="10" t="n">
        <v>45801</v>
      </c>
      <c r="D171" s="2" t="s">
        <v>91</v>
      </c>
      <c r="E171" s="2" t="s">
        <v>69</v>
      </c>
      <c r="F171" s="2" t="s">
        <v>65</v>
      </c>
      <c r="G171" s="2" t="s">
        <v>82</v>
      </c>
      <c r="H171" s="2" t="n">
        <v>11</v>
      </c>
      <c r="I171" s="2" t="n">
        <v>250</v>
      </c>
      <c r="J171" s="2" t="n">
        <v>0.1</v>
      </c>
      <c r="K171" s="2" t="n">
        <v>100</v>
      </c>
    </row>
    <row r="172" customFormat="false" ht="15" hidden="false" customHeight="false" outlineLevel="0" collapsed="false">
      <c r="A172" s="2" t="s">
        <v>315</v>
      </c>
      <c r="B172" s="2" t="s">
        <v>310</v>
      </c>
      <c r="C172" s="10" t="n">
        <v>45896</v>
      </c>
      <c r="D172" s="2" t="s">
        <v>91</v>
      </c>
      <c r="E172" s="2" t="s">
        <v>69</v>
      </c>
      <c r="F172" s="2" t="s">
        <v>73</v>
      </c>
      <c r="G172" s="2" t="s">
        <v>85</v>
      </c>
      <c r="H172" s="2" t="n">
        <v>3</v>
      </c>
      <c r="I172" s="2" t="n">
        <v>1200</v>
      </c>
      <c r="J172" s="2" t="n">
        <v>0.05</v>
      </c>
      <c r="K172" s="2" t="n">
        <v>600</v>
      </c>
    </row>
    <row r="173" customFormat="false" ht="15" hidden="false" customHeight="false" outlineLevel="0" collapsed="false">
      <c r="A173" s="2" t="s">
        <v>316</v>
      </c>
      <c r="B173" s="2" t="s">
        <v>310</v>
      </c>
      <c r="C173" s="10" t="n">
        <v>45962</v>
      </c>
      <c r="D173" s="2" t="s">
        <v>91</v>
      </c>
      <c r="E173" s="2" t="s">
        <v>69</v>
      </c>
      <c r="F173" s="2" t="s">
        <v>73</v>
      </c>
      <c r="G173" s="2" t="s">
        <v>104</v>
      </c>
      <c r="H173" s="2" t="n">
        <v>4</v>
      </c>
      <c r="I173" s="2" t="n">
        <v>5500</v>
      </c>
      <c r="J173" s="2" t="n">
        <v>0.05</v>
      </c>
      <c r="K173" s="2" t="n">
        <v>3600</v>
      </c>
    </row>
    <row r="174" customFormat="false" ht="15" hidden="false" customHeight="false" outlineLevel="0" collapsed="false">
      <c r="A174" s="2" t="s">
        <v>317</v>
      </c>
      <c r="B174" s="2" t="s">
        <v>310</v>
      </c>
      <c r="C174" s="10" t="n">
        <v>45812</v>
      </c>
      <c r="D174" s="2" t="s">
        <v>91</v>
      </c>
      <c r="E174" s="2" t="s">
        <v>69</v>
      </c>
      <c r="F174" s="2" t="s">
        <v>70</v>
      </c>
      <c r="G174" s="2" t="s">
        <v>71</v>
      </c>
      <c r="H174" s="2" t="n">
        <v>1</v>
      </c>
      <c r="I174" s="2" t="n">
        <v>2500</v>
      </c>
      <c r="J174" s="2" t="n">
        <v>0.05</v>
      </c>
      <c r="K174" s="2" t="n">
        <v>1600</v>
      </c>
    </row>
    <row r="175" customFormat="false" ht="15" hidden="false" customHeight="false" outlineLevel="0" collapsed="false">
      <c r="A175" s="2" t="s">
        <v>318</v>
      </c>
      <c r="B175" s="2" t="s">
        <v>310</v>
      </c>
      <c r="C175" s="10" t="n">
        <v>45988</v>
      </c>
      <c r="D175" s="2" t="s">
        <v>91</v>
      </c>
      <c r="E175" s="2" t="s">
        <v>69</v>
      </c>
      <c r="F175" s="2" t="s">
        <v>73</v>
      </c>
      <c r="G175" s="2" t="s">
        <v>87</v>
      </c>
      <c r="H175" s="2" t="n">
        <v>3</v>
      </c>
      <c r="I175" s="2" t="n">
        <v>9000</v>
      </c>
      <c r="J175" s="2" t="n">
        <v>0.05</v>
      </c>
      <c r="K175" s="2" t="n">
        <v>6200</v>
      </c>
    </row>
    <row r="176" customFormat="false" ht="15" hidden="false" customHeight="false" outlineLevel="0" collapsed="false">
      <c r="A176" s="2" t="s">
        <v>319</v>
      </c>
      <c r="B176" s="2" t="s">
        <v>310</v>
      </c>
      <c r="C176" s="10" t="n">
        <v>45815</v>
      </c>
      <c r="D176" s="2" t="s">
        <v>91</v>
      </c>
      <c r="E176" s="2" t="s">
        <v>69</v>
      </c>
      <c r="F176" s="2" t="s">
        <v>73</v>
      </c>
      <c r="G176" s="2" t="s">
        <v>85</v>
      </c>
      <c r="H176" s="2" t="n">
        <v>1</v>
      </c>
      <c r="I176" s="2" t="n">
        <v>1200</v>
      </c>
      <c r="J176" s="2" t="n">
        <v>0.05</v>
      </c>
      <c r="K176" s="2" t="n">
        <v>600</v>
      </c>
    </row>
    <row r="177" customFormat="false" ht="15" hidden="false" customHeight="false" outlineLevel="0" collapsed="false">
      <c r="A177" s="2" t="s">
        <v>320</v>
      </c>
      <c r="B177" s="2" t="s">
        <v>321</v>
      </c>
      <c r="C177" s="10" t="n">
        <v>46003</v>
      </c>
      <c r="D177" s="2" t="s">
        <v>77</v>
      </c>
      <c r="E177" s="2" t="s">
        <v>64</v>
      </c>
      <c r="F177" s="2" t="s">
        <v>73</v>
      </c>
      <c r="G177" s="2" t="s">
        <v>104</v>
      </c>
      <c r="H177" s="2" t="n">
        <v>3</v>
      </c>
      <c r="I177" s="2" t="n">
        <v>5500</v>
      </c>
      <c r="J177" s="2" t="n">
        <v>0.05</v>
      </c>
      <c r="K177" s="2" t="n">
        <v>3600</v>
      </c>
    </row>
    <row r="178" customFormat="false" ht="15" hidden="false" customHeight="false" outlineLevel="0" collapsed="false">
      <c r="A178" s="2" t="s">
        <v>322</v>
      </c>
      <c r="B178" s="2" t="s">
        <v>323</v>
      </c>
      <c r="C178" s="10" t="n">
        <v>45871</v>
      </c>
      <c r="D178" s="2" t="s">
        <v>77</v>
      </c>
      <c r="E178" s="2" t="s">
        <v>64</v>
      </c>
      <c r="F178" s="2" t="s">
        <v>73</v>
      </c>
      <c r="G178" s="2" t="s">
        <v>85</v>
      </c>
      <c r="H178" s="2" t="n">
        <v>1</v>
      </c>
      <c r="I178" s="2" t="n">
        <v>1200</v>
      </c>
      <c r="J178" s="2" t="n">
        <v>0.05</v>
      </c>
      <c r="K178" s="2" t="n">
        <v>600</v>
      </c>
    </row>
    <row r="179" customFormat="false" ht="15" hidden="false" customHeight="false" outlineLevel="0" collapsed="false">
      <c r="A179" s="2" t="s">
        <v>324</v>
      </c>
      <c r="B179" s="2"/>
      <c r="C179" s="10" t="n">
        <v>45878</v>
      </c>
      <c r="D179" s="2" t="s">
        <v>77</v>
      </c>
      <c r="E179" s="2" t="s">
        <v>64</v>
      </c>
      <c r="F179" s="2" t="s">
        <v>70</v>
      </c>
      <c r="G179" s="2" t="s">
        <v>97</v>
      </c>
      <c r="H179" s="2" t="n">
        <v>1</v>
      </c>
      <c r="I179" s="2" t="n">
        <v>3000</v>
      </c>
      <c r="J179" s="2" t="n">
        <v>0</v>
      </c>
      <c r="K179" s="2" t="n">
        <v>2000</v>
      </c>
    </row>
    <row r="180" customFormat="false" ht="15" hidden="false" customHeight="false" outlineLevel="0" collapsed="false">
      <c r="A180" s="2" t="s">
        <v>325</v>
      </c>
      <c r="B180" s="2" t="s">
        <v>326</v>
      </c>
      <c r="C180" s="10" t="n">
        <v>46003</v>
      </c>
      <c r="D180" s="2" t="s">
        <v>77</v>
      </c>
      <c r="E180" s="2" t="s">
        <v>64</v>
      </c>
      <c r="F180" s="2" t="s">
        <v>73</v>
      </c>
      <c r="G180" s="2" t="s">
        <v>87</v>
      </c>
      <c r="H180" s="2" t="n">
        <v>3</v>
      </c>
      <c r="I180" s="2" t="n">
        <v>9000</v>
      </c>
      <c r="J180" s="2" t="n">
        <v>0.05</v>
      </c>
      <c r="K180" s="2" t="n">
        <v>6200</v>
      </c>
    </row>
    <row r="181" customFormat="false" ht="15" hidden="false" customHeight="false" outlineLevel="0" collapsed="false">
      <c r="A181" s="2" t="s">
        <v>327</v>
      </c>
      <c r="B181" s="2" t="s">
        <v>328</v>
      </c>
      <c r="C181" s="10" t="n">
        <v>46015</v>
      </c>
      <c r="D181" s="2" t="s">
        <v>63</v>
      </c>
      <c r="E181" s="2" t="s">
        <v>64</v>
      </c>
      <c r="F181" s="2" t="s">
        <v>70</v>
      </c>
      <c r="G181" s="2" t="s">
        <v>122</v>
      </c>
      <c r="H181" s="2" t="n">
        <v>2</v>
      </c>
      <c r="I181" s="2" t="n">
        <v>1500</v>
      </c>
      <c r="J181" s="2" t="n">
        <v>0.05</v>
      </c>
      <c r="K181" s="2" t="n">
        <v>900</v>
      </c>
    </row>
    <row r="182" customFormat="false" ht="15" hidden="false" customHeight="false" outlineLevel="0" collapsed="false">
      <c r="A182" s="2" t="s">
        <v>329</v>
      </c>
      <c r="B182" s="2" t="s">
        <v>328</v>
      </c>
      <c r="C182" s="10" t="n">
        <v>45683</v>
      </c>
      <c r="D182" s="2" t="s">
        <v>63</v>
      </c>
      <c r="E182" s="2" t="s">
        <v>64</v>
      </c>
      <c r="F182" s="2" t="s">
        <v>65</v>
      </c>
      <c r="G182" s="2" t="s">
        <v>66</v>
      </c>
      <c r="H182" s="2" t="n">
        <v>4</v>
      </c>
      <c r="I182" s="2" t="n">
        <v>600</v>
      </c>
      <c r="J182" s="2" t="n">
        <v>0.1</v>
      </c>
      <c r="K182" s="2" t="n">
        <v>300</v>
      </c>
    </row>
    <row r="183" customFormat="false" ht="15" hidden="false" customHeight="false" outlineLevel="0" collapsed="false">
      <c r="A183" s="2" t="s">
        <v>330</v>
      </c>
      <c r="B183" s="2" t="s">
        <v>328</v>
      </c>
      <c r="C183" s="10" t="n">
        <v>45984</v>
      </c>
      <c r="D183" s="2" t="s">
        <v>63</v>
      </c>
      <c r="E183" s="2" t="s">
        <v>64</v>
      </c>
      <c r="F183" s="2" t="s">
        <v>70</v>
      </c>
      <c r="G183" s="2" t="s">
        <v>71</v>
      </c>
      <c r="H183" s="2" t="n">
        <v>1</v>
      </c>
      <c r="I183" s="2" t="n">
        <v>2500</v>
      </c>
      <c r="J183" s="2" t="n">
        <v>0.1</v>
      </c>
      <c r="K183" s="2" t="n">
        <v>1600</v>
      </c>
    </row>
    <row r="184" customFormat="false" ht="15" hidden="false" customHeight="false" outlineLevel="0" collapsed="false">
      <c r="A184" s="2" t="s">
        <v>331</v>
      </c>
      <c r="B184" s="2" t="s">
        <v>328</v>
      </c>
      <c r="C184" s="10" t="n">
        <v>45752</v>
      </c>
      <c r="D184" s="2" t="s">
        <v>63</v>
      </c>
      <c r="E184" s="2" t="s">
        <v>64</v>
      </c>
      <c r="F184" s="2" t="s">
        <v>70</v>
      </c>
      <c r="G184" s="2" t="s">
        <v>97</v>
      </c>
      <c r="H184" s="2" t="n">
        <v>2</v>
      </c>
      <c r="I184" s="2" t="n">
        <v>3000</v>
      </c>
      <c r="J184" s="2" t="n">
        <v>0.05</v>
      </c>
      <c r="K184" s="2" t="n">
        <v>2000</v>
      </c>
    </row>
    <row r="185" customFormat="false" ht="15" hidden="false" customHeight="false" outlineLevel="0" collapsed="false">
      <c r="A185" s="2" t="s">
        <v>332</v>
      </c>
      <c r="B185" s="2" t="s">
        <v>328</v>
      </c>
      <c r="C185" s="10" t="n">
        <v>45957</v>
      </c>
      <c r="D185" s="2" t="s">
        <v>63</v>
      </c>
      <c r="E185" s="2" t="s">
        <v>64</v>
      </c>
      <c r="F185" s="2" t="s">
        <v>70</v>
      </c>
      <c r="G185" s="2" t="s">
        <v>97</v>
      </c>
      <c r="H185" s="2" t="n">
        <v>1</v>
      </c>
      <c r="I185" s="2" t="n">
        <v>3000</v>
      </c>
      <c r="J185" s="2" t="n">
        <v>0.05</v>
      </c>
      <c r="K185" s="2" t="n">
        <v>2000</v>
      </c>
    </row>
    <row r="186" customFormat="false" ht="15" hidden="false" customHeight="false" outlineLevel="0" collapsed="false">
      <c r="A186" s="2" t="s">
        <v>333</v>
      </c>
      <c r="B186" s="2" t="s">
        <v>328</v>
      </c>
      <c r="C186" s="10" t="n">
        <v>45976</v>
      </c>
      <c r="D186" s="2" t="s">
        <v>63</v>
      </c>
      <c r="E186" s="2" t="s">
        <v>64</v>
      </c>
      <c r="F186" s="2" t="s">
        <v>65</v>
      </c>
      <c r="G186" s="2" t="s">
        <v>82</v>
      </c>
      <c r="H186" s="2" t="n">
        <v>6</v>
      </c>
      <c r="I186" s="2" t="n">
        <v>250</v>
      </c>
      <c r="J186" s="2" t="n">
        <v>0.05</v>
      </c>
      <c r="K186" s="2" t="n">
        <v>100</v>
      </c>
    </row>
    <row r="187" customFormat="false" ht="15" hidden="false" customHeight="false" outlineLevel="0" collapsed="false">
      <c r="A187" s="2" t="s">
        <v>334</v>
      </c>
      <c r="B187" s="2" t="s">
        <v>335</v>
      </c>
      <c r="C187" s="10" t="n">
        <v>45851</v>
      </c>
      <c r="D187" s="2" t="s">
        <v>81</v>
      </c>
      <c r="E187" s="2" t="s">
        <v>92</v>
      </c>
      <c r="F187" s="2" t="s">
        <v>73</v>
      </c>
      <c r="G187" s="2" t="s">
        <v>104</v>
      </c>
      <c r="H187" s="2" t="n">
        <v>6</v>
      </c>
      <c r="I187" s="2" t="n">
        <v>5500</v>
      </c>
      <c r="J187" s="2" t="n">
        <v>0.05</v>
      </c>
      <c r="K187" s="2" t="n">
        <v>3600</v>
      </c>
    </row>
    <row r="188" customFormat="false" ht="15" hidden="false" customHeight="false" outlineLevel="0" collapsed="false">
      <c r="A188" s="2" t="s">
        <v>336</v>
      </c>
      <c r="B188" s="2" t="s">
        <v>335</v>
      </c>
      <c r="C188" s="10" t="n">
        <v>45854</v>
      </c>
      <c r="D188" s="2" t="s">
        <v>337</v>
      </c>
      <c r="E188" s="2" t="s">
        <v>92</v>
      </c>
      <c r="F188" s="2" t="s">
        <v>73</v>
      </c>
      <c r="G188" s="2" t="s">
        <v>87</v>
      </c>
      <c r="H188" s="2" t="n">
        <v>2</v>
      </c>
      <c r="I188" s="2" t="n">
        <v>9000</v>
      </c>
      <c r="J188" s="2" t="n">
        <v>0</v>
      </c>
      <c r="K188" s="2" t="n">
        <v>6200</v>
      </c>
    </row>
    <row r="189" customFormat="false" ht="15" hidden="false" customHeight="false" outlineLevel="0" collapsed="false">
      <c r="A189" s="2" t="s">
        <v>338</v>
      </c>
      <c r="B189" s="2" t="s">
        <v>335</v>
      </c>
      <c r="C189" s="10" t="n">
        <v>45939</v>
      </c>
      <c r="D189" s="2" t="s">
        <v>81</v>
      </c>
      <c r="E189" s="2" t="s">
        <v>92</v>
      </c>
      <c r="F189" s="2" t="s">
        <v>73</v>
      </c>
      <c r="G189" s="2" t="s">
        <v>104</v>
      </c>
      <c r="H189" s="2" t="n">
        <v>2</v>
      </c>
      <c r="I189" s="2" t="n">
        <v>5500</v>
      </c>
      <c r="J189" s="2" t="n">
        <v>0.05</v>
      </c>
      <c r="K189" s="2" t="n">
        <v>3600</v>
      </c>
    </row>
    <row r="190" customFormat="false" ht="15" hidden="false" customHeight="false" outlineLevel="0" collapsed="false">
      <c r="A190" s="2" t="s">
        <v>339</v>
      </c>
      <c r="B190" s="2" t="s">
        <v>335</v>
      </c>
      <c r="C190" s="10" t="n">
        <v>45711</v>
      </c>
      <c r="D190" s="2" t="s">
        <v>81</v>
      </c>
      <c r="E190" s="2" t="s">
        <v>92</v>
      </c>
      <c r="F190" s="2" t="s">
        <v>70</v>
      </c>
      <c r="G190" s="2" t="s">
        <v>71</v>
      </c>
      <c r="H190" s="2" t="n">
        <v>5</v>
      </c>
      <c r="I190" s="2" t="n">
        <v>2500</v>
      </c>
      <c r="J190" s="2" t="n">
        <v>0.15</v>
      </c>
      <c r="K190" s="2" t="n">
        <v>1600</v>
      </c>
    </row>
    <row r="191" customFormat="false" ht="15" hidden="false" customHeight="false" outlineLevel="0" collapsed="false">
      <c r="A191" s="2" t="s">
        <v>340</v>
      </c>
      <c r="B191" s="2" t="s">
        <v>341</v>
      </c>
      <c r="C191" s="10" t="n">
        <v>45762</v>
      </c>
      <c r="D191" s="2" t="s">
        <v>91</v>
      </c>
      <c r="E191" s="2" t="s">
        <v>92</v>
      </c>
      <c r="F191" s="2" t="s">
        <v>73</v>
      </c>
      <c r="G191" s="2" t="s">
        <v>85</v>
      </c>
      <c r="H191" s="2" t="n">
        <v>3</v>
      </c>
      <c r="I191" s="2" t="n">
        <v>1200</v>
      </c>
      <c r="J191" s="2" t="n">
        <v>0.15</v>
      </c>
      <c r="K191" s="2" t="n">
        <v>600</v>
      </c>
    </row>
    <row r="192" customFormat="false" ht="15" hidden="false" customHeight="false" outlineLevel="0" collapsed="false">
      <c r="A192" s="2" t="s">
        <v>342</v>
      </c>
      <c r="B192" s="2" t="s">
        <v>341</v>
      </c>
      <c r="C192" s="10" t="n">
        <v>45713</v>
      </c>
      <c r="D192" s="2" t="s">
        <v>91</v>
      </c>
      <c r="E192" s="2" t="s">
        <v>92</v>
      </c>
      <c r="F192" s="2" t="s">
        <v>70</v>
      </c>
      <c r="G192" s="2" t="s">
        <v>126</v>
      </c>
      <c r="H192" s="2" t="n">
        <v>8</v>
      </c>
      <c r="I192" s="2" t="n">
        <v>4500</v>
      </c>
      <c r="J192" s="2" t="n">
        <v>0</v>
      </c>
      <c r="K192" s="2" t="n">
        <v>3300</v>
      </c>
    </row>
    <row r="193" customFormat="false" ht="15" hidden="false" customHeight="false" outlineLevel="0" collapsed="false">
      <c r="A193" s="2" t="s">
        <v>343</v>
      </c>
      <c r="B193" s="2" t="s">
        <v>341</v>
      </c>
      <c r="C193" s="10" t="n">
        <v>45759</v>
      </c>
      <c r="D193" s="2" t="s">
        <v>91</v>
      </c>
      <c r="E193" s="2" t="s">
        <v>92</v>
      </c>
      <c r="F193" s="2" t="s">
        <v>73</v>
      </c>
      <c r="G193" s="2" t="s">
        <v>104</v>
      </c>
      <c r="H193" s="2" t="n">
        <v>6</v>
      </c>
      <c r="I193" s="2" t="n">
        <v>5500</v>
      </c>
      <c r="J193" s="2" t="n">
        <v>0.1</v>
      </c>
      <c r="K193" s="2" t="n">
        <v>3600</v>
      </c>
    </row>
    <row r="194" customFormat="false" ht="15" hidden="false" customHeight="false" outlineLevel="0" collapsed="false">
      <c r="A194" s="2" t="s">
        <v>344</v>
      </c>
      <c r="B194" s="2" t="s">
        <v>345</v>
      </c>
      <c r="C194" s="10" t="n">
        <v>45724</v>
      </c>
      <c r="D194" s="2" t="s">
        <v>77</v>
      </c>
      <c r="E194" s="2" t="s">
        <v>69</v>
      </c>
      <c r="F194" s="2" t="s">
        <v>65</v>
      </c>
      <c r="G194" s="2" t="s">
        <v>66</v>
      </c>
      <c r="H194" s="2" t="n">
        <v>13</v>
      </c>
      <c r="I194" s="2" t="n">
        <v>600</v>
      </c>
      <c r="J194" s="2" t="n">
        <v>0.05</v>
      </c>
      <c r="K194" s="2" t="n">
        <v>300</v>
      </c>
    </row>
    <row r="195" customFormat="false" ht="15" hidden="false" customHeight="false" outlineLevel="0" collapsed="false">
      <c r="A195" s="2" t="s">
        <v>346</v>
      </c>
      <c r="B195" s="2" t="s">
        <v>345</v>
      </c>
      <c r="C195" s="10" t="n">
        <v>45949</v>
      </c>
      <c r="D195" s="2" t="s">
        <v>77</v>
      </c>
      <c r="E195" s="2" t="s">
        <v>69</v>
      </c>
      <c r="F195" s="2" t="s">
        <v>70</v>
      </c>
      <c r="G195" s="2" t="s">
        <v>126</v>
      </c>
      <c r="H195" s="2" t="n">
        <v>2</v>
      </c>
      <c r="I195" s="2" t="n">
        <v>4500</v>
      </c>
      <c r="J195" s="2" t="n">
        <v>0.05</v>
      </c>
      <c r="K195" s="2" t="n">
        <v>3300</v>
      </c>
    </row>
    <row r="196" customFormat="false" ht="15" hidden="false" customHeight="false" outlineLevel="0" collapsed="false">
      <c r="A196" s="2" t="s">
        <v>347</v>
      </c>
      <c r="B196" s="2" t="s">
        <v>345</v>
      </c>
      <c r="C196" s="10" t="n">
        <v>45665</v>
      </c>
      <c r="D196" s="2" t="s">
        <v>77</v>
      </c>
      <c r="E196" s="2" t="s">
        <v>69</v>
      </c>
      <c r="F196" s="2" t="s">
        <v>70</v>
      </c>
      <c r="G196" s="2" t="s">
        <v>126</v>
      </c>
      <c r="H196" s="2" t="n">
        <v>1</v>
      </c>
      <c r="I196" s="2" t="n">
        <v>4500</v>
      </c>
      <c r="J196" s="2" t="n">
        <v>0</v>
      </c>
      <c r="K196" s="2" t="n">
        <v>3300</v>
      </c>
    </row>
    <row r="197" customFormat="false" ht="15" hidden="false" customHeight="false" outlineLevel="0" collapsed="false">
      <c r="A197" s="2" t="s">
        <v>348</v>
      </c>
      <c r="B197" s="2" t="s">
        <v>349</v>
      </c>
      <c r="C197" s="10" t="n">
        <v>45932</v>
      </c>
      <c r="D197" s="2" t="s">
        <v>77</v>
      </c>
      <c r="E197" s="2" t="s">
        <v>64</v>
      </c>
      <c r="F197" s="2" t="s">
        <v>65</v>
      </c>
      <c r="G197" s="2" t="s">
        <v>82</v>
      </c>
      <c r="H197" s="2" t="n">
        <v>7</v>
      </c>
      <c r="I197" s="2" t="n">
        <v>250</v>
      </c>
      <c r="J197" s="2" t="n">
        <v>0.1</v>
      </c>
      <c r="K197" s="2" t="n">
        <v>100</v>
      </c>
    </row>
    <row r="198" customFormat="false" ht="15" hidden="false" customHeight="false" outlineLevel="0" collapsed="false">
      <c r="A198" s="2" t="s">
        <v>350</v>
      </c>
      <c r="B198" s="2" t="s">
        <v>349</v>
      </c>
      <c r="C198" s="10" t="n">
        <v>45835</v>
      </c>
      <c r="D198" s="2" t="s">
        <v>77</v>
      </c>
      <c r="E198" s="2" t="s">
        <v>64</v>
      </c>
      <c r="F198" s="2" t="s">
        <v>65</v>
      </c>
      <c r="G198" s="2" t="s">
        <v>78</v>
      </c>
      <c r="H198" s="2" t="n">
        <v>2</v>
      </c>
      <c r="I198" s="2" t="n">
        <v>400</v>
      </c>
      <c r="J198" s="2" t="n">
        <v>0</v>
      </c>
      <c r="K198" s="2" t="n">
        <v>200</v>
      </c>
    </row>
    <row r="199" customFormat="false" ht="15" hidden="false" customHeight="false" outlineLevel="0" collapsed="false">
      <c r="A199" s="2" t="s">
        <v>351</v>
      </c>
      <c r="B199" s="2" t="s">
        <v>349</v>
      </c>
      <c r="C199" s="10" t="n">
        <v>45995</v>
      </c>
      <c r="D199" s="2" t="s">
        <v>77</v>
      </c>
      <c r="E199" s="2" t="s">
        <v>64</v>
      </c>
      <c r="F199" s="2" t="s">
        <v>70</v>
      </c>
      <c r="G199" s="2" t="s">
        <v>97</v>
      </c>
      <c r="H199" s="2" t="n">
        <v>2</v>
      </c>
      <c r="I199" s="2" t="n">
        <v>3000</v>
      </c>
      <c r="J199" s="2" t="n">
        <v>0.05</v>
      </c>
      <c r="K199" s="2" t="n">
        <v>2000</v>
      </c>
    </row>
    <row r="200" customFormat="false" ht="15" hidden="false" customHeight="false" outlineLevel="0" collapsed="false">
      <c r="A200" s="2" t="s">
        <v>352</v>
      </c>
      <c r="B200" s="2" t="s">
        <v>349</v>
      </c>
      <c r="C200" s="10" t="n">
        <v>45845</v>
      </c>
      <c r="D200" s="2" t="s">
        <v>77</v>
      </c>
      <c r="E200" s="2" t="s">
        <v>64</v>
      </c>
      <c r="F200" s="2" t="s">
        <v>73</v>
      </c>
      <c r="G200" s="2" t="s">
        <v>74</v>
      </c>
      <c r="H200" s="2" t="n">
        <v>1</v>
      </c>
      <c r="I200" s="2" t="n">
        <v>7000</v>
      </c>
      <c r="J200" s="2" t="n">
        <v>0.1</v>
      </c>
      <c r="K200" s="2" t="n">
        <v>4800</v>
      </c>
    </row>
    <row r="201" customFormat="false" ht="15" hidden="false" customHeight="false" outlineLevel="0" collapsed="false">
      <c r="A201" s="2" t="s">
        <v>353</v>
      </c>
      <c r="B201" s="2" t="s">
        <v>349</v>
      </c>
      <c r="C201" s="10" t="n">
        <v>45915</v>
      </c>
      <c r="D201" s="2" t="s">
        <v>77</v>
      </c>
      <c r="E201" s="2" t="s">
        <v>64</v>
      </c>
      <c r="F201" s="2" t="s">
        <v>70</v>
      </c>
      <c r="G201" s="2" t="s">
        <v>71</v>
      </c>
      <c r="H201" s="2" t="n">
        <v>2</v>
      </c>
      <c r="I201" s="2" t="n">
        <v>2500</v>
      </c>
      <c r="J201" s="2" t="n">
        <v>0</v>
      </c>
      <c r="K201" s="2" t="n">
        <v>1600</v>
      </c>
    </row>
    <row r="202" customFormat="false" ht="15" hidden="false" customHeight="false" outlineLevel="0" collapsed="false">
      <c r="A202" s="2" t="s">
        <v>354</v>
      </c>
      <c r="B202" s="2" t="s">
        <v>349</v>
      </c>
      <c r="C202" s="10" t="n">
        <v>46014</v>
      </c>
      <c r="D202" s="2" t="s">
        <v>77</v>
      </c>
      <c r="E202" s="2" t="s">
        <v>64</v>
      </c>
      <c r="F202" s="2" t="s">
        <v>70</v>
      </c>
      <c r="G202" s="2" t="s">
        <v>122</v>
      </c>
      <c r="H202" s="2" t="n">
        <v>3</v>
      </c>
      <c r="I202" s="2" t="n">
        <v>1500</v>
      </c>
      <c r="J202" s="2" t="n">
        <v>0.15</v>
      </c>
      <c r="K202" s="2" t="n">
        <v>900</v>
      </c>
    </row>
    <row r="203" customFormat="false" ht="15" hidden="false" customHeight="false" outlineLevel="0" collapsed="false">
      <c r="A203" s="2" t="s">
        <v>355</v>
      </c>
      <c r="B203" s="2" t="s">
        <v>349</v>
      </c>
      <c r="C203" s="10" t="n">
        <v>45935</v>
      </c>
      <c r="D203" s="2" t="s">
        <v>77</v>
      </c>
      <c r="E203" s="2" t="s">
        <v>64</v>
      </c>
      <c r="F203" s="2" t="s">
        <v>65</v>
      </c>
      <c r="G203" s="2" t="s">
        <v>66</v>
      </c>
      <c r="H203" s="2" t="n">
        <v>3</v>
      </c>
      <c r="I203" s="2" t="n">
        <v>600</v>
      </c>
      <c r="J203" s="2" t="n">
        <v>0.05</v>
      </c>
      <c r="K203" s="2" t="n">
        <v>300</v>
      </c>
    </row>
    <row r="204" customFormat="false" ht="15" hidden="false" customHeight="false" outlineLevel="0" collapsed="false">
      <c r="A204" s="2" t="s">
        <v>356</v>
      </c>
      <c r="B204" s="2" t="s">
        <v>349</v>
      </c>
      <c r="C204" s="10" t="n">
        <v>45681</v>
      </c>
      <c r="D204" s="2" t="s">
        <v>77</v>
      </c>
      <c r="E204" s="2" t="s">
        <v>64</v>
      </c>
      <c r="F204" s="2" t="s">
        <v>73</v>
      </c>
      <c r="G204" s="2" t="s">
        <v>74</v>
      </c>
      <c r="H204" s="2" t="n">
        <v>1</v>
      </c>
      <c r="I204" s="2" t="n">
        <v>7000</v>
      </c>
      <c r="J204" s="2" t="n">
        <v>0.1</v>
      </c>
      <c r="K204" s="2" t="n">
        <v>4800</v>
      </c>
    </row>
    <row r="205" customFormat="false" ht="15" hidden="false" customHeight="false" outlineLevel="0" collapsed="false">
      <c r="A205" s="2" t="s">
        <v>357</v>
      </c>
      <c r="B205" s="2" t="s">
        <v>358</v>
      </c>
      <c r="C205" s="10" t="n">
        <v>45761</v>
      </c>
      <c r="D205" s="2" t="s">
        <v>63</v>
      </c>
      <c r="E205" s="2" t="s">
        <v>69</v>
      </c>
      <c r="F205" s="2" t="s">
        <v>65</v>
      </c>
      <c r="G205" s="2" t="s">
        <v>82</v>
      </c>
      <c r="H205" s="2" t="n">
        <v>5</v>
      </c>
      <c r="I205" s="2" t="n">
        <v>250</v>
      </c>
      <c r="J205" s="2" t="n">
        <v>0</v>
      </c>
      <c r="K205" s="2" t="n">
        <v>100</v>
      </c>
    </row>
    <row r="206" customFormat="false" ht="15" hidden="false" customHeight="false" outlineLevel="0" collapsed="false">
      <c r="A206" s="2" t="s">
        <v>359</v>
      </c>
      <c r="B206" s="2" t="s">
        <v>358</v>
      </c>
      <c r="C206" s="10" t="n">
        <v>45690</v>
      </c>
      <c r="D206" s="2" t="s">
        <v>63</v>
      </c>
      <c r="E206" s="2" t="s">
        <v>69</v>
      </c>
      <c r="F206" s="2" t="s">
        <v>65</v>
      </c>
      <c r="G206" s="2" t="s">
        <v>66</v>
      </c>
      <c r="H206" s="2" t="n">
        <v>14</v>
      </c>
      <c r="I206" s="2" t="n">
        <v>600</v>
      </c>
      <c r="J206" s="2" t="n">
        <v>0</v>
      </c>
      <c r="K206" s="2" t="n">
        <v>300</v>
      </c>
    </row>
    <row r="207" customFormat="false" ht="15" hidden="false" customHeight="false" outlineLevel="0" collapsed="false">
      <c r="A207" s="2" t="s">
        <v>360</v>
      </c>
      <c r="B207" s="2" t="s">
        <v>361</v>
      </c>
      <c r="C207" s="10" t="n">
        <v>45720</v>
      </c>
      <c r="D207" s="2" t="s">
        <v>77</v>
      </c>
      <c r="E207" s="2" t="s">
        <v>64</v>
      </c>
      <c r="F207" s="2" t="s">
        <v>73</v>
      </c>
      <c r="G207" s="2" t="s">
        <v>85</v>
      </c>
      <c r="H207" s="2" t="n">
        <v>3</v>
      </c>
      <c r="I207" s="2" t="n">
        <v>1200</v>
      </c>
      <c r="J207" s="2" t="n">
        <v>0.05</v>
      </c>
      <c r="K207" s="2" t="n">
        <v>600</v>
      </c>
    </row>
    <row r="208" customFormat="false" ht="15" hidden="false" customHeight="false" outlineLevel="0" collapsed="false">
      <c r="A208" s="2" t="s">
        <v>362</v>
      </c>
      <c r="B208" s="2" t="s">
        <v>361</v>
      </c>
      <c r="C208" s="10" t="n">
        <v>45719</v>
      </c>
      <c r="D208" s="2" t="s">
        <v>77</v>
      </c>
      <c r="E208" s="2" t="s">
        <v>64</v>
      </c>
      <c r="F208" s="2" t="s">
        <v>70</v>
      </c>
      <c r="G208" s="2" t="s">
        <v>97</v>
      </c>
      <c r="H208" s="2" t="n">
        <v>3</v>
      </c>
      <c r="I208" s="2" t="n">
        <v>3000</v>
      </c>
      <c r="J208" s="2" t="n">
        <v>0.1</v>
      </c>
      <c r="K208" s="2" t="n">
        <v>2000</v>
      </c>
    </row>
    <row r="209" customFormat="false" ht="15" hidden="false" customHeight="false" outlineLevel="0" collapsed="false">
      <c r="A209" s="2" t="s">
        <v>363</v>
      </c>
      <c r="B209" s="2" t="s">
        <v>361</v>
      </c>
      <c r="C209" s="10" t="n">
        <v>45952</v>
      </c>
      <c r="D209" s="2" t="s">
        <v>77</v>
      </c>
      <c r="E209" s="2" t="s">
        <v>64</v>
      </c>
      <c r="F209" s="2" t="s">
        <v>70</v>
      </c>
      <c r="G209" s="2" t="s">
        <v>126</v>
      </c>
      <c r="H209" s="2" t="n">
        <v>2</v>
      </c>
      <c r="I209" s="2" t="n">
        <v>4500</v>
      </c>
      <c r="J209" s="2" t="n">
        <v>0.05</v>
      </c>
      <c r="K209" s="2" t="n">
        <v>3300</v>
      </c>
    </row>
    <row r="210" customFormat="false" ht="15" hidden="false" customHeight="false" outlineLevel="0" collapsed="false">
      <c r="A210" s="2" t="s">
        <v>364</v>
      </c>
      <c r="B210" s="2" t="s">
        <v>361</v>
      </c>
      <c r="C210" s="10" t="n">
        <v>45728</v>
      </c>
      <c r="D210" s="2" t="s">
        <v>77</v>
      </c>
      <c r="E210" s="2" t="s">
        <v>64</v>
      </c>
      <c r="F210" s="2" t="s">
        <v>70</v>
      </c>
      <c r="G210" s="2" t="s">
        <v>122</v>
      </c>
      <c r="H210" s="2" t="n">
        <v>2</v>
      </c>
      <c r="I210" s="2" t="n">
        <v>1500</v>
      </c>
      <c r="J210" s="2" t="n">
        <v>0.1</v>
      </c>
      <c r="K210" s="2" t="n">
        <v>900</v>
      </c>
    </row>
    <row r="211" customFormat="false" ht="15" hidden="false" customHeight="false" outlineLevel="0" collapsed="false">
      <c r="A211" s="2" t="s">
        <v>365</v>
      </c>
      <c r="B211" s="2" t="s">
        <v>361</v>
      </c>
      <c r="C211" s="10" t="n">
        <v>46012</v>
      </c>
      <c r="D211" s="2" t="s">
        <v>77</v>
      </c>
      <c r="E211" s="2" t="s">
        <v>64</v>
      </c>
      <c r="F211" s="2" t="s">
        <v>73</v>
      </c>
      <c r="G211" s="2" t="s">
        <v>85</v>
      </c>
      <c r="H211" s="2" t="n">
        <v>2</v>
      </c>
      <c r="I211" s="2" t="n">
        <v>1200</v>
      </c>
      <c r="J211" s="2" t="n">
        <v>0.05</v>
      </c>
      <c r="K211" s="2" t="n">
        <v>600</v>
      </c>
    </row>
    <row r="212" customFormat="false" ht="15" hidden="false" customHeight="false" outlineLevel="0" collapsed="false">
      <c r="A212" s="2" t="s">
        <v>366</v>
      </c>
      <c r="B212" s="2" t="s">
        <v>361</v>
      </c>
      <c r="C212" s="10" t="n">
        <v>45730</v>
      </c>
      <c r="D212" s="2" t="s">
        <v>77</v>
      </c>
      <c r="E212" s="2" t="s">
        <v>64</v>
      </c>
      <c r="F212" s="2" t="s">
        <v>70</v>
      </c>
      <c r="G212" s="2" t="s">
        <v>126</v>
      </c>
      <c r="H212" s="2" t="n">
        <v>2</v>
      </c>
      <c r="I212" s="2" t="n">
        <v>4500</v>
      </c>
      <c r="J212" s="2" t="n">
        <v>0</v>
      </c>
      <c r="K212" s="2" t="n">
        <v>3300</v>
      </c>
    </row>
    <row r="213" customFormat="false" ht="15" hidden="false" customHeight="false" outlineLevel="0" collapsed="false">
      <c r="A213" s="2" t="s">
        <v>367</v>
      </c>
      <c r="B213" s="2" t="s">
        <v>361</v>
      </c>
      <c r="C213" s="10" t="n">
        <v>46004</v>
      </c>
      <c r="D213" s="2" t="s">
        <v>77</v>
      </c>
      <c r="E213" s="2" t="s">
        <v>64</v>
      </c>
      <c r="F213" s="2" t="s">
        <v>70</v>
      </c>
      <c r="G213" s="2" t="s">
        <v>126</v>
      </c>
      <c r="H213" s="2" t="n">
        <v>2</v>
      </c>
      <c r="I213" s="2" t="n">
        <v>4500</v>
      </c>
      <c r="J213" s="2" t="n">
        <v>0.05</v>
      </c>
      <c r="K213" s="2" t="n">
        <v>3300</v>
      </c>
    </row>
    <row r="214" customFormat="false" ht="15" hidden="false" customHeight="false" outlineLevel="0" collapsed="false">
      <c r="A214" s="2" t="s">
        <v>368</v>
      </c>
      <c r="B214" s="2" t="s">
        <v>361</v>
      </c>
      <c r="C214" s="10" t="n">
        <v>45932</v>
      </c>
      <c r="D214" s="2" t="s">
        <v>77</v>
      </c>
      <c r="E214" s="2" t="s">
        <v>64</v>
      </c>
      <c r="F214" s="2" t="s">
        <v>70</v>
      </c>
      <c r="G214" s="2" t="s">
        <v>122</v>
      </c>
      <c r="H214" s="2" t="n">
        <v>2</v>
      </c>
      <c r="I214" s="2" t="n">
        <v>1500</v>
      </c>
      <c r="J214" s="2" t="n">
        <v>0.05</v>
      </c>
      <c r="K214" s="2" t="n">
        <v>900</v>
      </c>
    </row>
    <row r="215" customFormat="false" ht="15" hidden="false" customHeight="false" outlineLevel="0" collapsed="false">
      <c r="A215" s="2" t="s">
        <v>369</v>
      </c>
      <c r="B215" s="2" t="s">
        <v>361</v>
      </c>
      <c r="C215" s="10" t="n">
        <v>45950</v>
      </c>
      <c r="D215" s="2" t="s">
        <v>77</v>
      </c>
      <c r="E215" s="2" t="s">
        <v>64</v>
      </c>
      <c r="F215" s="2" t="s">
        <v>65</v>
      </c>
      <c r="G215" s="2" t="s">
        <v>82</v>
      </c>
      <c r="H215" s="2" t="n">
        <v>7</v>
      </c>
      <c r="I215" s="2" t="n">
        <v>250</v>
      </c>
      <c r="J215" s="2" t="n">
        <v>0.15</v>
      </c>
      <c r="K215" s="2" t="n">
        <v>100</v>
      </c>
    </row>
    <row r="216" customFormat="false" ht="15" hidden="false" customHeight="false" outlineLevel="0" collapsed="false">
      <c r="A216" s="2" t="s">
        <v>370</v>
      </c>
      <c r="B216" s="2" t="s">
        <v>361</v>
      </c>
      <c r="C216" s="10" t="n">
        <v>45940</v>
      </c>
      <c r="D216" s="2"/>
      <c r="E216" s="2" t="s">
        <v>64</v>
      </c>
      <c r="F216" s="2" t="s">
        <v>65</v>
      </c>
      <c r="G216" s="2" t="s">
        <v>66</v>
      </c>
      <c r="H216" s="2" t="n">
        <v>7</v>
      </c>
      <c r="I216" s="2" t="n">
        <v>600</v>
      </c>
      <c r="J216" s="2" t="n">
        <v>0.05</v>
      </c>
      <c r="K216" s="2" t="n">
        <v>300</v>
      </c>
    </row>
    <row r="217" customFormat="false" ht="15" hidden="false" customHeight="false" outlineLevel="0" collapsed="false">
      <c r="A217" s="2" t="s">
        <v>371</v>
      </c>
      <c r="B217" s="2" t="s">
        <v>361</v>
      </c>
      <c r="C217" s="10" t="n">
        <v>45760</v>
      </c>
      <c r="D217" s="2" t="s">
        <v>77</v>
      </c>
      <c r="E217" s="2" t="s">
        <v>64</v>
      </c>
      <c r="F217" s="2" t="s">
        <v>73</v>
      </c>
      <c r="G217" s="2" t="s">
        <v>87</v>
      </c>
      <c r="H217" s="2" t="n">
        <v>3</v>
      </c>
      <c r="I217" s="2" t="n">
        <v>9000</v>
      </c>
      <c r="J217" s="2" t="n">
        <v>0</v>
      </c>
      <c r="K217" s="2" t="n">
        <v>6200</v>
      </c>
    </row>
    <row r="218" customFormat="false" ht="15" hidden="false" customHeight="false" outlineLevel="0" collapsed="false">
      <c r="A218" s="2" t="s">
        <v>372</v>
      </c>
      <c r="B218" s="2" t="s">
        <v>361</v>
      </c>
      <c r="C218" s="10" t="n">
        <v>45977</v>
      </c>
      <c r="D218" s="2" t="s">
        <v>77</v>
      </c>
      <c r="E218" s="2" t="s">
        <v>64</v>
      </c>
      <c r="F218" s="2" t="s">
        <v>70</v>
      </c>
      <c r="G218" s="2" t="s">
        <v>97</v>
      </c>
      <c r="H218" s="2" t="n">
        <v>1</v>
      </c>
      <c r="I218" s="2" t="n">
        <v>3000</v>
      </c>
      <c r="J218" s="2" t="n">
        <v>0.05</v>
      </c>
      <c r="K218" s="2" t="n">
        <v>2000</v>
      </c>
    </row>
    <row r="219" customFormat="false" ht="15" hidden="false" customHeight="false" outlineLevel="0" collapsed="false">
      <c r="A219" s="2" t="s">
        <v>373</v>
      </c>
      <c r="B219" s="2" t="s">
        <v>374</v>
      </c>
      <c r="C219" s="10" t="n">
        <v>45994</v>
      </c>
      <c r="D219" s="2" t="s">
        <v>91</v>
      </c>
      <c r="E219" s="2" t="s">
        <v>64</v>
      </c>
      <c r="F219" s="2" t="s">
        <v>70</v>
      </c>
      <c r="G219" s="2" t="s">
        <v>122</v>
      </c>
      <c r="H219" s="2" t="n">
        <v>1</v>
      </c>
      <c r="I219" s="2" t="n">
        <v>1500</v>
      </c>
      <c r="J219" s="2" t="n">
        <v>0.1</v>
      </c>
      <c r="K219" s="2" t="n">
        <v>900</v>
      </c>
    </row>
    <row r="220" customFormat="false" ht="15" hidden="false" customHeight="false" outlineLevel="0" collapsed="false">
      <c r="A220" s="2" t="s">
        <v>375</v>
      </c>
      <c r="B220" s="2" t="s">
        <v>376</v>
      </c>
      <c r="C220" s="10" t="n">
        <v>45981</v>
      </c>
      <c r="D220" s="2" t="s">
        <v>77</v>
      </c>
      <c r="E220" s="2" t="s">
        <v>64</v>
      </c>
      <c r="F220" s="2" t="s">
        <v>70</v>
      </c>
      <c r="G220" s="2" t="s">
        <v>126</v>
      </c>
      <c r="H220" s="2" t="n">
        <v>3</v>
      </c>
      <c r="I220" s="2" t="n">
        <v>4500</v>
      </c>
      <c r="J220" s="2" t="n">
        <v>0.1</v>
      </c>
      <c r="K220" s="2" t="n">
        <v>3300</v>
      </c>
    </row>
    <row r="221" customFormat="false" ht="15" hidden="false" customHeight="false" outlineLevel="0" collapsed="false">
      <c r="A221" s="2" t="s">
        <v>377</v>
      </c>
      <c r="B221" s="2" t="s">
        <v>376</v>
      </c>
      <c r="C221" s="10" t="n">
        <v>45993</v>
      </c>
      <c r="D221" s="2" t="s">
        <v>77</v>
      </c>
      <c r="E221" s="2" t="s">
        <v>64</v>
      </c>
      <c r="F221" s="2" t="s">
        <v>73</v>
      </c>
      <c r="G221" s="2" t="s">
        <v>87</v>
      </c>
      <c r="H221" s="2" t="n">
        <v>2</v>
      </c>
      <c r="I221" s="2" t="n">
        <v>9000</v>
      </c>
      <c r="J221" s="2" t="n">
        <v>0.05</v>
      </c>
      <c r="K221" s="2" t="n">
        <v>6200</v>
      </c>
    </row>
    <row r="222" customFormat="false" ht="15" hidden="false" customHeight="false" outlineLevel="0" collapsed="false">
      <c r="A222" s="2" t="s">
        <v>378</v>
      </c>
      <c r="B222" s="2" t="s">
        <v>376</v>
      </c>
      <c r="C222" s="10" t="n">
        <v>45904</v>
      </c>
      <c r="D222" s="2" t="s">
        <v>77</v>
      </c>
      <c r="E222" s="2" t="s">
        <v>64</v>
      </c>
      <c r="F222" s="2" t="s">
        <v>65</v>
      </c>
      <c r="G222" s="2" t="s">
        <v>107</v>
      </c>
      <c r="H222" s="2" t="n">
        <v>6</v>
      </c>
      <c r="I222" s="2" t="n">
        <v>500</v>
      </c>
      <c r="J222" s="2" t="n">
        <v>0</v>
      </c>
      <c r="K222" s="2" t="n">
        <v>250</v>
      </c>
    </row>
    <row r="223" customFormat="false" ht="15" hidden="false" customHeight="false" outlineLevel="0" collapsed="false">
      <c r="A223" s="2" t="s">
        <v>379</v>
      </c>
      <c r="B223" s="2" t="s">
        <v>376</v>
      </c>
      <c r="C223" s="10" t="n">
        <v>45684</v>
      </c>
      <c r="D223" s="2" t="s">
        <v>77</v>
      </c>
      <c r="E223" s="2" t="s">
        <v>64</v>
      </c>
      <c r="F223" s="2" t="s">
        <v>73</v>
      </c>
      <c r="G223" s="2" t="s">
        <v>87</v>
      </c>
      <c r="H223" s="2" t="n">
        <v>1</v>
      </c>
      <c r="I223" s="2" t="n">
        <v>9000</v>
      </c>
      <c r="J223" s="2" t="n">
        <v>0.1</v>
      </c>
      <c r="K223" s="2" t="n">
        <v>6200</v>
      </c>
    </row>
    <row r="224" customFormat="false" ht="15" hidden="false" customHeight="false" outlineLevel="0" collapsed="false">
      <c r="A224" s="2" t="s">
        <v>380</v>
      </c>
      <c r="B224" s="2"/>
      <c r="C224" s="10" t="n">
        <v>45981</v>
      </c>
      <c r="D224" s="2" t="s">
        <v>77</v>
      </c>
      <c r="E224" s="2" t="s">
        <v>64</v>
      </c>
      <c r="F224" s="2" t="s">
        <v>73</v>
      </c>
      <c r="G224" s="2" t="s">
        <v>74</v>
      </c>
      <c r="H224" s="2" t="n">
        <v>3</v>
      </c>
      <c r="I224" s="2" t="n">
        <v>7000</v>
      </c>
      <c r="J224" s="2" t="n">
        <v>0.1</v>
      </c>
      <c r="K224" s="2" t="n">
        <v>4800</v>
      </c>
    </row>
    <row r="225" customFormat="false" ht="15" hidden="false" customHeight="false" outlineLevel="0" collapsed="false">
      <c r="A225" s="2" t="s">
        <v>381</v>
      </c>
      <c r="B225" s="2" t="s">
        <v>382</v>
      </c>
      <c r="C225" s="10" t="n">
        <v>45667</v>
      </c>
      <c r="D225" s="2" t="s">
        <v>63</v>
      </c>
      <c r="E225" s="2" t="s">
        <v>69</v>
      </c>
      <c r="F225" s="2" t="s">
        <v>65</v>
      </c>
      <c r="G225" s="2" t="s">
        <v>107</v>
      </c>
      <c r="H225" s="2" t="n">
        <v>14</v>
      </c>
      <c r="I225" s="2" t="n">
        <v>500</v>
      </c>
      <c r="J225" s="2" t="n">
        <v>0.05</v>
      </c>
      <c r="K225" s="2" t="n">
        <v>250</v>
      </c>
    </row>
    <row r="226" customFormat="false" ht="15" hidden="false" customHeight="false" outlineLevel="0" collapsed="false">
      <c r="A226" s="2" t="s">
        <v>383</v>
      </c>
      <c r="B226" s="2" t="s">
        <v>384</v>
      </c>
      <c r="C226" s="10" t="n">
        <v>45945</v>
      </c>
      <c r="D226" s="2" t="s">
        <v>77</v>
      </c>
      <c r="E226" s="2" t="s">
        <v>64</v>
      </c>
      <c r="F226" s="2" t="s">
        <v>65</v>
      </c>
      <c r="G226" s="2" t="s">
        <v>82</v>
      </c>
      <c r="H226" s="2" t="n">
        <v>5</v>
      </c>
      <c r="I226" s="2" t="n">
        <v>250</v>
      </c>
      <c r="J226" s="2" t="n">
        <v>0.05</v>
      </c>
      <c r="K226" s="2" t="n">
        <v>100</v>
      </c>
    </row>
    <row r="227" customFormat="false" ht="15" hidden="false" customHeight="false" outlineLevel="0" collapsed="false">
      <c r="A227" s="2" t="s">
        <v>385</v>
      </c>
      <c r="B227" s="2" t="s">
        <v>384</v>
      </c>
      <c r="C227" s="10" t="n">
        <v>45793</v>
      </c>
      <c r="D227" s="2" t="s">
        <v>77</v>
      </c>
      <c r="E227" s="2" t="s">
        <v>64</v>
      </c>
      <c r="F227" s="2" t="s">
        <v>70</v>
      </c>
      <c r="G227" s="2" t="s">
        <v>97</v>
      </c>
      <c r="H227" s="2" t="n">
        <v>1</v>
      </c>
      <c r="I227" s="2" t="n">
        <v>3000</v>
      </c>
      <c r="J227" s="2" t="n">
        <v>0.1</v>
      </c>
      <c r="K227" s="2" t="n">
        <v>2000</v>
      </c>
    </row>
    <row r="228" customFormat="false" ht="15" hidden="false" customHeight="false" outlineLevel="0" collapsed="false">
      <c r="A228" s="2" t="s">
        <v>386</v>
      </c>
      <c r="B228" s="2"/>
      <c r="C228" s="10" t="n">
        <v>45713</v>
      </c>
      <c r="D228" s="2" t="s">
        <v>77</v>
      </c>
      <c r="E228" s="2" t="s">
        <v>64</v>
      </c>
      <c r="F228" s="2" t="s">
        <v>73</v>
      </c>
      <c r="G228" s="2" t="s">
        <v>85</v>
      </c>
      <c r="H228" s="2" t="n">
        <v>1</v>
      </c>
      <c r="I228" s="2" t="n">
        <v>1200</v>
      </c>
      <c r="J228" s="2" t="n">
        <v>0.1</v>
      </c>
      <c r="K228" s="2" t="n">
        <v>600</v>
      </c>
    </row>
    <row r="229" customFormat="false" ht="15" hidden="false" customHeight="false" outlineLevel="0" collapsed="false">
      <c r="A229" s="2" t="s">
        <v>387</v>
      </c>
      <c r="B229" s="2" t="s">
        <v>388</v>
      </c>
      <c r="C229" s="10" t="n">
        <v>45719</v>
      </c>
      <c r="D229" s="2" t="s">
        <v>81</v>
      </c>
      <c r="E229" s="2" t="s">
        <v>64</v>
      </c>
      <c r="F229" s="2" t="s">
        <v>70</v>
      </c>
      <c r="G229" s="2" t="s">
        <v>97</v>
      </c>
      <c r="H229" s="2" t="n">
        <v>1</v>
      </c>
      <c r="I229" s="2" t="n">
        <v>3000</v>
      </c>
      <c r="J229" s="2" t="n">
        <v>0</v>
      </c>
      <c r="K229" s="2" t="n">
        <v>2000</v>
      </c>
    </row>
    <row r="230" customFormat="false" ht="15" hidden="false" customHeight="false" outlineLevel="0" collapsed="false">
      <c r="A230" s="2" t="s">
        <v>389</v>
      </c>
      <c r="B230" s="2" t="s">
        <v>388</v>
      </c>
      <c r="C230" s="10" t="n">
        <v>45714</v>
      </c>
      <c r="D230" s="2" t="s">
        <v>81</v>
      </c>
      <c r="E230" s="2" t="s">
        <v>64</v>
      </c>
      <c r="F230" s="2" t="s">
        <v>70</v>
      </c>
      <c r="G230" s="2" t="s">
        <v>126</v>
      </c>
      <c r="H230" s="2" t="n">
        <v>2</v>
      </c>
      <c r="I230" s="2" t="n">
        <v>4500</v>
      </c>
      <c r="J230" s="2" t="n">
        <v>0</v>
      </c>
      <c r="K230" s="2" t="n">
        <v>3300</v>
      </c>
    </row>
    <row r="231" customFormat="false" ht="15" hidden="false" customHeight="false" outlineLevel="0" collapsed="false">
      <c r="A231" s="2" t="s">
        <v>390</v>
      </c>
      <c r="B231" s="2" t="s">
        <v>388</v>
      </c>
      <c r="C231" s="10" t="n">
        <v>45993</v>
      </c>
      <c r="D231" s="2" t="s">
        <v>81</v>
      </c>
      <c r="E231" s="2" t="s">
        <v>64</v>
      </c>
      <c r="F231" s="2" t="s">
        <v>73</v>
      </c>
      <c r="G231" s="2" t="s">
        <v>85</v>
      </c>
      <c r="H231" s="2" t="n">
        <v>3</v>
      </c>
      <c r="I231" s="2" t="n">
        <v>1200</v>
      </c>
      <c r="J231" s="2" t="n">
        <v>0.05</v>
      </c>
      <c r="K231" s="2" t="n">
        <v>600</v>
      </c>
    </row>
    <row r="232" customFormat="false" ht="15" hidden="false" customHeight="false" outlineLevel="0" collapsed="false">
      <c r="A232" s="2" t="s">
        <v>391</v>
      </c>
      <c r="B232" s="2" t="s">
        <v>388</v>
      </c>
      <c r="C232" s="10" t="n">
        <v>45691</v>
      </c>
      <c r="D232" s="2" t="s">
        <v>81</v>
      </c>
      <c r="E232" s="2" t="s">
        <v>64</v>
      </c>
      <c r="F232" s="2" t="s">
        <v>65</v>
      </c>
      <c r="G232" s="2" t="s">
        <v>82</v>
      </c>
      <c r="H232" s="2" t="n">
        <v>2</v>
      </c>
      <c r="I232" s="2" t="n">
        <v>250</v>
      </c>
      <c r="J232" s="2" t="n">
        <v>0.1</v>
      </c>
      <c r="K232" s="2" t="n">
        <v>100</v>
      </c>
    </row>
    <row r="233" customFormat="false" ht="15" hidden="false" customHeight="false" outlineLevel="0" collapsed="false">
      <c r="A233" s="2" t="s">
        <v>392</v>
      </c>
      <c r="B233" s="2" t="s">
        <v>388</v>
      </c>
      <c r="C233" s="10" t="n">
        <v>45717</v>
      </c>
      <c r="D233" s="2" t="s">
        <v>81</v>
      </c>
      <c r="E233" s="2" t="s">
        <v>64</v>
      </c>
      <c r="F233" s="2" t="s">
        <v>73</v>
      </c>
      <c r="G233" s="2" t="s">
        <v>74</v>
      </c>
      <c r="H233" s="2" t="n">
        <v>3</v>
      </c>
      <c r="I233" s="2" t="n">
        <v>7000</v>
      </c>
      <c r="J233" s="2" t="n">
        <v>0</v>
      </c>
      <c r="K233" s="2" t="n">
        <v>4800</v>
      </c>
    </row>
    <row r="234" customFormat="false" ht="15" hidden="false" customHeight="false" outlineLevel="0" collapsed="false">
      <c r="A234" s="2" t="s">
        <v>393</v>
      </c>
      <c r="B234" s="2" t="s">
        <v>394</v>
      </c>
      <c r="C234" s="10" t="n">
        <v>45977</v>
      </c>
      <c r="D234" s="2" t="s">
        <v>91</v>
      </c>
      <c r="E234" s="2" t="s">
        <v>64</v>
      </c>
      <c r="F234" s="2" t="s">
        <v>73</v>
      </c>
      <c r="G234" s="2" t="s">
        <v>74</v>
      </c>
      <c r="H234" s="2" t="n">
        <v>3</v>
      </c>
      <c r="I234" s="2" t="n">
        <v>7000</v>
      </c>
      <c r="J234" s="2" t="n">
        <v>0.05</v>
      </c>
      <c r="K234" s="2" t="n">
        <v>4800</v>
      </c>
    </row>
    <row r="235" customFormat="false" ht="15" hidden="false" customHeight="false" outlineLevel="0" collapsed="false">
      <c r="A235" s="2" t="s">
        <v>395</v>
      </c>
      <c r="B235" s="2" t="s">
        <v>396</v>
      </c>
      <c r="C235" s="10" t="n">
        <v>45994</v>
      </c>
      <c r="D235" s="2" t="s">
        <v>77</v>
      </c>
      <c r="E235" s="2" t="s">
        <v>64</v>
      </c>
      <c r="F235" s="2" t="s">
        <v>65</v>
      </c>
      <c r="G235" s="2" t="s">
        <v>66</v>
      </c>
      <c r="H235" s="2" t="n">
        <v>8</v>
      </c>
      <c r="I235" s="2" t="n">
        <v>600</v>
      </c>
      <c r="J235" s="2" t="n">
        <v>0.05</v>
      </c>
      <c r="K235" s="2" t="n">
        <v>300</v>
      </c>
    </row>
    <row r="236" customFormat="false" ht="15" hidden="false" customHeight="false" outlineLevel="0" collapsed="false">
      <c r="A236" s="2" t="s">
        <v>397</v>
      </c>
      <c r="B236" s="2" t="s">
        <v>396</v>
      </c>
      <c r="C236" s="10" t="n">
        <v>45828</v>
      </c>
      <c r="D236" s="2" t="s">
        <v>77</v>
      </c>
      <c r="E236" s="2" t="s">
        <v>64</v>
      </c>
      <c r="F236" s="2" t="s">
        <v>73</v>
      </c>
      <c r="G236" s="2" t="s">
        <v>104</v>
      </c>
      <c r="H236" s="2" t="n">
        <v>3</v>
      </c>
      <c r="I236" s="2" t="n">
        <v>5500</v>
      </c>
      <c r="J236" s="2" t="n">
        <v>0</v>
      </c>
      <c r="K236" s="2" t="n">
        <v>3600</v>
      </c>
    </row>
    <row r="237" customFormat="false" ht="15" hidden="false" customHeight="false" outlineLevel="0" collapsed="false">
      <c r="A237" s="2" t="s">
        <v>398</v>
      </c>
      <c r="B237" s="2" t="s">
        <v>396</v>
      </c>
      <c r="C237" s="10" t="n">
        <v>45855</v>
      </c>
      <c r="D237" s="2" t="s">
        <v>77</v>
      </c>
      <c r="E237" s="2" t="s">
        <v>64</v>
      </c>
      <c r="F237" s="2" t="s">
        <v>65</v>
      </c>
      <c r="G237" s="2" t="s">
        <v>66</v>
      </c>
      <c r="H237" s="2" t="n">
        <v>8</v>
      </c>
      <c r="I237" s="2" t="n">
        <v>600</v>
      </c>
      <c r="J237" s="2" t="n">
        <v>0</v>
      </c>
      <c r="K237" s="2" t="n">
        <v>300</v>
      </c>
    </row>
    <row r="238" customFormat="false" ht="15" hidden="false" customHeight="false" outlineLevel="0" collapsed="false">
      <c r="A238" s="2" t="s">
        <v>399</v>
      </c>
      <c r="B238" s="2" t="s">
        <v>396</v>
      </c>
      <c r="C238" s="10" t="n">
        <v>45705</v>
      </c>
      <c r="D238" s="2" t="s">
        <v>77</v>
      </c>
      <c r="E238" s="2" t="s">
        <v>64</v>
      </c>
      <c r="F238" s="2" t="s">
        <v>70</v>
      </c>
      <c r="G238" s="2" t="s">
        <v>97</v>
      </c>
      <c r="H238" s="2" t="n">
        <v>1</v>
      </c>
      <c r="I238" s="2" t="n">
        <v>3000</v>
      </c>
      <c r="J238" s="2" t="n">
        <v>0.1</v>
      </c>
      <c r="K238" s="2" t="n">
        <v>2000</v>
      </c>
    </row>
    <row r="239" customFormat="false" ht="15" hidden="false" customHeight="false" outlineLevel="0" collapsed="false">
      <c r="A239" s="2" t="s">
        <v>400</v>
      </c>
      <c r="B239" s="2" t="s">
        <v>401</v>
      </c>
      <c r="C239" s="10" t="n">
        <v>45814</v>
      </c>
      <c r="D239" s="2" t="s">
        <v>77</v>
      </c>
      <c r="E239" s="2" t="s">
        <v>64</v>
      </c>
      <c r="F239" s="2" t="s">
        <v>65</v>
      </c>
      <c r="G239" s="2" t="s">
        <v>82</v>
      </c>
      <c r="H239" s="2" t="n">
        <v>4</v>
      </c>
      <c r="I239" s="2" t="n">
        <v>250</v>
      </c>
      <c r="J239" s="2" t="n">
        <v>0</v>
      </c>
      <c r="K239" s="2" t="n">
        <v>100</v>
      </c>
    </row>
    <row r="240" customFormat="false" ht="15" hidden="false" customHeight="false" outlineLevel="0" collapsed="false">
      <c r="A240" s="2" t="s">
        <v>402</v>
      </c>
      <c r="B240" s="2" t="s">
        <v>401</v>
      </c>
      <c r="C240" s="10" t="n">
        <v>45974</v>
      </c>
      <c r="D240" s="2" t="s">
        <v>77</v>
      </c>
      <c r="E240" s="2" t="s">
        <v>64</v>
      </c>
      <c r="F240" s="2" t="s">
        <v>65</v>
      </c>
      <c r="G240" s="2" t="s">
        <v>107</v>
      </c>
      <c r="H240" s="2" t="n">
        <v>3</v>
      </c>
      <c r="I240" s="2" t="n">
        <v>500</v>
      </c>
      <c r="J240" s="2" t="n">
        <v>0.05</v>
      </c>
      <c r="K240" s="2" t="n">
        <v>250</v>
      </c>
    </row>
    <row r="241" customFormat="false" ht="15" hidden="false" customHeight="false" outlineLevel="0" collapsed="false">
      <c r="A241" s="2" t="s">
        <v>403</v>
      </c>
      <c r="B241" s="2" t="s">
        <v>404</v>
      </c>
      <c r="C241" s="10" t="n">
        <v>45810</v>
      </c>
      <c r="D241" s="2" t="s">
        <v>91</v>
      </c>
      <c r="E241" s="2" t="s">
        <v>64</v>
      </c>
      <c r="F241" s="2" t="s">
        <v>73</v>
      </c>
      <c r="G241" s="2" t="s">
        <v>87</v>
      </c>
      <c r="H241" s="2" t="n">
        <v>2</v>
      </c>
      <c r="I241" s="2" t="n">
        <v>9000</v>
      </c>
      <c r="J241" s="2" t="n">
        <v>0.1</v>
      </c>
      <c r="K241" s="2" t="n">
        <v>6200</v>
      </c>
    </row>
    <row r="242" customFormat="false" ht="15" hidden="false" customHeight="false" outlineLevel="0" collapsed="false">
      <c r="A242" s="2" t="s">
        <v>405</v>
      </c>
      <c r="B242" s="2" t="s">
        <v>406</v>
      </c>
      <c r="C242" s="10" t="n">
        <v>45711</v>
      </c>
      <c r="D242" s="2" t="s">
        <v>63</v>
      </c>
      <c r="E242" s="2" t="s">
        <v>64</v>
      </c>
      <c r="F242" s="2" t="s">
        <v>73</v>
      </c>
      <c r="G242" s="2" t="s">
        <v>104</v>
      </c>
      <c r="H242" s="2" t="n">
        <v>2</v>
      </c>
      <c r="I242" s="2" t="n">
        <v>5500</v>
      </c>
      <c r="J242" s="2" t="n">
        <v>0.1</v>
      </c>
      <c r="K242" s="2" t="n">
        <v>3600</v>
      </c>
    </row>
    <row r="243" customFormat="false" ht="15" hidden="false" customHeight="false" outlineLevel="0" collapsed="false">
      <c r="A243" s="2" t="s">
        <v>407</v>
      </c>
      <c r="B243" s="2" t="s">
        <v>408</v>
      </c>
      <c r="C243" s="10" t="n">
        <v>45878</v>
      </c>
      <c r="D243" s="2" t="s">
        <v>91</v>
      </c>
      <c r="E243" s="2" t="s">
        <v>64</v>
      </c>
      <c r="F243" s="2" t="s">
        <v>65</v>
      </c>
      <c r="G243" s="2" t="s">
        <v>78</v>
      </c>
      <c r="H243" s="2" t="n">
        <v>4</v>
      </c>
      <c r="I243" s="2" t="n">
        <v>400</v>
      </c>
      <c r="J243" s="2" t="n">
        <v>0</v>
      </c>
      <c r="K243" s="2" t="n">
        <v>200</v>
      </c>
    </row>
    <row r="244" customFormat="false" ht="15" hidden="false" customHeight="false" outlineLevel="0" collapsed="false">
      <c r="A244" s="2" t="s">
        <v>409</v>
      </c>
      <c r="B244" s="2" t="s">
        <v>408</v>
      </c>
      <c r="C244" s="10" t="n">
        <v>45788</v>
      </c>
      <c r="D244" s="2" t="s">
        <v>91</v>
      </c>
      <c r="E244" s="2" t="s">
        <v>64</v>
      </c>
      <c r="F244" s="2" t="s">
        <v>73</v>
      </c>
      <c r="G244" s="2" t="s">
        <v>85</v>
      </c>
      <c r="H244" s="2" t="n">
        <v>2</v>
      </c>
      <c r="I244" s="2" t="n">
        <v>1200</v>
      </c>
      <c r="J244" s="2" t="n">
        <v>0</v>
      </c>
      <c r="K244" s="2" t="n">
        <v>600</v>
      </c>
    </row>
    <row r="245" customFormat="false" ht="15" hidden="false" customHeight="false" outlineLevel="0" collapsed="false">
      <c r="A245" s="2" t="s">
        <v>410</v>
      </c>
      <c r="B245" s="2" t="s">
        <v>411</v>
      </c>
      <c r="C245" s="10" t="n">
        <v>45954</v>
      </c>
      <c r="D245" s="2" t="s">
        <v>77</v>
      </c>
      <c r="E245" s="2" t="s">
        <v>69</v>
      </c>
      <c r="F245" s="2" t="s">
        <v>70</v>
      </c>
      <c r="G245" s="2" t="s">
        <v>71</v>
      </c>
      <c r="H245" s="2" t="n">
        <v>2</v>
      </c>
      <c r="I245" s="2" t="n">
        <v>2500</v>
      </c>
      <c r="J245" s="2" t="n">
        <v>0.15</v>
      </c>
      <c r="K245" s="2" t="n">
        <v>1600</v>
      </c>
    </row>
    <row r="246" customFormat="false" ht="15" hidden="false" customHeight="false" outlineLevel="0" collapsed="false">
      <c r="A246" s="2" t="s">
        <v>412</v>
      </c>
      <c r="B246" s="2" t="s">
        <v>413</v>
      </c>
      <c r="C246" s="10" t="n">
        <v>45709</v>
      </c>
      <c r="D246" s="2" t="s">
        <v>77</v>
      </c>
      <c r="E246" s="2" t="s">
        <v>69</v>
      </c>
      <c r="F246" s="2" t="s">
        <v>70</v>
      </c>
      <c r="G246" s="2" t="s">
        <v>71</v>
      </c>
      <c r="H246" s="2" t="n">
        <v>5</v>
      </c>
      <c r="I246" s="2" t="n">
        <v>2500</v>
      </c>
      <c r="J246" s="2" t="n">
        <v>0</v>
      </c>
      <c r="K246" s="2" t="n">
        <v>1600</v>
      </c>
    </row>
    <row r="247" customFormat="false" ht="15" hidden="false" customHeight="false" outlineLevel="0" collapsed="false">
      <c r="A247" s="2" t="s">
        <v>414</v>
      </c>
      <c r="B247" s="2" t="s">
        <v>413</v>
      </c>
      <c r="C247" s="10" t="n">
        <v>45724</v>
      </c>
      <c r="D247" s="2" t="s">
        <v>77</v>
      </c>
      <c r="E247" s="2" t="s">
        <v>69</v>
      </c>
      <c r="F247" s="2" t="s">
        <v>65</v>
      </c>
      <c r="G247" s="2" t="s">
        <v>66</v>
      </c>
      <c r="H247" s="2" t="n">
        <v>5</v>
      </c>
      <c r="I247" s="2" t="n">
        <v>600</v>
      </c>
      <c r="J247" s="2" t="n">
        <v>0</v>
      </c>
      <c r="K247" s="2" t="n">
        <v>300</v>
      </c>
    </row>
    <row r="248" customFormat="false" ht="15" hidden="false" customHeight="false" outlineLevel="0" collapsed="false">
      <c r="A248" s="2" t="s">
        <v>415</v>
      </c>
      <c r="B248" s="2" t="s">
        <v>416</v>
      </c>
      <c r="C248" s="10" t="n">
        <v>45822</v>
      </c>
      <c r="D248" s="2" t="s">
        <v>81</v>
      </c>
      <c r="E248" s="2" t="s">
        <v>64</v>
      </c>
      <c r="F248" s="2" t="s">
        <v>70</v>
      </c>
      <c r="G248" s="2" t="s">
        <v>126</v>
      </c>
      <c r="H248" s="2" t="n">
        <v>2</v>
      </c>
      <c r="I248" s="2" t="n">
        <v>4500</v>
      </c>
      <c r="J248" s="2" t="n">
        <v>0.05</v>
      </c>
      <c r="K248" s="2" t="n">
        <v>3300</v>
      </c>
    </row>
    <row r="249" customFormat="false" ht="15" hidden="false" customHeight="false" outlineLevel="0" collapsed="false">
      <c r="A249" s="2" t="s">
        <v>417</v>
      </c>
      <c r="B249" s="2" t="s">
        <v>418</v>
      </c>
      <c r="C249" s="10" t="n">
        <v>45950</v>
      </c>
      <c r="D249" s="2" t="s">
        <v>77</v>
      </c>
      <c r="E249" s="2" t="s">
        <v>64</v>
      </c>
      <c r="F249" s="2" t="s">
        <v>73</v>
      </c>
      <c r="G249" s="2" t="s">
        <v>104</v>
      </c>
      <c r="H249" s="2" t="n">
        <v>1</v>
      </c>
      <c r="I249" s="2" t="n">
        <v>5500</v>
      </c>
      <c r="J249" s="2" t="n">
        <v>0.05</v>
      </c>
      <c r="K249" s="2" t="n">
        <v>3600</v>
      </c>
    </row>
    <row r="250" customFormat="false" ht="15" hidden="false" customHeight="false" outlineLevel="0" collapsed="false">
      <c r="A250" s="2" t="s">
        <v>419</v>
      </c>
      <c r="B250" s="2" t="s">
        <v>420</v>
      </c>
      <c r="C250" s="10" t="n">
        <v>45881</v>
      </c>
      <c r="D250" s="2" t="s">
        <v>63</v>
      </c>
      <c r="E250" s="2" t="s">
        <v>69</v>
      </c>
      <c r="F250" s="2" t="s">
        <v>73</v>
      </c>
      <c r="G250" s="2" t="s">
        <v>74</v>
      </c>
      <c r="H250" s="2" t="n">
        <v>1</v>
      </c>
      <c r="I250" s="2" t="n">
        <v>7000</v>
      </c>
      <c r="J250" s="2" t="n">
        <v>0.1</v>
      </c>
      <c r="K250" s="2" t="n">
        <v>4800</v>
      </c>
    </row>
    <row r="251" customFormat="false" ht="15" hidden="false" customHeight="false" outlineLevel="0" collapsed="false">
      <c r="A251" s="2" t="s">
        <v>421</v>
      </c>
      <c r="B251" s="2" t="s">
        <v>422</v>
      </c>
      <c r="C251" s="10" t="n">
        <v>45975</v>
      </c>
      <c r="D251" s="2" t="s">
        <v>77</v>
      </c>
      <c r="E251" s="2" t="s">
        <v>92</v>
      </c>
      <c r="F251" s="2" t="s">
        <v>73</v>
      </c>
      <c r="G251" s="2" t="s">
        <v>104</v>
      </c>
      <c r="H251" s="2" t="n">
        <v>4</v>
      </c>
      <c r="I251" s="2" t="n">
        <v>5500</v>
      </c>
      <c r="J251" s="2" t="n">
        <v>0.1</v>
      </c>
      <c r="K251" s="2" t="n">
        <v>3600</v>
      </c>
    </row>
    <row r="252" customFormat="false" ht="15" hidden="false" customHeight="false" outlineLevel="0" collapsed="false">
      <c r="A252" s="2" t="s">
        <v>423</v>
      </c>
      <c r="B252" s="2" t="s">
        <v>422</v>
      </c>
      <c r="C252" s="10" t="n">
        <v>45677</v>
      </c>
      <c r="D252" s="2" t="s">
        <v>77</v>
      </c>
      <c r="E252" s="2" t="s">
        <v>92</v>
      </c>
      <c r="F252" s="2" t="s">
        <v>73</v>
      </c>
      <c r="G252" s="2" t="s">
        <v>104</v>
      </c>
      <c r="H252" s="2" t="n">
        <v>3</v>
      </c>
      <c r="I252" s="2" t="n">
        <v>5500</v>
      </c>
      <c r="J252" s="2" t="n">
        <v>0.1</v>
      </c>
      <c r="K252" s="2" t="n">
        <v>3600</v>
      </c>
    </row>
    <row r="253" customFormat="false" ht="15" hidden="false" customHeight="false" outlineLevel="0" collapsed="false">
      <c r="A253" s="2" t="s">
        <v>424</v>
      </c>
      <c r="B253" s="2" t="s">
        <v>422</v>
      </c>
      <c r="C253" s="10" t="n">
        <v>45770</v>
      </c>
      <c r="D253" s="2" t="s">
        <v>77</v>
      </c>
      <c r="E253" s="2" t="s">
        <v>92</v>
      </c>
      <c r="F253" s="2" t="s">
        <v>73</v>
      </c>
      <c r="G253" s="2" t="s">
        <v>85</v>
      </c>
      <c r="H253" s="2" t="n">
        <v>2</v>
      </c>
      <c r="I253" s="2" t="n">
        <v>1200</v>
      </c>
      <c r="J253" s="2" t="n">
        <v>0.05</v>
      </c>
      <c r="K253" s="2" t="n">
        <v>600</v>
      </c>
    </row>
    <row r="254" customFormat="false" ht="15" hidden="false" customHeight="false" outlineLevel="0" collapsed="false">
      <c r="A254" s="2" t="s">
        <v>425</v>
      </c>
      <c r="B254" s="2" t="s">
        <v>426</v>
      </c>
      <c r="C254" s="10" t="n">
        <v>45744</v>
      </c>
      <c r="D254" s="2" t="s">
        <v>81</v>
      </c>
      <c r="E254" s="2" t="s">
        <v>69</v>
      </c>
      <c r="F254" s="2" t="s">
        <v>70</v>
      </c>
      <c r="G254" s="2" t="s">
        <v>126</v>
      </c>
      <c r="H254" s="2" t="n">
        <v>1</v>
      </c>
      <c r="I254" s="2" t="n">
        <v>4500</v>
      </c>
      <c r="J254" s="2" t="n">
        <v>0</v>
      </c>
      <c r="K254" s="2" t="n">
        <v>3300</v>
      </c>
    </row>
    <row r="255" customFormat="false" ht="15" hidden="false" customHeight="false" outlineLevel="0" collapsed="false">
      <c r="A255" s="2" t="s">
        <v>427</v>
      </c>
      <c r="B255" s="2" t="s">
        <v>428</v>
      </c>
      <c r="C255" s="10" t="n">
        <v>46012</v>
      </c>
      <c r="D255" s="2" t="s">
        <v>63</v>
      </c>
      <c r="E255" s="2" t="s">
        <v>69</v>
      </c>
      <c r="F255" s="2" t="s">
        <v>73</v>
      </c>
      <c r="G255" s="2" t="s">
        <v>104</v>
      </c>
      <c r="H255" s="2" t="n">
        <v>3</v>
      </c>
      <c r="I255" s="2" t="n">
        <v>5500</v>
      </c>
      <c r="J255" s="2" t="n">
        <v>0.05</v>
      </c>
      <c r="K255" s="2" t="n">
        <v>3600</v>
      </c>
    </row>
    <row r="256" customFormat="false" ht="15" hidden="false" customHeight="false" outlineLevel="0" collapsed="false">
      <c r="A256" s="2" t="s">
        <v>429</v>
      </c>
      <c r="B256" s="2" t="s">
        <v>430</v>
      </c>
      <c r="C256" s="10" t="n">
        <v>45969</v>
      </c>
      <c r="D256" s="2" t="s">
        <v>77</v>
      </c>
      <c r="E256" s="2" t="s">
        <v>92</v>
      </c>
      <c r="F256" s="2" t="s">
        <v>73</v>
      </c>
      <c r="G256" s="2" t="s">
        <v>104</v>
      </c>
      <c r="H256" s="2" t="n">
        <v>5</v>
      </c>
      <c r="I256" s="2" t="n">
        <v>5500</v>
      </c>
      <c r="J256" s="2" t="n">
        <v>0.15</v>
      </c>
      <c r="K256" s="2" t="n">
        <v>3600</v>
      </c>
    </row>
    <row r="257" customFormat="false" ht="15" hidden="false" customHeight="false" outlineLevel="0" collapsed="false">
      <c r="A257" s="2" t="s">
        <v>431</v>
      </c>
      <c r="B257" s="2" t="s">
        <v>430</v>
      </c>
      <c r="C257" s="10" t="n">
        <v>45821</v>
      </c>
      <c r="D257" s="2" t="s">
        <v>77</v>
      </c>
      <c r="E257" s="2" t="s">
        <v>92</v>
      </c>
      <c r="F257" s="2" t="s">
        <v>73</v>
      </c>
      <c r="G257" s="2" t="s">
        <v>87</v>
      </c>
      <c r="H257" s="2" t="n">
        <v>2</v>
      </c>
      <c r="I257" s="2" t="n">
        <v>9000</v>
      </c>
      <c r="J257" s="2" t="n">
        <v>0</v>
      </c>
      <c r="K257" s="2" t="n">
        <v>6200</v>
      </c>
    </row>
    <row r="258" customFormat="false" ht="15" hidden="false" customHeight="false" outlineLevel="0" collapsed="false">
      <c r="A258" s="2" t="s">
        <v>432</v>
      </c>
      <c r="B258" s="2" t="s">
        <v>430</v>
      </c>
      <c r="C258" s="10" t="n">
        <v>45931</v>
      </c>
      <c r="D258" s="2" t="s">
        <v>77</v>
      </c>
      <c r="E258" s="2" t="s">
        <v>92</v>
      </c>
      <c r="F258" s="2" t="s">
        <v>73</v>
      </c>
      <c r="G258" s="2" t="s">
        <v>87</v>
      </c>
      <c r="H258" s="2" t="n">
        <v>2</v>
      </c>
      <c r="I258" s="2" t="n">
        <v>9000</v>
      </c>
      <c r="J258" s="2" t="n">
        <v>0.05</v>
      </c>
      <c r="K258" s="2" t="n">
        <v>6200</v>
      </c>
    </row>
    <row r="259" customFormat="false" ht="15" hidden="false" customHeight="false" outlineLevel="0" collapsed="false">
      <c r="A259" s="2" t="s">
        <v>433</v>
      </c>
      <c r="B259" s="2" t="s">
        <v>430</v>
      </c>
      <c r="C259" s="10" t="n">
        <v>45835</v>
      </c>
      <c r="D259" s="2" t="s">
        <v>77</v>
      </c>
      <c r="E259" s="2" t="s">
        <v>92</v>
      </c>
      <c r="F259" s="2" t="s">
        <v>70</v>
      </c>
      <c r="G259" s="2" t="s">
        <v>126</v>
      </c>
      <c r="H259" s="2" t="n">
        <v>3</v>
      </c>
      <c r="I259" s="2" t="n">
        <v>4500</v>
      </c>
      <c r="J259" s="2" t="n">
        <v>0.15</v>
      </c>
      <c r="K259" s="2" t="n">
        <v>3300</v>
      </c>
    </row>
    <row r="260" customFormat="false" ht="15" hidden="false" customHeight="false" outlineLevel="0" collapsed="false">
      <c r="A260" s="2" t="s">
        <v>434</v>
      </c>
      <c r="B260" s="2" t="s">
        <v>435</v>
      </c>
      <c r="C260" s="10" t="n">
        <v>45768</v>
      </c>
      <c r="D260" s="2" t="s">
        <v>63</v>
      </c>
      <c r="E260" s="2" t="s">
        <v>64</v>
      </c>
      <c r="F260" s="2" t="s">
        <v>73</v>
      </c>
      <c r="G260" s="2" t="s">
        <v>87</v>
      </c>
      <c r="H260" s="2" t="n">
        <v>3</v>
      </c>
      <c r="I260" s="2" t="n">
        <v>9000</v>
      </c>
      <c r="J260" s="2" t="n">
        <v>0</v>
      </c>
      <c r="K260" s="2" t="n">
        <v>6200</v>
      </c>
    </row>
    <row r="261" customFormat="false" ht="15" hidden="false" customHeight="false" outlineLevel="0" collapsed="false">
      <c r="A261" s="2" t="s">
        <v>436</v>
      </c>
      <c r="B261" s="2" t="s">
        <v>437</v>
      </c>
      <c r="C261" s="10" t="n">
        <v>45658</v>
      </c>
      <c r="D261" s="2" t="s">
        <v>77</v>
      </c>
      <c r="E261" s="2" t="s">
        <v>69</v>
      </c>
      <c r="F261" s="2" t="s">
        <v>70</v>
      </c>
      <c r="G261" s="2" t="s">
        <v>71</v>
      </c>
      <c r="H261" s="2" t="n">
        <v>4</v>
      </c>
      <c r="I261" s="2" t="n">
        <v>2500</v>
      </c>
      <c r="J261" s="2" t="n">
        <v>0.1</v>
      </c>
      <c r="K261" s="2" t="n">
        <v>1600</v>
      </c>
    </row>
    <row r="262" customFormat="false" ht="15" hidden="false" customHeight="false" outlineLevel="0" collapsed="false">
      <c r="A262" s="2" t="s">
        <v>438</v>
      </c>
      <c r="B262" s="2" t="s">
        <v>437</v>
      </c>
      <c r="C262" s="10" t="n">
        <v>45750</v>
      </c>
      <c r="D262" s="2" t="s">
        <v>77</v>
      </c>
      <c r="E262" s="2" t="s">
        <v>69</v>
      </c>
      <c r="F262" s="2" t="s">
        <v>65</v>
      </c>
      <c r="G262" s="2" t="s">
        <v>107</v>
      </c>
      <c r="H262" s="2" t="n">
        <v>18</v>
      </c>
      <c r="I262" s="2" t="n">
        <v>500</v>
      </c>
      <c r="J262" s="2" t="n">
        <v>0.05</v>
      </c>
      <c r="K262" s="2" t="n">
        <v>250</v>
      </c>
    </row>
    <row r="263" customFormat="false" ht="15" hidden="false" customHeight="false" outlineLevel="0" collapsed="false">
      <c r="A263" s="2" t="s">
        <v>439</v>
      </c>
      <c r="B263" s="2" t="s">
        <v>440</v>
      </c>
      <c r="C263" s="10" t="n">
        <v>45969</v>
      </c>
      <c r="D263" s="2" t="s">
        <v>63</v>
      </c>
      <c r="E263" s="2" t="s">
        <v>64</v>
      </c>
      <c r="F263" s="2" t="s">
        <v>70</v>
      </c>
      <c r="G263" s="2" t="s">
        <v>97</v>
      </c>
      <c r="H263" s="2" t="n">
        <v>1</v>
      </c>
      <c r="I263" s="2" t="n">
        <v>3000</v>
      </c>
      <c r="J263" s="2" t="n">
        <v>0.05</v>
      </c>
      <c r="K263" s="2" t="n">
        <v>2000</v>
      </c>
    </row>
    <row r="264" customFormat="false" ht="15" hidden="false" customHeight="false" outlineLevel="0" collapsed="false">
      <c r="A264" s="2" t="s">
        <v>441</v>
      </c>
      <c r="B264" s="2" t="s">
        <v>442</v>
      </c>
      <c r="C264" s="10" t="n">
        <v>45800</v>
      </c>
      <c r="D264" s="2" t="s">
        <v>81</v>
      </c>
      <c r="E264" s="2" t="s">
        <v>64</v>
      </c>
      <c r="F264" s="2" t="s">
        <v>73</v>
      </c>
      <c r="G264" s="2" t="s">
        <v>74</v>
      </c>
      <c r="H264" s="2" t="n">
        <v>1</v>
      </c>
      <c r="I264" s="2" t="n">
        <v>7000</v>
      </c>
      <c r="J264" s="2" t="n">
        <v>0</v>
      </c>
      <c r="K264" s="2" t="n">
        <v>4800</v>
      </c>
    </row>
    <row r="265" customFormat="false" ht="15" hidden="false" customHeight="false" outlineLevel="0" collapsed="false">
      <c r="A265" s="2" t="s">
        <v>443</v>
      </c>
      <c r="B265" s="2" t="s">
        <v>442</v>
      </c>
      <c r="C265" s="10" t="n">
        <v>45769</v>
      </c>
      <c r="D265" s="2" t="s">
        <v>81</v>
      </c>
      <c r="E265" s="2" t="s">
        <v>64</v>
      </c>
      <c r="F265" s="2" t="s">
        <v>70</v>
      </c>
      <c r="G265" s="2" t="s">
        <v>71</v>
      </c>
      <c r="H265" s="2" t="n">
        <v>2</v>
      </c>
      <c r="I265" s="2" t="n">
        <v>2500</v>
      </c>
      <c r="J265" s="2" t="n">
        <v>0.05</v>
      </c>
      <c r="K265" s="2" t="n">
        <v>1600</v>
      </c>
    </row>
    <row r="266" customFormat="false" ht="15" hidden="false" customHeight="false" outlineLevel="0" collapsed="false">
      <c r="A266" s="2" t="s">
        <v>444</v>
      </c>
      <c r="B266" s="2" t="s">
        <v>442</v>
      </c>
      <c r="C266" s="10" t="n">
        <v>45992</v>
      </c>
      <c r="D266" s="2" t="s">
        <v>81</v>
      </c>
      <c r="E266" s="2" t="s">
        <v>64</v>
      </c>
      <c r="F266" s="2" t="s">
        <v>73</v>
      </c>
      <c r="G266" s="2" t="s">
        <v>104</v>
      </c>
      <c r="H266" s="2" t="n">
        <v>2</v>
      </c>
      <c r="I266" s="2" t="n">
        <v>5500</v>
      </c>
      <c r="J266" s="2" t="n">
        <v>0.15</v>
      </c>
      <c r="K266" s="2" t="n">
        <v>3600</v>
      </c>
    </row>
    <row r="267" customFormat="false" ht="15" hidden="false" customHeight="false" outlineLevel="0" collapsed="false">
      <c r="A267" s="2" t="s">
        <v>445</v>
      </c>
      <c r="B267" s="2" t="s">
        <v>446</v>
      </c>
      <c r="C267" s="10" t="n">
        <v>45997</v>
      </c>
      <c r="D267" s="2" t="s">
        <v>91</v>
      </c>
      <c r="E267" s="2" t="s">
        <v>69</v>
      </c>
      <c r="F267" s="2" t="s">
        <v>70</v>
      </c>
      <c r="G267" s="2" t="s">
        <v>126</v>
      </c>
      <c r="H267" s="2" t="n">
        <v>2</v>
      </c>
      <c r="I267" s="2" t="n">
        <v>4500</v>
      </c>
      <c r="J267" s="2" t="n">
        <v>0.05</v>
      </c>
      <c r="K267" s="2" t="n">
        <v>3300</v>
      </c>
    </row>
    <row r="268" customFormat="false" ht="15" hidden="false" customHeight="false" outlineLevel="0" collapsed="false">
      <c r="A268" s="2" t="s">
        <v>447</v>
      </c>
      <c r="B268" s="2" t="s">
        <v>448</v>
      </c>
      <c r="C268" s="10" t="n">
        <v>45755</v>
      </c>
      <c r="D268" s="2" t="s">
        <v>77</v>
      </c>
      <c r="E268" s="2" t="s">
        <v>69</v>
      </c>
      <c r="F268" s="2" t="s">
        <v>65</v>
      </c>
      <c r="G268" s="2" t="s">
        <v>66</v>
      </c>
      <c r="H268" s="2" t="n">
        <v>17</v>
      </c>
      <c r="I268" s="2" t="n">
        <v>600</v>
      </c>
      <c r="J268" s="2" t="n">
        <v>0.1</v>
      </c>
      <c r="K268" s="2" t="n">
        <v>300</v>
      </c>
    </row>
    <row r="269" customFormat="false" ht="15" hidden="false" customHeight="false" outlineLevel="0" collapsed="false">
      <c r="A269" s="2" t="s">
        <v>449</v>
      </c>
      <c r="B269" s="2" t="s">
        <v>450</v>
      </c>
      <c r="C269" s="10" t="n">
        <v>45953</v>
      </c>
      <c r="D269" s="2" t="s">
        <v>77</v>
      </c>
      <c r="E269" s="2" t="s">
        <v>64</v>
      </c>
      <c r="F269" s="2" t="s">
        <v>65</v>
      </c>
      <c r="G269" s="2" t="s">
        <v>107</v>
      </c>
      <c r="H269" s="2" t="n">
        <v>8</v>
      </c>
      <c r="I269" s="2" t="n">
        <v>500</v>
      </c>
      <c r="J269" s="2" t="n">
        <v>0.15</v>
      </c>
      <c r="K269" s="2" t="n">
        <v>250</v>
      </c>
    </row>
    <row r="270" customFormat="false" ht="15" hidden="false" customHeight="false" outlineLevel="0" collapsed="false">
      <c r="A270" s="2" t="s">
        <v>451</v>
      </c>
      <c r="B270" s="2" t="s">
        <v>450</v>
      </c>
      <c r="C270" s="10" t="n">
        <v>45857</v>
      </c>
      <c r="D270" s="2" t="s">
        <v>77</v>
      </c>
      <c r="E270" s="2" t="s">
        <v>64</v>
      </c>
      <c r="F270" s="2" t="s">
        <v>73</v>
      </c>
      <c r="G270" s="2" t="s">
        <v>74</v>
      </c>
      <c r="H270" s="2" t="n">
        <v>1</v>
      </c>
      <c r="I270" s="2" t="n">
        <v>7000</v>
      </c>
      <c r="J270" s="2" t="n">
        <v>0</v>
      </c>
      <c r="K270" s="2" t="n">
        <v>4800</v>
      </c>
    </row>
    <row r="271" customFormat="false" ht="15" hidden="false" customHeight="false" outlineLevel="0" collapsed="false">
      <c r="A271" s="2" t="s">
        <v>452</v>
      </c>
      <c r="B271" s="2" t="s">
        <v>450</v>
      </c>
      <c r="C271" s="10" t="n">
        <v>45903</v>
      </c>
      <c r="D271" s="2" t="s">
        <v>77</v>
      </c>
      <c r="E271" s="2" t="s">
        <v>64</v>
      </c>
      <c r="F271" s="2" t="s">
        <v>70</v>
      </c>
      <c r="G271" s="2" t="s">
        <v>122</v>
      </c>
      <c r="H271" s="2" t="n">
        <v>1</v>
      </c>
      <c r="I271" s="2" t="n">
        <v>1500</v>
      </c>
      <c r="J271" s="2" t="n">
        <v>0.1</v>
      </c>
      <c r="K271" s="2" t="n">
        <v>900</v>
      </c>
    </row>
    <row r="272" customFormat="false" ht="15" hidden="false" customHeight="false" outlineLevel="0" collapsed="false">
      <c r="A272" s="2" t="s">
        <v>453</v>
      </c>
      <c r="B272" s="2" t="s">
        <v>450</v>
      </c>
      <c r="C272" s="10" t="n">
        <v>45720</v>
      </c>
      <c r="D272" s="2" t="s">
        <v>77</v>
      </c>
      <c r="E272" s="2" t="s">
        <v>64</v>
      </c>
      <c r="F272" s="2" t="s">
        <v>73</v>
      </c>
      <c r="G272" s="2" t="s">
        <v>87</v>
      </c>
      <c r="H272" s="2" t="n">
        <v>1</v>
      </c>
      <c r="I272" s="2" t="n">
        <v>9000</v>
      </c>
      <c r="J272" s="2" t="n">
        <v>0</v>
      </c>
      <c r="K272" s="2" t="n">
        <v>6200</v>
      </c>
    </row>
    <row r="273" customFormat="false" ht="15" hidden="false" customHeight="false" outlineLevel="0" collapsed="false">
      <c r="A273" s="2" t="s">
        <v>454</v>
      </c>
      <c r="B273" s="2" t="s">
        <v>450</v>
      </c>
      <c r="C273" s="10" t="n">
        <v>45992</v>
      </c>
      <c r="D273" s="2" t="s">
        <v>77</v>
      </c>
      <c r="E273" s="2" t="s">
        <v>64</v>
      </c>
      <c r="F273" s="2" t="s">
        <v>73</v>
      </c>
      <c r="G273" s="2" t="s">
        <v>87</v>
      </c>
      <c r="H273" s="2" t="n">
        <v>2</v>
      </c>
      <c r="I273" s="2" t="n">
        <v>9000</v>
      </c>
      <c r="J273" s="2" t="n">
        <v>0.05</v>
      </c>
      <c r="K273" s="2" t="n">
        <v>6200</v>
      </c>
    </row>
    <row r="274" customFormat="false" ht="15" hidden="false" customHeight="false" outlineLevel="0" collapsed="false">
      <c r="A274" s="2" t="s">
        <v>455</v>
      </c>
      <c r="B274" s="2" t="s">
        <v>450</v>
      </c>
      <c r="C274" s="10" t="n">
        <v>45985</v>
      </c>
      <c r="D274" s="2" t="s">
        <v>77</v>
      </c>
      <c r="E274" s="2" t="s">
        <v>64</v>
      </c>
      <c r="F274" s="2" t="s">
        <v>70</v>
      </c>
      <c r="G274" s="2" t="s">
        <v>71</v>
      </c>
      <c r="H274" s="2" t="n">
        <v>1</v>
      </c>
      <c r="I274" s="2" t="n">
        <v>2500</v>
      </c>
      <c r="J274" s="2" t="n">
        <v>0.05</v>
      </c>
      <c r="K274" s="2" t="n">
        <v>1600</v>
      </c>
    </row>
    <row r="275" customFormat="false" ht="15" hidden="false" customHeight="false" outlineLevel="0" collapsed="false">
      <c r="A275" s="2" t="s">
        <v>456</v>
      </c>
      <c r="B275" s="2" t="s">
        <v>450</v>
      </c>
      <c r="C275" s="10" t="n">
        <v>45968</v>
      </c>
      <c r="D275" s="2" t="s">
        <v>77</v>
      </c>
      <c r="E275" s="2" t="s">
        <v>64</v>
      </c>
      <c r="F275" s="2" t="s">
        <v>73</v>
      </c>
      <c r="G275" s="2" t="s">
        <v>74</v>
      </c>
      <c r="H275" s="2" t="n">
        <v>1</v>
      </c>
      <c r="I275" s="2" t="n">
        <v>7000</v>
      </c>
      <c r="J275" s="2" t="n">
        <v>0.05</v>
      </c>
      <c r="K275" s="2" t="n">
        <v>4800</v>
      </c>
    </row>
    <row r="276" customFormat="false" ht="15" hidden="false" customHeight="false" outlineLevel="0" collapsed="false">
      <c r="A276" s="2" t="s">
        <v>457</v>
      </c>
      <c r="B276" s="2" t="s">
        <v>450</v>
      </c>
      <c r="C276" s="10" t="n">
        <v>45695</v>
      </c>
      <c r="D276" s="2" t="s">
        <v>77</v>
      </c>
      <c r="E276" s="2" t="s">
        <v>64</v>
      </c>
      <c r="F276" s="2" t="s">
        <v>73</v>
      </c>
      <c r="G276" s="2" t="s">
        <v>74</v>
      </c>
      <c r="H276" s="2" t="n">
        <v>3</v>
      </c>
      <c r="I276" s="2" t="n">
        <v>7000</v>
      </c>
      <c r="J276" s="2" t="n">
        <v>0</v>
      </c>
      <c r="K276" s="2" t="n">
        <v>4800</v>
      </c>
    </row>
    <row r="277" customFormat="false" ht="15" hidden="false" customHeight="false" outlineLevel="0" collapsed="false">
      <c r="A277" s="2" t="s">
        <v>458</v>
      </c>
      <c r="B277" s="2" t="s">
        <v>450</v>
      </c>
      <c r="C277" s="10" t="n">
        <v>45988</v>
      </c>
      <c r="D277" s="2" t="s">
        <v>77</v>
      </c>
      <c r="E277" s="2" t="s">
        <v>64</v>
      </c>
      <c r="F277" s="2" t="s">
        <v>70</v>
      </c>
      <c r="G277" s="2" t="s">
        <v>126</v>
      </c>
      <c r="H277" s="2" t="n">
        <v>1</v>
      </c>
      <c r="I277" s="2" t="n">
        <v>4500</v>
      </c>
      <c r="J277" s="2" t="n">
        <v>0.05</v>
      </c>
      <c r="K277" s="2" t="n">
        <v>3300</v>
      </c>
    </row>
    <row r="278" customFormat="false" ht="15" hidden="false" customHeight="false" outlineLevel="0" collapsed="false">
      <c r="A278" s="2" t="s">
        <v>459</v>
      </c>
      <c r="B278" s="2" t="s">
        <v>450</v>
      </c>
      <c r="C278" s="10" t="n">
        <v>45926</v>
      </c>
      <c r="D278" s="2" t="s">
        <v>77</v>
      </c>
      <c r="E278" s="2" t="s">
        <v>64</v>
      </c>
      <c r="F278" s="2" t="s">
        <v>73</v>
      </c>
      <c r="G278" s="2" t="s">
        <v>104</v>
      </c>
      <c r="H278" s="2" t="n">
        <v>2</v>
      </c>
      <c r="I278" s="2" t="n">
        <v>5500</v>
      </c>
      <c r="J278" s="2" t="n">
        <v>0</v>
      </c>
      <c r="K278" s="2" t="n">
        <v>3600</v>
      </c>
    </row>
    <row r="279" customFormat="false" ht="15" hidden="false" customHeight="false" outlineLevel="0" collapsed="false">
      <c r="A279" s="2" t="s">
        <v>460</v>
      </c>
      <c r="B279" s="2" t="s">
        <v>461</v>
      </c>
      <c r="C279" s="10" t="n">
        <v>45909</v>
      </c>
      <c r="D279" s="2" t="s">
        <v>77</v>
      </c>
      <c r="E279" s="2" t="s">
        <v>69</v>
      </c>
      <c r="F279" s="2" t="s">
        <v>73</v>
      </c>
      <c r="G279" s="2" t="s">
        <v>87</v>
      </c>
      <c r="H279" s="2" t="n">
        <v>3</v>
      </c>
      <c r="I279" s="2" t="n">
        <v>9000</v>
      </c>
      <c r="J279" s="2" t="n">
        <v>0.05</v>
      </c>
      <c r="K279" s="2" t="n">
        <v>6200</v>
      </c>
    </row>
    <row r="280" customFormat="false" ht="15" hidden="false" customHeight="false" outlineLevel="0" collapsed="false">
      <c r="A280" s="2" t="s">
        <v>462</v>
      </c>
      <c r="B280" s="2" t="s">
        <v>463</v>
      </c>
      <c r="C280" s="10" t="n">
        <v>45739</v>
      </c>
      <c r="D280" s="2" t="s">
        <v>81</v>
      </c>
      <c r="E280" s="2" t="s">
        <v>64</v>
      </c>
      <c r="F280" s="2" t="s">
        <v>70</v>
      </c>
      <c r="G280" s="2" t="s">
        <v>71</v>
      </c>
      <c r="H280" s="2" t="n">
        <v>2</v>
      </c>
      <c r="I280" s="2" t="n">
        <v>2500</v>
      </c>
      <c r="J280" s="2" t="n">
        <v>0</v>
      </c>
      <c r="K280" s="2" t="n">
        <v>1600</v>
      </c>
    </row>
    <row r="281" customFormat="false" ht="15" hidden="false" customHeight="false" outlineLevel="0" collapsed="false">
      <c r="A281" s="2" t="s">
        <v>464</v>
      </c>
      <c r="B281" s="2" t="s">
        <v>463</v>
      </c>
      <c r="C281" s="10" t="n">
        <v>45866</v>
      </c>
      <c r="D281" s="2" t="s">
        <v>81</v>
      </c>
      <c r="E281" s="2" t="s">
        <v>64</v>
      </c>
      <c r="F281" s="2" t="s">
        <v>70</v>
      </c>
      <c r="G281" s="2" t="s">
        <v>122</v>
      </c>
      <c r="H281" s="2" t="n">
        <v>2</v>
      </c>
      <c r="I281" s="2" t="n">
        <v>1500</v>
      </c>
      <c r="J281" s="2" t="n">
        <v>0.05</v>
      </c>
      <c r="K281" s="2" t="n">
        <v>900</v>
      </c>
    </row>
    <row r="282" customFormat="false" ht="15" hidden="false" customHeight="false" outlineLevel="0" collapsed="false">
      <c r="A282" s="2" t="s">
        <v>465</v>
      </c>
      <c r="B282" s="2" t="s">
        <v>466</v>
      </c>
      <c r="C282" s="10" t="n">
        <v>45901</v>
      </c>
      <c r="D282" s="2" t="s">
        <v>63</v>
      </c>
      <c r="E282" s="2" t="s">
        <v>64</v>
      </c>
      <c r="F282" s="2" t="s">
        <v>70</v>
      </c>
      <c r="G282" s="2" t="s">
        <v>122</v>
      </c>
      <c r="H282" s="2" t="n">
        <v>3</v>
      </c>
      <c r="I282" s="2" t="n">
        <v>1500</v>
      </c>
      <c r="J282" s="2" t="n">
        <v>0.05</v>
      </c>
      <c r="K282" s="2" t="n">
        <v>900</v>
      </c>
    </row>
    <row r="283" customFormat="false" ht="15" hidden="false" customHeight="false" outlineLevel="0" collapsed="false">
      <c r="A283" s="2" t="s">
        <v>467</v>
      </c>
      <c r="B283" s="2" t="s">
        <v>466</v>
      </c>
      <c r="C283" s="10" t="n">
        <v>45711</v>
      </c>
      <c r="D283" s="2" t="s">
        <v>63</v>
      </c>
      <c r="E283" s="2" t="s">
        <v>64</v>
      </c>
      <c r="F283" s="2" t="s">
        <v>65</v>
      </c>
      <c r="G283" s="2" t="s">
        <v>107</v>
      </c>
      <c r="H283" s="2" t="n">
        <v>6</v>
      </c>
      <c r="I283" s="2" t="n">
        <v>500</v>
      </c>
      <c r="J283" s="2" t="n">
        <v>0.05</v>
      </c>
      <c r="K283" s="2" t="n">
        <v>250</v>
      </c>
    </row>
    <row r="284" customFormat="false" ht="15" hidden="false" customHeight="false" outlineLevel="0" collapsed="false">
      <c r="A284" s="2" t="s">
        <v>468</v>
      </c>
      <c r="B284" s="2" t="s">
        <v>469</v>
      </c>
      <c r="C284" s="10" t="n">
        <v>45919</v>
      </c>
      <c r="D284" s="2" t="s">
        <v>81</v>
      </c>
      <c r="E284" s="2" t="s">
        <v>69</v>
      </c>
      <c r="F284" s="2" t="s">
        <v>73</v>
      </c>
      <c r="G284" s="2" t="s">
        <v>74</v>
      </c>
      <c r="H284" s="2" t="n">
        <v>5</v>
      </c>
      <c r="I284" s="2" t="n">
        <v>7000</v>
      </c>
      <c r="J284" s="2" t="n">
        <v>0</v>
      </c>
      <c r="K284" s="2" t="n">
        <v>4800</v>
      </c>
    </row>
    <row r="285" customFormat="false" ht="15" hidden="false" customHeight="false" outlineLevel="0" collapsed="false">
      <c r="A285" s="2" t="s">
        <v>470</v>
      </c>
      <c r="B285" s="2" t="s">
        <v>471</v>
      </c>
      <c r="C285" s="10" t="n">
        <v>45968</v>
      </c>
      <c r="D285" s="2" t="s">
        <v>91</v>
      </c>
      <c r="E285" s="2" t="s">
        <v>64</v>
      </c>
      <c r="F285" s="2" t="s">
        <v>65</v>
      </c>
      <c r="G285" s="2" t="s">
        <v>66</v>
      </c>
      <c r="H285" s="2" t="n">
        <v>3</v>
      </c>
      <c r="I285" s="2" t="n">
        <v>600</v>
      </c>
      <c r="J285" s="2" t="n">
        <v>0.15</v>
      </c>
      <c r="K285" s="2" t="n">
        <v>300</v>
      </c>
    </row>
    <row r="286" customFormat="false" ht="15" hidden="false" customHeight="false" outlineLevel="0" collapsed="false">
      <c r="A286" s="2" t="s">
        <v>472</v>
      </c>
      <c r="B286" s="2" t="s">
        <v>471</v>
      </c>
      <c r="C286" s="10" t="n">
        <v>45977</v>
      </c>
      <c r="D286" s="2" t="s">
        <v>91</v>
      </c>
      <c r="E286" s="2" t="s">
        <v>64</v>
      </c>
      <c r="F286" s="2" t="s">
        <v>65</v>
      </c>
      <c r="G286" s="2" t="s">
        <v>66</v>
      </c>
      <c r="H286" s="2" t="n">
        <v>8</v>
      </c>
      <c r="I286" s="2" t="n">
        <v>600</v>
      </c>
      <c r="J286" s="2" t="n">
        <v>0.05</v>
      </c>
      <c r="K286" s="2" t="n">
        <v>300</v>
      </c>
    </row>
    <row r="287" customFormat="false" ht="15" hidden="false" customHeight="false" outlineLevel="0" collapsed="false">
      <c r="A287" s="2" t="s">
        <v>473</v>
      </c>
      <c r="B287" s="2" t="s">
        <v>471</v>
      </c>
      <c r="C287" s="10" t="n">
        <v>45700</v>
      </c>
      <c r="D287" s="2" t="s">
        <v>91</v>
      </c>
      <c r="E287" s="2" t="s">
        <v>64</v>
      </c>
      <c r="F287" s="2" t="s">
        <v>70</v>
      </c>
      <c r="G287" s="2" t="s">
        <v>71</v>
      </c>
      <c r="H287" s="2" t="n">
        <v>2</v>
      </c>
      <c r="I287" s="2" t="n">
        <v>2500</v>
      </c>
      <c r="J287" s="2" t="n">
        <v>0.1</v>
      </c>
      <c r="K287" s="2" t="n">
        <v>1600</v>
      </c>
    </row>
    <row r="288" customFormat="false" ht="15" hidden="false" customHeight="false" outlineLevel="0" collapsed="false">
      <c r="A288" s="2" t="s">
        <v>474</v>
      </c>
      <c r="B288" s="2" t="s">
        <v>475</v>
      </c>
      <c r="C288" s="10" t="n">
        <v>45923</v>
      </c>
      <c r="D288" s="2" t="s">
        <v>81</v>
      </c>
      <c r="E288" s="2" t="s">
        <v>64</v>
      </c>
      <c r="F288" s="2" t="s">
        <v>65</v>
      </c>
      <c r="G288" s="2" t="s">
        <v>66</v>
      </c>
      <c r="H288" s="2" t="n">
        <v>6</v>
      </c>
      <c r="I288" s="2" t="n">
        <v>600</v>
      </c>
      <c r="J288" s="2" t="n">
        <v>0</v>
      </c>
      <c r="K288" s="2" t="n">
        <v>300</v>
      </c>
    </row>
    <row r="289" customFormat="false" ht="15" hidden="false" customHeight="false" outlineLevel="0" collapsed="false">
      <c r="A289" s="2" t="s">
        <v>476</v>
      </c>
      <c r="B289" s="2" t="s">
        <v>475</v>
      </c>
      <c r="C289" s="10" t="n">
        <v>45854</v>
      </c>
      <c r="D289" s="2" t="s">
        <v>81</v>
      </c>
      <c r="E289" s="2" t="s">
        <v>64</v>
      </c>
      <c r="F289" s="2" t="s">
        <v>70</v>
      </c>
      <c r="G289" s="2" t="s">
        <v>126</v>
      </c>
      <c r="H289" s="2" t="n">
        <v>2</v>
      </c>
      <c r="I289" s="2" t="n">
        <v>4500</v>
      </c>
      <c r="J289" s="2" t="n">
        <v>0</v>
      </c>
      <c r="K289" s="2" t="n">
        <v>3300</v>
      </c>
    </row>
    <row r="290" customFormat="false" ht="15" hidden="false" customHeight="false" outlineLevel="0" collapsed="false">
      <c r="A290" s="2" t="s">
        <v>477</v>
      </c>
      <c r="B290" s="2" t="s">
        <v>475</v>
      </c>
      <c r="C290" s="10" t="n">
        <v>45913</v>
      </c>
      <c r="D290" s="2" t="s">
        <v>81</v>
      </c>
      <c r="E290" s="2" t="s">
        <v>64</v>
      </c>
      <c r="F290" s="2" t="s">
        <v>73</v>
      </c>
      <c r="G290" s="2" t="s">
        <v>74</v>
      </c>
      <c r="H290" s="2" t="n">
        <v>3</v>
      </c>
      <c r="I290" s="2" t="n">
        <v>7000</v>
      </c>
      <c r="J290" s="2" t="n">
        <v>0</v>
      </c>
      <c r="K290" s="2" t="n">
        <v>4800</v>
      </c>
    </row>
    <row r="291" customFormat="false" ht="15" hidden="false" customHeight="false" outlineLevel="0" collapsed="false">
      <c r="A291" s="2" t="s">
        <v>478</v>
      </c>
      <c r="B291" s="2" t="s">
        <v>479</v>
      </c>
      <c r="C291" s="10" t="n">
        <v>45973</v>
      </c>
      <c r="D291" s="2" t="s">
        <v>77</v>
      </c>
      <c r="E291" s="2" t="s">
        <v>69</v>
      </c>
      <c r="F291" s="2" t="s">
        <v>73</v>
      </c>
      <c r="G291" s="2" t="s">
        <v>85</v>
      </c>
      <c r="H291" s="2" t="n">
        <v>1</v>
      </c>
      <c r="I291" s="2" t="n">
        <v>1200</v>
      </c>
      <c r="J291" s="2" t="n">
        <v>0.05</v>
      </c>
      <c r="K291" s="2" t="n">
        <v>600</v>
      </c>
    </row>
    <row r="292" customFormat="false" ht="15" hidden="false" customHeight="false" outlineLevel="0" collapsed="false">
      <c r="A292" s="2" t="s">
        <v>480</v>
      </c>
      <c r="B292" s="2" t="s">
        <v>479</v>
      </c>
      <c r="C292" s="10" t="n">
        <v>45886</v>
      </c>
      <c r="D292" s="2" t="s">
        <v>77</v>
      </c>
      <c r="E292" s="2" t="s">
        <v>69</v>
      </c>
      <c r="F292" s="2" t="s">
        <v>65</v>
      </c>
      <c r="G292" s="2" t="s">
        <v>82</v>
      </c>
      <c r="H292" s="2" t="n">
        <v>13</v>
      </c>
      <c r="I292" s="2" t="n">
        <v>250</v>
      </c>
      <c r="J292" s="2" t="n">
        <v>0.1</v>
      </c>
      <c r="K292" s="2" t="n">
        <v>100</v>
      </c>
    </row>
    <row r="293" customFormat="false" ht="15" hidden="false" customHeight="false" outlineLevel="0" collapsed="false">
      <c r="A293" s="2" t="s">
        <v>481</v>
      </c>
      <c r="B293" s="2" t="s">
        <v>482</v>
      </c>
      <c r="C293" s="10" t="n">
        <v>45935</v>
      </c>
      <c r="D293" s="2" t="s">
        <v>91</v>
      </c>
      <c r="E293" s="2" t="s">
        <v>69</v>
      </c>
      <c r="F293" s="2" t="s">
        <v>65</v>
      </c>
      <c r="G293" s="2" t="s">
        <v>82</v>
      </c>
      <c r="H293" s="2" t="n">
        <v>12</v>
      </c>
      <c r="I293" s="2" t="n">
        <v>250</v>
      </c>
      <c r="J293" s="2" t="n">
        <v>0.1</v>
      </c>
      <c r="K293" s="2" t="n">
        <v>100</v>
      </c>
    </row>
    <row r="294" customFormat="false" ht="15" hidden="false" customHeight="false" outlineLevel="0" collapsed="false">
      <c r="A294" s="2" t="s">
        <v>483</v>
      </c>
      <c r="B294" s="2" t="s">
        <v>484</v>
      </c>
      <c r="C294" s="10" t="n">
        <v>45716</v>
      </c>
      <c r="D294" s="2" t="s">
        <v>77</v>
      </c>
      <c r="E294" s="2" t="s">
        <v>69</v>
      </c>
      <c r="F294" s="2" t="s">
        <v>65</v>
      </c>
      <c r="G294" s="2" t="s">
        <v>78</v>
      </c>
      <c r="H294" s="2" t="n">
        <v>15</v>
      </c>
      <c r="I294" s="2" t="n">
        <v>400</v>
      </c>
      <c r="J294" s="2" t="n">
        <v>0</v>
      </c>
      <c r="K294" s="2" t="n">
        <v>200</v>
      </c>
    </row>
    <row r="295" customFormat="false" ht="15" hidden="false" customHeight="false" outlineLevel="0" collapsed="false">
      <c r="A295" s="2" t="s">
        <v>485</v>
      </c>
      <c r="B295" s="2" t="s">
        <v>486</v>
      </c>
      <c r="C295" s="10" t="n">
        <v>45753</v>
      </c>
      <c r="D295" s="2" t="s">
        <v>63</v>
      </c>
      <c r="E295" s="2" t="s">
        <v>64</v>
      </c>
      <c r="F295" s="2" t="s">
        <v>70</v>
      </c>
      <c r="G295" s="2" t="s">
        <v>97</v>
      </c>
      <c r="H295" s="2" t="n">
        <v>3</v>
      </c>
      <c r="I295" s="2" t="n">
        <v>3000</v>
      </c>
      <c r="J295" s="2" t="n">
        <v>0</v>
      </c>
      <c r="K295" s="2" t="n">
        <v>2000</v>
      </c>
    </row>
    <row r="296" customFormat="false" ht="15" hidden="false" customHeight="false" outlineLevel="0" collapsed="false">
      <c r="A296" s="2" t="s">
        <v>487</v>
      </c>
      <c r="B296" s="2" t="s">
        <v>486</v>
      </c>
      <c r="C296" s="10" t="n">
        <v>45752</v>
      </c>
      <c r="D296" s="2" t="s">
        <v>63</v>
      </c>
      <c r="E296" s="2" t="s">
        <v>64</v>
      </c>
      <c r="F296" s="2" t="s">
        <v>65</v>
      </c>
      <c r="G296" s="2" t="s">
        <v>107</v>
      </c>
      <c r="H296" s="2" t="n">
        <v>5</v>
      </c>
      <c r="I296" s="2" t="n">
        <v>500</v>
      </c>
      <c r="J296" s="2" t="n">
        <v>0</v>
      </c>
      <c r="K296" s="2" t="n">
        <v>250</v>
      </c>
    </row>
    <row r="297" customFormat="false" ht="15" hidden="false" customHeight="false" outlineLevel="0" collapsed="false">
      <c r="A297" s="2" t="s">
        <v>488</v>
      </c>
      <c r="B297" s="2" t="s">
        <v>486</v>
      </c>
      <c r="C297" s="10" t="n">
        <v>46000</v>
      </c>
      <c r="D297" s="2" t="s">
        <v>63</v>
      </c>
      <c r="E297" s="2" t="s">
        <v>64</v>
      </c>
      <c r="F297" s="2" t="s">
        <v>70</v>
      </c>
      <c r="G297" s="2" t="s">
        <v>122</v>
      </c>
      <c r="H297" s="2" t="n">
        <v>2</v>
      </c>
      <c r="I297" s="2" t="n">
        <v>1500</v>
      </c>
      <c r="J297" s="2" t="n">
        <v>0.05</v>
      </c>
      <c r="K297" s="2" t="n">
        <v>900</v>
      </c>
    </row>
    <row r="298" customFormat="false" ht="15" hidden="false" customHeight="false" outlineLevel="0" collapsed="false">
      <c r="A298" s="2" t="s">
        <v>489</v>
      </c>
      <c r="B298" s="2" t="s">
        <v>486</v>
      </c>
      <c r="C298" s="10" t="n">
        <v>45877</v>
      </c>
      <c r="D298" s="2" t="s">
        <v>63</v>
      </c>
      <c r="E298" s="2" t="s">
        <v>64</v>
      </c>
      <c r="F298" s="2" t="s">
        <v>73</v>
      </c>
      <c r="G298" s="2" t="s">
        <v>104</v>
      </c>
      <c r="H298" s="2" t="n">
        <v>3</v>
      </c>
      <c r="I298" s="2" t="n">
        <v>5500</v>
      </c>
      <c r="J298" s="2" t="n">
        <v>0</v>
      </c>
      <c r="K298" s="2" t="n">
        <v>3600</v>
      </c>
    </row>
    <row r="299" customFormat="false" ht="15" hidden="false" customHeight="false" outlineLevel="0" collapsed="false">
      <c r="A299" s="2" t="s">
        <v>490</v>
      </c>
      <c r="B299" s="2" t="s">
        <v>486</v>
      </c>
      <c r="C299" s="10" t="n">
        <v>45846</v>
      </c>
      <c r="D299" s="2" t="s">
        <v>63</v>
      </c>
      <c r="E299" s="2" t="s">
        <v>64</v>
      </c>
      <c r="F299" s="2" t="s">
        <v>73</v>
      </c>
      <c r="G299" s="2" t="s">
        <v>104</v>
      </c>
      <c r="H299" s="2" t="n">
        <v>3</v>
      </c>
      <c r="I299" s="2" t="n">
        <v>5500</v>
      </c>
      <c r="J299" s="2" t="n">
        <v>0</v>
      </c>
      <c r="K299" s="2" t="n">
        <v>3600</v>
      </c>
    </row>
    <row r="300" customFormat="false" ht="15" hidden="false" customHeight="false" outlineLevel="0" collapsed="false">
      <c r="A300" s="2" t="s">
        <v>491</v>
      </c>
      <c r="B300" s="2" t="s">
        <v>492</v>
      </c>
      <c r="C300" s="10" t="n">
        <v>45783</v>
      </c>
      <c r="D300" s="2" t="s">
        <v>77</v>
      </c>
      <c r="E300" s="2" t="s">
        <v>64</v>
      </c>
      <c r="F300" s="2" t="s">
        <v>70</v>
      </c>
      <c r="G300" s="2" t="s">
        <v>122</v>
      </c>
      <c r="H300" s="2" t="n">
        <v>1</v>
      </c>
      <c r="I300" s="2" t="n">
        <v>1500</v>
      </c>
      <c r="J300" s="2" t="n">
        <v>0</v>
      </c>
      <c r="K300" s="2" t="n">
        <v>900</v>
      </c>
    </row>
    <row r="301" customFormat="false" ht="15" hidden="false" customHeight="false" outlineLevel="0" collapsed="false">
      <c r="A301" s="2" t="s">
        <v>493</v>
      </c>
      <c r="B301" s="2" t="s">
        <v>492</v>
      </c>
      <c r="C301" s="10" t="n">
        <v>46017</v>
      </c>
      <c r="D301" s="2" t="s">
        <v>77</v>
      </c>
      <c r="E301" s="2" t="s">
        <v>64</v>
      </c>
      <c r="F301" s="2" t="s">
        <v>65</v>
      </c>
      <c r="G301" s="2" t="s">
        <v>78</v>
      </c>
      <c r="H301" s="2" t="n">
        <v>3</v>
      </c>
      <c r="I301" s="2" t="n">
        <v>400</v>
      </c>
      <c r="J301" s="2" t="n">
        <v>0.05</v>
      </c>
      <c r="K301" s="2" t="n">
        <v>200</v>
      </c>
    </row>
    <row r="302" customFormat="false" ht="15" hidden="false" customHeight="false" outlineLevel="0" collapsed="false">
      <c r="A302" s="2" t="s">
        <v>494</v>
      </c>
      <c r="B302" s="2" t="s">
        <v>492</v>
      </c>
      <c r="C302" s="10" t="n">
        <v>45845</v>
      </c>
      <c r="D302" s="2" t="s">
        <v>77</v>
      </c>
      <c r="E302" s="2" t="s">
        <v>64</v>
      </c>
      <c r="F302" s="2" t="s">
        <v>70</v>
      </c>
      <c r="G302" s="2" t="s">
        <v>122</v>
      </c>
      <c r="H302" s="2" t="n">
        <v>3</v>
      </c>
      <c r="I302" s="2" t="n">
        <v>1500</v>
      </c>
      <c r="J302" s="2" t="n">
        <v>0</v>
      </c>
      <c r="K302" s="2" t="n">
        <v>900</v>
      </c>
    </row>
    <row r="303" customFormat="false" ht="15" hidden="false" customHeight="false" outlineLevel="0" collapsed="false">
      <c r="A303" s="2" t="s">
        <v>495</v>
      </c>
      <c r="B303" s="2" t="s">
        <v>492</v>
      </c>
      <c r="C303" s="10" t="n">
        <v>45974</v>
      </c>
      <c r="D303" s="2" t="s">
        <v>77</v>
      </c>
      <c r="E303" s="2" t="s">
        <v>64</v>
      </c>
      <c r="F303" s="2" t="s">
        <v>70</v>
      </c>
      <c r="G303" s="2" t="s">
        <v>71</v>
      </c>
      <c r="H303" s="2" t="n">
        <v>3</v>
      </c>
      <c r="I303" s="2" t="n">
        <v>2500</v>
      </c>
      <c r="J303" s="2" t="n">
        <v>0.05</v>
      </c>
      <c r="K303" s="2" t="n">
        <v>1600</v>
      </c>
    </row>
    <row r="304" customFormat="false" ht="15" hidden="false" customHeight="false" outlineLevel="0" collapsed="false">
      <c r="A304" s="2" t="s">
        <v>496</v>
      </c>
      <c r="B304" s="2" t="s">
        <v>492</v>
      </c>
      <c r="C304" s="10" t="n">
        <v>45984</v>
      </c>
      <c r="D304" s="2" t="s">
        <v>77</v>
      </c>
      <c r="E304" s="2" t="s">
        <v>64</v>
      </c>
      <c r="F304" s="2" t="s">
        <v>65</v>
      </c>
      <c r="G304" s="2" t="s">
        <v>107</v>
      </c>
      <c r="H304" s="2" t="n">
        <v>2</v>
      </c>
      <c r="I304" s="2" t="n">
        <v>500</v>
      </c>
      <c r="J304" s="2" t="n">
        <v>0.1</v>
      </c>
      <c r="K304" s="2" t="n">
        <v>250</v>
      </c>
    </row>
    <row r="305" customFormat="false" ht="15" hidden="false" customHeight="false" outlineLevel="0" collapsed="false">
      <c r="A305" s="2" t="s">
        <v>497</v>
      </c>
      <c r="B305" s="2" t="s">
        <v>492</v>
      </c>
      <c r="C305" s="10" t="n">
        <v>45966</v>
      </c>
      <c r="D305" s="2" t="s">
        <v>77</v>
      </c>
      <c r="E305" s="2" t="s">
        <v>64</v>
      </c>
      <c r="F305" s="2" t="s">
        <v>65</v>
      </c>
      <c r="G305" s="2" t="s">
        <v>82</v>
      </c>
      <c r="H305" s="2" t="n">
        <v>6</v>
      </c>
      <c r="I305" s="2" t="n">
        <v>250</v>
      </c>
      <c r="J305" s="2" t="n">
        <v>0.05</v>
      </c>
      <c r="K305" s="2" t="n">
        <v>100</v>
      </c>
    </row>
    <row r="306" customFormat="false" ht="15" hidden="false" customHeight="false" outlineLevel="0" collapsed="false">
      <c r="A306" s="2" t="s">
        <v>498</v>
      </c>
      <c r="B306" s="2" t="s">
        <v>492</v>
      </c>
      <c r="C306" s="10" t="n">
        <v>45685</v>
      </c>
      <c r="D306" s="2" t="s">
        <v>77</v>
      </c>
      <c r="E306" s="2" t="s">
        <v>64</v>
      </c>
      <c r="F306" s="2" t="s">
        <v>65</v>
      </c>
      <c r="G306" s="2" t="s">
        <v>66</v>
      </c>
      <c r="H306" s="2" t="n">
        <v>6</v>
      </c>
      <c r="I306" s="2" t="n">
        <v>600</v>
      </c>
      <c r="J306" s="2" t="n">
        <v>0</v>
      </c>
      <c r="K306" s="2" t="n">
        <v>300</v>
      </c>
    </row>
    <row r="307" customFormat="false" ht="15" hidden="false" customHeight="false" outlineLevel="0" collapsed="false">
      <c r="A307" s="2" t="s">
        <v>499</v>
      </c>
      <c r="B307" s="2" t="s">
        <v>492</v>
      </c>
      <c r="C307" s="10" t="n">
        <v>46019</v>
      </c>
      <c r="D307" s="2" t="s">
        <v>77</v>
      </c>
      <c r="E307" s="2" t="s">
        <v>64</v>
      </c>
      <c r="F307" s="2" t="s">
        <v>70</v>
      </c>
      <c r="G307" s="2" t="s">
        <v>97</v>
      </c>
      <c r="H307" s="2" t="n">
        <v>3</v>
      </c>
      <c r="I307" s="2" t="n">
        <v>3000</v>
      </c>
      <c r="J307" s="2" t="n">
        <v>0.1</v>
      </c>
      <c r="K307" s="2" t="n">
        <v>2000</v>
      </c>
    </row>
    <row r="308" customFormat="false" ht="15" hidden="false" customHeight="false" outlineLevel="0" collapsed="false">
      <c r="A308" s="2" t="s">
        <v>500</v>
      </c>
      <c r="B308" s="2" t="s">
        <v>492</v>
      </c>
      <c r="C308" s="10" t="n">
        <v>46013</v>
      </c>
      <c r="D308" s="2" t="s">
        <v>77</v>
      </c>
      <c r="E308" s="2" t="s">
        <v>64</v>
      </c>
      <c r="F308" s="2" t="s">
        <v>70</v>
      </c>
      <c r="G308" s="2" t="s">
        <v>126</v>
      </c>
      <c r="H308" s="2" t="n">
        <v>3</v>
      </c>
      <c r="I308" s="2" t="n">
        <v>4500</v>
      </c>
      <c r="J308" s="2" t="n">
        <v>0.05</v>
      </c>
      <c r="K308" s="2" t="n">
        <v>3300</v>
      </c>
    </row>
    <row r="309" customFormat="false" ht="15" hidden="false" customHeight="false" outlineLevel="0" collapsed="false">
      <c r="A309" s="2" t="s">
        <v>501</v>
      </c>
      <c r="B309" s="2" t="s">
        <v>492</v>
      </c>
      <c r="C309" s="10" t="n">
        <v>45880</v>
      </c>
      <c r="D309" s="2" t="s">
        <v>77</v>
      </c>
      <c r="E309" s="2" t="s">
        <v>64</v>
      </c>
      <c r="F309" s="2" t="s">
        <v>73</v>
      </c>
      <c r="G309" s="2" t="s">
        <v>87</v>
      </c>
      <c r="H309" s="2" t="n">
        <v>3</v>
      </c>
      <c r="I309" s="2" t="n">
        <v>9000</v>
      </c>
      <c r="J309" s="2" t="n">
        <v>0.05</v>
      </c>
      <c r="K309" s="2" t="n">
        <v>6200</v>
      </c>
    </row>
    <row r="310" customFormat="false" ht="15" hidden="false" customHeight="false" outlineLevel="0" collapsed="false">
      <c r="A310" s="2" t="s">
        <v>502</v>
      </c>
      <c r="B310" s="2" t="s">
        <v>503</v>
      </c>
      <c r="C310" s="10" t="n">
        <v>45696</v>
      </c>
      <c r="D310" s="2" t="s">
        <v>77</v>
      </c>
      <c r="E310" s="2" t="s">
        <v>64</v>
      </c>
      <c r="F310" s="2" t="s">
        <v>65</v>
      </c>
      <c r="G310" s="2" t="s">
        <v>66</v>
      </c>
      <c r="H310" s="2" t="n">
        <v>7</v>
      </c>
      <c r="I310" s="2" t="n">
        <v>600</v>
      </c>
      <c r="J310" s="2" t="n">
        <v>0.05</v>
      </c>
      <c r="K310" s="2" t="n">
        <v>300</v>
      </c>
    </row>
    <row r="311" customFormat="false" ht="15" hidden="false" customHeight="false" outlineLevel="0" collapsed="false">
      <c r="A311" s="2" t="s">
        <v>504</v>
      </c>
      <c r="B311" s="2" t="s">
        <v>505</v>
      </c>
      <c r="C311" s="10" t="n">
        <v>45824</v>
      </c>
      <c r="D311" s="2" t="s">
        <v>77</v>
      </c>
      <c r="E311" s="2" t="s">
        <v>64</v>
      </c>
      <c r="F311" s="2" t="s">
        <v>65</v>
      </c>
      <c r="G311" s="2" t="s">
        <v>107</v>
      </c>
      <c r="H311" s="2" t="n">
        <v>7</v>
      </c>
      <c r="I311" s="2" t="n">
        <v>500</v>
      </c>
      <c r="J311" s="2" t="n">
        <v>0.05</v>
      </c>
      <c r="K311" s="2" t="n">
        <v>250</v>
      </c>
    </row>
    <row r="312" customFormat="false" ht="15" hidden="false" customHeight="false" outlineLevel="0" collapsed="false">
      <c r="A312" s="2" t="s">
        <v>506</v>
      </c>
      <c r="B312" s="2" t="s">
        <v>507</v>
      </c>
      <c r="C312" s="10" t="n">
        <v>45886</v>
      </c>
      <c r="D312" s="2" t="s">
        <v>91</v>
      </c>
      <c r="E312" s="2" t="s">
        <v>64</v>
      </c>
      <c r="F312" s="2" t="s">
        <v>70</v>
      </c>
      <c r="G312" s="2" t="s">
        <v>97</v>
      </c>
      <c r="H312" s="2" t="n">
        <v>1</v>
      </c>
      <c r="I312" s="2" t="n">
        <v>3000</v>
      </c>
      <c r="J312" s="2" t="n">
        <v>0.05</v>
      </c>
      <c r="K312" s="2" t="n">
        <v>2000</v>
      </c>
    </row>
    <row r="313" customFormat="false" ht="15" hidden="false" customHeight="false" outlineLevel="0" collapsed="false">
      <c r="A313" s="2" t="s">
        <v>508</v>
      </c>
      <c r="B313" s="2" t="s">
        <v>507</v>
      </c>
      <c r="C313" s="10" t="n">
        <v>45913</v>
      </c>
      <c r="D313" s="2" t="s">
        <v>91</v>
      </c>
      <c r="E313" s="2" t="s">
        <v>64</v>
      </c>
      <c r="F313" s="2" t="s">
        <v>70</v>
      </c>
      <c r="G313" s="2" t="s">
        <v>126</v>
      </c>
      <c r="H313" s="2" t="n">
        <v>3</v>
      </c>
      <c r="I313" s="2" t="n">
        <v>4500</v>
      </c>
      <c r="J313" s="2" t="n">
        <v>0</v>
      </c>
      <c r="K313" s="2" t="n">
        <v>3300</v>
      </c>
    </row>
    <row r="314" customFormat="false" ht="15" hidden="false" customHeight="false" outlineLevel="0" collapsed="false">
      <c r="A314" s="2" t="s">
        <v>509</v>
      </c>
      <c r="B314" s="2" t="s">
        <v>510</v>
      </c>
      <c r="C314" s="10" t="n">
        <v>45968</v>
      </c>
      <c r="D314" s="2" t="s">
        <v>81</v>
      </c>
      <c r="E314" s="2" t="s">
        <v>69</v>
      </c>
      <c r="F314" s="2" t="s">
        <v>65</v>
      </c>
      <c r="G314" s="2" t="s">
        <v>107</v>
      </c>
      <c r="H314" s="2" t="n">
        <v>6</v>
      </c>
      <c r="I314" s="2" t="n">
        <v>500</v>
      </c>
      <c r="J314" s="2" t="n">
        <v>0.15</v>
      </c>
      <c r="K314" s="2" t="n">
        <v>250</v>
      </c>
    </row>
    <row r="315" customFormat="false" ht="15" hidden="false" customHeight="false" outlineLevel="0" collapsed="false">
      <c r="A315" s="2" t="s">
        <v>511</v>
      </c>
      <c r="B315" s="2" t="s">
        <v>510</v>
      </c>
      <c r="C315" s="10" t="n">
        <v>45873</v>
      </c>
      <c r="D315" s="2" t="s">
        <v>81</v>
      </c>
      <c r="E315" s="2" t="s">
        <v>69</v>
      </c>
      <c r="F315" s="2" t="s">
        <v>70</v>
      </c>
      <c r="G315" s="2" t="s">
        <v>126</v>
      </c>
      <c r="H315" s="2" t="n">
        <v>2</v>
      </c>
      <c r="I315" s="2" t="n">
        <v>4500</v>
      </c>
      <c r="J315" s="2" t="n">
        <v>0</v>
      </c>
      <c r="K315" s="2" t="n">
        <v>3300</v>
      </c>
    </row>
    <row r="316" customFormat="false" ht="15" hidden="false" customHeight="false" outlineLevel="0" collapsed="false">
      <c r="A316" s="2" t="s">
        <v>512</v>
      </c>
      <c r="B316" s="2" t="s">
        <v>510</v>
      </c>
      <c r="C316" s="10" t="n">
        <v>45978</v>
      </c>
      <c r="D316" s="2" t="s">
        <v>81</v>
      </c>
      <c r="E316" s="2" t="s">
        <v>69</v>
      </c>
      <c r="F316" s="2" t="s">
        <v>73</v>
      </c>
      <c r="G316" s="2" t="s">
        <v>85</v>
      </c>
      <c r="H316" s="2"/>
      <c r="I316" s="2" t="n">
        <v>1200</v>
      </c>
      <c r="J316" s="2" t="n">
        <v>0.1</v>
      </c>
      <c r="K316" s="2" t="n">
        <v>600</v>
      </c>
    </row>
    <row r="317" customFormat="false" ht="15" hidden="false" customHeight="false" outlineLevel="0" collapsed="false">
      <c r="A317" s="2" t="s">
        <v>513</v>
      </c>
      <c r="B317" s="2" t="s">
        <v>514</v>
      </c>
      <c r="C317" s="10" t="n">
        <v>45822</v>
      </c>
      <c r="D317" s="2" t="s">
        <v>515</v>
      </c>
      <c r="E317" s="2" t="s">
        <v>69</v>
      </c>
      <c r="F317" s="2" t="s">
        <v>65</v>
      </c>
      <c r="G317" s="2" t="s">
        <v>78</v>
      </c>
      <c r="H317" s="2" t="n">
        <v>16</v>
      </c>
      <c r="I317" s="2" t="n">
        <v>400</v>
      </c>
      <c r="J317" s="2" t="n">
        <v>0</v>
      </c>
      <c r="K317" s="2" t="n">
        <v>200</v>
      </c>
    </row>
    <row r="318" customFormat="false" ht="15" hidden="false" customHeight="false" outlineLevel="0" collapsed="false">
      <c r="A318" s="2" t="s">
        <v>516</v>
      </c>
      <c r="B318" s="2" t="s">
        <v>514</v>
      </c>
      <c r="C318" s="10" t="n">
        <v>45772</v>
      </c>
      <c r="D318" s="2" t="s">
        <v>63</v>
      </c>
      <c r="E318" s="2" t="s">
        <v>69</v>
      </c>
      <c r="F318" s="2" t="s">
        <v>70</v>
      </c>
      <c r="G318" s="2" t="s">
        <v>97</v>
      </c>
      <c r="H318" s="2" t="n">
        <v>2</v>
      </c>
      <c r="I318" s="2" t="n">
        <v>3000</v>
      </c>
      <c r="J318" s="2" t="n">
        <v>0.1</v>
      </c>
      <c r="K318" s="2" t="n">
        <v>2000</v>
      </c>
    </row>
    <row r="319" customFormat="false" ht="15" hidden="false" customHeight="false" outlineLevel="0" collapsed="false">
      <c r="A319" s="2" t="s">
        <v>517</v>
      </c>
      <c r="B319" s="2" t="s">
        <v>514</v>
      </c>
      <c r="C319" s="10" t="n">
        <v>45939</v>
      </c>
      <c r="D319" s="2" t="s">
        <v>63</v>
      </c>
      <c r="E319" s="2" t="s">
        <v>69</v>
      </c>
      <c r="F319" s="2" t="s">
        <v>70</v>
      </c>
      <c r="G319" s="2" t="s">
        <v>71</v>
      </c>
      <c r="H319" s="2" t="n">
        <v>5</v>
      </c>
      <c r="I319" s="2" t="n">
        <v>2500</v>
      </c>
      <c r="J319" s="2" t="n">
        <v>0.05</v>
      </c>
      <c r="K319" s="2" t="n">
        <v>1600</v>
      </c>
    </row>
    <row r="320" customFormat="false" ht="15" hidden="false" customHeight="false" outlineLevel="0" collapsed="false">
      <c r="A320" s="2" t="s">
        <v>518</v>
      </c>
      <c r="B320" s="2" t="s">
        <v>514</v>
      </c>
      <c r="C320" s="10" t="n">
        <v>45811</v>
      </c>
      <c r="D320" s="2" t="s">
        <v>63</v>
      </c>
      <c r="E320" s="2" t="s">
        <v>69</v>
      </c>
      <c r="F320" s="2" t="s">
        <v>70</v>
      </c>
      <c r="G320" s="2" t="s">
        <v>122</v>
      </c>
      <c r="H320" s="2" t="n">
        <v>4</v>
      </c>
      <c r="I320" s="2" t="n">
        <v>1500</v>
      </c>
      <c r="J320" s="2" t="n">
        <v>0</v>
      </c>
      <c r="K320" s="2" t="n">
        <v>900</v>
      </c>
    </row>
    <row r="321" customFormat="false" ht="15" hidden="false" customHeight="false" outlineLevel="0" collapsed="false">
      <c r="A321" s="2" t="s">
        <v>519</v>
      </c>
      <c r="B321" s="2" t="s">
        <v>520</v>
      </c>
      <c r="C321" s="10" t="n">
        <v>45965</v>
      </c>
      <c r="D321" s="2" t="s">
        <v>77</v>
      </c>
      <c r="E321" s="2" t="s">
        <v>92</v>
      </c>
      <c r="F321" s="2" t="s">
        <v>73</v>
      </c>
      <c r="G321" s="2" t="s">
        <v>85</v>
      </c>
      <c r="H321" s="2" t="n">
        <v>6</v>
      </c>
      <c r="I321" s="2" t="n">
        <v>1200</v>
      </c>
      <c r="J321" s="2" t="n">
        <v>0.15</v>
      </c>
      <c r="K321" s="2" t="n">
        <v>600</v>
      </c>
    </row>
    <row r="322" customFormat="false" ht="15" hidden="false" customHeight="false" outlineLevel="0" collapsed="false">
      <c r="A322" s="2" t="s">
        <v>521</v>
      </c>
      <c r="B322" s="2" t="s">
        <v>520</v>
      </c>
      <c r="C322" s="10" t="n">
        <v>46017</v>
      </c>
      <c r="D322" s="2" t="s">
        <v>77</v>
      </c>
      <c r="E322" s="2" t="s">
        <v>92</v>
      </c>
      <c r="F322" s="2" t="s">
        <v>65</v>
      </c>
      <c r="G322" s="2" t="s">
        <v>82</v>
      </c>
      <c r="H322" s="2" t="n">
        <v>40</v>
      </c>
      <c r="I322" s="2" t="n">
        <v>250</v>
      </c>
      <c r="J322" s="2" t="n">
        <v>0.1</v>
      </c>
      <c r="K322" s="2" t="n">
        <v>100</v>
      </c>
    </row>
    <row r="323" customFormat="false" ht="15" hidden="false" customHeight="false" outlineLevel="0" collapsed="false">
      <c r="A323" s="2" t="s">
        <v>522</v>
      </c>
      <c r="B323" s="2" t="s">
        <v>520</v>
      </c>
      <c r="C323" s="10" t="n">
        <v>45863</v>
      </c>
      <c r="D323" s="2" t="s">
        <v>77</v>
      </c>
      <c r="E323" s="2" t="s">
        <v>92</v>
      </c>
      <c r="F323" s="2" t="s">
        <v>73</v>
      </c>
      <c r="G323" s="2" t="s">
        <v>85</v>
      </c>
      <c r="H323" s="2" t="n">
        <v>3</v>
      </c>
      <c r="I323" s="2" t="n">
        <v>1200</v>
      </c>
      <c r="J323" s="2" t="n">
        <v>0.05</v>
      </c>
      <c r="K323" s="2" t="n">
        <v>600</v>
      </c>
    </row>
    <row r="324" customFormat="false" ht="15" hidden="false" customHeight="false" outlineLevel="0" collapsed="false">
      <c r="A324" s="2" t="s">
        <v>523</v>
      </c>
      <c r="B324" s="2" t="s">
        <v>520</v>
      </c>
      <c r="C324" s="10" t="n">
        <v>45684</v>
      </c>
      <c r="D324" s="2" t="s">
        <v>77</v>
      </c>
      <c r="E324" s="2" t="s">
        <v>92</v>
      </c>
      <c r="F324" s="2" t="s">
        <v>70</v>
      </c>
      <c r="G324" s="2" t="s">
        <v>71</v>
      </c>
      <c r="H324" s="2" t="n">
        <v>5</v>
      </c>
      <c r="I324" s="2" t="n">
        <v>2500</v>
      </c>
      <c r="J324" s="2" t="n">
        <v>0.05</v>
      </c>
      <c r="K324" s="2" t="n">
        <v>1600</v>
      </c>
    </row>
    <row r="325" customFormat="false" ht="15" hidden="false" customHeight="false" outlineLevel="0" collapsed="false">
      <c r="A325" s="2" t="s">
        <v>524</v>
      </c>
      <c r="B325" s="2" t="s">
        <v>525</v>
      </c>
      <c r="C325" s="10" t="n">
        <v>45802</v>
      </c>
      <c r="D325" s="2" t="s">
        <v>526</v>
      </c>
      <c r="E325" s="2" t="s">
        <v>64</v>
      </c>
      <c r="F325" s="2" t="s">
        <v>73</v>
      </c>
      <c r="G325" s="2" t="s">
        <v>87</v>
      </c>
      <c r="H325" s="2" t="n">
        <v>2</v>
      </c>
      <c r="I325" s="2" t="n">
        <v>9000</v>
      </c>
      <c r="J325" s="2" t="n">
        <v>0</v>
      </c>
      <c r="K325" s="2" t="n">
        <v>6200</v>
      </c>
    </row>
    <row r="326" customFormat="false" ht="15" hidden="false" customHeight="false" outlineLevel="0" collapsed="false">
      <c r="A326" s="2" t="s">
        <v>527</v>
      </c>
      <c r="B326" s="2" t="s">
        <v>525</v>
      </c>
      <c r="C326" s="10" t="n">
        <v>45970</v>
      </c>
      <c r="D326" s="2" t="s">
        <v>81</v>
      </c>
      <c r="E326" s="2" t="s">
        <v>64</v>
      </c>
      <c r="F326" s="2" t="s">
        <v>65</v>
      </c>
      <c r="G326" s="2" t="s">
        <v>82</v>
      </c>
      <c r="H326" s="2" t="n">
        <v>8</v>
      </c>
      <c r="I326" s="2" t="n">
        <v>250</v>
      </c>
      <c r="J326" s="2" t="n">
        <v>0.05</v>
      </c>
      <c r="K326" s="2" t="n">
        <v>100</v>
      </c>
    </row>
    <row r="327" customFormat="false" ht="15" hidden="false" customHeight="false" outlineLevel="0" collapsed="false">
      <c r="A327" s="2" t="s">
        <v>528</v>
      </c>
      <c r="B327" s="2" t="s">
        <v>525</v>
      </c>
      <c r="C327" s="10" t="n">
        <v>45977</v>
      </c>
      <c r="D327" s="2" t="s">
        <v>81</v>
      </c>
      <c r="E327" s="2" t="s">
        <v>64</v>
      </c>
      <c r="F327" s="2" t="s">
        <v>73</v>
      </c>
      <c r="G327" s="2" t="s">
        <v>85</v>
      </c>
      <c r="H327" s="2" t="n">
        <v>3</v>
      </c>
      <c r="I327" s="2" t="n">
        <v>1200</v>
      </c>
      <c r="J327" s="2" t="n">
        <v>0.05</v>
      </c>
      <c r="K327" s="2" t="n">
        <v>600</v>
      </c>
    </row>
    <row r="328" customFormat="false" ht="15" hidden="false" customHeight="false" outlineLevel="0" collapsed="false">
      <c r="A328" s="2" t="s">
        <v>529</v>
      </c>
      <c r="B328" s="2" t="s">
        <v>530</v>
      </c>
      <c r="C328" s="10" t="n">
        <v>45798</v>
      </c>
      <c r="D328" s="2" t="s">
        <v>77</v>
      </c>
      <c r="E328" s="2" t="s">
        <v>64</v>
      </c>
      <c r="F328" s="2" t="s">
        <v>70</v>
      </c>
      <c r="G328" s="2" t="s">
        <v>71</v>
      </c>
      <c r="H328" s="2" t="n">
        <v>3</v>
      </c>
      <c r="I328" s="2" t="n">
        <v>2500</v>
      </c>
      <c r="J328" s="2" t="n">
        <v>0</v>
      </c>
      <c r="K328" s="2" t="n">
        <v>1600</v>
      </c>
    </row>
    <row r="329" customFormat="false" ht="15" hidden="false" customHeight="false" outlineLevel="0" collapsed="false">
      <c r="A329" s="2" t="s">
        <v>531</v>
      </c>
      <c r="B329" s="2" t="s">
        <v>530</v>
      </c>
      <c r="C329" s="10" t="n">
        <v>45708</v>
      </c>
      <c r="D329" s="2" t="s">
        <v>77</v>
      </c>
      <c r="E329" s="2" t="s">
        <v>64</v>
      </c>
      <c r="F329" s="2" t="s">
        <v>65</v>
      </c>
      <c r="G329" s="2" t="s">
        <v>66</v>
      </c>
      <c r="H329" s="2" t="n">
        <v>4</v>
      </c>
      <c r="I329" s="2" t="n">
        <v>600</v>
      </c>
      <c r="J329" s="2" t="n">
        <v>0.05</v>
      </c>
      <c r="K329" s="2" t="n">
        <v>300</v>
      </c>
    </row>
    <row r="330" customFormat="false" ht="15" hidden="false" customHeight="false" outlineLevel="0" collapsed="false">
      <c r="A330" s="2" t="s">
        <v>532</v>
      </c>
      <c r="B330" s="2" t="s">
        <v>533</v>
      </c>
      <c r="C330" s="10" t="n">
        <v>45716</v>
      </c>
      <c r="D330" s="2" t="s">
        <v>63</v>
      </c>
      <c r="E330" s="2" t="s">
        <v>69</v>
      </c>
      <c r="F330" s="2" t="s">
        <v>73</v>
      </c>
      <c r="G330" s="2" t="s">
        <v>74</v>
      </c>
      <c r="H330" s="2" t="n">
        <v>3</v>
      </c>
      <c r="I330" s="2" t="n">
        <v>7000</v>
      </c>
      <c r="J330" s="2" t="n">
        <v>0</v>
      </c>
      <c r="K330" s="2" t="n">
        <v>4800</v>
      </c>
    </row>
    <row r="331" customFormat="false" ht="15" hidden="false" customHeight="false" outlineLevel="0" collapsed="false">
      <c r="A331" s="2" t="s">
        <v>534</v>
      </c>
      <c r="B331" s="2" t="s">
        <v>535</v>
      </c>
      <c r="C331" s="10" t="n">
        <v>45911</v>
      </c>
      <c r="D331" s="2" t="s">
        <v>91</v>
      </c>
      <c r="E331" s="2" t="s">
        <v>64</v>
      </c>
      <c r="F331" s="2" t="s">
        <v>65</v>
      </c>
      <c r="G331" s="2" t="s">
        <v>107</v>
      </c>
      <c r="H331" s="2" t="n">
        <v>2</v>
      </c>
      <c r="I331" s="2" t="n">
        <v>500</v>
      </c>
      <c r="J331" s="2" t="n">
        <v>0.1</v>
      </c>
      <c r="K331" s="2" t="n">
        <v>250</v>
      </c>
    </row>
    <row r="332" customFormat="false" ht="15" hidden="false" customHeight="false" outlineLevel="0" collapsed="false">
      <c r="A332" s="2" t="s">
        <v>536</v>
      </c>
      <c r="B332" s="2" t="s">
        <v>535</v>
      </c>
      <c r="C332" s="10" t="n">
        <v>45717</v>
      </c>
      <c r="D332" s="2" t="s">
        <v>91</v>
      </c>
      <c r="E332" s="2" t="s">
        <v>64</v>
      </c>
      <c r="F332" s="2" t="s">
        <v>65</v>
      </c>
      <c r="G332" s="2" t="s">
        <v>82</v>
      </c>
      <c r="H332" s="2" t="n">
        <v>6</v>
      </c>
      <c r="I332" s="2" t="n">
        <v>250</v>
      </c>
      <c r="J332" s="2" t="n">
        <v>0.1</v>
      </c>
      <c r="K332" s="2" t="n">
        <v>100</v>
      </c>
    </row>
    <row r="333" customFormat="false" ht="15" hidden="false" customHeight="false" outlineLevel="0" collapsed="false">
      <c r="A333" s="2" t="s">
        <v>537</v>
      </c>
      <c r="B333" s="2" t="s">
        <v>538</v>
      </c>
      <c r="C333" s="10" t="n">
        <v>45756</v>
      </c>
      <c r="D333" s="2" t="s">
        <v>77</v>
      </c>
      <c r="E333" s="2" t="s">
        <v>64</v>
      </c>
      <c r="F333" s="2" t="s">
        <v>70</v>
      </c>
      <c r="G333" s="2" t="s">
        <v>71</v>
      </c>
      <c r="H333" s="2" t="n">
        <v>1</v>
      </c>
      <c r="I333" s="2" t="n">
        <v>2500</v>
      </c>
      <c r="J333" s="2" t="n">
        <v>0</v>
      </c>
      <c r="K333" s="2" t="n">
        <v>1600</v>
      </c>
    </row>
    <row r="334" customFormat="false" ht="15" hidden="false" customHeight="false" outlineLevel="0" collapsed="false">
      <c r="A334" s="2" t="s">
        <v>539</v>
      </c>
      <c r="B334" s="2" t="s">
        <v>538</v>
      </c>
      <c r="C334" s="10" t="n">
        <v>45906</v>
      </c>
      <c r="D334" s="2" t="s">
        <v>77</v>
      </c>
      <c r="E334" s="2" t="s">
        <v>64</v>
      </c>
      <c r="F334" s="2" t="s">
        <v>73</v>
      </c>
      <c r="G334" s="2" t="s">
        <v>74</v>
      </c>
      <c r="H334" s="2"/>
      <c r="I334" s="2" t="n">
        <v>7000</v>
      </c>
      <c r="J334" s="2" t="n">
        <v>0</v>
      </c>
      <c r="K334" s="2" t="n">
        <v>4800</v>
      </c>
    </row>
    <row r="335" customFormat="false" ht="15" hidden="false" customHeight="false" outlineLevel="0" collapsed="false">
      <c r="A335" s="2" t="s">
        <v>540</v>
      </c>
      <c r="B335" s="2" t="s">
        <v>538</v>
      </c>
      <c r="C335" s="10" t="n">
        <v>45803</v>
      </c>
      <c r="D335" s="2" t="s">
        <v>77</v>
      </c>
      <c r="E335" s="2" t="s">
        <v>64</v>
      </c>
      <c r="F335" s="2" t="s">
        <v>73</v>
      </c>
      <c r="G335" s="2" t="s">
        <v>85</v>
      </c>
      <c r="H335" s="2" t="n">
        <v>2</v>
      </c>
      <c r="I335" s="2" t="n">
        <v>1200</v>
      </c>
      <c r="J335" s="2" t="n">
        <v>0.05</v>
      </c>
      <c r="K335" s="2" t="n">
        <v>600</v>
      </c>
    </row>
    <row r="336" customFormat="false" ht="15" hidden="false" customHeight="false" outlineLevel="0" collapsed="false">
      <c r="A336" s="2" t="s">
        <v>541</v>
      </c>
      <c r="B336" s="2" t="s">
        <v>542</v>
      </c>
      <c r="C336" s="10" t="n">
        <v>45710</v>
      </c>
      <c r="D336" s="2" t="s">
        <v>77</v>
      </c>
      <c r="E336" s="2" t="s">
        <v>64</v>
      </c>
      <c r="F336" s="2" t="s">
        <v>70</v>
      </c>
      <c r="G336" s="2" t="s">
        <v>126</v>
      </c>
      <c r="H336" s="2" t="n">
        <v>3</v>
      </c>
      <c r="I336" s="2" t="n">
        <v>4500</v>
      </c>
      <c r="J336" s="2" t="n">
        <v>0</v>
      </c>
      <c r="K336" s="2" t="n">
        <v>3300</v>
      </c>
    </row>
    <row r="337" customFormat="false" ht="15" hidden="false" customHeight="false" outlineLevel="0" collapsed="false">
      <c r="A337" s="2" t="s">
        <v>543</v>
      </c>
      <c r="B337" s="2" t="s">
        <v>544</v>
      </c>
      <c r="C337" s="10" t="n">
        <v>46008</v>
      </c>
      <c r="D337" s="2" t="s">
        <v>77</v>
      </c>
      <c r="E337" s="2" t="s">
        <v>64</v>
      </c>
      <c r="F337" s="2" t="s">
        <v>65</v>
      </c>
      <c r="G337" s="2" t="s">
        <v>66</v>
      </c>
      <c r="H337" s="2" t="n">
        <v>3</v>
      </c>
      <c r="I337" s="2" t="n">
        <v>600</v>
      </c>
      <c r="J337" s="2" t="n">
        <v>0.05</v>
      </c>
      <c r="K337" s="2" t="n">
        <v>300</v>
      </c>
    </row>
    <row r="338" customFormat="false" ht="15" hidden="false" customHeight="false" outlineLevel="0" collapsed="false">
      <c r="A338" s="2" t="s">
        <v>545</v>
      </c>
      <c r="B338" s="2" t="s">
        <v>546</v>
      </c>
      <c r="C338" s="10" t="n">
        <v>45948</v>
      </c>
      <c r="D338" s="2" t="s">
        <v>77</v>
      </c>
      <c r="E338" s="2" t="s">
        <v>69</v>
      </c>
      <c r="F338" s="2" t="s">
        <v>70</v>
      </c>
      <c r="G338" s="2" t="s">
        <v>71</v>
      </c>
      <c r="H338" s="2" t="n">
        <v>4</v>
      </c>
      <c r="I338" s="2" t="n">
        <v>2500</v>
      </c>
      <c r="J338" s="2" t="n">
        <v>0.05</v>
      </c>
      <c r="K338" s="2" t="n">
        <v>1600</v>
      </c>
    </row>
    <row r="339" customFormat="false" ht="15" hidden="false" customHeight="false" outlineLevel="0" collapsed="false">
      <c r="A339" s="2" t="s">
        <v>547</v>
      </c>
      <c r="B339" s="2" t="s">
        <v>548</v>
      </c>
      <c r="C339" s="10" t="n">
        <v>45793</v>
      </c>
      <c r="D339" s="2" t="s">
        <v>77</v>
      </c>
      <c r="E339" s="2" t="s">
        <v>69</v>
      </c>
      <c r="F339" s="2" t="s">
        <v>65</v>
      </c>
      <c r="G339" s="2" t="s">
        <v>78</v>
      </c>
      <c r="H339" s="2" t="n">
        <v>18</v>
      </c>
      <c r="I339" s="2" t="n">
        <v>400</v>
      </c>
      <c r="J339" s="2" t="n">
        <v>0</v>
      </c>
      <c r="K339" s="2" t="n">
        <v>200</v>
      </c>
    </row>
    <row r="340" customFormat="false" ht="15" hidden="false" customHeight="false" outlineLevel="0" collapsed="false">
      <c r="A340" s="2" t="s">
        <v>549</v>
      </c>
      <c r="B340" s="2" t="s">
        <v>548</v>
      </c>
      <c r="C340" s="10" t="n">
        <v>45662</v>
      </c>
      <c r="D340" s="2" t="s">
        <v>77</v>
      </c>
      <c r="E340" s="2" t="s">
        <v>69</v>
      </c>
      <c r="F340" s="2" t="s">
        <v>70</v>
      </c>
      <c r="G340" s="2" t="s">
        <v>97</v>
      </c>
      <c r="H340" s="2" t="n">
        <v>1</v>
      </c>
      <c r="I340" s="2" t="n">
        <v>3000</v>
      </c>
      <c r="J340" s="2" t="n">
        <v>0.05</v>
      </c>
      <c r="K340" s="2" t="n">
        <v>2000</v>
      </c>
    </row>
    <row r="341" customFormat="false" ht="15" hidden="false" customHeight="false" outlineLevel="0" collapsed="false">
      <c r="A341" s="2" t="s">
        <v>550</v>
      </c>
      <c r="B341" s="2" t="s">
        <v>551</v>
      </c>
      <c r="C341" s="10" t="n">
        <v>45797</v>
      </c>
      <c r="D341" s="2" t="s">
        <v>81</v>
      </c>
      <c r="E341" s="2" t="s">
        <v>64</v>
      </c>
      <c r="F341" s="2" t="s">
        <v>65</v>
      </c>
      <c r="G341" s="2" t="s">
        <v>107</v>
      </c>
      <c r="H341" s="2" t="n">
        <v>3</v>
      </c>
      <c r="I341" s="2" t="n">
        <v>500</v>
      </c>
      <c r="J341" s="2" t="n">
        <v>0.1</v>
      </c>
      <c r="K341" s="2" t="n">
        <v>250</v>
      </c>
    </row>
    <row r="342" customFormat="false" ht="15" hidden="false" customHeight="false" outlineLevel="0" collapsed="false">
      <c r="A342" s="2" t="s">
        <v>552</v>
      </c>
      <c r="B342" s="2" t="s">
        <v>553</v>
      </c>
      <c r="C342" s="10" t="n">
        <v>45916</v>
      </c>
      <c r="D342" s="2" t="s">
        <v>81</v>
      </c>
      <c r="E342" s="2" t="s">
        <v>64</v>
      </c>
      <c r="F342" s="2" t="s">
        <v>65</v>
      </c>
      <c r="G342" s="2" t="s">
        <v>78</v>
      </c>
      <c r="H342" s="2" t="n">
        <v>3</v>
      </c>
      <c r="I342" s="2" t="n">
        <v>400</v>
      </c>
      <c r="J342" s="2" t="n">
        <v>0.1</v>
      </c>
      <c r="K342" s="2" t="n">
        <v>200</v>
      </c>
    </row>
    <row r="343" customFormat="false" ht="15" hidden="false" customHeight="false" outlineLevel="0" collapsed="false">
      <c r="A343" s="2" t="s">
        <v>554</v>
      </c>
      <c r="B343" s="2" t="s">
        <v>553</v>
      </c>
      <c r="C343" s="10" t="n">
        <v>46013</v>
      </c>
      <c r="D343" s="2" t="s">
        <v>81</v>
      </c>
      <c r="E343" s="2" t="s">
        <v>64</v>
      </c>
      <c r="F343" s="2" t="s">
        <v>70</v>
      </c>
      <c r="G343" s="2" t="s">
        <v>122</v>
      </c>
      <c r="H343" s="2" t="n">
        <v>2</v>
      </c>
      <c r="I343" s="2" t="n">
        <v>1500</v>
      </c>
      <c r="J343" s="2" t="n">
        <v>0.1</v>
      </c>
      <c r="K343" s="2" t="n">
        <v>900</v>
      </c>
    </row>
    <row r="344" customFormat="false" ht="15" hidden="false" customHeight="false" outlineLevel="0" collapsed="false">
      <c r="A344" s="2" t="s">
        <v>555</v>
      </c>
      <c r="B344" s="2" t="s">
        <v>553</v>
      </c>
      <c r="C344" s="10" t="n">
        <v>45870</v>
      </c>
      <c r="D344" s="2" t="s">
        <v>337</v>
      </c>
      <c r="E344" s="2" t="s">
        <v>64</v>
      </c>
      <c r="F344" s="2" t="s">
        <v>65</v>
      </c>
      <c r="G344" s="2" t="s">
        <v>78</v>
      </c>
      <c r="H344" s="2" t="n">
        <v>3</v>
      </c>
      <c r="I344" s="2" t="n">
        <v>400</v>
      </c>
      <c r="J344" s="2" t="n">
        <v>0</v>
      </c>
      <c r="K344" s="2" t="n">
        <v>200</v>
      </c>
    </row>
    <row r="345" customFormat="false" ht="15" hidden="false" customHeight="false" outlineLevel="0" collapsed="false">
      <c r="A345" s="2" t="s">
        <v>556</v>
      </c>
      <c r="B345" s="2" t="s">
        <v>557</v>
      </c>
      <c r="C345" s="10" t="n">
        <v>45978</v>
      </c>
      <c r="D345" s="2" t="s">
        <v>77</v>
      </c>
      <c r="E345" s="2" t="s">
        <v>69</v>
      </c>
      <c r="F345" s="2" t="s">
        <v>65</v>
      </c>
      <c r="G345" s="2" t="s">
        <v>78</v>
      </c>
      <c r="H345" s="2" t="n">
        <v>15</v>
      </c>
      <c r="I345" s="2" t="n">
        <v>400</v>
      </c>
      <c r="J345" s="2" t="n">
        <v>0.05</v>
      </c>
      <c r="K345" s="2" t="n">
        <v>200</v>
      </c>
    </row>
    <row r="346" customFormat="false" ht="15" hidden="false" customHeight="false" outlineLevel="0" collapsed="false">
      <c r="A346" s="2" t="s">
        <v>558</v>
      </c>
      <c r="B346" s="2" t="s">
        <v>557</v>
      </c>
      <c r="C346" s="10" t="n">
        <v>46014</v>
      </c>
      <c r="D346" s="2" t="s">
        <v>77</v>
      </c>
      <c r="E346" s="2" t="s">
        <v>69</v>
      </c>
      <c r="F346" s="2" t="s">
        <v>73</v>
      </c>
      <c r="G346" s="2" t="s">
        <v>85</v>
      </c>
      <c r="H346" s="2" t="n">
        <v>2</v>
      </c>
      <c r="I346" s="2" t="n">
        <v>1200</v>
      </c>
      <c r="J346" s="2" t="n">
        <v>0.05</v>
      </c>
      <c r="K346" s="2" t="n">
        <v>600</v>
      </c>
    </row>
    <row r="347" customFormat="false" ht="15" hidden="false" customHeight="false" outlineLevel="0" collapsed="false">
      <c r="A347" s="2" t="s">
        <v>559</v>
      </c>
      <c r="B347" s="2" t="s">
        <v>557</v>
      </c>
      <c r="C347" s="10" t="n">
        <v>45958</v>
      </c>
      <c r="D347" s="2" t="s">
        <v>77</v>
      </c>
      <c r="E347" s="2" t="s">
        <v>69</v>
      </c>
      <c r="F347" s="2" t="s">
        <v>70</v>
      </c>
      <c r="G347" s="2" t="s">
        <v>97</v>
      </c>
      <c r="H347" s="2" t="n">
        <v>2</v>
      </c>
      <c r="I347" s="2" t="n">
        <v>3000</v>
      </c>
      <c r="J347" s="2" t="n">
        <v>0.05</v>
      </c>
      <c r="K347" s="2" t="n">
        <v>2000</v>
      </c>
    </row>
    <row r="348" customFormat="false" ht="15" hidden="false" customHeight="false" outlineLevel="0" collapsed="false">
      <c r="A348" s="2" t="s">
        <v>560</v>
      </c>
      <c r="B348" s="2" t="s">
        <v>561</v>
      </c>
      <c r="C348" s="10" t="n">
        <v>45848</v>
      </c>
      <c r="D348" s="2" t="s">
        <v>63</v>
      </c>
      <c r="E348" s="2" t="s">
        <v>92</v>
      </c>
      <c r="F348" s="2" t="s">
        <v>73</v>
      </c>
      <c r="G348" s="2" t="s">
        <v>104</v>
      </c>
      <c r="H348" s="2" t="n">
        <v>8</v>
      </c>
      <c r="I348" s="2" t="n">
        <v>5500</v>
      </c>
      <c r="J348" s="2" t="n">
        <v>0.05</v>
      </c>
      <c r="K348" s="2" t="n">
        <v>3600</v>
      </c>
    </row>
    <row r="349" customFormat="false" ht="15" hidden="false" customHeight="false" outlineLevel="0" collapsed="false">
      <c r="A349" s="2" t="s">
        <v>562</v>
      </c>
      <c r="B349" s="2" t="s">
        <v>561</v>
      </c>
      <c r="C349" s="10" t="n">
        <v>45743</v>
      </c>
      <c r="D349" s="2" t="s">
        <v>63</v>
      </c>
      <c r="E349" s="2" t="s">
        <v>92</v>
      </c>
      <c r="F349" s="2" t="s">
        <v>73</v>
      </c>
      <c r="G349" s="2" t="s">
        <v>85</v>
      </c>
      <c r="H349" s="2" t="n">
        <v>4</v>
      </c>
      <c r="I349" s="2" t="n">
        <v>1200</v>
      </c>
      <c r="J349" s="2" t="n">
        <v>0</v>
      </c>
      <c r="K349" s="2" t="n">
        <v>600</v>
      </c>
    </row>
    <row r="350" customFormat="false" ht="15" hidden="false" customHeight="false" outlineLevel="0" collapsed="false">
      <c r="A350" s="2" t="s">
        <v>563</v>
      </c>
      <c r="B350" s="2" t="s">
        <v>564</v>
      </c>
      <c r="C350" s="10" t="n">
        <v>45790</v>
      </c>
      <c r="D350" s="2" t="s">
        <v>77</v>
      </c>
      <c r="E350" s="2" t="s">
        <v>64</v>
      </c>
      <c r="F350" s="2" t="s">
        <v>70</v>
      </c>
      <c r="G350" s="2" t="s">
        <v>122</v>
      </c>
      <c r="H350" s="2" t="n">
        <v>2</v>
      </c>
      <c r="I350" s="2" t="n">
        <v>1500</v>
      </c>
      <c r="J350" s="2" t="n">
        <v>0.05</v>
      </c>
      <c r="K350" s="2" t="n">
        <v>900</v>
      </c>
    </row>
    <row r="351" customFormat="false" ht="15" hidden="false" customHeight="false" outlineLevel="0" collapsed="false">
      <c r="A351" s="2" t="s">
        <v>565</v>
      </c>
      <c r="B351" s="2" t="s">
        <v>566</v>
      </c>
      <c r="C351" s="10" t="n">
        <v>45700</v>
      </c>
      <c r="D351" s="2" t="s">
        <v>77</v>
      </c>
      <c r="E351" s="2" t="s">
        <v>64</v>
      </c>
      <c r="F351" s="2" t="s">
        <v>73</v>
      </c>
      <c r="G351" s="2" t="s">
        <v>104</v>
      </c>
      <c r="H351" s="2" t="n">
        <v>3</v>
      </c>
      <c r="I351" s="2" t="n">
        <v>5500</v>
      </c>
      <c r="J351" s="2" t="n">
        <v>0.1</v>
      </c>
      <c r="K351" s="2" t="n">
        <v>3600</v>
      </c>
    </row>
    <row r="352" customFormat="false" ht="15" hidden="false" customHeight="false" outlineLevel="0" collapsed="false">
      <c r="A352" s="2" t="s">
        <v>567</v>
      </c>
      <c r="B352" s="2" t="s">
        <v>568</v>
      </c>
      <c r="C352" s="10" t="n">
        <v>45972</v>
      </c>
      <c r="D352" s="2" t="s">
        <v>77</v>
      </c>
      <c r="E352" s="2" t="s">
        <v>69</v>
      </c>
      <c r="F352" s="2" t="s">
        <v>65</v>
      </c>
      <c r="G352" s="2" t="s">
        <v>82</v>
      </c>
      <c r="H352" s="2" t="n">
        <v>20</v>
      </c>
      <c r="I352" s="2" t="n">
        <v>250</v>
      </c>
      <c r="J352" s="2" t="n">
        <v>0.05</v>
      </c>
      <c r="K352" s="2" t="n">
        <v>100</v>
      </c>
    </row>
    <row r="353" customFormat="false" ht="15" hidden="false" customHeight="false" outlineLevel="0" collapsed="false">
      <c r="A353" s="2" t="s">
        <v>569</v>
      </c>
      <c r="B353" s="2" t="s">
        <v>570</v>
      </c>
      <c r="C353" s="10" t="n">
        <v>45895</v>
      </c>
      <c r="D353" s="2" t="s">
        <v>63</v>
      </c>
      <c r="E353" s="2" t="s">
        <v>92</v>
      </c>
      <c r="F353" s="2" t="s">
        <v>73</v>
      </c>
      <c r="G353" s="2" t="s">
        <v>87</v>
      </c>
      <c r="H353" s="2" t="n">
        <v>3</v>
      </c>
      <c r="I353" s="2" t="n">
        <v>9000</v>
      </c>
      <c r="J353" s="2" t="n">
        <v>0</v>
      </c>
      <c r="K353" s="2" t="n">
        <v>6200</v>
      </c>
    </row>
    <row r="354" customFormat="false" ht="15" hidden="false" customHeight="false" outlineLevel="0" collapsed="false">
      <c r="A354" s="2" t="s">
        <v>571</v>
      </c>
      <c r="B354" s="2" t="s">
        <v>570</v>
      </c>
      <c r="C354" s="10" t="n">
        <v>45943</v>
      </c>
      <c r="D354" s="2" t="s">
        <v>63</v>
      </c>
      <c r="E354" s="2" t="s">
        <v>92</v>
      </c>
      <c r="F354" s="2" t="s">
        <v>70</v>
      </c>
      <c r="G354" s="2" t="s">
        <v>71</v>
      </c>
      <c r="H354" s="2" t="n">
        <v>5</v>
      </c>
      <c r="I354" s="2" t="n">
        <v>2500</v>
      </c>
      <c r="J354" s="2" t="n">
        <v>0.05</v>
      </c>
      <c r="K354" s="2" t="n">
        <v>1600</v>
      </c>
    </row>
    <row r="355" customFormat="false" ht="15" hidden="false" customHeight="false" outlineLevel="0" collapsed="false">
      <c r="A355" s="2" t="s">
        <v>572</v>
      </c>
      <c r="B355" s="2" t="s">
        <v>570</v>
      </c>
      <c r="C355" s="10" t="n">
        <v>45927</v>
      </c>
      <c r="D355" s="2" t="s">
        <v>63</v>
      </c>
      <c r="E355" s="2" t="s">
        <v>92</v>
      </c>
      <c r="F355" s="2" t="s">
        <v>65</v>
      </c>
      <c r="G355" s="2" t="s">
        <v>66</v>
      </c>
      <c r="H355" s="2" t="n">
        <v>11</v>
      </c>
      <c r="I355" s="2" t="n">
        <v>600</v>
      </c>
      <c r="J355" s="2" t="n">
        <v>0.05</v>
      </c>
      <c r="K355" s="2" t="n">
        <v>300</v>
      </c>
    </row>
    <row r="356" customFormat="false" ht="15" hidden="false" customHeight="false" outlineLevel="0" collapsed="false">
      <c r="A356" s="2" t="s">
        <v>573</v>
      </c>
      <c r="B356" s="2" t="s">
        <v>570</v>
      </c>
      <c r="C356" s="10" t="n">
        <v>45708</v>
      </c>
      <c r="D356" s="2" t="s">
        <v>63</v>
      </c>
      <c r="E356" s="2" t="s">
        <v>92</v>
      </c>
      <c r="F356" s="2" t="s">
        <v>70</v>
      </c>
      <c r="G356" s="2" t="s">
        <v>97</v>
      </c>
      <c r="H356" s="2" t="n">
        <v>8</v>
      </c>
      <c r="I356" s="2" t="n">
        <v>3000</v>
      </c>
      <c r="J356" s="2" t="n">
        <v>0.15</v>
      </c>
      <c r="K356" s="2" t="n">
        <v>2000</v>
      </c>
    </row>
    <row r="357" customFormat="false" ht="15" hidden="false" customHeight="false" outlineLevel="0" collapsed="false">
      <c r="A357" s="2" t="s">
        <v>574</v>
      </c>
      <c r="B357" s="2" t="s">
        <v>570</v>
      </c>
      <c r="C357" s="10" t="n">
        <v>45907</v>
      </c>
      <c r="D357" s="2" t="s">
        <v>63</v>
      </c>
      <c r="E357" s="2" t="s">
        <v>92</v>
      </c>
      <c r="F357" s="2" t="s">
        <v>70</v>
      </c>
      <c r="G357" s="2" t="s">
        <v>126</v>
      </c>
      <c r="H357" s="2" t="n">
        <v>7</v>
      </c>
      <c r="I357" s="2" t="n">
        <v>4500</v>
      </c>
      <c r="J357" s="2" t="n">
        <v>0</v>
      </c>
      <c r="K357" s="2" t="n">
        <v>3300</v>
      </c>
    </row>
    <row r="358" customFormat="false" ht="15" hidden="false" customHeight="false" outlineLevel="0" collapsed="false">
      <c r="A358" s="2" t="s">
        <v>575</v>
      </c>
      <c r="B358" s="2" t="s">
        <v>570</v>
      </c>
      <c r="C358" s="10" t="n">
        <v>45692</v>
      </c>
      <c r="D358" s="2" t="s">
        <v>63</v>
      </c>
      <c r="E358" s="2" t="s">
        <v>92</v>
      </c>
      <c r="F358" s="2" t="s">
        <v>70</v>
      </c>
      <c r="G358" s="2" t="s">
        <v>71</v>
      </c>
      <c r="H358" s="2" t="n">
        <v>7</v>
      </c>
      <c r="I358" s="2" t="n">
        <v>2500</v>
      </c>
      <c r="J358" s="2" t="n">
        <v>0.05</v>
      </c>
      <c r="K358" s="2" t="n">
        <v>1600</v>
      </c>
    </row>
    <row r="359" customFormat="false" ht="15" hidden="false" customHeight="false" outlineLevel="0" collapsed="false">
      <c r="A359" s="2" t="s">
        <v>576</v>
      </c>
      <c r="B359" s="2" t="s">
        <v>570</v>
      </c>
      <c r="C359" s="10" t="n">
        <v>46012</v>
      </c>
      <c r="D359" s="2" t="s">
        <v>63</v>
      </c>
      <c r="E359" s="2" t="s">
        <v>92</v>
      </c>
      <c r="F359" s="2" t="s">
        <v>73</v>
      </c>
      <c r="G359" s="2" t="s">
        <v>87</v>
      </c>
      <c r="H359" s="2" t="n">
        <v>8</v>
      </c>
      <c r="I359" s="2" t="n">
        <v>9000</v>
      </c>
      <c r="J359" s="2" t="n">
        <v>0.05</v>
      </c>
      <c r="K359" s="2" t="n">
        <v>6200</v>
      </c>
    </row>
    <row r="360" customFormat="false" ht="15" hidden="false" customHeight="false" outlineLevel="0" collapsed="false">
      <c r="A360" s="2" t="s">
        <v>577</v>
      </c>
      <c r="B360" s="2" t="s">
        <v>570</v>
      </c>
      <c r="C360" s="10" t="n">
        <v>45734</v>
      </c>
      <c r="D360" s="2" t="s">
        <v>63</v>
      </c>
      <c r="E360" s="2" t="s">
        <v>92</v>
      </c>
      <c r="F360" s="2" t="s">
        <v>70</v>
      </c>
      <c r="G360" s="2" t="s">
        <v>71</v>
      </c>
      <c r="H360" s="2" t="n">
        <v>8</v>
      </c>
      <c r="I360" s="2" t="n">
        <v>2500</v>
      </c>
      <c r="J360" s="2" t="n">
        <v>0.1</v>
      </c>
      <c r="K360" s="2" t="n">
        <v>1600</v>
      </c>
    </row>
    <row r="361" customFormat="false" ht="15" hidden="false" customHeight="false" outlineLevel="0" collapsed="false">
      <c r="A361" s="2" t="s">
        <v>578</v>
      </c>
      <c r="B361" s="2" t="s">
        <v>570</v>
      </c>
      <c r="C361" s="10" t="n">
        <v>45718</v>
      </c>
      <c r="D361" s="2" t="s">
        <v>63</v>
      </c>
      <c r="E361" s="2" t="s">
        <v>92</v>
      </c>
      <c r="F361" s="2" t="s">
        <v>65</v>
      </c>
      <c r="G361" s="2" t="s">
        <v>66</v>
      </c>
      <c r="H361" s="2" t="n">
        <v>15</v>
      </c>
      <c r="I361" s="2" t="n">
        <v>600</v>
      </c>
      <c r="J361" s="2" t="n">
        <v>0.15</v>
      </c>
      <c r="K361" s="2" t="n">
        <v>300</v>
      </c>
    </row>
    <row r="362" customFormat="false" ht="15" hidden="false" customHeight="false" outlineLevel="0" collapsed="false">
      <c r="A362" s="2" t="s">
        <v>579</v>
      </c>
      <c r="B362" s="2" t="s">
        <v>570</v>
      </c>
      <c r="C362" s="10" t="n">
        <v>45704</v>
      </c>
      <c r="D362" s="2" t="s">
        <v>63</v>
      </c>
      <c r="E362" s="2" t="s">
        <v>92</v>
      </c>
      <c r="F362" s="2" t="s">
        <v>73</v>
      </c>
      <c r="G362" s="2" t="s">
        <v>104</v>
      </c>
      <c r="H362" s="2" t="n">
        <v>6</v>
      </c>
      <c r="I362" s="2" t="n">
        <v>5500</v>
      </c>
      <c r="J362" s="2" t="n">
        <v>0</v>
      </c>
      <c r="K362" s="2" t="n">
        <v>3600</v>
      </c>
    </row>
    <row r="363" customFormat="false" ht="15" hidden="false" customHeight="false" outlineLevel="0" collapsed="false">
      <c r="A363" s="2" t="s">
        <v>580</v>
      </c>
      <c r="B363" s="2" t="s">
        <v>570</v>
      </c>
      <c r="C363" s="10" t="n">
        <v>46006</v>
      </c>
      <c r="D363" s="2" t="s">
        <v>63</v>
      </c>
      <c r="E363" s="2" t="s">
        <v>92</v>
      </c>
      <c r="F363" s="2" t="s">
        <v>73</v>
      </c>
      <c r="G363" s="2" t="s">
        <v>74</v>
      </c>
      <c r="H363" s="2" t="n">
        <v>6</v>
      </c>
      <c r="I363" s="2" t="n">
        <v>7000</v>
      </c>
      <c r="J363" s="2" t="n">
        <v>0.15</v>
      </c>
      <c r="K363" s="2" t="n">
        <v>4800</v>
      </c>
    </row>
    <row r="364" customFormat="false" ht="15" hidden="false" customHeight="false" outlineLevel="0" collapsed="false">
      <c r="A364" s="2" t="s">
        <v>581</v>
      </c>
      <c r="B364" s="2" t="s">
        <v>582</v>
      </c>
      <c r="C364" s="10" t="n">
        <v>45830</v>
      </c>
      <c r="D364" s="2" t="s">
        <v>81</v>
      </c>
      <c r="E364" s="2" t="s">
        <v>64</v>
      </c>
      <c r="F364" s="2" t="s">
        <v>70</v>
      </c>
      <c r="G364" s="2" t="s">
        <v>71</v>
      </c>
      <c r="H364" s="2" t="n">
        <v>1</v>
      </c>
      <c r="I364" s="2" t="n">
        <v>2500</v>
      </c>
      <c r="J364" s="2" t="n">
        <v>0.1</v>
      </c>
      <c r="K364" s="2" t="n">
        <v>1600</v>
      </c>
    </row>
    <row r="365" customFormat="false" ht="15" hidden="false" customHeight="false" outlineLevel="0" collapsed="false">
      <c r="A365" s="2" t="s">
        <v>583</v>
      </c>
      <c r="B365" s="2" t="s">
        <v>584</v>
      </c>
      <c r="C365" s="10" t="n">
        <v>45994</v>
      </c>
      <c r="D365" s="2" t="s">
        <v>63</v>
      </c>
      <c r="E365" s="2" t="s">
        <v>64</v>
      </c>
      <c r="F365" s="2" t="s">
        <v>65</v>
      </c>
      <c r="G365" s="2" t="s">
        <v>82</v>
      </c>
      <c r="H365" s="2" t="n">
        <v>5</v>
      </c>
      <c r="I365" s="2" t="n">
        <v>250</v>
      </c>
      <c r="J365" s="2" t="n">
        <v>0.05</v>
      </c>
      <c r="K365" s="2" t="n">
        <v>100</v>
      </c>
    </row>
    <row r="366" customFormat="false" ht="15" hidden="false" customHeight="false" outlineLevel="0" collapsed="false">
      <c r="A366" s="2" t="s">
        <v>585</v>
      </c>
      <c r="B366" s="2" t="s">
        <v>584</v>
      </c>
      <c r="C366" s="10" t="n">
        <v>45822</v>
      </c>
      <c r="D366" s="2" t="s">
        <v>63</v>
      </c>
      <c r="E366" s="2" t="s">
        <v>64</v>
      </c>
      <c r="F366" s="2" t="s">
        <v>65</v>
      </c>
      <c r="G366" s="2" t="s">
        <v>107</v>
      </c>
      <c r="H366" s="2" t="n">
        <v>3</v>
      </c>
      <c r="I366" s="2" t="n">
        <v>500</v>
      </c>
      <c r="J366" s="2" t="n">
        <v>0</v>
      </c>
      <c r="K366" s="2" t="n">
        <v>250</v>
      </c>
    </row>
    <row r="367" customFormat="false" ht="15" hidden="false" customHeight="false" outlineLevel="0" collapsed="false">
      <c r="A367" s="2" t="s">
        <v>586</v>
      </c>
      <c r="B367" s="2" t="s">
        <v>584</v>
      </c>
      <c r="C367" s="10" t="n">
        <v>45815</v>
      </c>
      <c r="D367" s="2" t="s">
        <v>63</v>
      </c>
      <c r="E367" s="2" t="s">
        <v>64</v>
      </c>
      <c r="F367" s="2" t="s">
        <v>73</v>
      </c>
      <c r="G367" s="2" t="s">
        <v>74</v>
      </c>
      <c r="H367" s="2" t="n">
        <v>1</v>
      </c>
      <c r="I367" s="2" t="n">
        <v>7000</v>
      </c>
      <c r="J367" s="2" t="n">
        <v>0</v>
      </c>
      <c r="K367" s="2" t="n">
        <v>4800</v>
      </c>
    </row>
    <row r="368" customFormat="false" ht="15" hidden="false" customHeight="false" outlineLevel="0" collapsed="false">
      <c r="A368" s="2" t="s">
        <v>587</v>
      </c>
      <c r="B368" s="2" t="s">
        <v>584</v>
      </c>
      <c r="C368" s="10" t="n">
        <v>45801</v>
      </c>
      <c r="D368" s="2" t="s">
        <v>63</v>
      </c>
      <c r="E368" s="2" t="s">
        <v>64</v>
      </c>
      <c r="F368" s="2" t="s">
        <v>65</v>
      </c>
      <c r="G368" s="2" t="s">
        <v>78</v>
      </c>
      <c r="H368" s="2" t="n">
        <v>3</v>
      </c>
      <c r="I368" s="2" t="n">
        <v>400</v>
      </c>
      <c r="J368" s="2" t="n">
        <v>0</v>
      </c>
      <c r="K368" s="2" t="n">
        <v>200</v>
      </c>
    </row>
    <row r="369" customFormat="false" ht="15" hidden="false" customHeight="false" outlineLevel="0" collapsed="false">
      <c r="A369" s="2" t="s">
        <v>588</v>
      </c>
      <c r="B369" s="2" t="s">
        <v>584</v>
      </c>
      <c r="C369" s="10" t="n">
        <v>45802</v>
      </c>
      <c r="D369" s="2" t="s">
        <v>63</v>
      </c>
      <c r="E369" s="2" t="s">
        <v>64</v>
      </c>
      <c r="F369" s="2" t="s">
        <v>70</v>
      </c>
      <c r="G369" s="2" t="s">
        <v>126</v>
      </c>
      <c r="H369" s="2" t="n">
        <v>2</v>
      </c>
      <c r="I369" s="2" t="n">
        <v>4500</v>
      </c>
      <c r="J369" s="2" t="n">
        <v>0</v>
      </c>
      <c r="K369" s="2" t="n">
        <v>3300</v>
      </c>
    </row>
    <row r="370" customFormat="false" ht="15" hidden="false" customHeight="false" outlineLevel="0" collapsed="false">
      <c r="A370" s="2" t="s">
        <v>589</v>
      </c>
      <c r="B370" s="2" t="s">
        <v>584</v>
      </c>
      <c r="C370" s="10" t="n">
        <v>45984</v>
      </c>
      <c r="D370" s="2" t="s">
        <v>63</v>
      </c>
      <c r="E370" s="2" t="s">
        <v>64</v>
      </c>
      <c r="F370" s="2" t="s">
        <v>73</v>
      </c>
      <c r="G370" s="2" t="s">
        <v>87</v>
      </c>
      <c r="H370" s="2" t="n">
        <v>3</v>
      </c>
      <c r="I370" s="2" t="n">
        <v>9000</v>
      </c>
      <c r="J370" s="2" t="n">
        <v>0.15</v>
      </c>
      <c r="K370" s="2" t="n">
        <v>6200</v>
      </c>
    </row>
    <row r="371" customFormat="false" ht="15" hidden="false" customHeight="false" outlineLevel="0" collapsed="false">
      <c r="A371" s="2" t="s">
        <v>590</v>
      </c>
      <c r="B371" s="2" t="s">
        <v>591</v>
      </c>
      <c r="C371" s="10" t="n">
        <v>46014</v>
      </c>
      <c r="D371" s="2" t="s">
        <v>63</v>
      </c>
      <c r="E371" s="2" t="s">
        <v>69</v>
      </c>
      <c r="F371" s="2" t="s">
        <v>65</v>
      </c>
      <c r="G371" s="2" t="s">
        <v>107</v>
      </c>
      <c r="H371" s="2" t="n">
        <v>13</v>
      </c>
      <c r="I371" s="2" t="n">
        <v>500</v>
      </c>
      <c r="J371" s="2" t="n">
        <v>0.05</v>
      </c>
      <c r="K371" s="2" t="n">
        <v>250</v>
      </c>
    </row>
    <row r="372" customFormat="false" ht="15" hidden="false" customHeight="false" outlineLevel="0" collapsed="false">
      <c r="A372" s="2" t="s">
        <v>592</v>
      </c>
      <c r="B372" s="2" t="s">
        <v>593</v>
      </c>
      <c r="C372" s="10" t="n">
        <v>45780</v>
      </c>
      <c r="D372" s="2" t="s">
        <v>81</v>
      </c>
      <c r="E372" s="2" t="s">
        <v>69</v>
      </c>
      <c r="F372" s="2" t="s">
        <v>73</v>
      </c>
      <c r="G372" s="2" t="s">
        <v>74</v>
      </c>
      <c r="H372" s="2" t="n">
        <v>1</v>
      </c>
      <c r="I372" s="2" t="n">
        <v>7000</v>
      </c>
      <c r="J372" s="2" t="n">
        <v>0.1</v>
      </c>
      <c r="K372" s="2" t="n">
        <v>4800</v>
      </c>
    </row>
    <row r="373" customFormat="false" ht="15" hidden="false" customHeight="false" outlineLevel="0" collapsed="false">
      <c r="A373" s="2" t="s">
        <v>594</v>
      </c>
      <c r="B373" s="2" t="s">
        <v>595</v>
      </c>
      <c r="C373" s="10" t="n">
        <v>45814</v>
      </c>
      <c r="D373" s="2" t="s">
        <v>81</v>
      </c>
      <c r="E373" s="2" t="s">
        <v>64</v>
      </c>
      <c r="F373" s="2" t="s">
        <v>65</v>
      </c>
      <c r="G373" s="2" t="s">
        <v>107</v>
      </c>
      <c r="H373" s="2" t="n">
        <v>4</v>
      </c>
      <c r="I373" s="2" t="n">
        <v>500</v>
      </c>
      <c r="J373" s="2" t="n">
        <v>0.1</v>
      </c>
      <c r="K373" s="2" t="n">
        <v>250</v>
      </c>
    </row>
    <row r="374" customFormat="false" ht="15" hidden="false" customHeight="false" outlineLevel="0" collapsed="false">
      <c r="A374" s="2" t="s">
        <v>596</v>
      </c>
      <c r="B374" s="2" t="s">
        <v>595</v>
      </c>
      <c r="C374" s="10" t="n">
        <v>45796</v>
      </c>
      <c r="D374" s="2" t="s">
        <v>81</v>
      </c>
      <c r="E374" s="2" t="s">
        <v>64</v>
      </c>
      <c r="F374" s="2" t="s">
        <v>70</v>
      </c>
      <c r="G374" s="2" t="s">
        <v>97</v>
      </c>
      <c r="H374" s="2" t="n">
        <v>3</v>
      </c>
      <c r="I374" s="2" t="n">
        <v>3000</v>
      </c>
      <c r="J374" s="2" t="n">
        <v>0</v>
      </c>
      <c r="K374" s="2" t="n">
        <v>2000</v>
      </c>
    </row>
    <row r="375" customFormat="false" ht="15" hidden="false" customHeight="false" outlineLevel="0" collapsed="false">
      <c r="A375" s="2" t="s">
        <v>597</v>
      </c>
      <c r="B375" s="2" t="s">
        <v>598</v>
      </c>
      <c r="C375" s="10" t="n">
        <v>45728</v>
      </c>
      <c r="D375" s="2" t="s">
        <v>63</v>
      </c>
      <c r="E375" s="2" t="s">
        <v>69</v>
      </c>
      <c r="F375" s="2" t="s">
        <v>70</v>
      </c>
      <c r="G375" s="2" t="s">
        <v>97</v>
      </c>
      <c r="H375" s="2" t="n">
        <v>2</v>
      </c>
      <c r="I375" s="2" t="n">
        <v>3000</v>
      </c>
      <c r="J375" s="2" t="n">
        <v>0</v>
      </c>
      <c r="K375" s="2" t="n">
        <v>2000</v>
      </c>
    </row>
    <row r="376" customFormat="false" ht="15" hidden="false" customHeight="false" outlineLevel="0" collapsed="false">
      <c r="A376" s="2" t="s">
        <v>599</v>
      </c>
      <c r="B376" s="2" t="s">
        <v>600</v>
      </c>
      <c r="C376" s="10" t="n">
        <v>45863</v>
      </c>
      <c r="D376" s="2" t="s">
        <v>63</v>
      </c>
      <c r="E376" s="2" t="s">
        <v>69</v>
      </c>
      <c r="F376" s="2" t="s">
        <v>65</v>
      </c>
      <c r="G376" s="2" t="s">
        <v>82</v>
      </c>
      <c r="H376" s="2" t="n">
        <v>18</v>
      </c>
      <c r="I376" s="2" t="n">
        <v>250</v>
      </c>
      <c r="J376" s="2" t="n">
        <v>0.05</v>
      </c>
      <c r="K376" s="2" t="n">
        <v>100</v>
      </c>
    </row>
    <row r="377" customFormat="false" ht="15" hidden="false" customHeight="false" outlineLevel="0" collapsed="false">
      <c r="A377" s="2" t="s">
        <v>601</v>
      </c>
      <c r="B377" s="2" t="s">
        <v>602</v>
      </c>
      <c r="C377" s="10" t="n">
        <v>45970</v>
      </c>
      <c r="D377" s="2" t="s">
        <v>77</v>
      </c>
      <c r="E377" s="2" t="s">
        <v>64</v>
      </c>
      <c r="F377" s="2" t="s">
        <v>73</v>
      </c>
      <c r="G377" s="2" t="s">
        <v>85</v>
      </c>
      <c r="H377" s="2" t="n">
        <v>2</v>
      </c>
      <c r="I377" s="2" t="n">
        <v>1200</v>
      </c>
      <c r="J377" s="2" t="n">
        <v>0.05</v>
      </c>
      <c r="K377" s="2" t="n">
        <v>600</v>
      </c>
    </row>
    <row r="378" customFormat="false" ht="15" hidden="false" customHeight="false" outlineLevel="0" collapsed="false">
      <c r="A378" s="2" t="s">
        <v>603</v>
      </c>
      <c r="B378" s="2" t="s">
        <v>602</v>
      </c>
      <c r="C378" s="10" t="n">
        <v>45771</v>
      </c>
      <c r="D378" s="2" t="s">
        <v>77</v>
      </c>
      <c r="E378" s="2" t="s">
        <v>64</v>
      </c>
      <c r="F378" s="2" t="s">
        <v>73</v>
      </c>
      <c r="G378" s="2" t="s">
        <v>74</v>
      </c>
      <c r="H378" s="2" t="n">
        <v>3</v>
      </c>
      <c r="I378" s="2" t="n">
        <v>7000</v>
      </c>
      <c r="J378" s="2" t="n">
        <v>0.1</v>
      </c>
      <c r="K378" s="2" t="n">
        <v>4800</v>
      </c>
    </row>
    <row r="379" customFormat="false" ht="15" hidden="false" customHeight="false" outlineLevel="0" collapsed="false">
      <c r="A379" s="2" t="s">
        <v>604</v>
      </c>
      <c r="B379" s="2" t="s">
        <v>602</v>
      </c>
      <c r="C379" s="10" t="n">
        <v>45857</v>
      </c>
      <c r="D379" s="2" t="s">
        <v>77</v>
      </c>
      <c r="E379" s="2" t="s">
        <v>64</v>
      </c>
      <c r="F379" s="2" t="s">
        <v>65</v>
      </c>
      <c r="G379" s="2" t="s">
        <v>78</v>
      </c>
      <c r="H379" s="2" t="n">
        <v>8</v>
      </c>
      <c r="I379" s="2" t="n">
        <v>400</v>
      </c>
      <c r="J379" s="2" t="n">
        <v>0</v>
      </c>
      <c r="K379" s="2" t="n">
        <v>200</v>
      </c>
    </row>
    <row r="380" customFormat="false" ht="15" hidden="false" customHeight="false" outlineLevel="0" collapsed="false">
      <c r="A380" s="2" t="s">
        <v>605</v>
      </c>
      <c r="B380" s="2" t="s">
        <v>606</v>
      </c>
      <c r="C380" s="10" t="n">
        <v>45736</v>
      </c>
      <c r="D380" s="2" t="s">
        <v>91</v>
      </c>
      <c r="E380" s="2" t="s">
        <v>64</v>
      </c>
      <c r="F380" s="2" t="s">
        <v>65</v>
      </c>
      <c r="G380" s="2" t="s">
        <v>107</v>
      </c>
      <c r="H380" s="2" t="n">
        <v>3</v>
      </c>
      <c r="I380" s="2" t="n">
        <v>500</v>
      </c>
      <c r="J380" s="2" t="n">
        <v>0.05</v>
      </c>
      <c r="K380" s="2" t="n">
        <v>250</v>
      </c>
    </row>
    <row r="381" customFormat="false" ht="15" hidden="false" customHeight="false" outlineLevel="0" collapsed="false">
      <c r="A381" s="2" t="s">
        <v>607</v>
      </c>
      <c r="B381" s="2" t="s">
        <v>608</v>
      </c>
      <c r="C381" s="10" t="n">
        <v>45911</v>
      </c>
      <c r="D381" s="2" t="s">
        <v>77</v>
      </c>
      <c r="E381" s="2" t="s">
        <v>64</v>
      </c>
      <c r="F381" s="2" t="s">
        <v>73</v>
      </c>
      <c r="G381" s="2" t="s">
        <v>87</v>
      </c>
      <c r="H381" s="2" t="n">
        <v>2</v>
      </c>
      <c r="I381" s="2" t="n">
        <v>9000</v>
      </c>
      <c r="J381" s="2" t="n">
        <v>0</v>
      </c>
      <c r="K381" s="2" t="n">
        <v>6200</v>
      </c>
    </row>
    <row r="382" customFormat="false" ht="15" hidden="false" customHeight="false" outlineLevel="0" collapsed="false">
      <c r="A382" s="2" t="s">
        <v>609</v>
      </c>
      <c r="B382" s="2" t="s">
        <v>608</v>
      </c>
      <c r="C382" s="10" t="n">
        <v>45684</v>
      </c>
      <c r="D382" s="2" t="s">
        <v>77</v>
      </c>
      <c r="E382" s="2" t="s">
        <v>64</v>
      </c>
      <c r="F382" s="2" t="s">
        <v>65</v>
      </c>
      <c r="G382" s="2" t="s">
        <v>66</v>
      </c>
      <c r="H382" s="2" t="n">
        <v>4</v>
      </c>
      <c r="I382" s="2" t="n">
        <v>600</v>
      </c>
      <c r="J382" s="2" t="n">
        <v>0.1</v>
      </c>
      <c r="K382" s="2" t="n">
        <v>300</v>
      </c>
    </row>
    <row r="383" customFormat="false" ht="15" hidden="false" customHeight="false" outlineLevel="0" collapsed="false">
      <c r="A383" s="2" t="s">
        <v>610</v>
      </c>
      <c r="B383" s="2" t="s">
        <v>608</v>
      </c>
      <c r="C383" s="10" t="n">
        <v>45935</v>
      </c>
      <c r="D383" s="2" t="s">
        <v>77</v>
      </c>
      <c r="E383" s="2" t="s">
        <v>64</v>
      </c>
      <c r="F383" s="2" t="s">
        <v>65</v>
      </c>
      <c r="G383" s="2" t="s">
        <v>78</v>
      </c>
      <c r="H383" s="2" t="n">
        <v>4</v>
      </c>
      <c r="I383" s="2" t="n">
        <v>400</v>
      </c>
      <c r="J383" s="2" t="n">
        <v>0.15</v>
      </c>
      <c r="K383" s="2" t="n">
        <v>200</v>
      </c>
    </row>
    <row r="384" customFormat="false" ht="15" hidden="false" customHeight="false" outlineLevel="0" collapsed="false">
      <c r="A384" s="2" t="s">
        <v>611</v>
      </c>
      <c r="B384" s="2" t="s">
        <v>612</v>
      </c>
      <c r="C384" s="10" t="n">
        <v>45964</v>
      </c>
      <c r="D384" s="2" t="s">
        <v>77</v>
      </c>
      <c r="E384" s="2" t="s">
        <v>64</v>
      </c>
      <c r="F384" s="2" t="s">
        <v>65</v>
      </c>
      <c r="G384" s="2" t="s">
        <v>66</v>
      </c>
      <c r="H384" s="2" t="n">
        <v>8</v>
      </c>
      <c r="I384" s="2" t="n">
        <v>600</v>
      </c>
      <c r="J384" s="2" t="n">
        <v>0.15</v>
      </c>
      <c r="K384" s="2" t="n">
        <v>300</v>
      </c>
    </row>
    <row r="385" customFormat="false" ht="15" hidden="false" customHeight="false" outlineLevel="0" collapsed="false">
      <c r="A385" s="2" t="s">
        <v>613</v>
      </c>
      <c r="B385" s="2" t="s">
        <v>614</v>
      </c>
      <c r="C385" s="10" t="n">
        <v>45726</v>
      </c>
      <c r="D385" s="2" t="s">
        <v>77</v>
      </c>
      <c r="E385" s="2" t="s">
        <v>69</v>
      </c>
      <c r="F385" s="2" t="s">
        <v>65</v>
      </c>
      <c r="G385" s="2" t="s">
        <v>107</v>
      </c>
      <c r="H385" s="2" t="n">
        <v>17</v>
      </c>
      <c r="I385" s="2" t="n">
        <v>500</v>
      </c>
      <c r="J385" s="2" t="n">
        <v>0</v>
      </c>
      <c r="K385" s="2" t="n">
        <v>250</v>
      </c>
    </row>
    <row r="386" customFormat="false" ht="15" hidden="false" customHeight="false" outlineLevel="0" collapsed="false">
      <c r="A386" s="2" t="s">
        <v>615</v>
      </c>
      <c r="B386" s="2" t="s">
        <v>616</v>
      </c>
      <c r="C386" s="10" t="n">
        <v>45725</v>
      </c>
      <c r="D386" s="2" t="s">
        <v>81</v>
      </c>
      <c r="E386" s="2" t="s">
        <v>64</v>
      </c>
      <c r="F386" s="2" t="s">
        <v>65</v>
      </c>
      <c r="G386" s="2" t="s">
        <v>78</v>
      </c>
      <c r="H386" s="2" t="n">
        <v>7</v>
      </c>
      <c r="I386" s="2" t="n">
        <v>400</v>
      </c>
      <c r="J386" s="2" t="n">
        <v>0</v>
      </c>
      <c r="K386" s="2" t="n">
        <v>200</v>
      </c>
    </row>
    <row r="387" customFormat="false" ht="15" hidden="false" customHeight="false" outlineLevel="0" collapsed="false">
      <c r="A387" s="2" t="s">
        <v>617</v>
      </c>
      <c r="B387" s="2" t="s">
        <v>616</v>
      </c>
      <c r="C387" s="10" t="n">
        <v>45734</v>
      </c>
      <c r="D387" s="2" t="s">
        <v>81</v>
      </c>
      <c r="E387" s="2" t="s">
        <v>64</v>
      </c>
      <c r="F387" s="2" t="s">
        <v>70</v>
      </c>
      <c r="G387" s="2" t="s">
        <v>71</v>
      </c>
      <c r="H387" s="2" t="n">
        <v>2</v>
      </c>
      <c r="I387" s="2" t="n">
        <v>2500</v>
      </c>
      <c r="J387" s="2" t="n">
        <v>0</v>
      </c>
      <c r="K387" s="2" t="n">
        <v>1600</v>
      </c>
    </row>
    <row r="388" customFormat="false" ht="15" hidden="false" customHeight="false" outlineLevel="0" collapsed="false">
      <c r="A388" s="2" t="s">
        <v>618</v>
      </c>
      <c r="B388" s="2" t="s">
        <v>616</v>
      </c>
      <c r="C388" s="10" t="n">
        <v>45917</v>
      </c>
      <c r="D388" s="2" t="s">
        <v>81</v>
      </c>
      <c r="E388" s="2" t="s">
        <v>64</v>
      </c>
      <c r="F388" s="2" t="s">
        <v>73</v>
      </c>
      <c r="G388" s="2" t="s">
        <v>104</v>
      </c>
      <c r="H388" s="2" t="n">
        <v>1</v>
      </c>
      <c r="I388" s="2" t="n">
        <v>5500</v>
      </c>
      <c r="J388" s="2" t="n">
        <v>0.1</v>
      </c>
      <c r="K388" s="2" t="n">
        <v>3600</v>
      </c>
    </row>
    <row r="389" customFormat="false" ht="15" hidden="false" customHeight="false" outlineLevel="0" collapsed="false">
      <c r="A389" s="2" t="s">
        <v>619</v>
      </c>
      <c r="B389" s="2" t="s">
        <v>616</v>
      </c>
      <c r="C389" s="10" t="n">
        <v>46010</v>
      </c>
      <c r="D389" s="2" t="s">
        <v>81</v>
      </c>
      <c r="E389" s="2" t="s">
        <v>64</v>
      </c>
      <c r="F389" s="2" t="s">
        <v>65</v>
      </c>
      <c r="G389" s="2" t="s">
        <v>66</v>
      </c>
      <c r="H389" s="2" t="n">
        <v>8</v>
      </c>
      <c r="I389" s="2" t="n">
        <v>600</v>
      </c>
      <c r="J389" s="2" t="n">
        <v>0.15</v>
      </c>
      <c r="K389" s="2" t="n">
        <v>300</v>
      </c>
    </row>
    <row r="390" customFormat="false" ht="15" hidden="false" customHeight="false" outlineLevel="0" collapsed="false">
      <c r="A390" s="2" t="s">
        <v>620</v>
      </c>
      <c r="B390" s="2" t="s">
        <v>616</v>
      </c>
      <c r="C390" s="10" t="n">
        <v>45997</v>
      </c>
      <c r="D390" s="2" t="s">
        <v>81</v>
      </c>
      <c r="E390" s="2" t="s">
        <v>64</v>
      </c>
      <c r="F390" s="2" t="s">
        <v>65</v>
      </c>
      <c r="G390" s="2" t="s">
        <v>82</v>
      </c>
      <c r="H390" s="2" t="n">
        <v>3</v>
      </c>
      <c r="I390" s="2" t="n">
        <v>250</v>
      </c>
      <c r="J390" s="2" t="n">
        <v>0.05</v>
      </c>
      <c r="K390" s="2" t="n">
        <v>100</v>
      </c>
    </row>
    <row r="391" customFormat="false" ht="15" hidden="false" customHeight="false" outlineLevel="0" collapsed="false">
      <c r="A391" s="2" t="s">
        <v>621</v>
      </c>
      <c r="B391" s="2" t="s">
        <v>622</v>
      </c>
      <c r="C391" s="10" t="n">
        <v>45943</v>
      </c>
      <c r="D391" s="2" t="s">
        <v>77</v>
      </c>
      <c r="E391" s="2" t="s">
        <v>64</v>
      </c>
      <c r="F391" s="2" t="s">
        <v>70</v>
      </c>
      <c r="G391" s="2" t="s">
        <v>122</v>
      </c>
      <c r="H391" s="2" t="n">
        <v>2</v>
      </c>
      <c r="I391" s="2" t="n">
        <v>1500</v>
      </c>
      <c r="J391" s="2" t="n">
        <v>0.05</v>
      </c>
      <c r="K391" s="2" t="n">
        <v>900</v>
      </c>
    </row>
    <row r="392" customFormat="false" ht="15" hidden="false" customHeight="false" outlineLevel="0" collapsed="false">
      <c r="A392" s="2" t="s">
        <v>623</v>
      </c>
      <c r="B392" s="2" t="s">
        <v>622</v>
      </c>
      <c r="C392" s="10" t="n">
        <v>45866</v>
      </c>
      <c r="D392" s="2" t="s">
        <v>77</v>
      </c>
      <c r="E392" s="2" t="s">
        <v>64</v>
      </c>
      <c r="F392" s="2" t="s">
        <v>73</v>
      </c>
      <c r="G392" s="2" t="s">
        <v>87</v>
      </c>
      <c r="H392" s="2" t="n">
        <v>1</v>
      </c>
      <c r="I392" s="2" t="n">
        <v>9000</v>
      </c>
      <c r="J392" s="2" t="n">
        <v>0</v>
      </c>
      <c r="K392" s="2" t="n">
        <v>6200</v>
      </c>
    </row>
    <row r="393" customFormat="false" ht="15" hidden="false" customHeight="false" outlineLevel="0" collapsed="false">
      <c r="A393" s="2" t="s">
        <v>624</v>
      </c>
      <c r="B393" s="2" t="s">
        <v>625</v>
      </c>
      <c r="C393" s="10" t="n">
        <v>45905</v>
      </c>
      <c r="D393" s="2" t="s">
        <v>77</v>
      </c>
      <c r="E393" s="2" t="s">
        <v>64</v>
      </c>
      <c r="F393" s="2" t="s">
        <v>73</v>
      </c>
      <c r="G393" s="2" t="s">
        <v>74</v>
      </c>
      <c r="H393" s="2" t="n">
        <v>2</v>
      </c>
      <c r="I393" s="2" t="n">
        <v>7000</v>
      </c>
      <c r="J393" s="2" t="n">
        <v>0</v>
      </c>
      <c r="K393" s="2" t="n">
        <v>4800</v>
      </c>
    </row>
    <row r="394" customFormat="false" ht="15" hidden="false" customHeight="false" outlineLevel="0" collapsed="false">
      <c r="A394" s="2" t="s">
        <v>626</v>
      </c>
      <c r="B394" s="2" t="s">
        <v>627</v>
      </c>
      <c r="C394" s="10" t="n">
        <v>45794</v>
      </c>
      <c r="D394" s="2" t="s">
        <v>81</v>
      </c>
      <c r="E394" s="2" t="s">
        <v>64</v>
      </c>
      <c r="F394" s="2" t="s">
        <v>73</v>
      </c>
      <c r="G394" s="2" t="s">
        <v>104</v>
      </c>
      <c r="H394" s="2" t="n">
        <v>3</v>
      </c>
      <c r="I394" s="2" t="n">
        <v>5500</v>
      </c>
      <c r="J394" s="2" t="n">
        <v>0</v>
      </c>
      <c r="K394" s="2" t="n">
        <v>3600</v>
      </c>
    </row>
    <row r="395" customFormat="false" ht="15" hidden="false" customHeight="false" outlineLevel="0" collapsed="false">
      <c r="A395" s="2" t="s">
        <v>628</v>
      </c>
      <c r="B395" s="2" t="s">
        <v>629</v>
      </c>
      <c r="C395" s="10" t="n">
        <v>45946</v>
      </c>
      <c r="D395" s="2" t="s">
        <v>77</v>
      </c>
      <c r="E395" s="2" t="s">
        <v>64</v>
      </c>
      <c r="F395" s="2" t="s">
        <v>70</v>
      </c>
      <c r="G395" s="2" t="s">
        <v>71</v>
      </c>
      <c r="H395" s="2" t="n">
        <v>1</v>
      </c>
      <c r="I395" s="2" t="n">
        <v>2500</v>
      </c>
      <c r="J395" s="2" t="n">
        <v>0.15</v>
      </c>
      <c r="K395" s="2" t="n">
        <v>1600</v>
      </c>
    </row>
    <row r="396" customFormat="false" ht="15" hidden="false" customHeight="false" outlineLevel="0" collapsed="false">
      <c r="A396" s="2" t="s">
        <v>630</v>
      </c>
      <c r="B396" s="2" t="s">
        <v>631</v>
      </c>
      <c r="C396" s="10" t="n">
        <v>45945</v>
      </c>
      <c r="D396" s="2" t="s">
        <v>63</v>
      </c>
      <c r="E396" s="2" t="s">
        <v>64</v>
      </c>
      <c r="F396" s="2" t="s">
        <v>65</v>
      </c>
      <c r="G396" s="2" t="s">
        <v>82</v>
      </c>
      <c r="H396" s="2" t="n">
        <v>4</v>
      </c>
      <c r="I396" s="2" t="n">
        <v>250</v>
      </c>
      <c r="J396" s="2" t="n">
        <v>0.05</v>
      </c>
      <c r="K396" s="2" t="n">
        <v>100</v>
      </c>
    </row>
    <row r="397" customFormat="false" ht="15" hidden="false" customHeight="false" outlineLevel="0" collapsed="false">
      <c r="A397" s="2" t="s">
        <v>632</v>
      </c>
      <c r="B397" s="2" t="s">
        <v>633</v>
      </c>
      <c r="C397" s="10" t="n">
        <v>45997</v>
      </c>
      <c r="D397" s="2" t="s">
        <v>77</v>
      </c>
      <c r="E397" s="2" t="s">
        <v>64</v>
      </c>
      <c r="F397" s="2" t="s">
        <v>70</v>
      </c>
      <c r="G397" s="2" t="s">
        <v>126</v>
      </c>
      <c r="H397" s="2" t="n">
        <v>2</v>
      </c>
      <c r="I397" s="2" t="n">
        <v>4500</v>
      </c>
      <c r="J397" s="2" t="n">
        <v>0.05</v>
      </c>
      <c r="K397" s="2" t="n">
        <v>3300</v>
      </c>
    </row>
    <row r="398" customFormat="false" ht="15" hidden="false" customHeight="false" outlineLevel="0" collapsed="false">
      <c r="A398" s="2" t="s">
        <v>634</v>
      </c>
      <c r="B398" s="2" t="s">
        <v>633</v>
      </c>
      <c r="C398" s="10" t="n">
        <v>45979</v>
      </c>
      <c r="D398" s="2" t="s">
        <v>77</v>
      </c>
      <c r="E398" s="2" t="s">
        <v>64</v>
      </c>
      <c r="F398" s="2" t="s">
        <v>73</v>
      </c>
      <c r="G398" s="2" t="s">
        <v>85</v>
      </c>
      <c r="H398" s="2" t="n">
        <v>1</v>
      </c>
      <c r="I398" s="2" t="n">
        <v>1200</v>
      </c>
      <c r="J398" s="2" t="n">
        <v>0.05</v>
      </c>
      <c r="K398" s="2" t="n">
        <v>600</v>
      </c>
    </row>
    <row r="399" customFormat="false" ht="15" hidden="false" customHeight="false" outlineLevel="0" collapsed="false">
      <c r="A399" s="2" t="s">
        <v>635</v>
      </c>
      <c r="B399" s="2" t="s">
        <v>636</v>
      </c>
      <c r="C399" s="10" t="n">
        <v>46019</v>
      </c>
      <c r="D399" s="2" t="s">
        <v>91</v>
      </c>
      <c r="E399" s="2" t="s">
        <v>69</v>
      </c>
      <c r="F399" s="2" t="s">
        <v>73</v>
      </c>
      <c r="G399" s="2" t="s">
        <v>104</v>
      </c>
      <c r="H399" s="2" t="n">
        <v>4</v>
      </c>
      <c r="I399" s="2" t="n">
        <v>5500</v>
      </c>
      <c r="J399" s="2" t="n">
        <v>0.05</v>
      </c>
      <c r="K399" s="2" t="n">
        <v>3600</v>
      </c>
    </row>
    <row r="400" customFormat="false" ht="15" hidden="false" customHeight="false" outlineLevel="0" collapsed="false">
      <c r="A400" s="2" t="s">
        <v>637</v>
      </c>
      <c r="B400" s="2" t="s">
        <v>638</v>
      </c>
      <c r="C400" s="10" t="n">
        <v>46010</v>
      </c>
      <c r="D400" s="2" t="s">
        <v>91</v>
      </c>
      <c r="E400" s="2" t="s">
        <v>64</v>
      </c>
      <c r="F400" s="2" t="s">
        <v>73</v>
      </c>
      <c r="G400" s="2" t="s">
        <v>85</v>
      </c>
      <c r="H400" s="2" t="n">
        <v>1</v>
      </c>
      <c r="I400" s="2" t="n">
        <v>1200</v>
      </c>
      <c r="J400" s="2" t="n">
        <v>0.05</v>
      </c>
      <c r="K400" s="2" t="n">
        <v>600</v>
      </c>
    </row>
    <row r="401" customFormat="false" ht="15" hidden="false" customHeight="false" outlineLevel="0" collapsed="false">
      <c r="A401" s="2" t="s">
        <v>639</v>
      </c>
      <c r="B401" s="2" t="s">
        <v>640</v>
      </c>
      <c r="C401" s="10" t="n">
        <v>45913</v>
      </c>
      <c r="D401" s="2" t="s">
        <v>77</v>
      </c>
      <c r="E401" s="2" t="s">
        <v>64</v>
      </c>
      <c r="F401" s="2" t="s">
        <v>73</v>
      </c>
      <c r="G401" s="2" t="s">
        <v>87</v>
      </c>
      <c r="H401" s="2" t="n">
        <v>3</v>
      </c>
      <c r="I401" s="2" t="n">
        <v>9000</v>
      </c>
      <c r="J401" s="2" t="n">
        <v>0.1</v>
      </c>
      <c r="K401" s="2" t="n">
        <v>6200</v>
      </c>
    </row>
    <row r="402" customFormat="false" ht="15" hidden="false" customHeight="false" outlineLevel="0" collapsed="false">
      <c r="A402" s="2" t="s">
        <v>641</v>
      </c>
      <c r="B402" s="2" t="s">
        <v>642</v>
      </c>
      <c r="C402" s="10" t="n">
        <v>46015</v>
      </c>
      <c r="D402" s="2" t="s">
        <v>81</v>
      </c>
      <c r="E402" s="2" t="s">
        <v>64</v>
      </c>
      <c r="F402" s="2" t="s">
        <v>70</v>
      </c>
      <c r="G402" s="2" t="s">
        <v>126</v>
      </c>
      <c r="H402" s="2" t="n">
        <v>2</v>
      </c>
      <c r="I402" s="2" t="n">
        <v>4500</v>
      </c>
      <c r="J402" s="2" t="n">
        <v>0.05</v>
      </c>
      <c r="K402" s="2" t="n">
        <v>3300</v>
      </c>
    </row>
    <row r="403" customFormat="false" ht="15" hidden="false" customHeight="false" outlineLevel="0" collapsed="false">
      <c r="A403" s="2" t="s">
        <v>643</v>
      </c>
      <c r="B403" s="2" t="s">
        <v>644</v>
      </c>
      <c r="C403" s="10" t="n">
        <v>46003</v>
      </c>
      <c r="D403" s="2" t="s">
        <v>63</v>
      </c>
      <c r="E403" s="2" t="s">
        <v>64</v>
      </c>
      <c r="F403" s="2" t="s">
        <v>65</v>
      </c>
      <c r="G403" s="2" t="s">
        <v>82</v>
      </c>
      <c r="H403" s="2" t="n">
        <v>3</v>
      </c>
      <c r="I403" s="2" t="n">
        <v>250</v>
      </c>
      <c r="J403" s="2" t="n">
        <v>0.05</v>
      </c>
      <c r="K403" s="2" t="n">
        <v>100</v>
      </c>
    </row>
    <row r="404" customFormat="false" ht="15" hidden="false" customHeight="false" outlineLevel="0" collapsed="false">
      <c r="A404" s="2" t="s">
        <v>645</v>
      </c>
      <c r="B404" s="2" t="s">
        <v>646</v>
      </c>
      <c r="C404" s="10" t="n">
        <v>45786</v>
      </c>
      <c r="D404" s="2" t="s">
        <v>77</v>
      </c>
      <c r="E404" s="2" t="s">
        <v>92</v>
      </c>
      <c r="F404" s="2" t="s">
        <v>73</v>
      </c>
      <c r="G404" s="2" t="s">
        <v>74</v>
      </c>
      <c r="H404" s="2" t="n">
        <v>8</v>
      </c>
      <c r="I404" s="2" t="n">
        <v>7000</v>
      </c>
      <c r="J404" s="2" t="n">
        <v>0</v>
      </c>
      <c r="K404" s="2" t="n">
        <v>4800</v>
      </c>
    </row>
    <row r="405" customFormat="false" ht="15" hidden="false" customHeight="false" outlineLevel="0" collapsed="false">
      <c r="A405" s="2" t="s">
        <v>647</v>
      </c>
      <c r="B405" s="2" t="s">
        <v>646</v>
      </c>
      <c r="C405" s="10" t="n">
        <v>45802</v>
      </c>
      <c r="D405" s="2" t="s">
        <v>77</v>
      </c>
      <c r="E405" s="2" t="s">
        <v>92</v>
      </c>
      <c r="F405" s="2" t="s">
        <v>73</v>
      </c>
      <c r="G405" s="2" t="s">
        <v>85</v>
      </c>
      <c r="H405" s="2" t="n">
        <v>3</v>
      </c>
      <c r="I405" s="2" t="n">
        <v>1200</v>
      </c>
      <c r="J405" s="2" t="n">
        <v>0.1</v>
      </c>
      <c r="K405" s="2" t="n">
        <v>600</v>
      </c>
    </row>
    <row r="406" customFormat="false" ht="15" hidden="false" customHeight="false" outlineLevel="0" collapsed="false">
      <c r="A406" s="2" t="s">
        <v>648</v>
      </c>
      <c r="B406" s="2" t="s">
        <v>649</v>
      </c>
      <c r="C406" s="10" t="n">
        <v>45772</v>
      </c>
      <c r="D406" s="2" t="s">
        <v>91</v>
      </c>
      <c r="E406" s="2" t="s">
        <v>92</v>
      </c>
      <c r="F406" s="2" t="s">
        <v>73</v>
      </c>
      <c r="G406" s="2" t="s">
        <v>74</v>
      </c>
      <c r="H406" s="2" t="n">
        <v>6</v>
      </c>
      <c r="I406" s="2" t="n">
        <v>7000</v>
      </c>
      <c r="J406" s="2" t="n">
        <v>0.15</v>
      </c>
      <c r="K406" s="2" t="n">
        <v>4800</v>
      </c>
    </row>
    <row r="407" customFormat="false" ht="15" hidden="false" customHeight="false" outlineLevel="0" collapsed="false">
      <c r="A407" s="2" t="s">
        <v>650</v>
      </c>
      <c r="B407" s="2" t="s">
        <v>649</v>
      </c>
      <c r="C407" s="10" t="n">
        <v>46004</v>
      </c>
      <c r="D407" s="2" t="s">
        <v>651</v>
      </c>
      <c r="E407" s="2" t="s">
        <v>92</v>
      </c>
      <c r="F407" s="2" t="s">
        <v>65</v>
      </c>
      <c r="G407" s="2" t="s">
        <v>78</v>
      </c>
      <c r="H407" s="2" t="n">
        <v>21</v>
      </c>
      <c r="I407" s="2" t="n">
        <v>400</v>
      </c>
      <c r="J407" s="2" t="n">
        <v>0.15</v>
      </c>
      <c r="K407" s="2" t="n">
        <v>200</v>
      </c>
    </row>
    <row r="408" customFormat="false" ht="15" hidden="false" customHeight="false" outlineLevel="0" collapsed="false">
      <c r="A408" s="2" t="s">
        <v>652</v>
      </c>
      <c r="B408" s="2" t="s">
        <v>649</v>
      </c>
      <c r="C408" s="10" t="n">
        <v>45884</v>
      </c>
      <c r="D408" s="2" t="s">
        <v>91</v>
      </c>
      <c r="E408" s="2" t="s">
        <v>92</v>
      </c>
      <c r="F408" s="2" t="s">
        <v>70</v>
      </c>
      <c r="G408" s="2" t="s">
        <v>71</v>
      </c>
      <c r="H408" s="2" t="n">
        <v>5</v>
      </c>
      <c r="I408" s="2" t="n">
        <v>2500</v>
      </c>
      <c r="J408" s="2" t="n">
        <v>0.05</v>
      </c>
      <c r="K408" s="2" t="n">
        <v>1600</v>
      </c>
    </row>
    <row r="409" customFormat="false" ht="15" hidden="false" customHeight="false" outlineLevel="0" collapsed="false">
      <c r="A409" s="2" t="s">
        <v>653</v>
      </c>
      <c r="B409" s="2" t="s">
        <v>654</v>
      </c>
      <c r="C409" s="10" t="n">
        <v>45731</v>
      </c>
      <c r="D409" s="2" t="s">
        <v>63</v>
      </c>
      <c r="E409" s="2" t="s">
        <v>64</v>
      </c>
      <c r="F409" s="2" t="s">
        <v>65</v>
      </c>
      <c r="G409" s="2" t="s">
        <v>82</v>
      </c>
      <c r="H409" s="2" t="n">
        <v>8</v>
      </c>
      <c r="I409" s="2" t="n">
        <v>250</v>
      </c>
      <c r="J409" s="2" t="n">
        <v>0</v>
      </c>
      <c r="K409" s="2" t="n">
        <v>100</v>
      </c>
    </row>
    <row r="410" customFormat="false" ht="15" hidden="false" customHeight="false" outlineLevel="0" collapsed="false">
      <c r="A410" s="2" t="s">
        <v>655</v>
      </c>
      <c r="B410" s="2" t="s">
        <v>656</v>
      </c>
      <c r="C410" s="10" t="n">
        <v>45964</v>
      </c>
      <c r="D410" s="2" t="s">
        <v>91</v>
      </c>
      <c r="E410" s="2" t="s">
        <v>64</v>
      </c>
      <c r="F410" s="2" t="s">
        <v>70</v>
      </c>
      <c r="G410" s="2" t="s">
        <v>126</v>
      </c>
      <c r="H410" s="2" t="n">
        <v>1</v>
      </c>
      <c r="I410" s="2" t="n">
        <v>4500</v>
      </c>
      <c r="J410" s="2" t="n">
        <v>0.05</v>
      </c>
      <c r="K410" s="2" t="n">
        <v>3300</v>
      </c>
    </row>
    <row r="411" customFormat="false" ht="15" hidden="false" customHeight="false" outlineLevel="0" collapsed="false">
      <c r="A411" s="2" t="s">
        <v>657</v>
      </c>
      <c r="B411" s="2" t="s">
        <v>658</v>
      </c>
      <c r="C411" s="10" t="n">
        <v>45692</v>
      </c>
      <c r="D411" s="2" t="s">
        <v>91</v>
      </c>
      <c r="E411" s="2" t="s">
        <v>69</v>
      </c>
      <c r="F411" s="2" t="s">
        <v>70</v>
      </c>
      <c r="G411" s="2" t="s">
        <v>122</v>
      </c>
      <c r="H411" s="2" t="n">
        <v>2</v>
      </c>
      <c r="I411" s="2" t="n">
        <v>1500</v>
      </c>
      <c r="J411" s="2" t="n">
        <v>0.05</v>
      </c>
      <c r="K411" s="2" t="n">
        <v>900</v>
      </c>
    </row>
    <row r="412" customFormat="false" ht="15" hidden="false" customHeight="false" outlineLevel="0" collapsed="false">
      <c r="A412" s="2" t="s">
        <v>659</v>
      </c>
      <c r="B412" s="2" t="s">
        <v>660</v>
      </c>
      <c r="C412" s="10" t="n">
        <v>45668</v>
      </c>
      <c r="D412" s="2" t="s">
        <v>81</v>
      </c>
      <c r="E412" s="2" t="s">
        <v>92</v>
      </c>
      <c r="F412" s="2" t="s">
        <v>73</v>
      </c>
      <c r="G412" s="2" t="s">
        <v>85</v>
      </c>
      <c r="H412" s="2" t="n">
        <v>5</v>
      </c>
      <c r="I412" s="2" t="n">
        <v>1200</v>
      </c>
      <c r="J412" s="2" t="n">
        <v>0.1</v>
      </c>
      <c r="K412" s="2" t="n">
        <v>600</v>
      </c>
    </row>
    <row r="413" customFormat="false" ht="15" hidden="false" customHeight="false" outlineLevel="0" collapsed="false">
      <c r="A413" s="2" t="s">
        <v>661</v>
      </c>
      <c r="B413" s="2" t="s">
        <v>660</v>
      </c>
      <c r="C413" s="10" t="n">
        <v>45905</v>
      </c>
      <c r="D413" s="2" t="s">
        <v>81</v>
      </c>
      <c r="E413" s="2" t="s">
        <v>92</v>
      </c>
      <c r="F413" s="2" t="s">
        <v>73</v>
      </c>
      <c r="G413" s="2" t="s">
        <v>87</v>
      </c>
      <c r="H413" s="2" t="n">
        <v>7</v>
      </c>
      <c r="I413" s="2" t="n">
        <v>9000</v>
      </c>
      <c r="J413" s="2" t="n">
        <v>0.1</v>
      </c>
      <c r="K413" s="2" t="n">
        <v>6200</v>
      </c>
    </row>
    <row r="414" customFormat="false" ht="15" hidden="false" customHeight="false" outlineLevel="0" collapsed="false">
      <c r="A414" s="2" t="s">
        <v>662</v>
      </c>
      <c r="B414" s="2" t="s">
        <v>660</v>
      </c>
      <c r="C414" s="10" t="n">
        <v>45795</v>
      </c>
      <c r="D414" s="2" t="s">
        <v>81</v>
      </c>
      <c r="E414" s="2" t="s">
        <v>92</v>
      </c>
      <c r="F414" s="2" t="s">
        <v>70</v>
      </c>
      <c r="G414" s="2" t="s">
        <v>122</v>
      </c>
      <c r="H414" s="2" t="n">
        <v>3</v>
      </c>
      <c r="I414" s="2" t="n">
        <v>1500</v>
      </c>
      <c r="J414" s="2" t="n">
        <v>0.15</v>
      </c>
      <c r="K414" s="2" t="n">
        <v>900</v>
      </c>
    </row>
    <row r="415" customFormat="false" ht="15" hidden="false" customHeight="false" outlineLevel="0" collapsed="false">
      <c r="A415" s="2" t="s">
        <v>663</v>
      </c>
      <c r="B415" s="2" t="s">
        <v>664</v>
      </c>
      <c r="C415" s="10" t="n">
        <v>45671</v>
      </c>
      <c r="D415" s="2" t="s">
        <v>77</v>
      </c>
      <c r="E415" s="2" t="s">
        <v>64</v>
      </c>
      <c r="F415" s="2" t="s">
        <v>70</v>
      </c>
      <c r="G415" s="2" t="s">
        <v>126</v>
      </c>
      <c r="H415" s="2" t="n">
        <v>2</v>
      </c>
      <c r="I415" s="2" t="n">
        <v>4500</v>
      </c>
      <c r="J415" s="2" t="n">
        <v>0.05</v>
      </c>
      <c r="K415" s="2" t="n">
        <v>3300</v>
      </c>
    </row>
    <row r="416" customFormat="false" ht="15" hidden="false" customHeight="false" outlineLevel="0" collapsed="false">
      <c r="A416" s="2" t="s">
        <v>665</v>
      </c>
      <c r="B416" s="2" t="s">
        <v>664</v>
      </c>
      <c r="C416" s="10" t="n">
        <v>45988</v>
      </c>
      <c r="D416" s="2" t="s">
        <v>77</v>
      </c>
      <c r="E416" s="2" t="s">
        <v>64</v>
      </c>
      <c r="F416" s="2" t="s">
        <v>70</v>
      </c>
      <c r="G416" s="2" t="s">
        <v>126</v>
      </c>
      <c r="H416" s="2" t="n">
        <v>1</v>
      </c>
      <c r="I416" s="2" t="n">
        <v>4500</v>
      </c>
      <c r="J416" s="2" t="n">
        <v>0.15</v>
      </c>
      <c r="K416" s="2" t="n">
        <v>3300</v>
      </c>
    </row>
    <row r="417" customFormat="false" ht="15" hidden="false" customHeight="false" outlineLevel="0" collapsed="false">
      <c r="A417" s="2" t="s">
        <v>666</v>
      </c>
      <c r="B417" s="2" t="s">
        <v>664</v>
      </c>
      <c r="C417" s="10" t="n">
        <v>45781</v>
      </c>
      <c r="D417" s="2" t="s">
        <v>77</v>
      </c>
      <c r="E417" s="2" t="s">
        <v>64</v>
      </c>
      <c r="F417" s="2" t="s">
        <v>65</v>
      </c>
      <c r="G417" s="2" t="s">
        <v>66</v>
      </c>
      <c r="H417" s="2" t="n">
        <v>4</v>
      </c>
      <c r="I417" s="2" t="n">
        <v>600</v>
      </c>
      <c r="J417" s="2" t="n">
        <v>0.05</v>
      </c>
      <c r="K417" s="2" t="n">
        <v>300</v>
      </c>
    </row>
    <row r="418" customFormat="false" ht="15" hidden="false" customHeight="false" outlineLevel="0" collapsed="false">
      <c r="A418" s="2" t="s">
        <v>667</v>
      </c>
      <c r="B418" s="2" t="s">
        <v>664</v>
      </c>
      <c r="C418" s="10" t="n">
        <v>45947</v>
      </c>
      <c r="D418" s="2" t="s">
        <v>77</v>
      </c>
      <c r="E418" s="2" t="s">
        <v>64</v>
      </c>
      <c r="F418" s="2" t="s">
        <v>73</v>
      </c>
      <c r="G418" s="2" t="s">
        <v>104</v>
      </c>
      <c r="H418" s="2" t="n">
        <v>2</v>
      </c>
      <c r="I418" s="2" t="n">
        <v>5500</v>
      </c>
      <c r="J418" s="2" t="n">
        <v>0.05</v>
      </c>
      <c r="K418" s="2" t="n">
        <v>3600</v>
      </c>
    </row>
    <row r="419" customFormat="false" ht="15" hidden="false" customHeight="false" outlineLevel="0" collapsed="false">
      <c r="A419" s="2" t="s">
        <v>668</v>
      </c>
      <c r="B419" s="2" t="s">
        <v>664</v>
      </c>
      <c r="C419" s="10" t="n">
        <v>45774</v>
      </c>
      <c r="D419" s="2" t="s">
        <v>77</v>
      </c>
      <c r="E419" s="2" t="s">
        <v>64</v>
      </c>
      <c r="F419" s="2" t="s">
        <v>65</v>
      </c>
      <c r="G419" s="2" t="s">
        <v>78</v>
      </c>
      <c r="H419" s="2" t="n">
        <v>7</v>
      </c>
      <c r="I419" s="2" t="n">
        <v>400</v>
      </c>
      <c r="J419" s="2" t="n">
        <v>0.05</v>
      </c>
      <c r="K419" s="2" t="n">
        <v>200</v>
      </c>
    </row>
    <row r="420" customFormat="false" ht="15" hidden="false" customHeight="false" outlineLevel="0" collapsed="false">
      <c r="A420" s="2" t="s">
        <v>669</v>
      </c>
      <c r="B420" s="2" t="s">
        <v>664</v>
      </c>
      <c r="C420" s="10" t="n">
        <v>45789</v>
      </c>
      <c r="D420" s="2" t="s">
        <v>77</v>
      </c>
      <c r="E420" s="2" t="s">
        <v>64</v>
      </c>
      <c r="F420" s="2" t="s">
        <v>70</v>
      </c>
      <c r="G420" s="2" t="s">
        <v>122</v>
      </c>
      <c r="H420" s="2" t="n">
        <v>1</v>
      </c>
      <c r="I420" s="2" t="n">
        <v>1500</v>
      </c>
      <c r="J420" s="2" t="n">
        <v>0</v>
      </c>
      <c r="K420" s="2" t="n">
        <v>900</v>
      </c>
    </row>
    <row r="421" customFormat="false" ht="15" hidden="false" customHeight="false" outlineLevel="0" collapsed="false">
      <c r="A421" s="2" t="s">
        <v>670</v>
      </c>
      <c r="B421" s="2" t="s">
        <v>671</v>
      </c>
      <c r="C421" s="10" t="n">
        <v>45842</v>
      </c>
      <c r="D421" s="2" t="s">
        <v>63</v>
      </c>
      <c r="E421" s="2" t="s">
        <v>69</v>
      </c>
      <c r="F421" s="2" t="s">
        <v>65</v>
      </c>
      <c r="G421" s="2" t="s">
        <v>107</v>
      </c>
      <c r="H421" s="2" t="n">
        <v>12</v>
      </c>
      <c r="I421" s="2" t="n">
        <v>500</v>
      </c>
      <c r="J421" s="2" t="n">
        <v>0</v>
      </c>
      <c r="K421" s="2" t="n">
        <v>250</v>
      </c>
    </row>
    <row r="422" customFormat="false" ht="15" hidden="false" customHeight="false" outlineLevel="0" collapsed="false">
      <c r="A422" s="2" t="s">
        <v>672</v>
      </c>
      <c r="B422" s="2" t="s">
        <v>673</v>
      </c>
      <c r="C422" s="10" t="n">
        <v>46018</v>
      </c>
      <c r="D422" s="2" t="s">
        <v>77</v>
      </c>
      <c r="E422" s="2" t="s">
        <v>69</v>
      </c>
      <c r="F422" s="2" t="s">
        <v>70</v>
      </c>
      <c r="G422" s="2" t="s">
        <v>97</v>
      </c>
      <c r="H422" s="2" t="n">
        <v>4</v>
      </c>
      <c r="I422" s="2" t="n">
        <v>3000</v>
      </c>
      <c r="J422" s="2" t="n">
        <v>0.05</v>
      </c>
      <c r="K422" s="2" t="n">
        <v>2000</v>
      </c>
    </row>
    <row r="423" customFormat="false" ht="15" hidden="false" customHeight="false" outlineLevel="0" collapsed="false">
      <c r="A423" s="2" t="s">
        <v>674</v>
      </c>
      <c r="B423" s="2" t="s">
        <v>673</v>
      </c>
      <c r="C423" s="10" t="n">
        <v>45972</v>
      </c>
      <c r="D423" s="2" t="s">
        <v>77</v>
      </c>
      <c r="E423" s="2" t="s">
        <v>69</v>
      </c>
      <c r="F423" s="2" t="s">
        <v>70</v>
      </c>
      <c r="G423" s="2" t="s">
        <v>122</v>
      </c>
      <c r="H423" s="2" t="n">
        <v>1</v>
      </c>
      <c r="I423" s="2" t="n">
        <v>1500</v>
      </c>
      <c r="J423" s="2" t="n">
        <v>0.15</v>
      </c>
      <c r="K423" s="2" t="n">
        <v>900</v>
      </c>
    </row>
    <row r="424" customFormat="false" ht="15" hidden="false" customHeight="false" outlineLevel="0" collapsed="false">
      <c r="A424" s="2" t="s">
        <v>675</v>
      </c>
      <c r="B424" s="2" t="s">
        <v>676</v>
      </c>
      <c r="C424" s="10" t="n">
        <v>45848</v>
      </c>
      <c r="D424" s="2" t="s">
        <v>81</v>
      </c>
      <c r="E424" s="2" t="s">
        <v>69</v>
      </c>
      <c r="F424" s="2" t="s">
        <v>73</v>
      </c>
      <c r="G424" s="2" t="s">
        <v>87</v>
      </c>
      <c r="H424" s="2" t="n">
        <v>1</v>
      </c>
      <c r="I424" s="2" t="n">
        <v>9000</v>
      </c>
      <c r="J424" s="2" t="n">
        <v>0.1</v>
      </c>
      <c r="K424" s="2" t="n">
        <v>6200</v>
      </c>
    </row>
    <row r="425" customFormat="false" ht="15" hidden="false" customHeight="false" outlineLevel="0" collapsed="false">
      <c r="A425" s="2" t="s">
        <v>677</v>
      </c>
      <c r="B425" s="2" t="s">
        <v>676</v>
      </c>
      <c r="C425" s="10" t="n">
        <v>45815</v>
      </c>
      <c r="D425" s="2" t="s">
        <v>81</v>
      </c>
      <c r="E425" s="2" t="s">
        <v>69</v>
      </c>
      <c r="F425" s="2" t="s">
        <v>70</v>
      </c>
      <c r="G425" s="2" t="s">
        <v>126</v>
      </c>
      <c r="H425" s="2" t="n">
        <v>4</v>
      </c>
      <c r="I425" s="2" t="n">
        <v>4500</v>
      </c>
      <c r="J425" s="2" t="n">
        <v>0.05</v>
      </c>
      <c r="K425" s="2" t="n">
        <v>3300</v>
      </c>
    </row>
    <row r="426" customFormat="false" ht="15" hidden="false" customHeight="false" outlineLevel="0" collapsed="false">
      <c r="A426" s="2" t="s">
        <v>678</v>
      </c>
      <c r="B426" s="2" t="s">
        <v>676</v>
      </c>
      <c r="C426" s="10" t="n">
        <v>45733</v>
      </c>
      <c r="D426" s="2" t="s">
        <v>81</v>
      </c>
      <c r="E426" s="2" t="s">
        <v>69</v>
      </c>
      <c r="F426" s="2" t="s">
        <v>70</v>
      </c>
      <c r="G426" s="2" t="s">
        <v>122</v>
      </c>
      <c r="H426" s="2" t="n">
        <v>2</v>
      </c>
      <c r="I426" s="2" t="n">
        <v>1500</v>
      </c>
      <c r="J426" s="2" t="n">
        <v>0</v>
      </c>
      <c r="K426" s="2" t="n">
        <v>900</v>
      </c>
    </row>
    <row r="427" customFormat="false" ht="15" hidden="false" customHeight="false" outlineLevel="0" collapsed="false">
      <c r="A427" s="2" t="s">
        <v>679</v>
      </c>
      <c r="B427" s="2" t="s">
        <v>680</v>
      </c>
      <c r="C427" s="10" t="n">
        <v>45691</v>
      </c>
      <c r="D427" s="2" t="s">
        <v>77</v>
      </c>
      <c r="E427" s="2" t="s">
        <v>69</v>
      </c>
      <c r="F427" s="2" t="s">
        <v>70</v>
      </c>
      <c r="G427" s="2" t="s">
        <v>126</v>
      </c>
      <c r="H427" s="2" t="n">
        <v>2</v>
      </c>
      <c r="I427" s="2" t="n">
        <v>4500</v>
      </c>
      <c r="J427" s="2" t="n">
        <v>0.1</v>
      </c>
      <c r="K427" s="2" t="n">
        <v>3300</v>
      </c>
    </row>
    <row r="428" customFormat="false" ht="15" hidden="false" customHeight="false" outlineLevel="0" collapsed="false">
      <c r="A428" s="2" t="s">
        <v>681</v>
      </c>
      <c r="B428" s="2" t="s">
        <v>680</v>
      </c>
      <c r="C428" s="10" t="n">
        <v>45997</v>
      </c>
      <c r="D428" s="2" t="s">
        <v>77</v>
      </c>
      <c r="E428" s="2" t="s">
        <v>69</v>
      </c>
      <c r="F428" s="2" t="s">
        <v>73</v>
      </c>
      <c r="G428" s="2" t="s">
        <v>74</v>
      </c>
      <c r="H428" s="2" t="n">
        <v>4</v>
      </c>
      <c r="I428" s="2" t="n">
        <v>7000</v>
      </c>
      <c r="J428" s="2" t="n">
        <v>0.05</v>
      </c>
      <c r="K428" s="2" t="n">
        <v>4800</v>
      </c>
    </row>
    <row r="429" customFormat="false" ht="15" hidden="false" customHeight="false" outlineLevel="0" collapsed="false">
      <c r="A429" s="2" t="s">
        <v>682</v>
      </c>
      <c r="B429" s="2" t="s">
        <v>680</v>
      </c>
      <c r="C429" s="10" t="n">
        <v>45796</v>
      </c>
      <c r="D429" s="2" t="s">
        <v>77</v>
      </c>
      <c r="E429" s="2" t="s">
        <v>69</v>
      </c>
      <c r="F429" s="2" t="s">
        <v>73</v>
      </c>
      <c r="G429" s="2" t="s">
        <v>87</v>
      </c>
      <c r="H429" s="2" t="n">
        <v>5</v>
      </c>
      <c r="I429" s="2" t="n">
        <v>9000</v>
      </c>
      <c r="J429" s="2" t="n">
        <v>0</v>
      </c>
      <c r="K429" s="2" t="n">
        <v>6200</v>
      </c>
    </row>
    <row r="430" customFormat="false" ht="15" hidden="false" customHeight="false" outlineLevel="0" collapsed="false">
      <c r="A430" s="2" t="s">
        <v>683</v>
      </c>
      <c r="B430" s="2" t="s">
        <v>684</v>
      </c>
      <c r="C430" s="10" t="n">
        <v>45761</v>
      </c>
      <c r="D430" s="2" t="s">
        <v>91</v>
      </c>
      <c r="E430" s="2" t="s">
        <v>64</v>
      </c>
      <c r="F430" s="2" t="s">
        <v>70</v>
      </c>
      <c r="G430" s="2" t="s">
        <v>122</v>
      </c>
      <c r="H430" s="2" t="n">
        <v>1</v>
      </c>
      <c r="I430" s="2" t="n">
        <v>1500</v>
      </c>
      <c r="J430" s="2" t="n">
        <v>0.1</v>
      </c>
      <c r="K430" s="2" t="n">
        <v>900</v>
      </c>
    </row>
    <row r="431" customFormat="false" ht="15" hidden="false" customHeight="false" outlineLevel="0" collapsed="false">
      <c r="A431" s="2" t="s">
        <v>685</v>
      </c>
      <c r="B431" s="2" t="s">
        <v>684</v>
      </c>
      <c r="C431" s="10" t="n">
        <v>45715</v>
      </c>
      <c r="D431" s="2" t="s">
        <v>91</v>
      </c>
      <c r="E431" s="2" t="s">
        <v>64</v>
      </c>
      <c r="F431" s="2" t="s">
        <v>70</v>
      </c>
      <c r="G431" s="2" t="s">
        <v>71</v>
      </c>
      <c r="H431" s="2" t="n">
        <v>3</v>
      </c>
      <c r="I431" s="2" t="n">
        <v>2500</v>
      </c>
      <c r="J431" s="2" t="n">
        <v>0</v>
      </c>
      <c r="K431" s="2" t="n">
        <v>1600</v>
      </c>
    </row>
    <row r="432" customFormat="false" ht="15" hidden="false" customHeight="false" outlineLevel="0" collapsed="false">
      <c r="A432" s="2" t="s">
        <v>686</v>
      </c>
      <c r="B432" s="2" t="s">
        <v>684</v>
      </c>
      <c r="C432" s="10" t="n">
        <v>45935</v>
      </c>
      <c r="D432" s="2" t="s">
        <v>91</v>
      </c>
      <c r="E432" s="2" t="s">
        <v>64</v>
      </c>
      <c r="F432" s="2" t="s">
        <v>70</v>
      </c>
      <c r="G432" s="2" t="s">
        <v>97</v>
      </c>
      <c r="H432" s="2" t="n">
        <v>1</v>
      </c>
      <c r="I432" s="2" t="n">
        <v>3000</v>
      </c>
      <c r="J432" s="2" t="n">
        <v>0.1</v>
      </c>
      <c r="K432" s="2" t="n">
        <v>2000</v>
      </c>
    </row>
    <row r="433" customFormat="false" ht="15" hidden="false" customHeight="false" outlineLevel="0" collapsed="false">
      <c r="A433" s="2" t="s">
        <v>687</v>
      </c>
      <c r="B433" s="2" t="s">
        <v>688</v>
      </c>
      <c r="C433" s="10" t="n">
        <v>45963</v>
      </c>
      <c r="D433" s="2" t="s">
        <v>63</v>
      </c>
      <c r="E433" s="2" t="s">
        <v>64</v>
      </c>
      <c r="F433" s="2" t="s">
        <v>65</v>
      </c>
      <c r="G433" s="2" t="s">
        <v>66</v>
      </c>
      <c r="H433" s="2" t="n">
        <v>3</v>
      </c>
      <c r="I433" s="2" t="n">
        <v>600</v>
      </c>
      <c r="J433" s="2" t="n">
        <v>0.05</v>
      </c>
      <c r="K433" s="2" t="n">
        <v>300</v>
      </c>
    </row>
    <row r="434" customFormat="false" ht="15" hidden="false" customHeight="false" outlineLevel="0" collapsed="false">
      <c r="A434" s="2" t="s">
        <v>689</v>
      </c>
      <c r="B434" s="2" t="s">
        <v>688</v>
      </c>
      <c r="C434" s="10" t="n">
        <v>45744</v>
      </c>
      <c r="D434" s="2" t="s">
        <v>63</v>
      </c>
      <c r="E434" s="2" t="s">
        <v>64</v>
      </c>
      <c r="F434" s="2" t="s">
        <v>65</v>
      </c>
      <c r="G434" s="2" t="s">
        <v>82</v>
      </c>
      <c r="H434" s="2" t="n">
        <v>7</v>
      </c>
      <c r="I434" s="2" t="n">
        <v>250</v>
      </c>
      <c r="J434" s="2" t="n">
        <v>0.1</v>
      </c>
      <c r="K434" s="2" t="n">
        <v>100</v>
      </c>
    </row>
    <row r="435" customFormat="false" ht="15" hidden="false" customHeight="false" outlineLevel="0" collapsed="false">
      <c r="A435" s="2" t="s">
        <v>690</v>
      </c>
      <c r="B435" s="2" t="s">
        <v>688</v>
      </c>
      <c r="C435" s="10" t="n">
        <v>45933</v>
      </c>
      <c r="D435" s="2" t="s">
        <v>63</v>
      </c>
      <c r="E435" s="2" t="s">
        <v>64</v>
      </c>
      <c r="F435" s="2" t="s">
        <v>73</v>
      </c>
      <c r="G435" s="2" t="s">
        <v>74</v>
      </c>
      <c r="H435" s="2" t="n">
        <v>2</v>
      </c>
      <c r="I435" s="2" t="n">
        <v>7000</v>
      </c>
      <c r="J435" s="2" t="n">
        <v>0.15</v>
      </c>
      <c r="K435" s="2" t="n">
        <v>4800</v>
      </c>
    </row>
    <row r="436" customFormat="false" ht="15" hidden="false" customHeight="false" outlineLevel="0" collapsed="false">
      <c r="A436" s="2" t="s">
        <v>691</v>
      </c>
      <c r="B436" s="2" t="s">
        <v>688</v>
      </c>
      <c r="C436" s="10" t="n">
        <v>45986</v>
      </c>
      <c r="D436" s="2" t="s">
        <v>63</v>
      </c>
      <c r="E436" s="2" t="s">
        <v>64</v>
      </c>
      <c r="F436" s="2" t="s">
        <v>70</v>
      </c>
      <c r="G436" s="2" t="s">
        <v>71</v>
      </c>
      <c r="H436" s="2" t="n">
        <v>2</v>
      </c>
      <c r="I436" s="2" t="n">
        <v>2500</v>
      </c>
      <c r="J436" s="2" t="n">
        <v>0.05</v>
      </c>
      <c r="K436" s="2" t="n">
        <v>1600</v>
      </c>
    </row>
    <row r="437" customFormat="false" ht="15" hidden="false" customHeight="false" outlineLevel="0" collapsed="false">
      <c r="A437" s="2" t="s">
        <v>692</v>
      </c>
      <c r="B437" s="2" t="s">
        <v>688</v>
      </c>
      <c r="C437" s="10" t="n">
        <v>45801</v>
      </c>
      <c r="D437" s="2"/>
      <c r="E437" s="2" t="s">
        <v>64</v>
      </c>
      <c r="F437" s="2" t="s">
        <v>65</v>
      </c>
      <c r="G437" s="2" t="s">
        <v>107</v>
      </c>
      <c r="H437" s="2" t="n">
        <v>6</v>
      </c>
      <c r="I437" s="2" t="n">
        <v>500</v>
      </c>
      <c r="J437" s="2" t="n">
        <v>0</v>
      </c>
      <c r="K437" s="2" t="n">
        <v>250</v>
      </c>
    </row>
    <row r="438" customFormat="false" ht="15" hidden="false" customHeight="false" outlineLevel="0" collapsed="false">
      <c r="A438" s="2" t="s">
        <v>693</v>
      </c>
      <c r="B438" s="2" t="s">
        <v>694</v>
      </c>
      <c r="C438" s="10" t="n">
        <v>45966</v>
      </c>
      <c r="D438" s="2" t="s">
        <v>91</v>
      </c>
      <c r="E438" s="2" t="s">
        <v>64</v>
      </c>
      <c r="F438" s="2" t="s">
        <v>65</v>
      </c>
      <c r="G438" s="2" t="s">
        <v>107</v>
      </c>
      <c r="H438" s="2" t="n">
        <v>5</v>
      </c>
      <c r="I438" s="2" t="n">
        <v>500</v>
      </c>
      <c r="J438" s="2" t="n">
        <v>0.15</v>
      </c>
      <c r="K438" s="2" t="n">
        <v>250</v>
      </c>
    </row>
    <row r="439" customFormat="false" ht="15" hidden="false" customHeight="false" outlineLevel="0" collapsed="false">
      <c r="A439" s="2" t="s">
        <v>695</v>
      </c>
      <c r="B439" s="2" t="s">
        <v>694</v>
      </c>
      <c r="C439" s="10" t="n">
        <v>45783</v>
      </c>
      <c r="D439" s="2" t="s">
        <v>91</v>
      </c>
      <c r="E439" s="2" t="s">
        <v>64</v>
      </c>
      <c r="F439" s="2" t="s">
        <v>65</v>
      </c>
      <c r="G439" s="2" t="s">
        <v>78</v>
      </c>
      <c r="H439" s="2" t="n">
        <v>3</v>
      </c>
      <c r="I439" s="2" t="n">
        <v>400</v>
      </c>
      <c r="J439" s="2" t="n">
        <v>0.1</v>
      </c>
      <c r="K439" s="2" t="n">
        <v>200</v>
      </c>
    </row>
    <row r="440" customFormat="false" ht="15" hidden="false" customHeight="false" outlineLevel="0" collapsed="false">
      <c r="A440" s="2" t="s">
        <v>696</v>
      </c>
      <c r="B440" s="2" t="s">
        <v>697</v>
      </c>
      <c r="C440" s="10" t="n">
        <v>45927</v>
      </c>
      <c r="D440" s="2" t="s">
        <v>91</v>
      </c>
      <c r="E440" s="2" t="s">
        <v>64</v>
      </c>
      <c r="F440" s="2" t="s">
        <v>65</v>
      </c>
      <c r="G440" s="2" t="s">
        <v>82</v>
      </c>
      <c r="H440" s="2" t="n">
        <v>2</v>
      </c>
      <c r="I440" s="2" t="n">
        <v>250</v>
      </c>
      <c r="J440" s="2" t="n">
        <v>0.1</v>
      </c>
      <c r="K440" s="2" t="n">
        <v>100</v>
      </c>
    </row>
    <row r="441" customFormat="false" ht="15" hidden="false" customHeight="false" outlineLevel="0" collapsed="false">
      <c r="A441" s="2" t="s">
        <v>698</v>
      </c>
      <c r="B441" s="2" t="s">
        <v>699</v>
      </c>
      <c r="C441" s="10" t="n">
        <v>45939</v>
      </c>
      <c r="D441" s="2" t="s">
        <v>81</v>
      </c>
      <c r="E441" s="2" t="s">
        <v>92</v>
      </c>
      <c r="F441" s="2" t="s">
        <v>73</v>
      </c>
      <c r="G441" s="2" t="s">
        <v>74</v>
      </c>
      <c r="H441" s="2" t="n">
        <v>7</v>
      </c>
      <c r="I441" s="2" t="n">
        <v>7000</v>
      </c>
      <c r="J441" s="2" t="n">
        <v>0.1</v>
      </c>
      <c r="K441" s="2" t="n">
        <v>4800</v>
      </c>
    </row>
    <row r="442" customFormat="false" ht="15" hidden="false" customHeight="false" outlineLevel="0" collapsed="false">
      <c r="A442" s="2" t="s">
        <v>700</v>
      </c>
      <c r="B442" s="2" t="s">
        <v>699</v>
      </c>
      <c r="C442" s="10" t="n">
        <v>45770</v>
      </c>
      <c r="D442" s="2" t="s">
        <v>81</v>
      </c>
      <c r="E442" s="2" t="s">
        <v>92</v>
      </c>
      <c r="F442" s="2" t="s">
        <v>65</v>
      </c>
      <c r="G442" s="2" t="s">
        <v>78</v>
      </c>
      <c r="H442" s="2" t="n">
        <v>26</v>
      </c>
      <c r="I442" s="2" t="n">
        <v>400</v>
      </c>
      <c r="J442" s="2" t="n">
        <v>0.05</v>
      </c>
      <c r="K442" s="2" t="n">
        <v>200</v>
      </c>
    </row>
    <row r="443" customFormat="false" ht="15" hidden="false" customHeight="false" outlineLevel="0" collapsed="false">
      <c r="A443" s="2" t="s">
        <v>701</v>
      </c>
      <c r="B443" s="2" t="s">
        <v>699</v>
      </c>
      <c r="C443" s="10" t="n">
        <v>45861</v>
      </c>
      <c r="D443" s="2" t="s">
        <v>81</v>
      </c>
      <c r="E443" s="2" t="s">
        <v>92</v>
      </c>
      <c r="F443" s="2" t="s">
        <v>73</v>
      </c>
      <c r="G443" s="2" t="s">
        <v>85</v>
      </c>
      <c r="H443" s="2" t="n">
        <v>8</v>
      </c>
      <c r="I443" s="2" t="n">
        <v>1200</v>
      </c>
      <c r="J443" s="2" t="n">
        <v>0</v>
      </c>
      <c r="K443" s="2" t="n">
        <v>600</v>
      </c>
    </row>
    <row r="444" customFormat="false" ht="15" hidden="false" customHeight="false" outlineLevel="0" collapsed="false">
      <c r="A444" s="2" t="s">
        <v>702</v>
      </c>
      <c r="B444" s="2" t="s">
        <v>703</v>
      </c>
      <c r="C444" s="10" t="n">
        <v>45763</v>
      </c>
      <c r="D444" s="2" t="s">
        <v>63</v>
      </c>
      <c r="E444" s="2" t="s">
        <v>64</v>
      </c>
      <c r="F444" s="2" t="s">
        <v>73</v>
      </c>
      <c r="G444" s="2" t="s">
        <v>87</v>
      </c>
      <c r="H444" s="2" t="n">
        <v>1</v>
      </c>
      <c r="I444" s="2" t="n">
        <v>9000</v>
      </c>
      <c r="J444" s="2" t="n">
        <v>0.05</v>
      </c>
      <c r="K444" s="2" t="n">
        <v>6200</v>
      </c>
    </row>
    <row r="445" customFormat="false" ht="15" hidden="false" customHeight="false" outlineLevel="0" collapsed="false">
      <c r="A445" s="2" t="s">
        <v>704</v>
      </c>
      <c r="B445" s="2" t="s">
        <v>703</v>
      </c>
      <c r="C445" s="10" t="n">
        <v>45721</v>
      </c>
      <c r="D445" s="2" t="s">
        <v>63</v>
      </c>
      <c r="E445" s="2" t="s">
        <v>64</v>
      </c>
      <c r="F445" s="2" t="s">
        <v>70</v>
      </c>
      <c r="G445" s="2" t="s">
        <v>122</v>
      </c>
      <c r="H445" s="2" t="n">
        <v>1</v>
      </c>
      <c r="I445" s="2" t="n">
        <v>1500</v>
      </c>
      <c r="J445" s="2" t="n">
        <v>0.05</v>
      </c>
      <c r="K445" s="2" t="n">
        <v>900</v>
      </c>
    </row>
    <row r="446" customFormat="false" ht="15" hidden="false" customHeight="false" outlineLevel="0" collapsed="false">
      <c r="A446" s="2" t="s">
        <v>705</v>
      </c>
      <c r="B446" s="2" t="s">
        <v>706</v>
      </c>
      <c r="C446" s="10" t="n">
        <v>45945</v>
      </c>
      <c r="D446" s="2" t="s">
        <v>63</v>
      </c>
      <c r="E446" s="2" t="s">
        <v>69</v>
      </c>
      <c r="F446" s="2" t="s">
        <v>73</v>
      </c>
      <c r="G446" s="2" t="s">
        <v>87</v>
      </c>
      <c r="H446" s="2" t="n">
        <v>2</v>
      </c>
      <c r="I446" s="2" t="n">
        <v>9000</v>
      </c>
      <c r="J446" s="2" t="n">
        <v>0.15</v>
      </c>
      <c r="K446" s="2" t="n">
        <v>6200</v>
      </c>
    </row>
    <row r="447" customFormat="false" ht="15" hidden="false" customHeight="false" outlineLevel="0" collapsed="false">
      <c r="A447" s="2" t="s">
        <v>707</v>
      </c>
      <c r="B447" s="2" t="s">
        <v>706</v>
      </c>
      <c r="C447" s="10" t="n">
        <v>45711</v>
      </c>
      <c r="D447" s="2" t="s">
        <v>63</v>
      </c>
      <c r="E447" s="2" t="s">
        <v>69</v>
      </c>
      <c r="F447" s="2" t="s">
        <v>73</v>
      </c>
      <c r="G447" s="2" t="s">
        <v>85</v>
      </c>
      <c r="H447" s="2" t="n">
        <v>1</v>
      </c>
      <c r="I447" s="2" t="n">
        <v>1200</v>
      </c>
      <c r="J447" s="2" t="n">
        <v>0.05</v>
      </c>
      <c r="K447" s="2" t="n">
        <v>600</v>
      </c>
    </row>
    <row r="448" customFormat="false" ht="15" hidden="false" customHeight="false" outlineLevel="0" collapsed="false">
      <c r="A448" s="2" t="s">
        <v>708</v>
      </c>
      <c r="B448" s="2" t="s">
        <v>706</v>
      </c>
      <c r="C448" s="10" t="n">
        <v>45821</v>
      </c>
      <c r="D448" s="2" t="s">
        <v>63</v>
      </c>
      <c r="E448" s="2" t="s">
        <v>69</v>
      </c>
      <c r="F448" s="2" t="s">
        <v>70</v>
      </c>
      <c r="G448" s="2" t="s">
        <v>97</v>
      </c>
      <c r="H448" s="2" t="n">
        <v>5</v>
      </c>
      <c r="I448" s="2" t="n">
        <v>3000</v>
      </c>
      <c r="J448" s="2" t="n">
        <v>0</v>
      </c>
      <c r="K448" s="2" t="n">
        <v>2000</v>
      </c>
    </row>
    <row r="449" customFormat="false" ht="15" hidden="false" customHeight="false" outlineLevel="0" collapsed="false">
      <c r="A449" s="2" t="s">
        <v>709</v>
      </c>
      <c r="B449" s="2" t="s">
        <v>706</v>
      </c>
      <c r="C449" s="10" t="n">
        <v>45835</v>
      </c>
      <c r="D449" s="2" t="s">
        <v>63</v>
      </c>
      <c r="E449" s="2" t="s">
        <v>69</v>
      </c>
      <c r="F449" s="2" t="s">
        <v>70</v>
      </c>
      <c r="G449" s="2" t="s">
        <v>71</v>
      </c>
      <c r="H449" s="2" t="n">
        <v>3</v>
      </c>
      <c r="I449" s="2" t="n">
        <v>2500</v>
      </c>
      <c r="J449" s="2" t="n">
        <v>0</v>
      </c>
      <c r="K449" s="2" t="n">
        <v>1600</v>
      </c>
    </row>
    <row r="450" customFormat="false" ht="15" hidden="false" customHeight="false" outlineLevel="0" collapsed="false">
      <c r="A450" s="2" t="s">
        <v>710</v>
      </c>
      <c r="B450" s="2" t="s">
        <v>711</v>
      </c>
      <c r="C450" s="10" t="n">
        <v>45683</v>
      </c>
      <c r="D450" s="2" t="s">
        <v>63</v>
      </c>
      <c r="E450" s="2" t="s">
        <v>64</v>
      </c>
      <c r="F450" s="2" t="s">
        <v>73</v>
      </c>
      <c r="G450" s="2" t="s">
        <v>104</v>
      </c>
      <c r="H450" s="2" t="n">
        <v>3</v>
      </c>
      <c r="I450" s="2" t="n">
        <v>5500</v>
      </c>
      <c r="J450" s="2" t="n">
        <v>0.1</v>
      </c>
      <c r="K450" s="2" t="n">
        <v>3600</v>
      </c>
    </row>
    <row r="451" customFormat="false" ht="15" hidden="false" customHeight="false" outlineLevel="0" collapsed="false">
      <c r="A451" s="2" t="s">
        <v>712</v>
      </c>
      <c r="B451" s="2" t="s">
        <v>713</v>
      </c>
      <c r="C451" s="10" t="n">
        <v>45705</v>
      </c>
      <c r="D451" s="2" t="s">
        <v>63</v>
      </c>
      <c r="E451" s="2" t="s">
        <v>64</v>
      </c>
      <c r="F451" s="2" t="s">
        <v>73</v>
      </c>
      <c r="G451" s="2" t="s">
        <v>104</v>
      </c>
      <c r="H451" s="2" t="n">
        <v>2</v>
      </c>
      <c r="I451" s="2" t="n">
        <v>5500</v>
      </c>
      <c r="J451" s="2" t="n">
        <v>0</v>
      </c>
      <c r="K451" s="2" t="n">
        <v>3600</v>
      </c>
    </row>
    <row r="452" customFormat="false" ht="15" hidden="false" customHeight="false" outlineLevel="0" collapsed="false">
      <c r="A452" s="2" t="s">
        <v>714</v>
      </c>
      <c r="B452" s="2" t="s">
        <v>713</v>
      </c>
      <c r="C452" s="10" t="n">
        <v>46013</v>
      </c>
      <c r="D452" s="2" t="s">
        <v>63</v>
      </c>
      <c r="E452" s="2" t="s">
        <v>64</v>
      </c>
      <c r="F452" s="2" t="s">
        <v>73</v>
      </c>
      <c r="G452" s="2" t="s">
        <v>87</v>
      </c>
      <c r="H452" s="2" t="n">
        <v>3</v>
      </c>
      <c r="I452" s="2" t="n">
        <v>9000</v>
      </c>
      <c r="J452" s="2" t="n">
        <v>0.1</v>
      </c>
      <c r="K452" s="2" t="n">
        <v>6200</v>
      </c>
    </row>
    <row r="453" customFormat="false" ht="15" hidden="false" customHeight="false" outlineLevel="0" collapsed="false">
      <c r="A453" s="2" t="s">
        <v>715</v>
      </c>
      <c r="B453" s="2" t="s">
        <v>713</v>
      </c>
      <c r="C453" s="10" t="n">
        <v>45750</v>
      </c>
      <c r="D453" s="2" t="s">
        <v>63</v>
      </c>
      <c r="E453" s="2" t="s">
        <v>64</v>
      </c>
      <c r="F453" s="2" t="s">
        <v>65</v>
      </c>
      <c r="G453" s="2" t="s">
        <v>78</v>
      </c>
      <c r="H453" s="2" t="n">
        <v>4</v>
      </c>
      <c r="I453" s="2" t="n">
        <v>400</v>
      </c>
      <c r="J453" s="2" t="n">
        <v>0</v>
      </c>
      <c r="K453" s="2" t="n">
        <v>200</v>
      </c>
    </row>
    <row r="454" customFormat="false" ht="15" hidden="false" customHeight="false" outlineLevel="0" collapsed="false">
      <c r="A454" s="2" t="s">
        <v>716</v>
      </c>
      <c r="B454" s="2" t="s">
        <v>717</v>
      </c>
      <c r="C454" s="10" t="n">
        <v>45969</v>
      </c>
      <c r="D454" s="2" t="s">
        <v>81</v>
      </c>
      <c r="E454" s="2" t="s">
        <v>64</v>
      </c>
      <c r="F454" s="2" t="s">
        <v>65</v>
      </c>
      <c r="G454" s="2" t="s">
        <v>66</v>
      </c>
      <c r="H454" s="2" t="n">
        <v>5</v>
      </c>
      <c r="I454" s="2" t="n">
        <v>600</v>
      </c>
      <c r="J454" s="2" t="n">
        <v>0.05</v>
      </c>
      <c r="K454" s="2" t="n">
        <v>300</v>
      </c>
    </row>
    <row r="455" customFormat="false" ht="15" hidden="false" customHeight="false" outlineLevel="0" collapsed="false">
      <c r="A455" s="2" t="s">
        <v>718</v>
      </c>
      <c r="B455" s="2" t="s">
        <v>719</v>
      </c>
      <c r="C455" s="10" t="n">
        <v>45798</v>
      </c>
      <c r="D455" s="2" t="s">
        <v>77</v>
      </c>
      <c r="E455" s="2" t="s">
        <v>64</v>
      </c>
      <c r="F455" s="2" t="s">
        <v>65</v>
      </c>
      <c r="G455" s="2" t="s">
        <v>82</v>
      </c>
      <c r="H455" s="2" t="n">
        <v>5</v>
      </c>
      <c r="I455" s="2" t="n">
        <v>250</v>
      </c>
      <c r="J455" s="2" t="n">
        <v>0.05</v>
      </c>
      <c r="K455" s="2" t="n">
        <v>100</v>
      </c>
    </row>
    <row r="456" customFormat="false" ht="15" hidden="false" customHeight="false" outlineLevel="0" collapsed="false">
      <c r="A456" s="2" t="s">
        <v>720</v>
      </c>
      <c r="B456" s="2" t="s">
        <v>721</v>
      </c>
      <c r="C456" s="10" t="n">
        <v>45725</v>
      </c>
      <c r="D456" s="2" t="s">
        <v>81</v>
      </c>
      <c r="E456" s="2" t="s">
        <v>64</v>
      </c>
      <c r="F456" s="2" t="s">
        <v>65</v>
      </c>
      <c r="G456" s="2" t="s">
        <v>78</v>
      </c>
      <c r="H456" s="2" t="n">
        <v>8</v>
      </c>
      <c r="I456" s="2" t="n">
        <v>400</v>
      </c>
      <c r="J456" s="2" t="n">
        <v>0.1</v>
      </c>
      <c r="K456" s="2" t="n">
        <v>200</v>
      </c>
    </row>
    <row r="457" customFormat="false" ht="15" hidden="false" customHeight="false" outlineLevel="0" collapsed="false">
      <c r="A457" s="2" t="s">
        <v>722</v>
      </c>
      <c r="B457" s="2" t="s">
        <v>723</v>
      </c>
      <c r="C457" s="10" t="n">
        <v>46000</v>
      </c>
      <c r="D457" s="2" t="s">
        <v>77</v>
      </c>
      <c r="E457" s="2" t="s">
        <v>64</v>
      </c>
      <c r="F457" s="2" t="s">
        <v>65</v>
      </c>
      <c r="G457" s="2" t="s">
        <v>66</v>
      </c>
      <c r="H457" s="2" t="n">
        <v>7</v>
      </c>
      <c r="I457" s="2" t="n">
        <v>600</v>
      </c>
      <c r="J457" s="2" t="n">
        <v>0.05</v>
      </c>
      <c r="K457" s="2" t="n">
        <v>300</v>
      </c>
    </row>
    <row r="458" customFormat="false" ht="15" hidden="false" customHeight="false" outlineLevel="0" collapsed="false">
      <c r="A458" s="2" t="s">
        <v>724</v>
      </c>
      <c r="B458" s="2" t="s">
        <v>725</v>
      </c>
      <c r="C458" s="10" t="n">
        <v>45749</v>
      </c>
      <c r="D458" s="2" t="s">
        <v>337</v>
      </c>
      <c r="E458" s="2" t="s">
        <v>64</v>
      </c>
      <c r="F458" s="2" t="s">
        <v>65</v>
      </c>
      <c r="G458" s="2" t="s">
        <v>78</v>
      </c>
      <c r="H458" s="2" t="n">
        <v>6</v>
      </c>
      <c r="I458" s="2" t="n">
        <v>400</v>
      </c>
      <c r="J458" s="2" t="n">
        <v>0</v>
      </c>
      <c r="K458" s="2" t="n">
        <v>200</v>
      </c>
    </row>
    <row r="459" customFormat="false" ht="15" hidden="false" customHeight="false" outlineLevel="0" collapsed="false">
      <c r="A459" s="2" t="s">
        <v>726</v>
      </c>
      <c r="B459" s="2" t="s">
        <v>725</v>
      </c>
      <c r="C459" s="10" t="n">
        <v>45904</v>
      </c>
      <c r="D459" s="2" t="s">
        <v>77</v>
      </c>
      <c r="E459" s="2" t="s">
        <v>64</v>
      </c>
      <c r="F459" s="2" t="s">
        <v>65</v>
      </c>
      <c r="G459" s="2" t="s">
        <v>66</v>
      </c>
      <c r="H459" s="2" t="n">
        <v>2</v>
      </c>
      <c r="I459" s="2" t="n">
        <v>600</v>
      </c>
      <c r="J459" s="2" t="n">
        <v>0</v>
      </c>
      <c r="K459" s="2" t="n">
        <v>300</v>
      </c>
    </row>
    <row r="460" customFormat="false" ht="15" hidden="false" customHeight="false" outlineLevel="0" collapsed="false">
      <c r="A460" s="2" t="s">
        <v>727</v>
      </c>
      <c r="B460" s="2" t="s">
        <v>725</v>
      </c>
      <c r="C460" s="10" t="n">
        <v>45731</v>
      </c>
      <c r="D460" s="2" t="s">
        <v>77</v>
      </c>
      <c r="E460" s="2" t="s">
        <v>64</v>
      </c>
      <c r="F460" s="2" t="s">
        <v>70</v>
      </c>
      <c r="G460" s="2" t="s">
        <v>71</v>
      </c>
      <c r="H460" s="2" t="n">
        <v>3</v>
      </c>
      <c r="I460" s="2" t="n">
        <v>2500</v>
      </c>
      <c r="J460" s="2" t="n">
        <v>0</v>
      </c>
      <c r="K460" s="2" t="n">
        <v>1600</v>
      </c>
    </row>
    <row r="461" customFormat="false" ht="15" hidden="false" customHeight="false" outlineLevel="0" collapsed="false">
      <c r="A461" s="2" t="s">
        <v>728</v>
      </c>
      <c r="B461" s="2" t="s">
        <v>725</v>
      </c>
      <c r="C461" s="10" t="n">
        <v>45667</v>
      </c>
      <c r="D461" s="2" t="s">
        <v>77</v>
      </c>
      <c r="E461" s="2" t="s">
        <v>64</v>
      </c>
      <c r="F461" s="2" t="s">
        <v>73</v>
      </c>
      <c r="G461" s="2" t="s">
        <v>87</v>
      </c>
      <c r="H461" s="2" t="n">
        <v>2</v>
      </c>
      <c r="I461" s="2" t="n">
        <v>9000</v>
      </c>
      <c r="J461" s="2" t="n">
        <v>0</v>
      </c>
      <c r="K461" s="2" t="n">
        <v>6200</v>
      </c>
    </row>
    <row r="462" customFormat="false" ht="15" hidden="false" customHeight="false" outlineLevel="0" collapsed="false">
      <c r="A462" s="2" t="s">
        <v>729</v>
      </c>
      <c r="B462" s="2" t="s">
        <v>730</v>
      </c>
      <c r="C462" s="10" t="n">
        <v>45740</v>
      </c>
      <c r="D462" s="2" t="s">
        <v>91</v>
      </c>
      <c r="E462" s="2" t="s">
        <v>69</v>
      </c>
      <c r="F462" s="2" t="s">
        <v>65</v>
      </c>
      <c r="G462" s="2" t="s">
        <v>107</v>
      </c>
      <c r="H462" s="2" t="n">
        <v>14</v>
      </c>
      <c r="I462" s="2" t="n">
        <v>500</v>
      </c>
      <c r="J462" s="2" t="n">
        <v>0</v>
      </c>
      <c r="K462" s="2" t="n">
        <v>250</v>
      </c>
    </row>
    <row r="463" customFormat="false" ht="15" hidden="false" customHeight="false" outlineLevel="0" collapsed="false">
      <c r="A463" s="2" t="s">
        <v>731</v>
      </c>
      <c r="B463" s="2" t="s">
        <v>730</v>
      </c>
      <c r="C463" s="10" t="n">
        <v>45736</v>
      </c>
      <c r="D463" s="2" t="s">
        <v>91</v>
      </c>
      <c r="E463" s="2" t="s">
        <v>69</v>
      </c>
      <c r="F463" s="2" t="s">
        <v>73</v>
      </c>
      <c r="G463" s="2" t="s">
        <v>74</v>
      </c>
      <c r="H463" s="2" t="n">
        <v>5</v>
      </c>
      <c r="I463" s="2" t="n">
        <v>7000</v>
      </c>
      <c r="J463" s="2" t="n">
        <v>0.05</v>
      </c>
      <c r="K463" s="2" t="n">
        <v>4800</v>
      </c>
    </row>
    <row r="464" customFormat="false" ht="15" hidden="false" customHeight="false" outlineLevel="0" collapsed="false">
      <c r="A464" s="2" t="s">
        <v>732</v>
      </c>
      <c r="B464" s="2" t="s">
        <v>730</v>
      </c>
      <c r="C464" s="10" t="n">
        <v>45892</v>
      </c>
      <c r="D464" s="2" t="s">
        <v>91</v>
      </c>
      <c r="E464" s="2" t="s">
        <v>69</v>
      </c>
      <c r="F464" s="2" t="s">
        <v>73</v>
      </c>
      <c r="G464" s="2" t="s">
        <v>87</v>
      </c>
      <c r="H464" s="2" t="n">
        <v>4</v>
      </c>
      <c r="I464" s="2" t="n">
        <v>9000</v>
      </c>
      <c r="J464" s="2" t="n">
        <v>0.1</v>
      </c>
      <c r="K464" s="2" t="n">
        <v>6200</v>
      </c>
    </row>
    <row r="465" customFormat="false" ht="15" hidden="false" customHeight="false" outlineLevel="0" collapsed="false">
      <c r="A465" s="2" t="s">
        <v>733</v>
      </c>
      <c r="B465" s="2" t="s">
        <v>730</v>
      </c>
      <c r="C465" s="10" t="n">
        <v>46007</v>
      </c>
      <c r="D465" s="2" t="s">
        <v>91</v>
      </c>
      <c r="E465" s="2" t="s">
        <v>69</v>
      </c>
      <c r="F465" s="2" t="s">
        <v>73</v>
      </c>
      <c r="G465" s="2" t="s">
        <v>104</v>
      </c>
      <c r="H465" s="2" t="n">
        <v>5</v>
      </c>
      <c r="I465" s="2" t="n">
        <v>5500</v>
      </c>
      <c r="J465" s="2" t="n">
        <v>0.15</v>
      </c>
      <c r="K465" s="2" t="n">
        <v>3600</v>
      </c>
    </row>
    <row r="466" customFormat="false" ht="15" hidden="false" customHeight="false" outlineLevel="0" collapsed="false">
      <c r="A466" s="2" t="s">
        <v>734</v>
      </c>
      <c r="B466" s="2" t="s">
        <v>735</v>
      </c>
      <c r="C466" s="10" t="n">
        <v>45911</v>
      </c>
      <c r="D466" s="2" t="s">
        <v>91</v>
      </c>
      <c r="E466" s="2" t="s">
        <v>64</v>
      </c>
      <c r="F466" s="2" t="s">
        <v>65</v>
      </c>
      <c r="G466" s="2" t="s">
        <v>107</v>
      </c>
      <c r="H466" s="2" t="n">
        <v>8</v>
      </c>
      <c r="I466" s="2" t="n">
        <v>500</v>
      </c>
      <c r="J466" s="2" t="n">
        <v>0</v>
      </c>
      <c r="K466" s="2" t="n">
        <v>250</v>
      </c>
    </row>
    <row r="467" customFormat="false" ht="15" hidden="false" customHeight="false" outlineLevel="0" collapsed="false">
      <c r="A467" s="2" t="s">
        <v>736</v>
      </c>
      <c r="B467" s="2" t="s">
        <v>737</v>
      </c>
      <c r="C467" s="10" t="n">
        <v>45735</v>
      </c>
      <c r="D467" s="2" t="s">
        <v>63</v>
      </c>
      <c r="E467" s="2" t="s">
        <v>64</v>
      </c>
      <c r="F467" s="2" t="s">
        <v>70</v>
      </c>
      <c r="G467" s="2" t="s">
        <v>126</v>
      </c>
      <c r="H467" s="2" t="n">
        <v>1</v>
      </c>
      <c r="I467" s="2" t="n">
        <v>4500</v>
      </c>
      <c r="J467" s="2" t="n">
        <v>0.05</v>
      </c>
      <c r="K467" s="2" t="n">
        <v>3300</v>
      </c>
    </row>
    <row r="468" customFormat="false" ht="15" hidden="false" customHeight="false" outlineLevel="0" collapsed="false">
      <c r="A468" s="2" t="s">
        <v>738</v>
      </c>
      <c r="B468" s="2" t="s">
        <v>737</v>
      </c>
      <c r="C468" s="10" t="n">
        <v>45849</v>
      </c>
      <c r="D468" s="2" t="s">
        <v>63</v>
      </c>
      <c r="E468" s="2" t="s">
        <v>64</v>
      </c>
      <c r="F468" s="2" t="s">
        <v>65</v>
      </c>
      <c r="G468" s="2" t="s">
        <v>107</v>
      </c>
      <c r="H468" s="2" t="n">
        <v>2</v>
      </c>
      <c r="I468" s="2" t="n">
        <v>500</v>
      </c>
      <c r="J468" s="2" t="n">
        <v>0</v>
      </c>
      <c r="K468" s="2" t="n">
        <v>250</v>
      </c>
    </row>
    <row r="469" customFormat="false" ht="15" hidden="false" customHeight="false" outlineLevel="0" collapsed="false">
      <c r="A469" s="2" t="s">
        <v>739</v>
      </c>
      <c r="B469" s="2" t="s">
        <v>737</v>
      </c>
      <c r="C469" s="10" t="n">
        <v>45726</v>
      </c>
      <c r="D469" s="2" t="s">
        <v>63</v>
      </c>
      <c r="E469" s="2" t="s">
        <v>64</v>
      </c>
      <c r="F469" s="2" t="s">
        <v>73</v>
      </c>
      <c r="G469" s="2" t="s">
        <v>104</v>
      </c>
      <c r="H469" s="2" t="n">
        <v>2</v>
      </c>
      <c r="I469" s="2" t="n">
        <v>5500</v>
      </c>
      <c r="J469" s="2" t="n">
        <v>0</v>
      </c>
      <c r="K469" s="2" t="n">
        <v>3600</v>
      </c>
    </row>
    <row r="470" customFormat="false" ht="15" hidden="false" customHeight="false" outlineLevel="0" collapsed="false">
      <c r="A470" s="2" t="s">
        <v>740</v>
      </c>
      <c r="B470" s="2" t="s">
        <v>741</v>
      </c>
      <c r="C470" s="10" t="n">
        <v>45981</v>
      </c>
      <c r="D470" s="2" t="s">
        <v>81</v>
      </c>
      <c r="E470" s="2" t="s">
        <v>64</v>
      </c>
      <c r="F470" s="2" t="s">
        <v>70</v>
      </c>
      <c r="G470" s="2" t="s">
        <v>71</v>
      </c>
      <c r="H470" s="2" t="n">
        <v>1</v>
      </c>
      <c r="I470" s="2" t="n">
        <v>2500</v>
      </c>
      <c r="J470" s="2" t="n">
        <v>0.05</v>
      </c>
      <c r="K470" s="2" t="n">
        <v>1600</v>
      </c>
    </row>
    <row r="471" customFormat="false" ht="15" hidden="false" customHeight="false" outlineLevel="0" collapsed="false">
      <c r="A471" s="2" t="s">
        <v>742</v>
      </c>
      <c r="B471" s="2" t="s">
        <v>741</v>
      </c>
      <c r="C471" s="10" t="n">
        <v>46018</v>
      </c>
      <c r="D471" s="2" t="s">
        <v>81</v>
      </c>
      <c r="E471" s="2" t="s">
        <v>64</v>
      </c>
      <c r="F471" s="2" t="s">
        <v>73</v>
      </c>
      <c r="G471" s="2" t="s">
        <v>104</v>
      </c>
      <c r="H471" s="2" t="n">
        <v>2</v>
      </c>
      <c r="I471" s="2" t="n">
        <v>5500</v>
      </c>
      <c r="J471" s="2" t="n">
        <v>0.1</v>
      </c>
      <c r="K471" s="2" t="n">
        <v>3600</v>
      </c>
    </row>
    <row r="472" customFormat="false" ht="15" hidden="false" customHeight="false" outlineLevel="0" collapsed="false">
      <c r="A472" s="2" t="s">
        <v>743</v>
      </c>
      <c r="B472" s="2" t="s">
        <v>741</v>
      </c>
      <c r="C472" s="10" t="n">
        <v>46013</v>
      </c>
      <c r="D472" s="2" t="s">
        <v>81</v>
      </c>
      <c r="E472" s="2" t="s">
        <v>64</v>
      </c>
      <c r="F472" s="2" t="s">
        <v>70</v>
      </c>
      <c r="G472" s="2" t="s">
        <v>97</v>
      </c>
      <c r="H472" s="2" t="n">
        <v>2</v>
      </c>
      <c r="I472" s="2" t="n">
        <v>3000</v>
      </c>
      <c r="J472" s="2" t="n">
        <v>0.05</v>
      </c>
      <c r="K472" s="2" t="n">
        <v>2000</v>
      </c>
    </row>
    <row r="473" customFormat="false" ht="15" hidden="false" customHeight="false" outlineLevel="0" collapsed="false">
      <c r="A473" s="2" t="s">
        <v>744</v>
      </c>
      <c r="B473" s="2" t="s">
        <v>741</v>
      </c>
      <c r="C473" s="10" t="n">
        <v>45966</v>
      </c>
      <c r="D473" s="2" t="s">
        <v>81</v>
      </c>
      <c r="E473" s="2" t="s">
        <v>64</v>
      </c>
      <c r="F473" s="2" t="s">
        <v>65</v>
      </c>
      <c r="G473" s="2" t="s">
        <v>82</v>
      </c>
      <c r="H473" s="2" t="n">
        <v>5</v>
      </c>
      <c r="I473" s="2" t="n">
        <v>250</v>
      </c>
      <c r="J473" s="2" t="n">
        <v>0.05</v>
      </c>
      <c r="K473" s="2" t="n">
        <v>100</v>
      </c>
    </row>
    <row r="474" customFormat="false" ht="15" hidden="false" customHeight="false" outlineLevel="0" collapsed="false">
      <c r="A474" s="2" t="s">
        <v>745</v>
      </c>
      <c r="B474" s="2" t="s">
        <v>741</v>
      </c>
      <c r="C474" s="10" t="n">
        <v>45715</v>
      </c>
      <c r="D474" s="2" t="s">
        <v>81</v>
      </c>
      <c r="E474" s="2" t="s">
        <v>64</v>
      </c>
      <c r="F474" s="2" t="s">
        <v>73</v>
      </c>
      <c r="G474" s="2" t="s">
        <v>87</v>
      </c>
      <c r="H474" s="2" t="n">
        <v>3</v>
      </c>
      <c r="I474" s="2" t="n">
        <v>9000</v>
      </c>
      <c r="J474" s="2" t="n">
        <v>0</v>
      </c>
      <c r="K474" s="2" t="n">
        <v>6200</v>
      </c>
    </row>
    <row r="475" customFormat="false" ht="15" hidden="false" customHeight="false" outlineLevel="0" collapsed="false">
      <c r="A475" s="2" t="s">
        <v>746</v>
      </c>
      <c r="B475" s="2" t="s">
        <v>747</v>
      </c>
      <c r="C475" s="10" t="n">
        <v>45852</v>
      </c>
      <c r="D475" s="2" t="s">
        <v>515</v>
      </c>
      <c r="E475" s="2" t="s">
        <v>64</v>
      </c>
      <c r="F475" s="2" t="s">
        <v>73</v>
      </c>
      <c r="G475" s="2" t="s">
        <v>74</v>
      </c>
      <c r="H475" s="2" t="n">
        <v>3</v>
      </c>
      <c r="I475" s="2" t="n">
        <v>7000</v>
      </c>
      <c r="J475" s="2" t="n">
        <v>0</v>
      </c>
      <c r="K475" s="2" t="n">
        <v>4800</v>
      </c>
    </row>
    <row r="476" customFormat="false" ht="15" hidden="false" customHeight="false" outlineLevel="0" collapsed="false">
      <c r="A476" s="2" t="s">
        <v>748</v>
      </c>
      <c r="B476" s="2" t="s">
        <v>747</v>
      </c>
      <c r="C476" s="10" t="n">
        <v>45766</v>
      </c>
      <c r="D476" s="2" t="s">
        <v>77</v>
      </c>
      <c r="E476" s="2" t="s">
        <v>64</v>
      </c>
      <c r="F476" s="2" t="s">
        <v>70</v>
      </c>
      <c r="G476" s="2" t="s">
        <v>71</v>
      </c>
      <c r="H476" s="2" t="n">
        <v>1</v>
      </c>
      <c r="I476" s="2" t="n">
        <v>2500</v>
      </c>
      <c r="J476" s="2" t="n">
        <v>0.1</v>
      </c>
      <c r="K476" s="2" t="n">
        <v>1600</v>
      </c>
    </row>
    <row r="477" customFormat="false" ht="15" hidden="false" customHeight="false" outlineLevel="0" collapsed="false">
      <c r="A477" s="2" t="s">
        <v>749</v>
      </c>
      <c r="B477" s="2" t="s">
        <v>750</v>
      </c>
      <c r="C477" s="10" t="n">
        <v>45671</v>
      </c>
      <c r="D477" s="2" t="s">
        <v>63</v>
      </c>
      <c r="E477" s="2" t="s">
        <v>64</v>
      </c>
      <c r="F477" s="2" t="s">
        <v>70</v>
      </c>
      <c r="G477" s="2" t="s">
        <v>71</v>
      </c>
      <c r="H477" s="2" t="n">
        <v>2</v>
      </c>
      <c r="I477" s="2" t="n">
        <v>2500</v>
      </c>
      <c r="J477" s="2" t="n">
        <v>0</v>
      </c>
      <c r="K477" s="2" t="n">
        <v>1600</v>
      </c>
    </row>
    <row r="478" customFormat="false" ht="15" hidden="false" customHeight="false" outlineLevel="0" collapsed="false">
      <c r="A478" s="2" t="s">
        <v>751</v>
      </c>
      <c r="B478" s="2" t="s">
        <v>752</v>
      </c>
      <c r="C478" s="10" t="n">
        <v>45831</v>
      </c>
      <c r="D478" s="2" t="s">
        <v>81</v>
      </c>
      <c r="E478" s="2" t="s">
        <v>92</v>
      </c>
      <c r="F478" s="2" t="s">
        <v>65</v>
      </c>
      <c r="G478" s="2" t="s">
        <v>66</v>
      </c>
      <c r="H478" s="2" t="n">
        <v>22</v>
      </c>
      <c r="I478" s="2" t="n">
        <v>600</v>
      </c>
      <c r="J478" s="2" t="n">
        <v>0.15</v>
      </c>
      <c r="K478" s="2" t="n">
        <v>300</v>
      </c>
    </row>
    <row r="479" customFormat="false" ht="15" hidden="false" customHeight="false" outlineLevel="0" collapsed="false">
      <c r="A479" s="2" t="s">
        <v>753</v>
      </c>
      <c r="B479" s="2" t="s">
        <v>752</v>
      </c>
      <c r="C479" s="10" t="n">
        <v>45670</v>
      </c>
      <c r="D479" s="2" t="s">
        <v>81</v>
      </c>
      <c r="E479" s="2" t="s">
        <v>92</v>
      </c>
      <c r="F479" s="2" t="s">
        <v>70</v>
      </c>
      <c r="G479" s="2" t="s">
        <v>97</v>
      </c>
      <c r="H479" s="2" t="n">
        <v>4</v>
      </c>
      <c r="I479" s="2" t="n">
        <v>3000</v>
      </c>
      <c r="J479" s="2" t="n">
        <v>0.1</v>
      </c>
      <c r="K479" s="2" t="n">
        <v>2000</v>
      </c>
    </row>
    <row r="480" customFormat="false" ht="15" hidden="false" customHeight="false" outlineLevel="0" collapsed="false">
      <c r="A480" s="2" t="s">
        <v>754</v>
      </c>
      <c r="B480" s="2" t="s">
        <v>752</v>
      </c>
      <c r="C480" s="10" t="n">
        <v>46004</v>
      </c>
      <c r="D480" s="2" t="s">
        <v>81</v>
      </c>
      <c r="E480" s="2" t="s">
        <v>92</v>
      </c>
      <c r="F480" s="2" t="s">
        <v>73</v>
      </c>
      <c r="G480" s="2" t="s">
        <v>85</v>
      </c>
      <c r="H480" s="2" t="n">
        <v>2</v>
      </c>
      <c r="I480" s="2" t="n">
        <v>1200</v>
      </c>
      <c r="J480" s="2" t="n">
        <v>0.15</v>
      </c>
      <c r="K480" s="2" t="n">
        <v>600</v>
      </c>
    </row>
    <row r="481" customFormat="false" ht="15" hidden="false" customHeight="false" outlineLevel="0" collapsed="false">
      <c r="A481" s="2" t="s">
        <v>755</v>
      </c>
      <c r="B481" s="2" t="s">
        <v>752</v>
      </c>
      <c r="C481" s="10" t="n">
        <v>45683</v>
      </c>
      <c r="D481" s="2" t="s">
        <v>756</v>
      </c>
      <c r="E481" s="2" t="s">
        <v>92</v>
      </c>
      <c r="F481" s="2" t="s">
        <v>73</v>
      </c>
      <c r="G481" s="2" t="s">
        <v>85</v>
      </c>
      <c r="H481" s="2" t="n">
        <v>6</v>
      </c>
      <c r="I481" s="2" t="n">
        <v>1200</v>
      </c>
      <c r="J481" s="2" t="n">
        <v>0.1</v>
      </c>
      <c r="K481" s="2" t="n">
        <v>600</v>
      </c>
    </row>
    <row r="482" customFormat="false" ht="15" hidden="false" customHeight="false" outlineLevel="0" collapsed="false">
      <c r="A482" s="2" t="s">
        <v>757</v>
      </c>
      <c r="B482" s="2" t="s">
        <v>752</v>
      </c>
      <c r="C482" s="10" t="n">
        <v>45994</v>
      </c>
      <c r="D482" s="2" t="s">
        <v>81</v>
      </c>
      <c r="E482" s="2" t="s">
        <v>92</v>
      </c>
      <c r="F482" s="2" t="s">
        <v>70</v>
      </c>
      <c r="G482" s="2" t="s">
        <v>126</v>
      </c>
      <c r="H482" s="2" t="n">
        <v>5</v>
      </c>
      <c r="I482" s="2" t="n">
        <v>4500</v>
      </c>
      <c r="J482" s="2" t="n">
        <v>0.1</v>
      </c>
      <c r="K482" s="2" t="n">
        <v>3300</v>
      </c>
    </row>
    <row r="483" customFormat="false" ht="15" hidden="false" customHeight="false" outlineLevel="0" collapsed="false">
      <c r="A483" s="2" t="s">
        <v>758</v>
      </c>
      <c r="B483" s="2" t="s">
        <v>759</v>
      </c>
      <c r="C483" s="10" t="n">
        <v>45815</v>
      </c>
      <c r="D483" s="2" t="s">
        <v>77</v>
      </c>
      <c r="E483" s="2" t="s">
        <v>69</v>
      </c>
      <c r="F483" s="2" t="s">
        <v>65</v>
      </c>
      <c r="G483" s="2" t="s">
        <v>66</v>
      </c>
      <c r="H483" s="2" t="n">
        <v>12</v>
      </c>
      <c r="I483" s="2" t="n">
        <v>600</v>
      </c>
      <c r="J483" s="2" t="n">
        <v>0</v>
      </c>
      <c r="K483" s="2" t="n">
        <v>300</v>
      </c>
    </row>
    <row r="484" customFormat="false" ht="15" hidden="false" customHeight="false" outlineLevel="0" collapsed="false">
      <c r="A484" s="2" t="s">
        <v>760</v>
      </c>
      <c r="B484" s="2" t="s">
        <v>761</v>
      </c>
      <c r="C484" s="10" t="n">
        <v>45888</v>
      </c>
      <c r="D484" s="2" t="s">
        <v>77</v>
      </c>
      <c r="E484" s="2" t="s">
        <v>64</v>
      </c>
      <c r="F484" s="2" t="s">
        <v>70</v>
      </c>
      <c r="G484" s="2" t="s">
        <v>97</v>
      </c>
      <c r="H484" s="2" t="n">
        <v>1</v>
      </c>
      <c r="I484" s="2" t="n">
        <v>3000</v>
      </c>
      <c r="J484" s="2" t="n">
        <v>0</v>
      </c>
      <c r="K484" s="2" t="n">
        <v>2000</v>
      </c>
    </row>
    <row r="485" customFormat="false" ht="15" hidden="false" customHeight="false" outlineLevel="0" collapsed="false">
      <c r="A485" s="2" t="s">
        <v>762</v>
      </c>
      <c r="B485" s="2" t="s">
        <v>761</v>
      </c>
      <c r="C485" s="10" t="n">
        <v>45918</v>
      </c>
      <c r="D485" s="2" t="s">
        <v>77</v>
      </c>
      <c r="E485" s="2" t="s">
        <v>64</v>
      </c>
      <c r="F485" s="2" t="s">
        <v>70</v>
      </c>
      <c r="G485" s="2" t="s">
        <v>97</v>
      </c>
      <c r="H485" s="2" t="n">
        <v>2</v>
      </c>
      <c r="I485" s="2" t="n">
        <v>3000</v>
      </c>
      <c r="J485" s="2" t="n">
        <v>0</v>
      </c>
      <c r="K485" s="2" t="n">
        <v>2000</v>
      </c>
    </row>
    <row r="486" customFormat="false" ht="15" hidden="false" customHeight="false" outlineLevel="0" collapsed="false">
      <c r="A486" s="2" t="s">
        <v>763</v>
      </c>
      <c r="B486" s="2" t="s">
        <v>764</v>
      </c>
      <c r="C486" s="10" t="n">
        <v>45700</v>
      </c>
      <c r="D486" s="2" t="s">
        <v>91</v>
      </c>
      <c r="E486" s="2" t="s">
        <v>64</v>
      </c>
      <c r="F486" s="2" t="s">
        <v>65</v>
      </c>
      <c r="G486" s="2" t="s">
        <v>107</v>
      </c>
      <c r="H486" s="2" t="n">
        <v>6</v>
      </c>
      <c r="I486" s="2" t="n">
        <v>500</v>
      </c>
      <c r="J486" s="2" t="n">
        <v>0.05</v>
      </c>
      <c r="K486" s="2" t="n">
        <v>250</v>
      </c>
    </row>
    <row r="487" customFormat="false" ht="15" hidden="false" customHeight="false" outlineLevel="0" collapsed="false">
      <c r="A487" s="2" t="s">
        <v>765</v>
      </c>
      <c r="B487" s="2"/>
      <c r="C487" s="10" t="n">
        <v>45769</v>
      </c>
      <c r="D487" s="2" t="s">
        <v>91</v>
      </c>
      <c r="E487" s="2" t="s">
        <v>64</v>
      </c>
      <c r="F487" s="2" t="s">
        <v>65</v>
      </c>
      <c r="G487" s="2" t="s">
        <v>78</v>
      </c>
      <c r="H487" s="2" t="n">
        <v>6</v>
      </c>
      <c r="I487" s="2" t="n">
        <v>400</v>
      </c>
      <c r="J487" s="2" t="n">
        <v>0</v>
      </c>
      <c r="K487" s="2" t="n">
        <v>200</v>
      </c>
    </row>
    <row r="488" customFormat="false" ht="15" hidden="false" customHeight="false" outlineLevel="0" collapsed="false">
      <c r="A488" s="2" t="s">
        <v>766</v>
      </c>
      <c r="B488" s="2" t="s">
        <v>767</v>
      </c>
      <c r="C488" s="10" t="n">
        <v>45789</v>
      </c>
      <c r="D488" s="2" t="s">
        <v>81</v>
      </c>
      <c r="E488" s="2" t="s">
        <v>64</v>
      </c>
      <c r="F488" s="2" t="s">
        <v>73</v>
      </c>
      <c r="G488" s="2" t="s">
        <v>74</v>
      </c>
      <c r="H488" s="2" t="n">
        <v>3</v>
      </c>
      <c r="I488" s="2" t="n">
        <v>7000</v>
      </c>
      <c r="J488" s="2" t="n">
        <v>0.05</v>
      </c>
      <c r="K488" s="2" t="n">
        <v>4800</v>
      </c>
    </row>
    <row r="489" customFormat="false" ht="15" hidden="false" customHeight="false" outlineLevel="0" collapsed="false">
      <c r="A489" s="2" t="s">
        <v>768</v>
      </c>
      <c r="B489" s="2" t="s">
        <v>769</v>
      </c>
      <c r="C489" s="10" t="n">
        <v>45914</v>
      </c>
      <c r="D489" s="2" t="s">
        <v>63</v>
      </c>
      <c r="E489" s="2" t="s">
        <v>64</v>
      </c>
      <c r="F489" s="2" t="s">
        <v>65</v>
      </c>
      <c r="G489" s="2" t="s">
        <v>107</v>
      </c>
      <c r="H489" s="2" t="n">
        <v>7</v>
      </c>
      <c r="I489" s="2" t="n">
        <v>500</v>
      </c>
      <c r="J489" s="2" t="n">
        <v>0</v>
      </c>
      <c r="K489" s="2" t="n">
        <v>250</v>
      </c>
    </row>
    <row r="490" customFormat="false" ht="15" hidden="false" customHeight="false" outlineLevel="0" collapsed="false">
      <c r="A490" s="2" t="s">
        <v>770</v>
      </c>
      <c r="B490" s="2" t="s">
        <v>769</v>
      </c>
      <c r="C490" s="10" t="n">
        <v>45980</v>
      </c>
      <c r="D490" s="2" t="s">
        <v>63</v>
      </c>
      <c r="E490" s="2" t="s">
        <v>64</v>
      </c>
      <c r="F490" s="2" t="s">
        <v>65</v>
      </c>
      <c r="G490" s="2" t="s">
        <v>107</v>
      </c>
      <c r="H490" s="2" t="n">
        <v>5</v>
      </c>
      <c r="I490" s="2" t="n">
        <v>500</v>
      </c>
      <c r="J490" s="2" t="n">
        <v>0.15</v>
      </c>
      <c r="K490" s="2" t="n">
        <v>250</v>
      </c>
    </row>
    <row r="491" customFormat="false" ht="15" hidden="false" customHeight="false" outlineLevel="0" collapsed="false">
      <c r="A491" s="2" t="s">
        <v>771</v>
      </c>
      <c r="B491" s="2" t="s">
        <v>772</v>
      </c>
      <c r="C491" s="10" t="n">
        <v>45875</v>
      </c>
      <c r="D491" s="2" t="s">
        <v>81</v>
      </c>
      <c r="E491" s="2" t="s">
        <v>64</v>
      </c>
      <c r="F491" s="2" t="s">
        <v>73</v>
      </c>
      <c r="G491" s="2" t="s">
        <v>104</v>
      </c>
      <c r="H491" s="2" t="n">
        <v>3</v>
      </c>
      <c r="I491" s="2" t="n">
        <v>5500</v>
      </c>
      <c r="J491" s="2" t="n">
        <v>0</v>
      </c>
      <c r="K491" s="2" t="n">
        <v>3600</v>
      </c>
    </row>
    <row r="492" customFormat="false" ht="15" hidden="false" customHeight="false" outlineLevel="0" collapsed="false">
      <c r="A492" s="2" t="s">
        <v>773</v>
      </c>
      <c r="B492" s="2" t="s">
        <v>772</v>
      </c>
      <c r="C492" s="10" t="n">
        <v>45978</v>
      </c>
      <c r="D492" s="2" t="s">
        <v>81</v>
      </c>
      <c r="E492" s="2" t="s">
        <v>64</v>
      </c>
      <c r="F492" s="2" t="s">
        <v>70</v>
      </c>
      <c r="G492" s="2" t="s">
        <v>122</v>
      </c>
      <c r="H492" s="2" t="n">
        <v>2</v>
      </c>
      <c r="I492" s="2" t="n">
        <v>1500</v>
      </c>
      <c r="J492" s="2" t="n">
        <v>0.05</v>
      </c>
      <c r="K492" s="2" t="n">
        <v>900</v>
      </c>
    </row>
    <row r="493" customFormat="false" ht="15" hidden="false" customHeight="false" outlineLevel="0" collapsed="false">
      <c r="A493" s="2" t="s">
        <v>774</v>
      </c>
      <c r="B493" s="2" t="s">
        <v>775</v>
      </c>
      <c r="C493" s="10" t="n">
        <v>45684</v>
      </c>
      <c r="D493" s="2" t="s">
        <v>63</v>
      </c>
      <c r="E493" s="2" t="s">
        <v>64</v>
      </c>
      <c r="F493" s="2" t="s">
        <v>70</v>
      </c>
      <c r="G493" s="2" t="s">
        <v>126</v>
      </c>
      <c r="H493" s="2" t="n">
        <v>1</v>
      </c>
      <c r="I493" s="2" t="n">
        <v>4500</v>
      </c>
      <c r="J493" s="2" t="n">
        <v>0</v>
      </c>
      <c r="K493" s="2" t="n">
        <v>3300</v>
      </c>
    </row>
    <row r="494" customFormat="false" ht="15" hidden="false" customHeight="false" outlineLevel="0" collapsed="false">
      <c r="A494" s="2" t="s">
        <v>776</v>
      </c>
      <c r="B494" s="2" t="s">
        <v>775</v>
      </c>
      <c r="C494" s="10" t="n">
        <v>45988</v>
      </c>
      <c r="D494" s="2" t="s">
        <v>63</v>
      </c>
      <c r="E494" s="2" t="s">
        <v>64</v>
      </c>
      <c r="F494" s="2" t="s">
        <v>65</v>
      </c>
      <c r="G494" s="2" t="s">
        <v>107</v>
      </c>
      <c r="H494" s="2" t="n">
        <v>7</v>
      </c>
      <c r="I494" s="2" t="n">
        <v>500</v>
      </c>
      <c r="J494" s="2" t="n">
        <v>0.05</v>
      </c>
      <c r="K494" s="2" t="n">
        <v>250</v>
      </c>
    </row>
    <row r="495" customFormat="false" ht="15" hidden="false" customHeight="false" outlineLevel="0" collapsed="false">
      <c r="A495" s="2" t="s">
        <v>777</v>
      </c>
      <c r="B495" s="2" t="s">
        <v>778</v>
      </c>
      <c r="C495" s="10" t="n">
        <v>45779</v>
      </c>
      <c r="D495" s="2" t="s">
        <v>91</v>
      </c>
      <c r="E495" s="2" t="s">
        <v>92</v>
      </c>
      <c r="F495" s="2" t="s">
        <v>65</v>
      </c>
      <c r="G495" s="2" t="s">
        <v>82</v>
      </c>
      <c r="H495" s="2" t="n">
        <v>23</v>
      </c>
      <c r="I495" s="2" t="n">
        <v>250</v>
      </c>
      <c r="J495" s="2" t="n">
        <v>0.05</v>
      </c>
      <c r="K495" s="2" t="n">
        <v>100</v>
      </c>
    </row>
    <row r="496" customFormat="false" ht="15" hidden="false" customHeight="false" outlineLevel="0" collapsed="false">
      <c r="A496" s="2" t="s">
        <v>779</v>
      </c>
      <c r="B496" s="2" t="s">
        <v>778</v>
      </c>
      <c r="C496" s="10" t="n">
        <v>45770</v>
      </c>
      <c r="D496" s="2" t="s">
        <v>91</v>
      </c>
      <c r="E496" s="2" t="s">
        <v>92</v>
      </c>
      <c r="F496" s="2" t="s">
        <v>70</v>
      </c>
      <c r="G496" s="2" t="s">
        <v>71</v>
      </c>
      <c r="H496" s="2" t="n">
        <v>7</v>
      </c>
      <c r="I496" s="2" t="n">
        <v>2500</v>
      </c>
      <c r="J496" s="2" t="n">
        <v>0</v>
      </c>
      <c r="K496" s="2" t="n">
        <v>1600</v>
      </c>
    </row>
    <row r="497" customFormat="false" ht="15" hidden="false" customHeight="false" outlineLevel="0" collapsed="false">
      <c r="A497" s="2" t="s">
        <v>780</v>
      </c>
      <c r="B497" s="2" t="s">
        <v>778</v>
      </c>
      <c r="C497" s="10" t="n">
        <v>45910</v>
      </c>
      <c r="D497" s="2" t="s">
        <v>91</v>
      </c>
      <c r="E497" s="2" t="s">
        <v>92</v>
      </c>
      <c r="F497" s="2" t="s">
        <v>65</v>
      </c>
      <c r="G497" s="2" t="s">
        <v>107</v>
      </c>
      <c r="H497" s="2" t="n">
        <v>19</v>
      </c>
      <c r="I497" s="2" t="n">
        <v>500</v>
      </c>
      <c r="J497" s="2" t="n">
        <v>0</v>
      </c>
      <c r="K497" s="2" t="n">
        <v>250</v>
      </c>
    </row>
    <row r="498" customFormat="false" ht="15" hidden="false" customHeight="false" outlineLevel="0" collapsed="false">
      <c r="A498" s="2" t="s">
        <v>781</v>
      </c>
      <c r="B498" s="2" t="s">
        <v>778</v>
      </c>
      <c r="C498" s="10" t="n">
        <v>46013</v>
      </c>
      <c r="D498" s="2" t="s">
        <v>91</v>
      </c>
      <c r="E498" s="2" t="s">
        <v>92</v>
      </c>
      <c r="F498" s="2" t="s">
        <v>65</v>
      </c>
      <c r="G498" s="2" t="s">
        <v>107</v>
      </c>
      <c r="H498" s="2" t="n">
        <v>28</v>
      </c>
      <c r="I498" s="2" t="n">
        <v>500</v>
      </c>
      <c r="J498" s="2" t="n">
        <v>0.05</v>
      </c>
      <c r="K498" s="2" t="n">
        <v>250</v>
      </c>
    </row>
    <row r="499" customFormat="false" ht="15" hidden="false" customHeight="false" outlineLevel="0" collapsed="false">
      <c r="A499" s="2" t="s">
        <v>782</v>
      </c>
      <c r="B499" s="2" t="s">
        <v>783</v>
      </c>
      <c r="C499" s="10" t="n">
        <v>46010</v>
      </c>
      <c r="D499" s="2" t="s">
        <v>77</v>
      </c>
      <c r="E499" s="2" t="s">
        <v>64</v>
      </c>
      <c r="F499" s="2" t="s">
        <v>65</v>
      </c>
      <c r="G499" s="2" t="s">
        <v>78</v>
      </c>
      <c r="H499" s="2" t="n">
        <v>3</v>
      </c>
      <c r="I499" s="2" t="n">
        <v>400</v>
      </c>
      <c r="J499" s="2" t="n">
        <v>0.15</v>
      </c>
      <c r="K499" s="2" t="n">
        <v>200</v>
      </c>
    </row>
    <row r="500" customFormat="false" ht="15" hidden="false" customHeight="false" outlineLevel="0" collapsed="false">
      <c r="A500" s="2" t="s">
        <v>784</v>
      </c>
      <c r="B500" s="2" t="s">
        <v>783</v>
      </c>
      <c r="C500" s="10" t="n">
        <v>45975</v>
      </c>
      <c r="D500" s="2" t="s">
        <v>77</v>
      </c>
      <c r="E500" s="2" t="s">
        <v>64</v>
      </c>
      <c r="F500" s="2" t="s">
        <v>65</v>
      </c>
      <c r="G500" s="2" t="s">
        <v>66</v>
      </c>
      <c r="H500" s="2" t="n">
        <v>8</v>
      </c>
      <c r="I500" s="2" t="n">
        <v>600</v>
      </c>
      <c r="J500" s="2" t="n">
        <v>0.05</v>
      </c>
      <c r="K500" s="2" t="n">
        <v>300</v>
      </c>
    </row>
    <row r="501" customFormat="false" ht="15" hidden="false" customHeight="false" outlineLevel="0" collapsed="false">
      <c r="A501" s="2" t="s">
        <v>785</v>
      </c>
      <c r="B501" s="2" t="s">
        <v>783</v>
      </c>
      <c r="C501" s="10" t="n">
        <v>45934</v>
      </c>
      <c r="D501" s="2" t="s">
        <v>77</v>
      </c>
      <c r="E501" s="2" t="s">
        <v>64</v>
      </c>
      <c r="F501" s="2" t="s">
        <v>73</v>
      </c>
      <c r="G501" s="2" t="s">
        <v>74</v>
      </c>
      <c r="H501" s="2" t="n">
        <v>1</v>
      </c>
      <c r="I501" s="2" t="n">
        <v>7000</v>
      </c>
      <c r="J501" s="2" t="n">
        <v>0.15</v>
      </c>
      <c r="K501" s="2" t="n">
        <v>4800</v>
      </c>
    </row>
    <row r="502" customFormat="false" ht="15" hidden="false" customHeight="false" outlineLevel="0" collapsed="false">
      <c r="A502" s="2" t="s">
        <v>786</v>
      </c>
      <c r="B502" s="2" t="s">
        <v>787</v>
      </c>
      <c r="C502" s="10" t="n">
        <v>46007</v>
      </c>
      <c r="D502" s="2" t="s">
        <v>81</v>
      </c>
      <c r="E502" s="2" t="s">
        <v>69</v>
      </c>
      <c r="F502" s="2" t="s">
        <v>70</v>
      </c>
      <c r="G502" s="2" t="s">
        <v>71</v>
      </c>
      <c r="H502" s="2" t="n">
        <v>1</v>
      </c>
      <c r="I502" s="2" t="n">
        <v>2500</v>
      </c>
      <c r="J502" s="2" t="n">
        <v>0.15</v>
      </c>
      <c r="K502" s="2" t="n">
        <v>1600</v>
      </c>
    </row>
    <row r="503" customFormat="false" ht="15" hidden="false" customHeight="false" outlineLevel="0" collapsed="false">
      <c r="A503" s="2" t="s">
        <v>788</v>
      </c>
      <c r="B503" s="2" t="s">
        <v>789</v>
      </c>
      <c r="C503" s="10" t="n">
        <v>45859</v>
      </c>
      <c r="D503" s="2" t="s">
        <v>63</v>
      </c>
      <c r="E503" s="2" t="s">
        <v>64</v>
      </c>
      <c r="F503" s="2" t="s">
        <v>65</v>
      </c>
      <c r="G503" s="2" t="s">
        <v>107</v>
      </c>
      <c r="H503" s="2" t="n">
        <v>6</v>
      </c>
      <c r="I503" s="2" t="n">
        <v>500</v>
      </c>
      <c r="J503" s="2" t="n">
        <v>0</v>
      </c>
      <c r="K503" s="2" t="n">
        <v>250</v>
      </c>
    </row>
    <row r="504" customFormat="false" ht="15" hidden="false" customHeight="false" outlineLevel="0" collapsed="false">
      <c r="A504" s="2" t="s">
        <v>790</v>
      </c>
      <c r="B504" s="2" t="s">
        <v>789</v>
      </c>
      <c r="C504" s="10" t="n">
        <v>46014</v>
      </c>
      <c r="D504" s="2" t="s">
        <v>63</v>
      </c>
      <c r="E504" s="2" t="s">
        <v>64</v>
      </c>
      <c r="F504" s="2" t="s">
        <v>73</v>
      </c>
      <c r="G504" s="2" t="s">
        <v>74</v>
      </c>
      <c r="H504" s="2" t="n">
        <v>3</v>
      </c>
      <c r="I504" s="2" t="n">
        <v>7000</v>
      </c>
      <c r="J504" s="2" t="n">
        <v>0.05</v>
      </c>
      <c r="K504" s="2" t="n">
        <v>4800</v>
      </c>
    </row>
    <row r="505" customFormat="false" ht="15" hidden="false" customHeight="false" outlineLevel="0" collapsed="false">
      <c r="A505" s="2" t="s">
        <v>791</v>
      </c>
      <c r="B505" s="2" t="s">
        <v>792</v>
      </c>
      <c r="C505" s="10" t="n">
        <v>46000</v>
      </c>
      <c r="D505" s="2" t="s">
        <v>63</v>
      </c>
      <c r="E505" s="2" t="s">
        <v>69</v>
      </c>
      <c r="F505" s="2" t="s">
        <v>65</v>
      </c>
      <c r="G505" s="2" t="s">
        <v>82</v>
      </c>
      <c r="H505" s="2" t="n">
        <v>13</v>
      </c>
      <c r="I505" s="2" t="n">
        <v>250</v>
      </c>
      <c r="J505" s="2" t="n">
        <v>0.05</v>
      </c>
      <c r="K505" s="2" t="n">
        <v>100</v>
      </c>
    </row>
    <row r="506" customFormat="false" ht="15" hidden="false" customHeight="false" outlineLevel="0" collapsed="false">
      <c r="A506" s="2" t="s">
        <v>793</v>
      </c>
      <c r="B506" s="2" t="s">
        <v>792</v>
      </c>
      <c r="C506" s="10" t="n">
        <v>45731</v>
      </c>
      <c r="D506" s="2" t="s">
        <v>63</v>
      </c>
      <c r="E506" s="2" t="s">
        <v>69</v>
      </c>
      <c r="F506" s="2" t="s">
        <v>65</v>
      </c>
      <c r="G506" s="2" t="s">
        <v>78</v>
      </c>
      <c r="H506" s="2" t="n">
        <v>7</v>
      </c>
      <c r="I506" s="2" t="n">
        <v>400</v>
      </c>
      <c r="J506" s="2" t="n">
        <v>0</v>
      </c>
      <c r="K506" s="2" t="n">
        <v>200</v>
      </c>
    </row>
    <row r="507" customFormat="false" ht="15" hidden="false" customHeight="false" outlineLevel="0" collapsed="false">
      <c r="A507" s="2" t="s">
        <v>794</v>
      </c>
      <c r="B507" s="2" t="s">
        <v>795</v>
      </c>
      <c r="C507" s="10" t="n">
        <v>45888</v>
      </c>
      <c r="D507" s="2" t="s">
        <v>77</v>
      </c>
      <c r="E507" s="2" t="s">
        <v>64</v>
      </c>
      <c r="F507" s="2" t="s">
        <v>65</v>
      </c>
      <c r="G507" s="2" t="s">
        <v>107</v>
      </c>
      <c r="H507" s="2" t="n">
        <v>2</v>
      </c>
      <c r="I507" s="2" t="n">
        <v>500</v>
      </c>
      <c r="J507" s="2" t="n">
        <v>0.05</v>
      </c>
      <c r="K507" s="2" t="n">
        <v>250</v>
      </c>
    </row>
    <row r="508" customFormat="false" ht="15" hidden="false" customHeight="false" outlineLevel="0" collapsed="false">
      <c r="A508" s="2" t="s">
        <v>796</v>
      </c>
      <c r="B508" s="2" t="s">
        <v>797</v>
      </c>
      <c r="C508" s="10" t="n">
        <v>45969</v>
      </c>
      <c r="D508" s="2" t="s">
        <v>77</v>
      </c>
      <c r="E508" s="2" t="s">
        <v>69</v>
      </c>
      <c r="F508" s="2" t="s">
        <v>70</v>
      </c>
      <c r="G508" s="2" t="s">
        <v>71</v>
      </c>
      <c r="H508" s="2" t="n">
        <v>1</v>
      </c>
      <c r="I508" s="2" t="n">
        <v>2500</v>
      </c>
      <c r="J508" s="2" t="n">
        <v>0.05</v>
      </c>
      <c r="K508" s="2" t="n">
        <v>1600</v>
      </c>
    </row>
    <row r="509" customFormat="false" ht="15" hidden="false" customHeight="false" outlineLevel="0" collapsed="false">
      <c r="A509" s="2" t="s">
        <v>798</v>
      </c>
      <c r="B509" s="2" t="s">
        <v>797</v>
      </c>
      <c r="C509" s="10" t="n">
        <v>45911</v>
      </c>
      <c r="D509" s="2" t="s">
        <v>77</v>
      </c>
      <c r="E509" s="2" t="s">
        <v>69</v>
      </c>
      <c r="F509" s="2" t="s">
        <v>73</v>
      </c>
      <c r="G509" s="2" t="s">
        <v>87</v>
      </c>
      <c r="H509" s="2" t="n">
        <v>2</v>
      </c>
      <c r="I509" s="2" t="n">
        <v>9000</v>
      </c>
      <c r="J509" s="2" t="n">
        <v>0</v>
      </c>
      <c r="K509" s="2" t="n">
        <v>6200</v>
      </c>
    </row>
    <row r="510" customFormat="false" ht="15" hidden="false" customHeight="false" outlineLevel="0" collapsed="false">
      <c r="A510" s="2" t="s">
        <v>799</v>
      </c>
      <c r="B510" s="2" t="s">
        <v>797</v>
      </c>
      <c r="C510" s="10" t="n">
        <v>45878</v>
      </c>
      <c r="D510" s="2" t="s">
        <v>77</v>
      </c>
      <c r="E510" s="2" t="s">
        <v>69</v>
      </c>
      <c r="F510" s="2" t="s">
        <v>70</v>
      </c>
      <c r="G510" s="2" t="s">
        <v>71</v>
      </c>
      <c r="H510" s="2" t="n">
        <v>3</v>
      </c>
      <c r="I510" s="2" t="n">
        <v>2500</v>
      </c>
      <c r="J510" s="2" t="n">
        <v>0.1</v>
      </c>
      <c r="K510" s="2" t="n">
        <v>1600</v>
      </c>
    </row>
    <row r="511" customFormat="false" ht="15" hidden="false" customHeight="false" outlineLevel="0" collapsed="false">
      <c r="A511" s="2" t="s">
        <v>800</v>
      </c>
      <c r="B511" s="2" t="s">
        <v>801</v>
      </c>
      <c r="C511" s="10" t="n">
        <v>45679</v>
      </c>
      <c r="D511" s="2" t="s">
        <v>91</v>
      </c>
      <c r="E511" s="2" t="s">
        <v>92</v>
      </c>
      <c r="F511" s="2" t="s">
        <v>65</v>
      </c>
      <c r="G511" s="2" t="s">
        <v>107</v>
      </c>
      <c r="H511" s="2" t="n">
        <v>31</v>
      </c>
      <c r="I511" s="2" t="n">
        <v>500</v>
      </c>
      <c r="J511" s="2" t="n">
        <v>0.15</v>
      </c>
      <c r="K511" s="2" t="n">
        <v>250</v>
      </c>
    </row>
    <row r="512" customFormat="false" ht="15" hidden="false" customHeight="false" outlineLevel="0" collapsed="false">
      <c r="A512" s="2" t="s">
        <v>802</v>
      </c>
      <c r="B512" s="2" t="s">
        <v>801</v>
      </c>
      <c r="C512" s="10" t="n">
        <v>45748</v>
      </c>
      <c r="D512" s="2" t="s">
        <v>91</v>
      </c>
      <c r="E512" s="2" t="s">
        <v>92</v>
      </c>
      <c r="F512" s="2" t="s">
        <v>70</v>
      </c>
      <c r="G512" s="2" t="s">
        <v>126</v>
      </c>
      <c r="H512" s="2" t="n">
        <v>5</v>
      </c>
      <c r="I512" s="2" t="n">
        <v>4500</v>
      </c>
      <c r="J512" s="2" t="n">
        <v>0.15</v>
      </c>
      <c r="K512" s="2" t="n">
        <v>3300</v>
      </c>
    </row>
    <row r="513" customFormat="false" ht="15" hidden="false" customHeight="false" outlineLevel="0" collapsed="false">
      <c r="A513" s="2" t="s">
        <v>803</v>
      </c>
      <c r="B513" s="2" t="s">
        <v>801</v>
      </c>
      <c r="C513" s="10" t="n">
        <v>46004</v>
      </c>
      <c r="D513" s="2" t="s">
        <v>91</v>
      </c>
      <c r="E513" s="2" t="s">
        <v>92</v>
      </c>
      <c r="F513" s="2" t="s">
        <v>65</v>
      </c>
      <c r="G513" s="2" t="s">
        <v>82</v>
      </c>
      <c r="H513" s="2" t="n">
        <v>15</v>
      </c>
      <c r="I513" s="2" t="n">
        <v>250</v>
      </c>
      <c r="J513" s="2" t="n">
        <v>0.15</v>
      </c>
      <c r="K513" s="2" t="n">
        <v>100</v>
      </c>
    </row>
    <row r="514" customFormat="false" ht="15" hidden="false" customHeight="false" outlineLevel="0" collapsed="false">
      <c r="A514" s="2" t="s">
        <v>804</v>
      </c>
      <c r="B514" s="2" t="s">
        <v>805</v>
      </c>
      <c r="C514" s="10" t="n">
        <v>45942</v>
      </c>
      <c r="D514" s="2" t="s">
        <v>77</v>
      </c>
      <c r="E514" s="2" t="s">
        <v>69</v>
      </c>
      <c r="F514" s="2" t="s">
        <v>65</v>
      </c>
      <c r="G514" s="2" t="s">
        <v>82</v>
      </c>
      <c r="H514" s="2" t="n">
        <v>14</v>
      </c>
      <c r="I514" s="2" t="n">
        <v>250</v>
      </c>
      <c r="J514" s="2" t="n">
        <v>0.15</v>
      </c>
      <c r="K514" s="2" t="n">
        <v>100</v>
      </c>
    </row>
    <row r="515" customFormat="false" ht="15" hidden="false" customHeight="false" outlineLevel="0" collapsed="false">
      <c r="A515" s="2" t="s">
        <v>806</v>
      </c>
      <c r="B515" s="2" t="s">
        <v>807</v>
      </c>
      <c r="C515" s="10" t="n">
        <v>45699</v>
      </c>
      <c r="D515" s="2" t="s">
        <v>77</v>
      </c>
      <c r="E515" s="2" t="s">
        <v>64</v>
      </c>
      <c r="F515" s="2" t="s">
        <v>73</v>
      </c>
      <c r="G515" s="2" t="s">
        <v>74</v>
      </c>
      <c r="H515" s="2" t="n">
        <v>2</v>
      </c>
      <c r="I515" s="2" t="n">
        <v>7000</v>
      </c>
      <c r="J515" s="2" t="n">
        <v>0.05</v>
      </c>
      <c r="K515" s="2" t="n">
        <v>4800</v>
      </c>
    </row>
    <row r="516" customFormat="false" ht="15" hidden="false" customHeight="false" outlineLevel="0" collapsed="false">
      <c r="A516" s="2" t="s">
        <v>808</v>
      </c>
      <c r="B516" s="2" t="s">
        <v>807</v>
      </c>
      <c r="C516" s="10" t="n">
        <v>45684</v>
      </c>
      <c r="D516" s="2" t="s">
        <v>77</v>
      </c>
      <c r="E516" s="2" t="s">
        <v>64</v>
      </c>
      <c r="F516" s="2" t="s">
        <v>73</v>
      </c>
      <c r="G516" s="2" t="s">
        <v>85</v>
      </c>
      <c r="H516" s="2" t="n">
        <v>3</v>
      </c>
      <c r="I516" s="2" t="n">
        <v>1200</v>
      </c>
      <c r="J516" s="2" t="n">
        <v>0.05</v>
      </c>
      <c r="K516" s="2" t="n">
        <v>600</v>
      </c>
    </row>
    <row r="517" customFormat="false" ht="15" hidden="false" customHeight="false" outlineLevel="0" collapsed="false">
      <c r="A517" s="2" t="s">
        <v>809</v>
      </c>
      <c r="B517" s="2" t="s">
        <v>807</v>
      </c>
      <c r="C517" s="10" t="n">
        <v>45976</v>
      </c>
      <c r="D517" s="2" t="s">
        <v>77</v>
      </c>
      <c r="E517" s="2" t="s">
        <v>64</v>
      </c>
      <c r="F517" s="2" t="s">
        <v>73</v>
      </c>
      <c r="G517" s="2" t="s">
        <v>104</v>
      </c>
      <c r="H517" s="2" t="n">
        <v>3</v>
      </c>
      <c r="I517" s="2" t="n">
        <v>5500</v>
      </c>
      <c r="J517" s="2" t="n">
        <v>0.05</v>
      </c>
      <c r="K517" s="2" t="n">
        <v>3600</v>
      </c>
    </row>
    <row r="518" customFormat="false" ht="15" hidden="false" customHeight="false" outlineLevel="0" collapsed="false">
      <c r="A518" s="2" t="s">
        <v>810</v>
      </c>
      <c r="B518" s="2" t="s">
        <v>807</v>
      </c>
      <c r="C518" s="10" t="n">
        <v>46000</v>
      </c>
      <c r="D518" s="2" t="s">
        <v>77</v>
      </c>
      <c r="E518" s="2" t="s">
        <v>64</v>
      </c>
      <c r="F518" s="2" t="s">
        <v>73</v>
      </c>
      <c r="G518" s="2" t="s">
        <v>104</v>
      </c>
      <c r="H518" s="2" t="n">
        <v>2</v>
      </c>
      <c r="I518" s="2" t="n">
        <v>5500</v>
      </c>
      <c r="J518" s="2" t="n">
        <v>0.05</v>
      </c>
      <c r="K518" s="2" t="n">
        <v>3600</v>
      </c>
    </row>
    <row r="519" customFormat="false" ht="15" hidden="false" customHeight="false" outlineLevel="0" collapsed="false">
      <c r="A519" s="2" t="s">
        <v>811</v>
      </c>
      <c r="B519" s="2" t="s">
        <v>812</v>
      </c>
      <c r="C519" s="10" t="n">
        <v>45691</v>
      </c>
      <c r="D519" s="2" t="s">
        <v>63</v>
      </c>
      <c r="E519" s="2" t="s">
        <v>69</v>
      </c>
      <c r="F519" s="2" t="s">
        <v>70</v>
      </c>
      <c r="G519" s="2" t="s">
        <v>71</v>
      </c>
      <c r="H519" s="2" t="n">
        <v>2</v>
      </c>
      <c r="I519" s="2" t="n">
        <v>2500</v>
      </c>
      <c r="J519" s="2" t="n">
        <v>0</v>
      </c>
      <c r="K519" s="2" t="n">
        <v>1600</v>
      </c>
    </row>
    <row r="520" customFormat="false" ht="15" hidden="false" customHeight="false" outlineLevel="0" collapsed="false">
      <c r="A520" s="2" t="s">
        <v>813</v>
      </c>
      <c r="B520" s="2" t="s">
        <v>812</v>
      </c>
      <c r="C520" s="10" t="n">
        <v>45795</v>
      </c>
      <c r="D520" s="2" t="s">
        <v>63</v>
      </c>
      <c r="E520" s="2" t="s">
        <v>69</v>
      </c>
      <c r="F520" s="2" t="s">
        <v>70</v>
      </c>
      <c r="G520" s="2" t="s">
        <v>126</v>
      </c>
      <c r="H520" s="2" t="n">
        <v>5</v>
      </c>
      <c r="I520" s="2" t="n">
        <v>4500</v>
      </c>
      <c r="J520" s="2" t="n">
        <v>0</v>
      </c>
      <c r="K520" s="2" t="n">
        <v>3300</v>
      </c>
    </row>
    <row r="521" customFormat="false" ht="15" hidden="false" customHeight="false" outlineLevel="0" collapsed="false">
      <c r="A521" s="2" t="s">
        <v>814</v>
      </c>
      <c r="B521" s="2" t="s">
        <v>812</v>
      </c>
      <c r="C521" s="10" t="n">
        <v>45973</v>
      </c>
      <c r="D521" s="2" t="s">
        <v>63</v>
      </c>
      <c r="E521" s="2" t="s">
        <v>69</v>
      </c>
      <c r="F521" s="2" t="s">
        <v>73</v>
      </c>
      <c r="G521" s="2" t="s">
        <v>85</v>
      </c>
      <c r="H521" s="2" t="n">
        <v>2</v>
      </c>
      <c r="I521" s="2" t="n">
        <v>1200</v>
      </c>
      <c r="J521" s="2" t="n">
        <v>0.05</v>
      </c>
      <c r="K521" s="2" t="n">
        <v>600</v>
      </c>
    </row>
    <row r="522" customFormat="false" ht="15" hidden="false" customHeight="false" outlineLevel="0" collapsed="false">
      <c r="A522" s="2" t="s">
        <v>815</v>
      </c>
      <c r="B522" s="2" t="s">
        <v>816</v>
      </c>
      <c r="C522" s="10" t="n">
        <v>45998</v>
      </c>
      <c r="D522" s="2" t="s">
        <v>77</v>
      </c>
      <c r="E522" s="2" t="s">
        <v>69</v>
      </c>
      <c r="F522" s="2" t="s">
        <v>73</v>
      </c>
      <c r="G522" s="2" t="s">
        <v>87</v>
      </c>
      <c r="H522" s="2" t="n">
        <v>4</v>
      </c>
      <c r="I522" s="2" t="n">
        <v>9000</v>
      </c>
      <c r="J522" s="2" t="n">
        <v>0.15</v>
      </c>
      <c r="K522" s="2" t="n">
        <v>6200</v>
      </c>
    </row>
    <row r="523" customFormat="false" ht="15" hidden="false" customHeight="false" outlineLevel="0" collapsed="false">
      <c r="A523" s="2" t="s">
        <v>817</v>
      </c>
      <c r="B523" s="2" t="s">
        <v>816</v>
      </c>
      <c r="C523" s="10" t="n">
        <v>46013</v>
      </c>
      <c r="D523" s="2" t="s">
        <v>77</v>
      </c>
      <c r="E523" s="2" t="s">
        <v>69</v>
      </c>
      <c r="F523" s="2" t="s">
        <v>65</v>
      </c>
      <c r="G523" s="2" t="s">
        <v>66</v>
      </c>
      <c r="H523" s="2" t="n">
        <v>11</v>
      </c>
      <c r="I523" s="2" t="n">
        <v>600</v>
      </c>
      <c r="J523" s="2" t="n">
        <v>0.1</v>
      </c>
      <c r="K523" s="2" t="n">
        <v>300</v>
      </c>
    </row>
    <row r="524" customFormat="false" ht="15" hidden="false" customHeight="false" outlineLevel="0" collapsed="false">
      <c r="A524" s="2" t="s">
        <v>818</v>
      </c>
      <c r="B524" s="2" t="s">
        <v>816</v>
      </c>
      <c r="C524" s="10" t="n">
        <v>46010</v>
      </c>
      <c r="D524" s="2" t="s">
        <v>77</v>
      </c>
      <c r="E524" s="2" t="s">
        <v>69</v>
      </c>
      <c r="F524" s="2" t="s">
        <v>73</v>
      </c>
      <c r="G524" s="2" t="s">
        <v>87</v>
      </c>
      <c r="H524" s="2" t="n">
        <v>3</v>
      </c>
      <c r="I524" s="2" t="n">
        <v>9000</v>
      </c>
      <c r="J524" s="2" t="n">
        <v>0.1</v>
      </c>
      <c r="K524" s="2" t="n">
        <v>6200</v>
      </c>
    </row>
    <row r="525" customFormat="false" ht="15" hidden="false" customHeight="false" outlineLevel="0" collapsed="false">
      <c r="A525" s="2" t="s">
        <v>819</v>
      </c>
      <c r="B525" s="2" t="s">
        <v>816</v>
      </c>
      <c r="C525" s="10" t="n">
        <v>45825</v>
      </c>
      <c r="D525" s="2" t="s">
        <v>77</v>
      </c>
      <c r="E525" s="2" t="s">
        <v>69</v>
      </c>
      <c r="F525" s="2" t="s">
        <v>70</v>
      </c>
      <c r="G525" s="2" t="s">
        <v>122</v>
      </c>
      <c r="H525" s="2" t="n">
        <v>2</v>
      </c>
      <c r="I525" s="2" t="n">
        <v>1500</v>
      </c>
      <c r="J525" s="2" t="n">
        <v>0.1</v>
      </c>
      <c r="K525" s="2" t="n">
        <v>900</v>
      </c>
    </row>
    <row r="526" customFormat="false" ht="15" hidden="false" customHeight="false" outlineLevel="0" collapsed="false">
      <c r="A526" s="2" t="s">
        <v>820</v>
      </c>
      <c r="B526" s="2" t="s">
        <v>816</v>
      </c>
      <c r="C526" s="10" t="n">
        <v>45933</v>
      </c>
      <c r="D526" s="2" t="s">
        <v>77</v>
      </c>
      <c r="E526" s="2" t="s">
        <v>69</v>
      </c>
      <c r="F526" s="2" t="s">
        <v>70</v>
      </c>
      <c r="G526" s="2" t="s">
        <v>126</v>
      </c>
      <c r="H526" s="2" t="n">
        <v>1</v>
      </c>
      <c r="I526" s="2" t="n">
        <v>4500</v>
      </c>
      <c r="J526" s="2" t="n">
        <v>0.15</v>
      </c>
      <c r="K526" s="2" t="n">
        <v>3300</v>
      </c>
    </row>
    <row r="527" customFormat="false" ht="15" hidden="false" customHeight="false" outlineLevel="0" collapsed="false">
      <c r="A527" s="2" t="s">
        <v>821</v>
      </c>
      <c r="B527" s="2" t="s">
        <v>822</v>
      </c>
      <c r="C527" s="10" t="n">
        <v>45693</v>
      </c>
      <c r="D527" s="2" t="s">
        <v>91</v>
      </c>
      <c r="E527" s="2" t="s">
        <v>69</v>
      </c>
      <c r="F527" s="2" t="s">
        <v>70</v>
      </c>
      <c r="G527" s="2" t="s">
        <v>122</v>
      </c>
      <c r="H527" s="2" t="n">
        <v>4</v>
      </c>
      <c r="I527" s="2" t="n">
        <v>1500</v>
      </c>
      <c r="J527" s="2" t="n">
        <v>0.1</v>
      </c>
      <c r="K527" s="2" t="n">
        <v>900</v>
      </c>
    </row>
    <row r="528" customFormat="false" ht="15" hidden="false" customHeight="false" outlineLevel="0" collapsed="false">
      <c r="A528" s="2" t="s">
        <v>823</v>
      </c>
      <c r="B528" s="2" t="s">
        <v>822</v>
      </c>
      <c r="C528" s="10" t="n">
        <v>45739</v>
      </c>
      <c r="D528" s="2" t="s">
        <v>91</v>
      </c>
      <c r="E528" s="2" t="s">
        <v>69</v>
      </c>
      <c r="F528" s="2" t="s">
        <v>70</v>
      </c>
      <c r="G528" s="2" t="s">
        <v>122</v>
      </c>
      <c r="H528" s="2" t="n">
        <v>4</v>
      </c>
      <c r="I528" s="2" t="n">
        <v>1500</v>
      </c>
      <c r="J528" s="2" t="n">
        <v>0</v>
      </c>
      <c r="K528" s="2" t="n">
        <v>900</v>
      </c>
    </row>
    <row r="529" customFormat="false" ht="15" hidden="false" customHeight="false" outlineLevel="0" collapsed="false">
      <c r="A529" s="2" t="s">
        <v>824</v>
      </c>
      <c r="B529" s="2" t="s">
        <v>822</v>
      </c>
      <c r="C529" s="10" t="n">
        <v>45964</v>
      </c>
      <c r="D529" s="2" t="s">
        <v>91</v>
      </c>
      <c r="E529" s="2" t="s">
        <v>69</v>
      </c>
      <c r="F529" s="2" t="s">
        <v>73</v>
      </c>
      <c r="G529" s="2" t="s">
        <v>87</v>
      </c>
      <c r="H529" s="2" t="n">
        <v>3</v>
      </c>
      <c r="I529" s="2" t="n">
        <v>9000</v>
      </c>
      <c r="J529" s="2" t="n">
        <v>0.05</v>
      </c>
      <c r="K529" s="2" t="n">
        <v>6200</v>
      </c>
    </row>
    <row r="530" customFormat="false" ht="15" hidden="false" customHeight="false" outlineLevel="0" collapsed="false">
      <c r="A530" s="2" t="s">
        <v>825</v>
      </c>
      <c r="B530" s="2" t="s">
        <v>826</v>
      </c>
      <c r="C530" s="10" t="n">
        <v>45923</v>
      </c>
      <c r="D530" s="2" t="s">
        <v>77</v>
      </c>
      <c r="E530" s="2" t="s">
        <v>64</v>
      </c>
      <c r="F530" s="2" t="s">
        <v>73</v>
      </c>
      <c r="G530" s="2" t="s">
        <v>104</v>
      </c>
      <c r="H530" s="2" t="n">
        <v>3</v>
      </c>
      <c r="I530" s="2" t="n">
        <v>5500</v>
      </c>
      <c r="J530" s="2" t="n">
        <v>0</v>
      </c>
      <c r="K530" s="2" t="n">
        <v>3600</v>
      </c>
    </row>
    <row r="531" customFormat="false" ht="15" hidden="false" customHeight="false" outlineLevel="0" collapsed="false">
      <c r="A531" s="2" t="s">
        <v>827</v>
      </c>
      <c r="B531" s="2" t="s">
        <v>826</v>
      </c>
      <c r="C531" s="10" t="n">
        <v>45927</v>
      </c>
      <c r="D531" s="2" t="s">
        <v>651</v>
      </c>
      <c r="E531" s="2" t="s">
        <v>64</v>
      </c>
      <c r="F531" s="2" t="s">
        <v>73</v>
      </c>
      <c r="G531" s="2" t="s">
        <v>104</v>
      </c>
      <c r="H531" s="2" t="n">
        <v>1</v>
      </c>
      <c r="I531" s="2" t="n">
        <v>5500</v>
      </c>
      <c r="J531" s="2" t="n">
        <v>0</v>
      </c>
      <c r="K531" s="2" t="n">
        <v>3600</v>
      </c>
    </row>
    <row r="532" customFormat="false" ht="15" hidden="false" customHeight="false" outlineLevel="0" collapsed="false">
      <c r="A532" s="2" t="s">
        <v>828</v>
      </c>
      <c r="B532" s="2" t="s">
        <v>829</v>
      </c>
      <c r="C532" s="10" t="n">
        <v>45986</v>
      </c>
      <c r="D532" s="2" t="s">
        <v>81</v>
      </c>
      <c r="E532" s="2" t="s">
        <v>92</v>
      </c>
      <c r="F532" s="2" t="s">
        <v>70</v>
      </c>
      <c r="G532" s="2" t="s">
        <v>97</v>
      </c>
      <c r="H532" s="2" t="n">
        <v>5</v>
      </c>
      <c r="I532" s="2" t="n">
        <v>3000</v>
      </c>
      <c r="J532" s="2" t="n">
        <v>0.15</v>
      </c>
      <c r="K532" s="2" t="n">
        <v>2000</v>
      </c>
    </row>
    <row r="533" customFormat="false" ht="15" hidden="false" customHeight="false" outlineLevel="0" collapsed="false">
      <c r="A533" s="2" t="s">
        <v>830</v>
      </c>
      <c r="B533" s="2" t="s">
        <v>829</v>
      </c>
      <c r="C533" s="10" t="n">
        <v>45830</v>
      </c>
      <c r="D533" s="2" t="s">
        <v>81</v>
      </c>
      <c r="E533" s="2" t="s">
        <v>92</v>
      </c>
      <c r="F533" s="2" t="s">
        <v>70</v>
      </c>
      <c r="G533" s="2" t="s">
        <v>126</v>
      </c>
      <c r="H533" s="2" t="n">
        <v>2</v>
      </c>
      <c r="I533" s="2" t="n">
        <v>4500</v>
      </c>
      <c r="J533" s="2" t="n">
        <v>0.1</v>
      </c>
      <c r="K533" s="2" t="n">
        <v>3300</v>
      </c>
    </row>
    <row r="534" customFormat="false" ht="15" hidden="false" customHeight="false" outlineLevel="0" collapsed="false">
      <c r="A534" s="2" t="s">
        <v>831</v>
      </c>
      <c r="B534" s="2" t="s">
        <v>829</v>
      </c>
      <c r="C534" s="10" t="n">
        <v>45877</v>
      </c>
      <c r="D534" s="2" t="s">
        <v>81</v>
      </c>
      <c r="E534" s="2" t="s">
        <v>92</v>
      </c>
      <c r="F534" s="2" t="s">
        <v>73</v>
      </c>
      <c r="G534" s="2" t="s">
        <v>104</v>
      </c>
      <c r="H534" s="2" t="n">
        <v>7</v>
      </c>
      <c r="I534" s="2" t="n">
        <v>5500</v>
      </c>
      <c r="J534" s="2" t="n">
        <v>0.15</v>
      </c>
      <c r="K534" s="2" t="n">
        <v>3600</v>
      </c>
    </row>
    <row r="535" customFormat="false" ht="15" hidden="false" customHeight="false" outlineLevel="0" collapsed="false">
      <c r="A535" s="2" t="s">
        <v>832</v>
      </c>
      <c r="B535" s="2"/>
      <c r="C535" s="10" t="n">
        <v>45904</v>
      </c>
      <c r="D535" s="2" t="s">
        <v>81</v>
      </c>
      <c r="E535" s="2" t="s">
        <v>92</v>
      </c>
      <c r="F535" s="2" t="s">
        <v>73</v>
      </c>
      <c r="G535" s="2" t="s">
        <v>85</v>
      </c>
      <c r="H535" s="2" t="n">
        <v>3</v>
      </c>
      <c r="I535" s="2" t="n">
        <v>1200</v>
      </c>
      <c r="J535" s="2" t="n">
        <v>0.1</v>
      </c>
      <c r="K535" s="2" t="n">
        <v>600</v>
      </c>
    </row>
    <row r="536" customFormat="false" ht="15" hidden="false" customHeight="false" outlineLevel="0" collapsed="false">
      <c r="A536" s="2" t="s">
        <v>833</v>
      </c>
      <c r="B536" s="2" t="s">
        <v>834</v>
      </c>
      <c r="C536" s="10" t="n">
        <v>45790</v>
      </c>
      <c r="D536" s="2" t="s">
        <v>63</v>
      </c>
      <c r="E536" s="2" t="s">
        <v>92</v>
      </c>
      <c r="F536" s="2" t="s">
        <v>73</v>
      </c>
      <c r="G536" s="2" t="s">
        <v>104</v>
      </c>
      <c r="H536" s="2" t="n">
        <v>7</v>
      </c>
      <c r="I536" s="2" t="n">
        <v>5500</v>
      </c>
      <c r="J536" s="2" t="n">
        <v>0</v>
      </c>
      <c r="K536" s="2" t="n">
        <v>3600</v>
      </c>
    </row>
    <row r="537" customFormat="false" ht="15" hidden="false" customHeight="false" outlineLevel="0" collapsed="false">
      <c r="A537" s="2" t="s">
        <v>835</v>
      </c>
      <c r="B537" s="2" t="s">
        <v>834</v>
      </c>
      <c r="C537" s="10" t="n">
        <v>45986</v>
      </c>
      <c r="D537" s="2" t="s">
        <v>63</v>
      </c>
      <c r="E537" s="2" t="s">
        <v>92</v>
      </c>
      <c r="F537" s="2" t="s">
        <v>73</v>
      </c>
      <c r="G537" s="2" t="s">
        <v>74</v>
      </c>
      <c r="H537" s="2" t="n">
        <v>5</v>
      </c>
      <c r="I537" s="2" t="n">
        <v>7000</v>
      </c>
      <c r="J537" s="2" t="n">
        <v>0.1</v>
      </c>
      <c r="K537" s="2" t="n">
        <v>4800</v>
      </c>
    </row>
    <row r="538" customFormat="false" ht="15" hidden="false" customHeight="false" outlineLevel="0" collapsed="false">
      <c r="A538" s="2" t="s">
        <v>836</v>
      </c>
      <c r="B538" s="2" t="s">
        <v>837</v>
      </c>
      <c r="C538" s="10" t="n">
        <v>45856</v>
      </c>
      <c r="D538" s="2" t="s">
        <v>91</v>
      </c>
      <c r="E538" s="2" t="s">
        <v>64</v>
      </c>
      <c r="F538" s="2" t="s">
        <v>65</v>
      </c>
      <c r="G538" s="2" t="s">
        <v>66</v>
      </c>
      <c r="H538" s="2" t="n">
        <v>3</v>
      </c>
      <c r="I538" s="2" t="n">
        <v>600</v>
      </c>
      <c r="J538" s="2" t="n">
        <v>0</v>
      </c>
      <c r="K538" s="2" t="n">
        <v>300</v>
      </c>
    </row>
    <row r="539" customFormat="false" ht="15" hidden="false" customHeight="false" outlineLevel="0" collapsed="false">
      <c r="A539" s="2" t="s">
        <v>838</v>
      </c>
      <c r="B539" s="2" t="s">
        <v>839</v>
      </c>
      <c r="C539" s="10" t="n">
        <v>45676</v>
      </c>
      <c r="D539" s="2" t="s">
        <v>77</v>
      </c>
      <c r="E539" s="2" t="s">
        <v>64</v>
      </c>
      <c r="F539" s="2" t="s">
        <v>70</v>
      </c>
      <c r="G539" s="2" t="s">
        <v>122</v>
      </c>
      <c r="H539" s="2" t="n">
        <v>3</v>
      </c>
      <c r="I539" s="2" t="n">
        <v>1500</v>
      </c>
      <c r="J539" s="2" t="n">
        <v>0</v>
      </c>
      <c r="K539" s="2" t="n">
        <v>900</v>
      </c>
    </row>
    <row r="540" customFormat="false" ht="15" hidden="false" customHeight="false" outlineLevel="0" collapsed="false">
      <c r="A540" s="2" t="s">
        <v>840</v>
      </c>
      <c r="B540" s="2" t="s">
        <v>841</v>
      </c>
      <c r="C540" s="10" t="n">
        <v>45799</v>
      </c>
      <c r="D540" s="2" t="s">
        <v>63</v>
      </c>
      <c r="E540" s="2" t="s">
        <v>64</v>
      </c>
      <c r="F540" s="2" t="s">
        <v>70</v>
      </c>
      <c r="G540" s="2" t="s">
        <v>97</v>
      </c>
      <c r="H540" s="2" t="n">
        <v>3</v>
      </c>
      <c r="I540" s="2" t="n">
        <v>3000</v>
      </c>
      <c r="J540" s="2" t="n">
        <v>0.05</v>
      </c>
      <c r="K540" s="2" t="n">
        <v>2000</v>
      </c>
    </row>
    <row r="541" customFormat="false" ht="15" hidden="false" customHeight="false" outlineLevel="0" collapsed="false">
      <c r="A541" s="2" t="s">
        <v>842</v>
      </c>
      <c r="B541" s="2" t="s">
        <v>843</v>
      </c>
      <c r="C541" s="10" t="n">
        <v>45871</v>
      </c>
      <c r="D541" s="2" t="s">
        <v>81</v>
      </c>
      <c r="E541" s="2" t="s">
        <v>92</v>
      </c>
      <c r="F541" s="2" t="s">
        <v>70</v>
      </c>
      <c r="G541" s="2" t="s">
        <v>122</v>
      </c>
      <c r="H541" s="2" t="n">
        <v>8</v>
      </c>
      <c r="I541" s="2" t="n">
        <v>1500</v>
      </c>
      <c r="J541" s="2" t="n">
        <v>0.1</v>
      </c>
      <c r="K541" s="2" t="n">
        <v>900</v>
      </c>
    </row>
    <row r="542" customFormat="false" ht="15" hidden="false" customHeight="false" outlineLevel="0" collapsed="false">
      <c r="A542" s="2" t="s">
        <v>844</v>
      </c>
      <c r="B542" s="2" t="s">
        <v>843</v>
      </c>
      <c r="C542" s="10" t="n">
        <v>45695</v>
      </c>
      <c r="D542" s="2" t="s">
        <v>81</v>
      </c>
      <c r="E542" s="2" t="s">
        <v>92</v>
      </c>
      <c r="F542" s="2" t="s">
        <v>73</v>
      </c>
      <c r="G542" s="2" t="s">
        <v>74</v>
      </c>
      <c r="H542" s="2" t="n">
        <v>2</v>
      </c>
      <c r="I542" s="2" t="n">
        <v>7000</v>
      </c>
      <c r="J542" s="2" t="n">
        <v>0.1</v>
      </c>
      <c r="K542" s="2" t="n">
        <v>4800</v>
      </c>
    </row>
    <row r="543" customFormat="false" ht="15" hidden="false" customHeight="false" outlineLevel="0" collapsed="false">
      <c r="A543" s="2" t="s">
        <v>845</v>
      </c>
      <c r="B543" s="2" t="s">
        <v>843</v>
      </c>
      <c r="C543" s="10" t="n">
        <v>45954</v>
      </c>
      <c r="D543" s="2" t="s">
        <v>81</v>
      </c>
      <c r="E543" s="2" t="s">
        <v>92</v>
      </c>
      <c r="F543" s="2" t="s">
        <v>70</v>
      </c>
      <c r="G543" s="2" t="s">
        <v>122</v>
      </c>
      <c r="H543" s="2" t="n">
        <v>5</v>
      </c>
      <c r="I543" s="2" t="n">
        <v>1500</v>
      </c>
      <c r="J543" s="2" t="n">
        <v>0.15</v>
      </c>
      <c r="K543" s="2" t="n">
        <v>900</v>
      </c>
    </row>
    <row r="544" customFormat="false" ht="15" hidden="false" customHeight="false" outlineLevel="0" collapsed="false">
      <c r="A544" s="2" t="s">
        <v>846</v>
      </c>
      <c r="B544" s="2" t="s">
        <v>843</v>
      </c>
      <c r="C544" s="10" t="n">
        <v>45883</v>
      </c>
      <c r="D544" s="2" t="s">
        <v>81</v>
      </c>
      <c r="E544" s="2" t="s">
        <v>92</v>
      </c>
      <c r="F544" s="2" t="s">
        <v>73</v>
      </c>
      <c r="G544" s="2" t="s">
        <v>87</v>
      </c>
      <c r="H544" s="2" t="n">
        <v>2</v>
      </c>
      <c r="I544" s="2" t="n">
        <v>9000</v>
      </c>
      <c r="J544" s="2" t="n">
        <v>0.1</v>
      </c>
      <c r="K544" s="2" t="n">
        <v>6200</v>
      </c>
    </row>
    <row r="545" customFormat="false" ht="15" hidden="false" customHeight="false" outlineLevel="0" collapsed="false">
      <c r="A545" s="2" t="s">
        <v>847</v>
      </c>
      <c r="B545" s="2" t="s">
        <v>843</v>
      </c>
      <c r="C545" s="10" t="n">
        <v>45764</v>
      </c>
      <c r="D545" s="2" t="s">
        <v>81</v>
      </c>
      <c r="E545" s="2" t="s">
        <v>92</v>
      </c>
      <c r="F545" s="2" t="s">
        <v>70</v>
      </c>
      <c r="G545" s="2" t="s">
        <v>97</v>
      </c>
      <c r="H545" s="2" t="n">
        <v>7</v>
      </c>
      <c r="I545" s="2" t="n">
        <v>3000</v>
      </c>
      <c r="J545" s="2" t="n">
        <v>0.15</v>
      </c>
      <c r="K545" s="2" t="n">
        <v>2000</v>
      </c>
    </row>
    <row r="546" customFormat="false" ht="15" hidden="false" customHeight="false" outlineLevel="0" collapsed="false">
      <c r="A546" s="2" t="s">
        <v>848</v>
      </c>
      <c r="B546" s="2" t="s">
        <v>843</v>
      </c>
      <c r="C546" s="10" t="n">
        <v>45763</v>
      </c>
      <c r="D546" s="2" t="s">
        <v>81</v>
      </c>
      <c r="E546" s="2" t="s">
        <v>92</v>
      </c>
      <c r="F546" s="2" t="s">
        <v>73</v>
      </c>
      <c r="G546" s="2" t="s">
        <v>74</v>
      </c>
      <c r="H546" s="2" t="n">
        <v>5</v>
      </c>
      <c r="I546" s="2" t="n">
        <v>7000</v>
      </c>
      <c r="J546" s="2" t="n">
        <v>0.05</v>
      </c>
      <c r="K546" s="2" t="n">
        <v>4800</v>
      </c>
    </row>
    <row r="547" customFormat="false" ht="15" hidden="false" customHeight="false" outlineLevel="0" collapsed="false">
      <c r="A547" s="2" t="s">
        <v>849</v>
      </c>
      <c r="B547" s="2" t="s">
        <v>843</v>
      </c>
      <c r="C547" s="10" t="n">
        <v>45706</v>
      </c>
      <c r="D547" s="2" t="s">
        <v>81</v>
      </c>
      <c r="E547" s="2" t="s">
        <v>92</v>
      </c>
      <c r="F547" s="2" t="s">
        <v>73</v>
      </c>
      <c r="G547" s="2" t="s">
        <v>87</v>
      </c>
      <c r="H547" s="2" t="n">
        <v>4</v>
      </c>
      <c r="I547" s="2" t="n">
        <v>9000</v>
      </c>
      <c r="J547" s="2" t="n">
        <v>0.05</v>
      </c>
      <c r="K547" s="2" t="n">
        <v>6200</v>
      </c>
    </row>
    <row r="548" customFormat="false" ht="15" hidden="false" customHeight="false" outlineLevel="0" collapsed="false">
      <c r="A548" s="2" t="s">
        <v>850</v>
      </c>
      <c r="B548" s="2" t="s">
        <v>843</v>
      </c>
      <c r="C548" s="10" t="n">
        <v>45877</v>
      </c>
      <c r="D548" s="2" t="s">
        <v>81</v>
      </c>
      <c r="E548" s="2" t="s">
        <v>92</v>
      </c>
      <c r="F548" s="2" t="s">
        <v>73</v>
      </c>
      <c r="G548" s="2" t="s">
        <v>87</v>
      </c>
      <c r="H548" s="2" t="n">
        <v>6</v>
      </c>
      <c r="I548" s="2" t="n">
        <v>9000</v>
      </c>
      <c r="J548" s="2" t="n">
        <v>0.1</v>
      </c>
      <c r="K548" s="2" t="n">
        <v>6200</v>
      </c>
    </row>
    <row r="549" customFormat="false" ht="15" hidden="false" customHeight="false" outlineLevel="0" collapsed="false">
      <c r="A549" s="2" t="s">
        <v>851</v>
      </c>
      <c r="B549" s="2" t="s">
        <v>852</v>
      </c>
      <c r="C549" s="10" t="n">
        <v>45780</v>
      </c>
      <c r="D549" s="2" t="s">
        <v>91</v>
      </c>
      <c r="E549" s="2" t="s">
        <v>69</v>
      </c>
      <c r="F549" s="2" t="s">
        <v>65</v>
      </c>
      <c r="G549" s="2" t="s">
        <v>78</v>
      </c>
      <c r="H549" s="2" t="n">
        <v>16</v>
      </c>
      <c r="I549" s="2" t="n">
        <v>400</v>
      </c>
      <c r="J549" s="2" t="n">
        <v>0.05</v>
      </c>
      <c r="K549" s="2" t="n">
        <v>200</v>
      </c>
    </row>
    <row r="550" customFormat="false" ht="15" hidden="false" customHeight="false" outlineLevel="0" collapsed="false">
      <c r="A550" s="2" t="s">
        <v>853</v>
      </c>
      <c r="B550" s="2" t="s">
        <v>852</v>
      </c>
      <c r="C550" s="10" t="n">
        <v>45710</v>
      </c>
      <c r="D550" s="2" t="s">
        <v>91</v>
      </c>
      <c r="E550" s="2" t="s">
        <v>69</v>
      </c>
      <c r="F550" s="2" t="s">
        <v>65</v>
      </c>
      <c r="G550" s="2" t="s">
        <v>82</v>
      </c>
      <c r="H550" s="2" t="n">
        <v>14</v>
      </c>
      <c r="I550" s="2" t="n">
        <v>250</v>
      </c>
      <c r="J550" s="2" t="n">
        <v>0</v>
      </c>
      <c r="K550" s="2" t="n">
        <v>100</v>
      </c>
    </row>
    <row r="551" customFormat="false" ht="15" hidden="false" customHeight="false" outlineLevel="0" collapsed="false">
      <c r="A551" s="2" t="s">
        <v>854</v>
      </c>
      <c r="B551" s="2" t="s">
        <v>855</v>
      </c>
      <c r="C551" s="10" t="n">
        <v>45962</v>
      </c>
      <c r="D551" s="2" t="s">
        <v>63</v>
      </c>
      <c r="E551" s="2" t="s">
        <v>69</v>
      </c>
      <c r="F551" s="2" t="s">
        <v>73</v>
      </c>
      <c r="G551" s="2" t="s">
        <v>85</v>
      </c>
      <c r="H551" s="2" t="n">
        <v>4</v>
      </c>
      <c r="I551" s="2" t="n">
        <v>1200</v>
      </c>
      <c r="J551" s="2" t="n">
        <v>0.05</v>
      </c>
      <c r="K551" s="2" t="n">
        <v>600</v>
      </c>
    </row>
    <row r="552" customFormat="false" ht="15" hidden="false" customHeight="false" outlineLevel="0" collapsed="false">
      <c r="A552" s="2" t="s">
        <v>856</v>
      </c>
      <c r="B552" s="2"/>
      <c r="C552" s="10" t="n">
        <v>45935</v>
      </c>
      <c r="D552" s="2" t="s">
        <v>63</v>
      </c>
      <c r="E552" s="2" t="s">
        <v>69</v>
      </c>
      <c r="F552" s="2" t="s">
        <v>65</v>
      </c>
      <c r="G552" s="2" t="s">
        <v>107</v>
      </c>
      <c r="H552" s="2" t="n">
        <v>16</v>
      </c>
      <c r="I552" s="2" t="n">
        <v>500</v>
      </c>
      <c r="J552" s="2" t="n">
        <v>0.05</v>
      </c>
      <c r="K552" s="2" t="n">
        <v>250</v>
      </c>
    </row>
    <row r="553" customFormat="false" ht="15" hidden="false" customHeight="false" outlineLevel="0" collapsed="false">
      <c r="A553" s="2" t="s">
        <v>857</v>
      </c>
      <c r="B553" s="2" t="s">
        <v>858</v>
      </c>
      <c r="C553" s="10" t="n">
        <v>45890</v>
      </c>
      <c r="D553" s="2" t="s">
        <v>63</v>
      </c>
      <c r="E553" s="2" t="s">
        <v>69</v>
      </c>
      <c r="F553" s="2" t="s">
        <v>73</v>
      </c>
      <c r="G553" s="2" t="s">
        <v>87</v>
      </c>
      <c r="H553" s="2" t="n">
        <v>5</v>
      </c>
      <c r="I553" s="2" t="n">
        <v>9000</v>
      </c>
      <c r="J553" s="2" t="n">
        <v>0</v>
      </c>
      <c r="K553" s="2" t="n">
        <v>6200</v>
      </c>
    </row>
    <row r="554" customFormat="false" ht="15" hidden="false" customHeight="false" outlineLevel="0" collapsed="false">
      <c r="A554" s="2" t="s">
        <v>859</v>
      </c>
      <c r="B554" s="2" t="s">
        <v>860</v>
      </c>
      <c r="C554" s="10" t="n">
        <v>45922</v>
      </c>
      <c r="D554" s="2" t="s">
        <v>77</v>
      </c>
      <c r="E554" s="2" t="s">
        <v>64</v>
      </c>
      <c r="F554" s="2" t="s">
        <v>65</v>
      </c>
      <c r="G554" s="2" t="s">
        <v>78</v>
      </c>
      <c r="H554" s="2" t="n">
        <v>6</v>
      </c>
      <c r="I554" s="2" t="n">
        <v>400</v>
      </c>
      <c r="J554" s="2" t="n">
        <v>0</v>
      </c>
      <c r="K554" s="2" t="n">
        <v>200</v>
      </c>
    </row>
    <row r="555" customFormat="false" ht="15" hidden="false" customHeight="false" outlineLevel="0" collapsed="false">
      <c r="A555" s="2" t="s">
        <v>861</v>
      </c>
      <c r="B555" s="2" t="s">
        <v>862</v>
      </c>
      <c r="C555" s="10" t="n">
        <v>45804</v>
      </c>
      <c r="D555" s="2" t="s">
        <v>77</v>
      </c>
      <c r="E555" s="2" t="s">
        <v>64</v>
      </c>
      <c r="F555" s="2" t="s">
        <v>65</v>
      </c>
      <c r="G555" s="2" t="s">
        <v>82</v>
      </c>
      <c r="H555" s="2" t="n">
        <v>6</v>
      </c>
      <c r="I555" s="2" t="n">
        <v>250</v>
      </c>
      <c r="J555" s="2" t="n">
        <v>0.05</v>
      </c>
      <c r="K555" s="2" t="n">
        <v>100</v>
      </c>
    </row>
    <row r="556" customFormat="false" ht="15" hidden="false" customHeight="false" outlineLevel="0" collapsed="false">
      <c r="A556" s="2" t="s">
        <v>863</v>
      </c>
      <c r="B556" s="2" t="s">
        <v>864</v>
      </c>
      <c r="C556" s="10" t="n">
        <v>45793</v>
      </c>
      <c r="D556" s="2" t="s">
        <v>91</v>
      </c>
      <c r="E556" s="2" t="s">
        <v>64</v>
      </c>
      <c r="F556" s="2" t="s">
        <v>65</v>
      </c>
      <c r="G556" s="2" t="s">
        <v>82</v>
      </c>
      <c r="H556" s="2" t="n">
        <v>2</v>
      </c>
      <c r="I556" s="2" t="n">
        <v>250</v>
      </c>
      <c r="J556" s="2" t="n">
        <v>0</v>
      </c>
      <c r="K556" s="2" t="n">
        <v>100</v>
      </c>
    </row>
    <row r="557" customFormat="false" ht="15" hidden="false" customHeight="false" outlineLevel="0" collapsed="false">
      <c r="A557" s="2" t="s">
        <v>865</v>
      </c>
      <c r="B557" s="2" t="s">
        <v>864</v>
      </c>
      <c r="C557" s="10" t="n">
        <v>45937</v>
      </c>
      <c r="D557" s="2" t="s">
        <v>91</v>
      </c>
      <c r="E557" s="2" t="s">
        <v>64</v>
      </c>
      <c r="F557" s="2" t="s">
        <v>70</v>
      </c>
      <c r="G557" s="2" t="s">
        <v>126</v>
      </c>
      <c r="H557" s="2" t="n">
        <v>1</v>
      </c>
      <c r="I557" s="2" t="n">
        <v>4500</v>
      </c>
      <c r="J557" s="2" t="n">
        <v>0.05</v>
      </c>
      <c r="K557" s="2" t="n">
        <v>3300</v>
      </c>
    </row>
    <row r="558" customFormat="false" ht="15" hidden="false" customHeight="false" outlineLevel="0" collapsed="false">
      <c r="A558" s="2" t="s">
        <v>866</v>
      </c>
      <c r="B558" s="2" t="s">
        <v>864</v>
      </c>
      <c r="C558" s="10" t="n">
        <v>45936</v>
      </c>
      <c r="D558" s="2" t="s">
        <v>91</v>
      </c>
      <c r="E558" s="2" t="s">
        <v>64</v>
      </c>
      <c r="F558" s="2" t="s">
        <v>65</v>
      </c>
      <c r="G558" s="2" t="s">
        <v>78</v>
      </c>
      <c r="H558" s="2" t="n">
        <v>7</v>
      </c>
      <c r="I558" s="2" t="n">
        <v>400</v>
      </c>
      <c r="J558" s="2" t="n">
        <v>0.05</v>
      </c>
      <c r="K558" s="2" t="n">
        <v>200</v>
      </c>
    </row>
    <row r="559" customFormat="false" ht="15" hidden="false" customHeight="false" outlineLevel="0" collapsed="false">
      <c r="A559" s="2" t="s">
        <v>867</v>
      </c>
      <c r="B559" s="2" t="s">
        <v>864</v>
      </c>
      <c r="C559" s="10" t="n">
        <v>45726</v>
      </c>
      <c r="D559" s="2" t="s">
        <v>91</v>
      </c>
      <c r="E559" s="2" t="s">
        <v>64</v>
      </c>
      <c r="F559" s="2" t="s">
        <v>73</v>
      </c>
      <c r="G559" s="2" t="s">
        <v>104</v>
      </c>
      <c r="H559" s="2" t="n">
        <v>2</v>
      </c>
      <c r="I559" s="2" t="n">
        <v>5500</v>
      </c>
      <c r="J559" s="2" t="n">
        <v>0</v>
      </c>
      <c r="K559" s="2" t="n">
        <v>3600</v>
      </c>
    </row>
    <row r="560" customFormat="false" ht="15" hidden="false" customHeight="false" outlineLevel="0" collapsed="false">
      <c r="A560" s="2" t="s">
        <v>868</v>
      </c>
      <c r="B560" s="2" t="s">
        <v>864</v>
      </c>
      <c r="C560" s="10" t="n">
        <v>45823</v>
      </c>
      <c r="D560" s="2" t="s">
        <v>91</v>
      </c>
      <c r="E560" s="2" t="s">
        <v>64</v>
      </c>
      <c r="F560" s="2" t="s">
        <v>70</v>
      </c>
      <c r="G560" s="2" t="s">
        <v>126</v>
      </c>
      <c r="H560" s="2" t="n">
        <v>3</v>
      </c>
      <c r="I560" s="2" t="n">
        <v>4500</v>
      </c>
      <c r="J560" s="2" t="n">
        <v>0</v>
      </c>
      <c r="K560" s="2" t="n">
        <v>3300</v>
      </c>
    </row>
    <row r="561" customFormat="false" ht="15" hidden="false" customHeight="false" outlineLevel="0" collapsed="false">
      <c r="A561" s="2" t="s">
        <v>869</v>
      </c>
      <c r="B561" s="2" t="s">
        <v>864</v>
      </c>
      <c r="C561" s="10" t="n">
        <v>46000</v>
      </c>
      <c r="D561" s="2" t="s">
        <v>91</v>
      </c>
      <c r="E561" s="2" t="s">
        <v>64</v>
      </c>
      <c r="F561" s="2" t="s">
        <v>65</v>
      </c>
      <c r="G561" s="2" t="s">
        <v>107</v>
      </c>
      <c r="H561" s="2" t="n">
        <v>2</v>
      </c>
      <c r="I561" s="2" t="n">
        <v>500</v>
      </c>
      <c r="J561" s="2" t="n">
        <v>0.15</v>
      </c>
      <c r="K561" s="2" t="n">
        <v>250</v>
      </c>
    </row>
    <row r="562" customFormat="false" ht="15" hidden="false" customHeight="false" outlineLevel="0" collapsed="false">
      <c r="A562" s="2" t="s">
        <v>870</v>
      </c>
      <c r="B562" s="2" t="s">
        <v>871</v>
      </c>
      <c r="C562" s="10" t="n">
        <v>45876</v>
      </c>
      <c r="D562" s="2" t="s">
        <v>91</v>
      </c>
      <c r="E562" s="2" t="s">
        <v>64</v>
      </c>
      <c r="F562" s="2" t="s">
        <v>70</v>
      </c>
      <c r="G562" s="2" t="s">
        <v>71</v>
      </c>
      <c r="H562" s="2" t="n">
        <v>3</v>
      </c>
      <c r="I562" s="2" t="n">
        <v>2500</v>
      </c>
      <c r="J562" s="2" t="n">
        <v>0.05</v>
      </c>
      <c r="K562" s="2" t="n">
        <v>1600</v>
      </c>
    </row>
    <row r="563" customFormat="false" ht="15" hidden="false" customHeight="false" outlineLevel="0" collapsed="false">
      <c r="A563" s="2" t="s">
        <v>872</v>
      </c>
      <c r="B563" s="2" t="s">
        <v>871</v>
      </c>
      <c r="C563" s="10" t="n">
        <v>46012</v>
      </c>
      <c r="D563" s="2" t="s">
        <v>91</v>
      </c>
      <c r="E563" s="2" t="s">
        <v>64</v>
      </c>
      <c r="F563" s="2" t="s">
        <v>65</v>
      </c>
      <c r="G563" s="2" t="s">
        <v>66</v>
      </c>
      <c r="H563" s="2" t="n">
        <v>2</v>
      </c>
      <c r="I563" s="2" t="n">
        <v>600</v>
      </c>
      <c r="J563" s="2" t="n">
        <v>0.05</v>
      </c>
      <c r="K563" s="2" t="n">
        <v>300</v>
      </c>
    </row>
    <row r="564" customFormat="false" ht="15" hidden="false" customHeight="false" outlineLevel="0" collapsed="false">
      <c r="A564" s="2" t="s">
        <v>873</v>
      </c>
      <c r="B564" s="2" t="s">
        <v>871</v>
      </c>
      <c r="C564" s="10" t="n">
        <v>45859</v>
      </c>
      <c r="D564" s="2" t="s">
        <v>91</v>
      </c>
      <c r="E564" s="2" t="s">
        <v>64</v>
      </c>
      <c r="F564" s="2" t="s">
        <v>70</v>
      </c>
      <c r="G564" s="2" t="s">
        <v>122</v>
      </c>
      <c r="H564" s="2" t="n">
        <v>3</v>
      </c>
      <c r="I564" s="2" t="n">
        <v>1500</v>
      </c>
      <c r="J564" s="2" t="n">
        <v>0</v>
      </c>
      <c r="K564" s="2" t="n">
        <v>900</v>
      </c>
    </row>
    <row r="565" customFormat="false" ht="15" hidden="false" customHeight="false" outlineLevel="0" collapsed="false">
      <c r="A565" s="2" t="s">
        <v>874</v>
      </c>
      <c r="B565" s="2" t="s">
        <v>875</v>
      </c>
      <c r="C565" s="10" t="n">
        <v>45778</v>
      </c>
      <c r="D565" s="2" t="s">
        <v>77</v>
      </c>
      <c r="E565" s="2" t="s">
        <v>64</v>
      </c>
      <c r="F565" s="2" t="s">
        <v>65</v>
      </c>
      <c r="G565" s="2" t="s">
        <v>82</v>
      </c>
      <c r="H565" s="2" t="n">
        <v>2</v>
      </c>
      <c r="I565" s="2" t="n">
        <v>250</v>
      </c>
      <c r="J565" s="2" t="n">
        <v>0</v>
      </c>
      <c r="K565" s="2" t="n">
        <v>100</v>
      </c>
    </row>
    <row r="566" customFormat="false" ht="15" hidden="false" customHeight="false" outlineLevel="0" collapsed="false">
      <c r="A566" s="2" t="s">
        <v>876</v>
      </c>
      <c r="B566" s="2" t="s">
        <v>875</v>
      </c>
      <c r="C566" s="10" t="n">
        <v>45737</v>
      </c>
      <c r="D566" s="2" t="s">
        <v>77</v>
      </c>
      <c r="E566" s="2" t="s">
        <v>64</v>
      </c>
      <c r="F566" s="2" t="s">
        <v>70</v>
      </c>
      <c r="G566" s="2" t="s">
        <v>97</v>
      </c>
      <c r="H566" s="2" t="n">
        <v>1</v>
      </c>
      <c r="I566" s="2" t="n">
        <v>3000</v>
      </c>
      <c r="J566" s="2" t="n">
        <v>0</v>
      </c>
      <c r="K566" s="2" t="n">
        <v>2000</v>
      </c>
    </row>
    <row r="567" customFormat="false" ht="15" hidden="false" customHeight="false" outlineLevel="0" collapsed="false">
      <c r="A567" s="2" t="s">
        <v>877</v>
      </c>
      <c r="B567" s="2" t="s">
        <v>878</v>
      </c>
      <c r="C567" s="10" t="n">
        <v>45882</v>
      </c>
      <c r="D567" s="2" t="s">
        <v>63</v>
      </c>
      <c r="E567" s="2" t="s">
        <v>92</v>
      </c>
      <c r="F567" s="2" t="s">
        <v>73</v>
      </c>
      <c r="G567" s="2" t="s">
        <v>87</v>
      </c>
      <c r="H567" s="2" t="n">
        <v>7</v>
      </c>
      <c r="I567" s="2" t="n">
        <v>9000</v>
      </c>
      <c r="J567" s="2" t="n">
        <v>0.1</v>
      </c>
      <c r="K567" s="2" t="n">
        <v>6200</v>
      </c>
    </row>
    <row r="568" customFormat="false" ht="15" hidden="false" customHeight="false" outlineLevel="0" collapsed="false">
      <c r="A568" s="2" t="s">
        <v>879</v>
      </c>
      <c r="B568" s="2" t="s">
        <v>878</v>
      </c>
      <c r="C568" s="10" t="n">
        <v>45700</v>
      </c>
      <c r="D568" s="2" t="s">
        <v>63</v>
      </c>
      <c r="E568" s="2" t="s">
        <v>92</v>
      </c>
      <c r="F568" s="2" t="s">
        <v>70</v>
      </c>
      <c r="G568" s="2" t="s">
        <v>126</v>
      </c>
      <c r="H568" s="2" t="n">
        <v>4</v>
      </c>
      <c r="I568" s="2" t="n">
        <v>4500</v>
      </c>
      <c r="J568" s="2" t="n">
        <v>0.05</v>
      </c>
      <c r="K568" s="2" t="n">
        <v>3300</v>
      </c>
    </row>
    <row r="569" customFormat="false" ht="15" hidden="false" customHeight="false" outlineLevel="0" collapsed="false">
      <c r="A569" s="2" t="s">
        <v>880</v>
      </c>
      <c r="B569" s="2" t="s">
        <v>878</v>
      </c>
      <c r="C569" s="10" t="n">
        <v>45665</v>
      </c>
      <c r="D569" s="2" t="s">
        <v>63</v>
      </c>
      <c r="E569" s="2" t="s">
        <v>92</v>
      </c>
      <c r="F569" s="2" t="s">
        <v>70</v>
      </c>
      <c r="G569" s="2" t="s">
        <v>126</v>
      </c>
      <c r="H569" s="2" t="n">
        <v>8</v>
      </c>
      <c r="I569" s="2" t="n">
        <v>4500</v>
      </c>
      <c r="J569" s="2" t="n">
        <v>0.1</v>
      </c>
      <c r="K569" s="2" t="n">
        <v>3300</v>
      </c>
    </row>
    <row r="570" customFormat="false" ht="15" hidden="false" customHeight="false" outlineLevel="0" collapsed="false">
      <c r="A570" s="2" t="s">
        <v>881</v>
      </c>
      <c r="B570" s="2" t="s">
        <v>878</v>
      </c>
      <c r="C570" s="10" t="n">
        <v>45810</v>
      </c>
      <c r="D570" s="2" t="s">
        <v>63</v>
      </c>
      <c r="E570" s="2" t="s">
        <v>92</v>
      </c>
      <c r="F570" s="2" t="s">
        <v>73</v>
      </c>
      <c r="G570" s="2" t="s">
        <v>74</v>
      </c>
      <c r="H570" s="2" t="n">
        <v>6</v>
      </c>
      <c r="I570" s="2" t="n">
        <v>7000</v>
      </c>
      <c r="J570" s="2" t="n">
        <v>0.15</v>
      </c>
      <c r="K570" s="2" t="n">
        <v>4800</v>
      </c>
    </row>
    <row r="571" customFormat="false" ht="15" hidden="false" customHeight="false" outlineLevel="0" collapsed="false">
      <c r="A571" s="2" t="s">
        <v>882</v>
      </c>
      <c r="B571" s="2" t="s">
        <v>878</v>
      </c>
      <c r="C571" s="10" t="n">
        <v>45879</v>
      </c>
      <c r="D571" s="2" t="s">
        <v>63</v>
      </c>
      <c r="E571" s="2" t="s">
        <v>92</v>
      </c>
      <c r="F571" s="2" t="s">
        <v>73</v>
      </c>
      <c r="G571" s="2" t="s">
        <v>87</v>
      </c>
      <c r="H571" s="2" t="n">
        <v>5</v>
      </c>
      <c r="I571" s="2" t="n">
        <v>9000</v>
      </c>
      <c r="J571" s="2" t="n">
        <v>0.05</v>
      </c>
      <c r="K571" s="2" t="n">
        <v>6200</v>
      </c>
    </row>
    <row r="572" customFormat="false" ht="15" hidden="false" customHeight="false" outlineLevel="0" collapsed="false">
      <c r="A572" s="2" t="s">
        <v>883</v>
      </c>
      <c r="B572" s="2" t="s">
        <v>884</v>
      </c>
      <c r="C572" s="10" t="n">
        <v>45731</v>
      </c>
      <c r="D572" s="2" t="s">
        <v>77</v>
      </c>
      <c r="E572" s="2" t="s">
        <v>64</v>
      </c>
      <c r="F572" s="2" t="s">
        <v>70</v>
      </c>
      <c r="G572" s="2" t="s">
        <v>71</v>
      </c>
      <c r="H572" s="2" t="n">
        <v>1</v>
      </c>
      <c r="I572" s="2" t="n">
        <v>2500</v>
      </c>
      <c r="J572" s="2" t="n">
        <v>0</v>
      </c>
      <c r="K572" s="2" t="n">
        <v>1600</v>
      </c>
    </row>
    <row r="573" customFormat="false" ht="15" hidden="false" customHeight="false" outlineLevel="0" collapsed="false">
      <c r="A573" s="2" t="s">
        <v>885</v>
      </c>
      <c r="B573" s="2" t="s">
        <v>884</v>
      </c>
      <c r="C573" s="10" t="n">
        <v>45977</v>
      </c>
      <c r="D573" s="2" t="s">
        <v>77</v>
      </c>
      <c r="E573" s="2" t="s">
        <v>64</v>
      </c>
      <c r="F573" s="2" t="s">
        <v>65</v>
      </c>
      <c r="G573" s="2" t="s">
        <v>107</v>
      </c>
      <c r="H573" s="2" t="n">
        <v>2</v>
      </c>
      <c r="I573" s="2" t="n">
        <v>500</v>
      </c>
      <c r="J573" s="2" t="n">
        <v>0.1</v>
      </c>
      <c r="K573" s="2" t="n">
        <v>250</v>
      </c>
    </row>
    <row r="574" customFormat="false" ht="15" hidden="false" customHeight="false" outlineLevel="0" collapsed="false">
      <c r="A574" s="2" t="s">
        <v>886</v>
      </c>
      <c r="B574" s="2" t="s">
        <v>884</v>
      </c>
      <c r="C574" s="10" t="n">
        <v>45988</v>
      </c>
      <c r="D574" s="2" t="s">
        <v>651</v>
      </c>
      <c r="E574" s="2" t="s">
        <v>64</v>
      </c>
      <c r="F574" s="2" t="s">
        <v>70</v>
      </c>
      <c r="G574" s="2" t="s">
        <v>126</v>
      </c>
      <c r="H574" s="2" t="n">
        <v>1</v>
      </c>
      <c r="I574" s="2" t="n">
        <v>4500</v>
      </c>
      <c r="J574" s="2" t="n">
        <v>0.05</v>
      </c>
      <c r="K574" s="2" t="n">
        <v>3300</v>
      </c>
    </row>
    <row r="575" customFormat="false" ht="15" hidden="false" customHeight="false" outlineLevel="0" collapsed="false">
      <c r="A575" s="2" t="s">
        <v>887</v>
      </c>
      <c r="B575" s="2" t="s">
        <v>884</v>
      </c>
      <c r="C575" s="10" t="n">
        <v>45733</v>
      </c>
      <c r="D575" s="2" t="s">
        <v>77</v>
      </c>
      <c r="E575" s="2" t="s">
        <v>64</v>
      </c>
      <c r="F575" s="2" t="s">
        <v>65</v>
      </c>
      <c r="G575" s="2" t="s">
        <v>107</v>
      </c>
      <c r="H575" s="2" t="n">
        <v>3</v>
      </c>
      <c r="I575" s="2" t="n">
        <v>500</v>
      </c>
      <c r="J575" s="2" t="n">
        <v>0</v>
      </c>
      <c r="K575" s="2" t="n">
        <v>250</v>
      </c>
    </row>
    <row r="576" customFormat="false" ht="15" hidden="false" customHeight="false" outlineLevel="0" collapsed="false">
      <c r="A576" s="2" t="s">
        <v>888</v>
      </c>
      <c r="B576" s="2" t="s">
        <v>889</v>
      </c>
      <c r="C576" s="10" t="n">
        <v>45769</v>
      </c>
      <c r="D576" s="2" t="s">
        <v>77</v>
      </c>
      <c r="E576" s="2" t="s">
        <v>64</v>
      </c>
      <c r="F576" s="2" t="s">
        <v>65</v>
      </c>
      <c r="G576" s="2" t="s">
        <v>107</v>
      </c>
      <c r="H576" s="2" t="n">
        <v>4</v>
      </c>
      <c r="I576" s="2" t="n">
        <v>500</v>
      </c>
      <c r="J576" s="2" t="n">
        <v>0</v>
      </c>
      <c r="K576" s="2" t="n">
        <v>250</v>
      </c>
    </row>
    <row r="577" customFormat="false" ht="15" hidden="false" customHeight="false" outlineLevel="0" collapsed="false">
      <c r="A577" s="2" t="s">
        <v>890</v>
      </c>
      <c r="B577" s="2" t="s">
        <v>891</v>
      </c>
      <c r="C577" s="10" t="n">
        <v>45809</v>
      </c>
      <c r="D577" s="2" t="s">
        <v>63</v>
      </c>
      <c r="E577" s="2" t="s">
        <v>64</v>
      </c>
      <c r="F577" s="2" t="s">
        <v>65</v>
      </c>
      <c r="G577" s="2" t="s">
        <v>82</v>
      </c>
      <c r="H577" s="2" t="n">
        <v>7</v>
      </c>
      <c r="I577" s="2" t="n">
        <v>250</v>
      </c>
      <c r="J577" s="2" t="n">
        <v>0</v>
      </c>
      <c r="K577" s="2" t="n">
        <v>100</v>
      </c>
    </row>
    <row r="578" customFormat="false" ht="15" hidden="false" customHeight="false" outlineLevel="0" collapsed="false">
      <c r="A578" s="2" t="s">
        <v>892</v>
      </c>
      <c r="B578" s="2" t="s">
        <v>893</v>
      </c>
      <c r="C578" s="10" t="n">
        <v>45977</v>
      </c>
      <c r="D578" s="2" t="s">
        <v>81</v>
      </c>
      <c r="E578" s="2" t="s">
        <v>69</v>
      </c>
      <c r="F578" s="2" t="s">
        <v>73</v>
      </c>
      <c r="G578" s="2" t="s">
        <v>85</v>
      </c>
      <c r="H578" s="2" t="n">
        <v>3</v>
      </c>
      <c r="I578" s="2" t="n">
        <v>1200</v>
      </c>
      <c r="J578" s="2" t="n">
        <v>0.05</v>
      </c>
      <c r="K578" s="2" t="n">
        <v>600</v>
      </c>
    </row>
    <row r="579" customFormat="false" ht="15" hidden="false" customHeight="false" outlineLevel="0" collapsed="false">
      <c r="A579" s="2" t="s">
        <v>894</v>
      </c>
      <c r="B579" s="2" t="s">
        <v>893</v>
      </c>
      <c r="C579" s="10" t="n">
        <v>45671</v>
      </c>
      <c r="D579" s="2" t="s">
        <v>651</v>
      </c>
      <c r="E579" s="2" t="s">
        <v>69</v>
      </c>
      <c r="F579" s="2" t="s">
        <v>73</v>
      </c>
      <c r="G579" s="2" t="s">
        <v>74</v>
      </c>
      <c r="H579" s="2" t="n">
        <v>3</v>
      </c>
      <c r="I579" s="2" t="n">
        <v>7000</v>
      </c>
      <c r="J579" s="2" t="n">
        <v>0.05</v>
      </c>
      <c r="K579" s="2" t="n">
        <v>4800</v>
      </c>
    </row>
    <row r="580" customFormat="false" ht="15" hidden="false" customHeight="false" outlineLevel="0" collapsed="false">
      <c r="A580" s="2" t="s">
        <v>895</v>
      </c>
      <c r="B580" s="2" t="s">
        <v>896</v>
      </c>
      <c r="C580" s="10" t="n">
        <v>45926</v>
      </c>
      <c r="D580" s="2" t="s">
        <v>91</v>
      </c>
      <c r="E580" s="2" t="s">
        <v>69</v>
      </c>
      <c r="F580" s="2" t="s">
        <v>73</v>
      </c>
      <c r="G580" s="2" t="s">
        <v>87</v>
      </c>
      <c r="H580" s="2" t="n">
        <v>5</v>
      </c>
      <c r="I580" s="2" t="n">
        <v>9000</v>
      </c>
      <c r="J580" s="2" t="n">
        <v>0</v>
      </c>
      <c r="K580" s="2" t="n">
        <v>6200</v>
      </c>
    </row>
    <row r="581" customFormat="false" ht="15" hidden="false" customHeight="false" outlineLevel="0" collapsed="false">
      <c r="A581" s="2" t="s">
        <v>897</v>
      </c>
      <c r="B581" s="2" t="s">
        <v>896</v>
      </c>
      <c r="C581" s="10" t="n">
        <v>45980</v>
      </c>
      <c r="D581" s="2" t="s">
        <v>91</v>
      </c>
      <c r="E581" s="2" t="s">
        <v>69</v>
      </c>
      <c r="F581" s="2" t="s">
        <v>70</v>
      </c>
      <c r="G581" s="2" t="s">
        <v>71</v>
      </c>
      <c r="H581" s="2" t="n">
        <v>3</v>
      </c>
      <c r="I581" s="2" t="n">
        <v>2500</v>
      </c>
      <c r="J581" s="2" t="n">
        <v>0.05</v>
      </c>
      <c r="K581" s="2" t="n">
        <v>1600</v>
      </c>
    </row>
    <row r="582" customFormat="false" ht="15" hidden="false" customHeight="false" outlineLevel="0" collapsed="false">
      <c r="A582" s="2" t="s">
        <v>898</v>
      </c>
      <c r="B582" s="2" t="s">
        <v>899</v>
      </c>
      <c r="C582" s="10" t="n">
        <v>45971</v>
      </c>
      <c r="D582" s="2" t="s">
        <v>63</v>
      </c>
      <c r="E582" s="2" t="s">
        <v>69</v>
      </c>
      <c r="F582" s="2" t="s">
        <v>73</v>
      </c>
      <c r="G582" s="2" t="s">
        <v>85</v>
      </c>
      <c r="H582" s="2" t="n">
        <v>4</v>
      </c>
      <c r="I582" s="2" t="n">
        <v>1200</v>
      </c>
      <c r="J582" s="2" t="n">
        <v>0.05</v>
      </c>
      <c r="K582" s="2" t="n">
        <v>600</v>
      </c>
    </row>
    <row r="583" customFormat="false" ht="15" hidden="false" customHeight="false" outlineLevel="0" collapsed="false">
      <c r="A583" s="2" t="s">
        <v>900</v>
      </c>
      <c r="B583" s="2" t="s">
        <v>899</v>
      </c>
      <c r="C583" s="10" t="n">
        <v>45877</v>
      </c>
      <c r="D583" s="2" t="s">
        <v>63</v>
      </c>
      <c r="E583" s="2" t="s">
        <v>69</v>
      </c>
      <c r="F583" s="2" t="s">
        <v>70</v>
      </c>
      <c r="G583" s="2" t="s">
        <v>122</v>
      </c>
      <c r="H583" s="2"/>
      <c r="I583" s="2" t="n">
        <v>1500</v>
      </c>
      <c r="J583" s="2" t="n">
        <v>0</v>
      </c>
      <c r="K583" s="2" t="n">
        <v>900</v>
      </c>
    </row>
    <row r="584" customFormat="false" ht="15" hidden="false" customHeight="false" outlineLevel="0" collapsed="false">
      <c r="A584" s="2" t="s">
        <v>901</v>
      </c>
      <c r="B584" s="2" t="s">
        <v>899</v>
      </c>
      <c r="C584" s="10" t="n">
        <v>45820</v>
      </c>
      <c r="D584" s="2" t="s">
        <v>63</v>
      </c>
      <c r="E584" s="2" t="s">
        <v>69</v>
      </c>
      <c r="F584" s="2" t="s">
        <v>73</v>
      </c>
      <c r="G584" s="2" t="s">
        <v>85</v>
      </c>
      <c r="H584" s="2" t="n">
        <v>1</v>
      </c>
      <c r="I584" s="2" t="n">
        <v>1200</v>
      </c>
      <c r="J584" s="2" t="n">
        <v>0.1</v>
      </c>
      <c r="K584" s="2" t="n">
        <v>600</v>
      </c>
    </row>
    <row r="585" customFormat="false" ht="15" hidden="false" customHeight="false" outlineLevel="0" collapsed="false">
      <c r="A585" s="2" t="s">
        <v>902</v>
      </c>
      <c r="B585" s="2" t="s">
        <v>899</v>
      </c>
      <c r="C585" s="10" t="n">
        <v>45976</v>
      </c>
      <c r="D585" s="2" t="s">
        <v>63</v>
      </c>
      <c r="E585" s="2" t="s">
        <v>69</v>
      </c>
      <c r="F585" s="2" t="s">
        <v>70</v>
      </c>
      <c r="G585" s="2" t="s">
        <v>97</v>
      </c>
      <c r="H585" s="2" t="n">
        <v>5</v>
      </c>
      <c r="I585" s="2" t="n">
        <v>3000</v>
      </c>
      <c r="J585" s="2" t="n">
        <v>0.15</v>
      </c>
      <c r="K585" s="2" t="n">
        <v>2000</v>
      </c>
    </row>
    <row r="586" customFormat="false" ht="15" hidden="false" customHeight="false" outlineLevel="0" collapsed="false">
      <c r="A586" s="2" t="s">
        <v>903</v>
      </c>
      <c r="B586" s="2" t="s">
        <v>904</v>
      </c>
      <c r="C586" s="10" t="n">
        <v>45968</v>
      </c>
      <c r="D586" s="2" t="s">
        <v>77</v>
      </c>
      <c r="E586" s="2" t="s">
        <v>64</v>
      </c>
      <c r="F586" s="2" t="s">
        <v>70</v>
      </c>
      <c r="G586" s="2" t="s">
        <v>97</v>
      </c>
      <c r="H586" s="2" t="n">
        <v>2</v>
      </c>
      <c r="I586" s="2" t="n">
        <v>3000</v>
      </c>
      <c r="J586" s="2" t="n">
        <v>0.05</v>
      </c>
      <c r="K586" s="2" t="n">
        <v>2000</v>
      </c>
    </row>
    <row r="587" customFormat="false" ht="15" hidden="false" customHeight="false" outlineLevel="0" collapsed="false">
      <c r="A587" s="2" t="s">
        <v>905</v>
      </c>
      <c r="B587" s="2" t="s">
        <v>904</v>
      </c>
      <c r="C587" s="10" t="n">
        <v>45695</v>
      </c>
      <c r="D587" s="2" t="s">
        <v>77</v>
      </c>
      <c r="E587" s="2" t="s">
        <v>64</v>
      </c>
      <c r="F587" s="2" t="s">
        <v>70</v>
      </c>
      <c r="G587" s="2" t="s">
        <v>71</v>
      </c>
      <c r="H587" s="2" t="n">
        <v>1</v>
      </c>
      <c r="I587" s="2" t="n">
        <v>2500</v>
      </c>
      <c r="J587" s="2" t="n">
        <v>0</v>
      </c>
      <c r="K587" s="2" t="n">
        <v>1600</v>
      </c>
    </row>
    <row r="588" customFormat="false" ht="15" hidden="false" customHeight="false" outlineLevel="0" collapsed="false">
      <c r="A588" s="2" t="s">
        <v>906</v>
      </c>
      <c r="B588" s="2" t="s">
        <v>904</v>
      </c>
      <c r="C588" s="10" t="n">
        <v>45703</v>
      </c>
      <c r="D588" s="2" t="s">
        <v>77</v>
      </c>
      <c r="E588" s="2" t="s">
        <v>64</v>
      </c>
      <c r="F588" s="2" t="s">
        <v>73</v>
      </c>
      <c r="G588" s="2" t="s">
        <v>104</v>
      </c>
      <c r="H588" s="2" t="n">
        <v>3</v>
      </c>
      <c r="I588" s="2" t="n">
        <v>5500</v>
      </c>
      <c r="J588" s="2" t="n">
        <v>0.1</v>
      </c>
      <c r="K588" s="2" t="n">
        <v>3600</v>
      </c>
    </row>
    <row r="589" customFormat="false" ht="15" hidden="false" customHeight="false" outlineLevel="0" collapsed="false">
      <c r="A589" s="2" t="s">
        <v>907</v>
      </c>
      <c r="B589" s="2" t="s">
        <v>904</v>
      </c>
      <c r="C589" s="10" t="n">
        <v>45857</v>
      </c>
      <c r="D589" s="2" t="s">
        <v>77</v>
      </c>
      <c r="E589" s="2" t="s">
        <v>64</v>
      </c>
      <c r="F589" s="2" t="s">
        <v>65</v>
      </c>
      <c r="G589" s="2" t="s">
        <v>82</v>
      </c>
      <c r="H589" s="2" t="n">
        <v>6</v>
      </c>
      <c r="I589" s="2" t="n">
        <v>250</v>
      </c>
      <c r="J589" s="2" t="n">
        <v>0.1</v>
      </c>
      <c r="K589" s="2" t="n">
        <v>100</v>
      </c>
    </row>
    <row r="590" customFormat="false" ht="15" hidden="false" customHeight="false" outlineLevel="0" collapsed="false">
      <c r="A590" s="2" t="s">
        <v>908</v>
      </c>
      <c r="B590" s="2" t="s">
        <v>904</v>
      </c>
      <c r="C590" s="10" t="n">
        <v>45773</v>
      </c>
      <c r="D590" s="2" t="s">
        <v>77</v>
      </c>
      <c r="E590" s="2" t="s">
        <v>64</v>
      </c>
      <c r="F590" s="2" t="s">
        <v>65</v>
      </c>
      <c r="G590" s="2" t="s">
        <v>78</v>
      </c>
      <c r="H590" s="2" t="n">
        <v>8</v>
      </c>
      <c r="I590" s="2" t="n">
        <v>400</v>
      </c>
      <c r="J590" s="2" t="n">
        <v>0</v>
      </c>
      <c r="K590" s="2" t="n">
        <v>200</v>
      </c>
    </row>
    <row r="591" customFormat="false" ht="15" hidden="false" customHeight="false" outlineLevel="0" collapsed="false">
      <c r="A591" s="2" t="s">
        <v>909</v>
      </c>
      <c r="B591" s="2" t="s">
        <v>910</v>
      </c>
      <c r="C591" s="10" t="n">
        <v>45751</v>
      </c>
      <c r="D591" s="2" t="s">
        <v>91</v>
      </c>
      <c r="E591" s="2" t="s">
        <v>69</v>
      </c>
      <c r="F591" s="2" t="s">
        <v>65</v>
      </c>
      <c r="G591" s="2" t="s">
        <v>107</v>
      </c>
      <c r="H591" s="2" t="n">
        <v>8</v>
      </c>
      <c r="I591" s="2" t="n">
        <v>500</v>
      </c>
      <c r="J591" s="2" t="n">
        <v>0.1</v>
      </c>
      <c r="K591" s="2" t="n">
        <v>250</v>
      </c>
    </row>
    <row r="592" customFormat="false" ht="15" hidden="false" customHeight="false" outlineLevel="0" collapsed="false">
      <c r="A592" s="2" t="s">
        <v>911</v>
      </c>
      <c r="B592" s="2" t="s">
        <v>910</v>
      </c>
      <c r="C592" s="10" t="n">
        <v>45695</v>
      </c>
      <c r="D592" s="2" t="s">
        <v>91</v>
      </c>
      <c r="E592" s="2" t="s">
        <v>69</v>
      </c>
      <c r="F592" s="2" t="s">
        <v>65</v>
      </c>
      <c r="G592" s="2" t="s">
        <v>107</v>
      </c>
      <c r="H592" s="2" t="n">
        <v>17</v>
      </c>
      <c r="I592" s="2" t="n">
        <v>500</v>
      </c>
      <c r="J592" s="2" t="n">
        <v>0</v>
      </c>
      <c r="K592" s="2" t="n">
        <v>250</v>
      </c>
    </row>
    <row r="593" customFormat="false" ht="15" hidden="false" customHeight="false" outlineLevel="0" collapsed="false">
      <c r="A593" s="2" t="s">
        <v>912</v>
      </c>
      <c r="B593" s="2" t="s">
        <v>910</v>
      </c>
      <c r="C593" s="10" t="n">
        <v>45659</v>
      </c>
      <c r="D593" s="2" t="s">
        <v>91</v>
      </c>
      <c r="E593" s="2" t="s">
        <v>69</v>
      </c>
      <c r="F593" s="2" t="s">
        <v>73</v>
      </c>
      <c r="G593" s="2" t="s">
        <v>85</v>
      </c>
      <c r="H593" s="2" t="n">
        <v>2</v>
      </c>
      <c r="I593" s="2" t="n">
        <v>1200</v>
      </c>
      <c r="J593" s="2" t="n">
        <v>0.1</v>
      </c>
      <c r="K593" s="2" t="n">
        <v>600</v>
      </c>
    </row>
    <row r="594" customFormat="false" ht="15" hidden="false" customHeight="false" outlineLevel="0" collapsed="false">
      <c r="A594" s="2" t="s">
        <v>913</v>
      </c>
      <c r="B594" s="2" t="s">
        <v>910</v>
      </c>
      <c r="C594" s="10" t="n">
        <v>45717</v>
      </c>
      <c r="D594" s="2" t="s">
        <v>91</v>
      </c>
      <c r="E594" s="2" t="s">
        <v>69</v>
      </c>
      <c r="F594" s="2" t="s">
        <v>73</v>
      </c>
      <c r="G594" s="2" t="s">
        <v>85</v>
      </c>
      <c r="H594" s="2" t="n">
        <v>1</v>
      </c>
      <c r="I594" s="2" t="n">
        <v>1200</v>
      </c>
      <c r="J594" s="2" t="n">
        <v>0</v>
      </c>
      <c r="K594" s="2" t="n">
        <v>600</v>
      </c>
    </row>
    <row r="595" customFormat="false" ht="15" hidden="false" customHeight="false" outlineLevel="0" collapsed="false">
      <c r="A595" s="2" t="s">
        <v>914</v>
      </c>
      <c r="B595" s="2" t="s">
        <v>915</v>
      </c>
      <c r="C595" s="10" t="n">
        <v>45975</v>
      </c>
      <c r="D595" s="2" t="s">
        <v>63</v>
      </c>
      <c r="E595" s="2" t="s">
        <v>64</v>
      </c>
      <c r="F595" s="2" t="s">
        <v>73</v>
      </c>
      <c r="G595" s="2" t="s">
        <v>87</v>
      </c>
      <c r="H595" s="2" t="n">
        <v>2</v>
      </c>
      <c r="I595" s="2" t="n">
        <v>9000</v>
      </c>
      <c r="J595" s="2" t="n">
        <v>0.05</v>
      </c>
      <c r="K595" s="2" t="n">
        <v>6200</v>
      </c>
    </row>
    <row r="596" customFormat="false" ht="15" hidden="false" customHeight="false" outlineLevel="0" collapsed="false">
      <c r="A596" s="2" t="s">
        <v>916</v>
      </c>
      <c r="B596" s="2" t="s">
        <v>915</v>
      </c>
      <c r="C596" s="10" t="n">
        <v>45954</v>
      </c>
      <c r="D596" s="2" t="s">
        <v>63</v>
      </c>
      <c r="E596" s="2" t="s">
        <v>64</v>
      </c>
      <c r="F596" s="2" t="s">
        <v>73</v>
      </c>
      <c r="G596" s="2" t="s">
        <v>74</v>
      </c>
      <c r="H596" s="2" t="n">
        <v>3</v>
      </c>
      <c r="I596" s="2" t="n">
        <v>7000</v>
      </c>
      <c r="J596" s="2" t="n">
        <v>0.05</v>
      </c>
      <c r="K596" s="2" t="n">
        <v>4800</v>
      </c>
    </row>
    <row r="597" customFormat="false" ht="15" hidden="false" customHeight="false" outlineLevel="0" collapsed="false">
      <c r="A597" s="2" t="s">
        <v>917</v>
      </c>
      <c r="B597" s="2" t="s">
        <v>915</v>
      </c>
      <c r="C597" s="10" t="n">
        <v>45714</v>
      </c>
      <c r="D597" s="2" t="s">
        <v>63</v>
      </c>
      <c r="E597" s="2" t="s">
        <v>64</v>
      </c>
      <c r="F597" s="2" t="s">
        <v>70</v>
      </c>
      <c r="G597" s="2" t="s">
        <v>122</v>
      </c>
      <c r="H597" s="2" t="n">
        <v>1</v>
      </c>
      <c r="I597" s="2" t="n">
        <v>1500</v>
      </c>
      <c r="J597" s="2" t="n">
        <v>0</v>
      </c>
      <c r="K597" s="2" t="n">
        <v>900</v>
      </c>
    </row>
    <row r="598" customFormat="false" ht="15" hidden="false" customHeight="false" outlineLevel="0" collapsed="false">
      <c r="A598" s="2" t="s">
        <v>918</v>
      </c>
      <c r="B598" s="2" t="s">
        <v>919</v>
      </c>
      <c r="C598" s="10" t="n">
        <v>45850</v>
      </c>
      <c r="D598" s="2" t="s">
        <v>63</v>
      </c>
      <c r="E598" s="2" t="s">
        <v>69</v>
      </c>
      <c r="F598" s="2" t="s">
        <v>65</v>
      </c>
      <c r="G598" s="2" t="s">
        <v>78</v>
      </c>
      <c r="H598" s="2" t="n">
        <v>13</v>
      </c>
      <c r="I598" s="2" t="n">
        <v>400</v>
      </c>
      <c r="J598" s="2" t="n">
        <v>0</v>
      </c>
      <c r="K598" s="2" t="n">
        <v>200</v>
      </c>
    </row>
    <row r="599" customFormat="false" ht="15" hidden="false" customHeight="false" outlineLevel="0" collapsed="false">
      <c r="A599" s="2" t="s">
        <v>920</v>
      </c>
      <c r="B599" s="2" t="s">
        <v>919</v>
      </c>
      <c r="C599" s="10" t="n">
        <v>46003</v>
      </c>
      <c r="D599" s="2" t="s">
        <v>63</v>
      </c>
      <c r="E599" s="2" t="s">
        <v>69</v>
      </c>
      <c r="F599" s="2" t="s">
        <v>65</v>
      </c>
      <c r="G599" s="2" t="s">
        <v>66</v>
      </c>
      <c r="H599" s="2" t="n">
        <v>20</v>
      </c>
      <c r="I599" s="2" t="n">
        <v>600</v>
      </c>
      <c r="J599" s="2" t="n">
        <v>0.15</v>
      </c>
      <c r="K599" s="2" t="n">
        <v>300</v>
      </c>
    </row>
    <row r="600" customFormat="false" ht="15" hidden="false" customHeight="false" outlineLevel="0" collapsed="false">
      <c r="A600" s="2" t="s">
        <v>921</v>
      </c>
      <c r="B600" s="2" t="s">
        <v>922</v>
      </c>
      <c r="C600" s="10" t="n">
        <v>45965</v>
      </c>
      <c r="D600" s="2" t="s">
        <v>63</v>
      </c>
      <c r="E600" s="2" t="s">
        <v>64</v>
      </c>
      <c r="F600" s="2" t="s">
        <v>65</v>
      </c>
      <c r="G600" s="2" t="s">
        <v>78</v>
      </c>
      <c r="H600" s="2" t="n">
        <v>4</v>
      </c>
      <c r="I600" s="2" t="n">
        <v>400</v>
      </c>
      <c r="J600" s="2" t="n">
        <v>0.15</v>
      </c>
      <c r="K600" s="2" t="n">
        <v>200</v>
      </c>
    </row>
    <row r="601" customFormat="false" ht="15" hidden="false" customHeight="false" outlineLevel="0" collapsed="false">
      <c r="A601" s="2" t="s">
        <v>923</v>
      </c>
      <c r="B601" s="2" t="s">
        <v>924</v>
      </c>
      <c r="C601" s="10" t="n">
        <v>45907</v>
      </c>
      <c r="D601" s="2" t="s">
        <v>81</v>
      </c>
      <c r="E601" s="2" t="s">
        <v>64</v>
      </c>
      <c r="F601" s="2" t="s">
        <v>73</v>
      </c>
      <c r="G601" s="2" t="s">
        <v>74</v>
      </c>
      <c r="H601" s="2" t="n">
        <v>3</v>
      </c>
      <c r="I601" s="2" t="n">
        <v>7000</v>
      </c>
      <c r="J601" s="2" t="n">
        <v>0</v>
      </c>
      <c r="K601" s="2" t="n">
        <v>4800</v>
      </c>
    </row>
    <row r="602" customFormat="false" ht="15" hidden="false" customHeight="false" outlineLevel="0" collapsed="false">
      <c r="A602" s="2" t="s">
        <v>925</v>
      </c>
      <c r="B602" s="2" t="s">
        <v>924</v>
      </c>
      <c r="C602" s="10" t="n">
        <v>46017</v>
      </c>
      <c r="D602" s="2" t="s">
        <v>81</v>
      </c>
      <c r="E602" s="2" t="s">
        <v>64</v>
      </c>
      <c r="F602" s="2" t="s">
        <v>70</v>
      </c>
      <c r="G602" s="2" t="s">
        <v>97</v>
      </c>
      <c r="H602" s="2" t="n">
        <v>1</v>
      </c>
      <c r="I602" s="2" t="n">
        <v>3000</v>
      </c>
      <c r="J602" s="2" t="n">
        <v>0.05</v>
      </c>
      <c r="K602" s="2" t="n">
        <v>2000</v>
      </c>
    </row>
    <row r="603" customFormat="false" ht="15" hidden="false" customHeight="false" outlineLevel="0" collapsed="false">
      <c r="A603" s="2" t="s">
        <v>926</v>
      </c>
      <c r="B603" s="2" t="s">
        <v>924</v>
      </c>
      <c r="C603" s="10" t="n">
        <v>45663</v>
      </c>
      <c r="D603" s="2" t="s">
        <v>81</v>
      </c>
      <c r="E603" s="2" t="s">
        <v>64</v>
      </c>
      <c r="F603" s="2" t="s">
        <v>65</v>
      </c>
      <c r="G603" s="2" t="s">
        <v>78</v>
      </c>
      <c r="H603" s="2" t="n">
        <v>5</v>
      </c>
      <c r="I603" s="2" t="n">
        <v>400</v>
      </c>
      <c r="J603" s="2" t="n">
        <v>0</v>
      </c>
      <c r="K603" s="2" t="n">
        <v>200</v>
      </c>
    </row>
    <row r="604" customFormat="false" ht="15" hidden="false" customHeight="false" outlineLevel="0" collapsed="false">
      <c r="A604" s="2" t="s">
        <v>927</v>
      </c>
      <c r="B604" s="2" t="s">
        <v>924</v>
      </c>
      <c r="C604" s="10" t="n">
        <v>45988</v>
      </c>
      <c r="D604" s="2" t="s">
        <v>81</v>
      </c>
      <c r="E604" s="2" t="s">
        <v>64</v>
      </c>
      <c r="F604" s="2" t="s">
        <v>73</v>
      </c>
      <c r="G604" s="2" t="s">
        <v>87</v>
      </c>
      <c r="H604" s="2" t="n">
        <v>3</v>
      </c>
      <c r="I604" s="2" t="n">
        <v>9000</v>
      </c>
      <c r="J604" s="2" t="n">
        <v>0.1</v>
      </c>
      <c r="K604" s="2" t="n">
        <v>6200</v>
      </c>
    </row>
    <row r="605" customFormat="false" ht="15" hidden="false" customHeight="false" outlineLevel="0" collapsed="false">
      <c r="A605" s="2" t="s">
        <v>928</v>
      </c>
      <c r="B605" s="2" t="s">
        <v>924</v>
      </c>
      <c r="C605" s="10" t="n">
        <v>45945</v>
      </c>
      <c r="D605" s="2" t="s">
        <v>81</v>
      </c>
      <c r="E605" s="2" t="s">
        <v>64</v>
      </c>
      <c r="F605" s="2" t="s">
        <v>70</v>
      </c>
      <c r="G605" s="2" t="s">
        <v>126</v>
      </c>
      <c r="H605" s="2" t="n">
        <v>3</v>
      </c>
      <c r="I605" s="2" t="n">
        <v>4500</v>
      </c>
      <c r="J605" s="2" t="n">
        <v>0.05</v>
      </c>
      <c r="K605" s="2" t="n">
        <v>3300</v>
      </c>
    </row>
    <row r="606" customFormat="false" ht="15" hidden="false" customHeight="false" outlineLevel="0" collapsed="false">
      <c r="A606" s="2" t="s">
        <v>929</v>
      </c>
      <c r="B606" s="2" t="s">
        <v>924</v>
      </c>
      <c r="C606" s="10" t="n">
        <v>45978</v>
      </c>
      <c r="D606" s="2" t="s">
        <v>81</v>
      </c>
      <c r="E606" s="2" t="s">
        <v>64</v>
      </c>
      <c r="F606" s="2" t="s">
        <v>73</v>
      </c>
      <c r="G606" s="2" t="s">
        <v>74</v>
      </c>
      <c r="H606" s="2" t="n">
        <v>1</v>
      </c>
      <c r="I606" s="2" t="n">
        <v>7000</v>
      </c>
      <c r="J606" s="2" t="n">
        <v>0.1</v>
      </c>
      <c r="K606" s="2" t="n">
        <v>4800</v>
      </c>
    </row>
    <row r="607" customFormat="false" ht="15" hidden="false" customHeight="false" outlineLevel="0" collapsed="false">
      <c r="A607" s="2" t="s">
        <v>930</v>
      </c>
      <c r="B607" s="2" t="s">
        <v>931</v>
      </c>
      <c r="C607" s="10" t="n">
        <v>45708</v>
      </c>
      <c r="D607" s="2" t="s">
        <v>63</v>
      </c>
      <c r="E607" s="2" t="s">
        <v>64</v>
      </c>
      <c r="F607" s="2" t="s">
        <v>70</v>
      </c>
      <c r="G607" s="2" t="s">
        <v>97</v>
      </c>
      <c r="H607" s="2" t="n">
        <v>1</v>
      </c>
      <c r="I607" s="2" t="n">
        <v>3000</v>
      </c>
      <c r="J607" s="2" t="n">
        <v>0</v>
      </c>
      <c r="K607" s="2" t="n">
        <v>2000</v>
      </c>
    </row>
    <row r="608" customFormat="false" ht="15" hidden="false" customHeight="false" outlineLevel="0" collapsed="false">
      <c r="A608" s="2" t="s">
        <v>932</v>
      </c>
      <c r="B608" s="2" t="s">
        <v>931</v>
      </c>
      <c r="C608" s="10" t="n">
        <v>45790</v>
      </c>
      <c r="D608" s="2" t="s">
        <v>63</v>
      </c>
      <c r="E608" s="2" t="s">
        <v>64</v>
      </c>
      <c r="F608" s="2" t="s">
        <v>70</v>
      </c>
      <c r="G608" s="2" t="s">
        <v>97</v>
      </c>
      <c r="H608" s="2" t="n">
        <v>2</v>
      </c>
      <c r="I608" s="2" t="n">
        <v>3000</v>
      </c>
      <c r="J608" s="2" t="n">
        <v>0.05</v>
      </c>
      <c r="K608" s="2" t="n">
        <v>2000</v>
      </c>
    </row>
    <row r="609" customFormat="false" ht="15" hidden="false" customHeight="false" outlineLevel="0" collapsed="false">
      <c r="A609" s="2" t="s">
        <v>933</v>
      </c>
      <c r="B609" s="2" t="s">
        <v>931</v>
      </c>
      <c r="C609" s="10" t="n">
        <v>45849</v>
      </c>
      <c r="D609" s="2" t="s">
        <v>63</v>
      </c>
      <c r="E609" s="2" t="s">
        <v>64</v>
      </c>
      <c r="F609" s="2" t="s">
        <v>70</v>
      </c>
      <c r="G609" s="2" t="s">
        <v>126</v>
      </c>
      <c r="H609" s="2" t="n">
        <v>3</v>
      </c>
      <c r="I609" s="2" t="n">
        <v>4500</v>
      </c>
      <c r="J609" s="2" t="n">
        <v>0</v>
      </c>
      <c r="K609" s="2" t="n">
        <v>3300</v>
      </c>
    </row>
    <row r="610" customFormat="false" ht="15" hidden="false" customHeight="false" outlineLevel="0" collapsed="false">
      <c r="A610" s="2" t="s">
        <v>934</v>
      </c>
      <c r="B610" s="2" t="s">
        <v>931</v>
      </c>
      <c r="C610" s="10" t="n">
        <v>45749</v>
      </c>
      <c r="D610" s="2" t="s">
        <v>63</v>
      </c>
      <c r="E610" s="2" t="s">
        <v>64</v>
      </c>
      <c r="F610" s="2" t="s">
        <v>65</v>
      </c>
      <c r="G610" s="2" t="s">
        <v>82</v>
      </c>
      <c r="H610" s="2" t="n">
        <v>4</v>
      </c>
      <c r="I610" s="2" t="n">
        <v>250</v>
      </c>
      <c r="J610" s="2" t="n">
        <v>0.1</v>
      </c>
      <c r="K610" s="2" t="n">
        <v>100</v>
      </c>
    </row>
    <row r="611" customFormat="false" ht="15" hidden="false" customHeight="false" outlineLevel="0" collapsed="false">
      <c r="A611" s="2" t="s">
        <v>935</v>
      </c>
      <c r="B611" s="2" t="s">
        <v>936</v>
      </c>
      <c r="C611" s="10" t="n">
        <v>45849</v>
      </c>
      <c r="D611" s="2" t="s">
        <v>63</v>
      </c>
      <c r="E611" s="2" t="s">
        <v>69</v>
      </c>
      <c r="F611" s="2" t="s">
        <v>70</v>
      </c>
      <c r="G611" s="2" t="s">
        <v>126</v>
      </c>
      <c r="H611" s="2" t="n">
        <v>3</v>
      </c>
      <c r="I611" s="2" t="n">
        <v>4500</v>
      </c>
      <c r="J611" s="2" t="n">
        <v>0.05</v>
      </c>
      <c r="K611" s="2" t="n">
        <v>3300</v>
      </c>
    </row>
    <row r="612" customFormat="false" ht="15" hidden="false" customHeight="false" outlineLevel="0" collapsed="false">
      <c r="A612" s="2" t="s">
        <v>937</v>
      </c>
      <c r="B612" s="2" t="s">
        <v>936</v>
      </c>
      <c r="C612" s="10" t="n">
        <v>45758</v>
      </c>
      <c r="D612" s="2" t="s">
        <v>63</v>
      </c>
      <c r="E612" s="2" t="s">
        <v>69</v>
      </c>
      <c r="F612" s="2" t="s">
        <v>73</v>
      </c>
      <c r="G612" s="2" t="s">
        <v>85</v>
      </c>
      <c r="H612" s="2" t="n">
        <v>3</v>
      </c>
      <c r="I612" s="2" t="n">
        <v>1200</v>
      </c>
      <c r="J612" s="2" t="n">
        <v>0</v>
      </c>
      <c r="K612" s="2" t="n">
        <v>600</v>
      </c>
    </row>
    <row r="613" customFormat="false" ht="15" hidden="false" customHeight="false" outlineLevel="0" collapsed="false">
      <c r="A613" s="2" t="s">
        <v>938</v>
      </c>
      <c r="B613" s="2" t="s">
        <v>939</v>
      </c>
      <c r="C613" s="10" t="n">
        <v>45762</v>
      </c>
      <c r="D613" s="2" t="s">
        <v>81</v>
      </c>
      <c r="E613" s="2" t="s">
        <v>64</v>
      </c>
      <c r="F613" s="2" t="s">
        <v>73</v>
      </c>
      <c r="G613" s="2" t="s">
        <v>85</v>
      </c>
      <c r="H613" s="2" t="n">
        <v>2</v>
      </c>
      <c r="I613" s="2" t="n">
        <v>1200</v>
      </c>
      <c r="J613" s="2" t="n">
        <v>0</v>
      </c>
      <c r="K613" s="2" t="n">
        <v>600</v>
      </c>
    </row>
    <row r="614" customFormat="false" ht="15" hidden="false" customHeight="false" outlineLevel="0" collapsed="false">
      <c r="A614" s="2" t="s">
        <v>940</v>
      </c>
      <c r="B614" s="2" t="s">
        <v>939</v>
      </c>
      <c r="C614" s="10" t="n">
        <v>45697</v>
      </c>
      <c r="D614" s="2" t="s">
        <v>81</v>
      </c>
      <c r="E614" s="2" t="s">
        <v>64</v>
      </c>
      <c r="F614" s="2" t="s">
        <v>73</v>
      </c>
      <c r="G614" s="2" t="s">
        <v>74</v>
      </c>
      <c r="H614" s="2" t="n">
        <v>3</v>
      </c>
      <c r="I614" s="2" t="n">
        <v>7000</v>
      </c>
      <c r="J614" s="2" t="n">
        <v>0</v>
      </c>
      <c r="K614" s="2" t="n">
        <v>4800</v>
      </c>
    </row>
    <row r="615" customFormat="false" ht="15" hidden="false" customHeight="false" outlineLevel="0" collapsed="false">
      <c r="A615" s="2" t="s">
        <v>941</v>
      </c>
      <c r="B615" s="2" t="s">
        <v>939</v>
      </c>
      <c r="C615" s="10" t="n">
        <v>45973</v>
      </c>
      <c r="D615" s="2" t="s">
        <v>81</v>
      </c>
      <c r="E615" s="2" t="s">
        <v>64</v>
      </c>
      <c r="F615" s="2" t="s">
        <v>73</v>
      </c>
      <c r="G615" s="2" t="s">
        <v>85</v>
      </c>
      <c r="H615" s="2" t="n">
        <v>2</v>
      </c>
      <c r="I615" s="2" t="n">
        <v>1200</v>
      </c>
      <c r="J615" s="2" t="n">
        <v>0.05</v>
      </c>
      <c r="K615" s="2" t="n">
        <v>600</v>
      </c>
    </row>
    <row r="616" customFormat="false" ht="15" hidden="false" customHeight="false" outlineLevel="0" collapsed="false">
      <c r="A616" s="2" t="s">
        <v>942</v>
      </c>
      <c r="B616" s="2" t="s">
        <v>943</v>
      </c>
      <c r="C616" s="10" t="n">
        <v>45958</v>
      </c>
      <c r="D616" s="2" t="s">
        <v>81</v>
      </c>
      <c r="E616" s="2" t="s">
        <v>69</v>
      </c>
      <c r="F616" s="2" t="s">
        <v>73</v>
      </c>
      <c r="G616" s="2" t="s">
        <v>87</v>
      </c>
      <c r="H616" s="2" t="n">
        <v>1</v>
      </c>
      <c r="I616" s="2" t="n">
        <v>9000</v>
      </c>
      <c r="J616" s="2" t="n">
        <v>0.05</v>
      </c>
      <c r="K616" s="2" t="n">
        <v>6200</v>
      </c>
    </row>
    <row r="617" customFormat="false" ht="15" hidden="false" customHeight="false" outlineLevel="0" collapsed="false">
      <c r="A617" s="2" t="s">
        <v>944</v>
      </c>
      <c r="B617" s="2" t="s">
        <v>943</v>
      </c>
      <c r="C617" s="10" t="n">
        <v>45728</v>
      </c>
      <c r="D617" s="2" t="s">
        <v>81</v>
      </c>
      <c r="E617" s="2" t="s">
        <v>69</v>
      </c>
      <c r="F617" s="2" t="s">
        <v>73</v>
      </c>
      <c r="G617" s="2" t="s">
        <v>87</v>
      </c>
      <c r="H617" s="2" t="n">
        <v>5</v>
      </c>
      <c r="I617" s="2" t="n">
        <v>9000</v>
      </c>
      <c r="J617" s="2" t="n">
        <v>0</v>
      </c>
      <c r="K617" s="2" t="n">
        <v>6200</v>
      </c>
    </row>
    <row r="618" customFormat="false" ht="15" hidden="false" customHeight="false" outlineLevel="0" collapsed="false">
      <c r="A618" s="2" t="s">
        <v>945</v>
      </c>
      <c r="B618" s="2" t="s">
        <v>943</v>
      </c>
      <c r="C618" s="10" t="n">
        <v>45710</v>
      </c>
      <c r="D618" s="2" t="s">
        <v>81</v>
      </c>
      <c r="E618" s="2" t="s">
        <v>69</v>
      </c>
      <c r="F618" s="2" t="s">
        <v>65</v>
      </c>
      <c r="G618" s="2" t="s">
        <v>66</v>
      </c>
      <c r="H618" s="2" t="n">
        <v>12</v>
      </c>
      <c r="I618" s="2" t="n">
        <v>600</v>
      </c>
      <c r="J618" s="2" t="n">
        <v>0</v>
      </c>
      <c r="K618" s="2" t="n">
        <v>300</v>
      </c>
    </row>
    <row r="619" customFormat="false" ht="15" hidden="false" customHeight="false" outlineLevel="0" collapsed="false">
      <c r="A619" s="2" t="s">
        <v>946</v>
      </c>
      <c r="B619" s="2" t="s">
        <v>943</v>
      </c>
      <c r="C619" s="10" t="n">
        <v>45855</v>
      </c>
      <c r="D619" s="2" t="s">
        <v>81</v>
      </c>
      <c r="E619" s="2" t="s">
        <v>69</v>
      </c>
      <c r="F619" s="2" t="s">
        <v>70</v>
      </c>
      <c r="G619" s="2" t="s">
        <v>71</v>
      </c>
      <c r="H619" s="2" t="n">
        <v>3</v>
      </c>
      <c r="I619" s="2" t="n">
        <v>2500</v>
      </c>
      <c r="J619" s="2" t="n">
        <v>0</v>
      </c>
      <c r="K619" s="2" t="n">
        <v>1600</v>
      </c>
    </row>
    <row r="620" customFormat="false" ht="15" hidden="false" customHeight="false" outlineLevel="0" collapsed="false">
      <c r="A620" s="2" t="s">
        <v>947</v>
      </c>
      <c r="B620" s="2" t="s">
        <v>943</v>
      </c>
      <c r="C620" s="10" t="n">
        <v>45699</v>
      </c>
      <c r="D620" s="2" t="s">
        <v>81</v>
      </c>
      <c r="E620" s="2" t="s">
        <v>69</v>
      </c>
      <c r="F620" s="2" t="s">
        <v>70</v>
      </c>
      <c r="G620" s="2" t="s">
        <v>126</v>
      </c>
      <c r="H620" s="2" t="n">
        <v>5</v>
      </c>
      <c r="I620" s="2" t="n">
        <v>4500</v>
      </c>
      <c r="J620" s="2" t="n">
        <v>0.05</v>
      </c>
      <c r="K620" s="2" t="n">
        <v>3300</v>
      </c>
    </row>
    <row r="621" customFormat="false" ht="15" hidden="false" customHeight="false" outlineLevel="0" collapsed="false">
      <c r="A621" s="2" t="s">
        <v>948</v>
      </c>
      <c r="B621" s="2" t="s">
        <v>949</v>
      </c>
      <c r="C621" s="10" t="n">
        <v>45926</v>
      </c>
      <c r="D621" s="2" t="s">
        <v>81</v>
      </c>
      <c r="E621" s="2" t="s">
        <v>64</v>
      </c>
      <c r="F621" s="2" t="s">
        <v>65</v>
      </c>
      <c r="G621" s="2" t="s">
        <v>78</v>
      </c>
      <c r="H621" s="2" t="n">
        <v>7</v>
      </c>
      <c r="I621" s="2" t="n">
        <v>400</v>
      </c>
      <c r="J621" s="2" t="n">
        <v>0</v>
      </c>
      <c r="K621" s="2" t="n">
        <v>200</v>
      </c>
    </row>
    <row r="622" customFormat="false" ht="15" hidden="false" customHeight="false" outlineLevel="0" collapsed="false">
      <c r="A622" s="2" t="s">
        <v>950</v>
      </c>
      <c r="B622" s="2" t="s">
        <v>951</v>
      </c>
      <c r="C622" s="10" t="n">
        <v>45850</v>
      </c>
      <c r="D622" s="2" t="s">
        <v>77</v>
      </c>
      <c r="E622" s="2" t="s">
        <v>92</v>
      </c>
      <c r="F622" s="2" t="s">
        <v>70</v>
      </c>
      <c r="G622" s="2" t="s">
        <v>97</v>
      </c>
      <c r="H622" s="2" t="n">
        <v>3</v>
      </c>
      <c r="I622" s="2" t="n">
        <v>3000</v>
      </c>
      <c r="J622" s="2" t="n">
        <v>0.05</v>
      </c>
      <c r="K622" s="2" t="n">
        <v>2000</v>
      </c>
    </row>
    <row r="623" customFormat="false" ht="15" hidden="false" customHeight="false" outlineLevel="0" collapsed="false">
      <c r="A623" s="2" t="s">
        <v>952</v>
      </c>
      <c r="B623" s="2" t="s">
        <v>951</v>
      </c>
      <c r="C623" s="10" t="n">
        <v>45790</v>
      </c>
      <c r="D623" s="2" t="s">
        <v>77</v>
      </c>
      <c r="E623" s="2" t="s">
        <v>92</v>
      </c>
      <c r="F623" s="2" t="s">
        <v>73</v>
      </c>
      <c r="G623" s="2" t="s">
        <v>87</v>
      </c>
      <c r="H623" s="2" t="n">
        <v>2</v>
      </c>
      <c r="I623" s="2" t="n">
        <v>9000</v>
      </c>
      <c r="J623" s="2" t="n">
        <v>0.15</v>
      </c>
      <c r="K623" s="2" t="n">
        <v>6200</v>
      </c>
    </row>
    <row r="624" customFormat="false" ht="15" hidden="false" customHeight="false" outlineLevel="0" collapsed="false">
      <c r="A624" s="2" t="s">
        <v>953</v>
      </c>
      <c r="B624" s="2" t="s">
        <v>951</v>
      </c>
      <c r="C624" s="10" t="n">
        <v>45875</v>
      </c>
      <c r="D624" s="2" t="s">
        <v>77</v>
      </c>
      <c r="E624" s="2" t="s">
        <v>92</v>
      </c>
      <c r="F624" s="2" t="s">
        <v>70</v>
      </c>
      <c r="G624" s="2" t="s">
        <v>97</v>
      </c>
      <c r="H624" s="2" t="n">
        <v>8</v>
      </c>
      <c r="I624" s="2" t="n">
        <v>3000</v>
      </c>
      <c r="J624" s="2" t="n">
        <v>0.1</v>
      </c>
      <c r="K624" s="2" t="n">
        <v>2000</v>
      </c>
    </row>
    <row r="625" customFormat="false" ht="15" hidden="false" customHeight="false" outlineLevel="0" collapsed="false">
      <c r="A625" s="2" t="s">
        <v>954</v>
      </c>
      <c r="B625" s="2" t="s">
        <v>951</v>
      </c>
      <c r="C625" s="10" t="n">
        <v>45786</v>
      </c>
      <c r="D625" s="2" t="s">
        <v>77</v>
      </c>
      <c r="E625" s="2" t="s">
        <v>92</v>
      </c>
      <c r="F625" s="2" t="s">
        <v>70</v>
      </c>
      <c r="G625" s="2" t="s">
        <v>71</v>
      </c>
      <c r="H625" s="2" t="n">
        <v>7</v>
      </c>
      <c r="I625" s="2" t="n">
        <v>2500</v>
      </c>
      <c r="J625" s="2" t="n">
        <v>0.1</v>
      </c>
      <c r="K625" s="2" t="n">
        <v>1600</v>
      </c>
    </row>
    <row r="626" customFormat="false" ht="15" hidden="false" customHeight="false" outlineLevel="0" collapsed="false">
      <c r="A626" s="2" t="s">
        <v>955</v>
      </c>
      <c r="B626" s="2" t="s">
        <v>956</v>
      </c>
      <c r="C626" s="10" t="n">
        <v>45980</v>
      </c>
      <c r="D626" s="2" t="s">
        <v>91</v>
      </c>
      <c r="E626" s="2" t="s">
        <v>69</v>
      </c>
      <c r="F626" s="2" t="s">
        <v>73</v>
      </c>
      <c r="G626" s="2" t="s">
        <v>104</v>
      </c>
      <c r="H626" s="2" t="n">
        <v>2</v>
      </c>
      <c r="I626" s="2" t="n">
        <v>5500</v>
      </c>
      <c r="J626" s="2" t="n">
        <v>0.05</v>
      </c>
      <c r="K626" s="2" t="n">
        <v>3600</v>
      </c>
    </row>
    <row r="627" customFormat="false" ht="15" hidden="false" customHeight="false" outlineLevel="0" collapsed="false">
      <c r="A627" s="2" t="s">
        <v>957</v>
      </c>
      <c r="B627" s="2" t="s">
        <v>956</v>
      </c>
      <c r="C627" s="10" t="n">
        <v>46003</v>
      </c>
      <c r="D627" s="2" t="s">
        <v>91</v>
      </c>
      <c r="E627" s="2" t="s">
        <v>69</v>
      </c>
      <c r="F627" s="2" t="s">
        <v>73</v>
      </c>
      <c r="G627" s="2" t="s">
        <v>87</v>
      </c>
      <c r="H627" s="2" t="n">
        <v>5</v>
      </c>
      <c r="I627" s="2" t="n">
        <v>9000</v>
      </c>
      <c r="J627" s="2" t="n">
        <v>0.1</v>
      </c>
      <c r="K627" s="2" t="n">
        <v>6200</v>
      </c>
    </row>
    <row r="628" customFormat="false" ht="15" hidden="false" customHeight="false" outlineLevel="0" collapsed="false">
      <c r="A628" s="2" t="s">
        <v>958</v>
      </c>
      <c r="B628" s="2" t="s">
        <v>956</v>
      </c>
      <c r="C628" s="10" t="n">
        <v>45941</v>
      </c>
      <c r="D628" s="2" t="s">
        <v>91</v>
      </c>
      <c r="E628" s="2" t="s">
        <v>69</v>
      </c>
      <c r="F628" s="2" t="s">
        <v>73</v>
      </c>
      <c r="G628" s="2" t="s">
        <v>85</v>
      </c>
      <c r="H628" s="2" t="n">
        <v>1</v>
      </c>
      <c r="I628" s="2" t="n">
        <v>1200</v>
      </c>
      <c r="J628" s="2" t="n">
        <v>0.1</v>
      </c>
      <c r="K628" s="2" t="n">
        <v>600</v>
      </c>
    </row>
    <row r="629" customFormat="false" ht="15" hidden="false" customHeight="false" outlineLevel="0" collapsed="false">
      <c r="A629" s="2" t="s">
        <v>959</v>
      </c>
      <c r="B629" s="2" t="s">
        <v>956</v>
      </c>
      <c r="C629" s="10" t="n">
        <v>45955</v>
      </c>
      <c r="D629" s="2" t="s">
        <v>91</v>
      </c>
      <c r="E629" s="2" t="s">
        <v>69</v>
      </c>
      <c r="F629" s="2" t="s">
        <v>73</v>
      </c>
      <c r="G629" s="2" t="s">
        <v>87</v>
      </c>
      <c r="H629" s="2" t="n">
        <v>3</v>
      </c>
      <c r="I629" s="2" t="n">
        <v>9000</v>
      </c>
      <c r="J629" s="2" t="n">
        <v>0.05</v>
      </c>
      <c r="K629" s="2" t="n">
        <v>6200</v>
      </c>
    </row>
    <row r="630" customFormat="false" ht="15" hidden="false" customHeight="false" outlineLevel="0" collapsed="false">
      <c r="A630" s="2" t="s">
        <v>960</v>
      </c>
      <c r="B630" s="2" t="s">
        <v>956</v>
      </c>
      <c r="C630" s="10" t="n">
        <v>45723</v>
      </c>
      <c r="D630" s="2" t="s">
        <v>91</v>
      </c>
      <c r="E630" s="2" t="s">
        <v>69</v>
      </c>
      <c r="F630" s="2" t="s">
        <v>73</v>
      </c>
      <c r="G630" s="2" t="s">
        <v>87</v>
      </c>
      <c r="H630" s="2" t="n">
        <v>3</v>
      </c>
      <c r="I630" s="2" t="n">
        <v>9000</v>
      </c>
      <c r="J630" s="2" t="n">
        <v>0</v>
      </c>
      <c r="K630" s="2" t="n">
        <v>6200</v>
      </c>
    </row>
    <row r="631" customFormat="false" ht="15" hidden="false" customHeight="false" outlineLevel="0" collapsed="false">
      <c r="A631" s="2" t="s">
        <v>961</v>
      </c>
      <c r="B631" s="2" t="s">
        <v>956</v>
      </c>
      <c r="C631" s="10" t="n">
        <v>45818</v>
      </c>
      <c r="D631" s="2" t="s">
        <v>91</v>
      </c>
      <c r="E631" s="2" t="s">
        <v>69</v>
      </c>
      <c r="F631" s="2" t="s">
        <v>70</v>
      </c>
      <c r="G631" s="2" t="s">
        <v>71</v>
      </c>
      <c r="H631" s="2" t="n">
        <v>4</v>
      </c>
      <c r="I631" s="2" t="n">
        <v>2500</v>
      </c>
      <c r="J631" s="2" t="n">
        <v>0.1</v>
      </c>
      <c r="K631" s="2" t="n">
        <v>1600</v>
      </c>
    </row>
    <row r="632" customFormat="false" ht="15" hidden="false" customHeight="false" outlineLevel="0" collapsed="false">
      <c r="A632" s="2" t="s">
        <v>962</v>
      </c>
      <c r="B632" s="2" t="s">
        <v>956</v>
      </c>
      <c r="C632" s="10" t="n">
        <v>45874</v>
      </c>
      <c r="D632" s="2" t="s">
        <v>91</v>
      </c>
      <c r="E632" s="2" t="s">
        <v>69</v>
      </c>
      <c r="F632" s="2" t="s">
        <v>70</v>
      </c>
      <c r="G632" s="2" t="s">
        <v>71</v>
      </c>
      <c r="H632" s="2" t="n">
        <v>2</v>
      </c>
      <c r="I632" s="2" t="n">
        <v>2500</v>
      </c>
      <c r="J632" s="2" t="n">
        <v>0</v>
      </c>
      <c r="K632" s="2" t="n">
        <v>1600</v>
      </c>
    </row>
    <row r="633" customFormat="false" ht="15" hidden="false" customHeight="false" outlineLevel="0" collapsed="false">
      <c r="A633" s="2" t="s">
        <v>963</v>
      </c>
      <c r="B633" s="2" t="s">
        <v>956</v>
      </c>
      <c r="C633" s="10" t="n">
        <v>45699</v>
      </c>
      <c r="D633" s="2" t="s">
        <v>91</v>
      </c>
      <c r="E633" s="2" t="s">
        <v>69</v>
      </c>
      <c r="F633" s="2" t="s">
        <v>65</v>
      </c>
      <c r="G633" s="2" t="s">
        <v>78</v>
      </c>
      <c r="H633" s="2" t="n">
        <v>7</v>
      </c>
      <c r="I633" s="2" t="n">
        <v>400</v>
      </c>
      <c r="J633" s="2" t="n">
        <v>0.1</v>
      </c>
      <c r="K633" s="2" t="n">
        <v>200</v>
      </c>
    </row>
    <row r="634" customFormat="false" ht="15" hidden="false" customHeight="false" outlineLevel="0" collapsed="false">
      <c r="A634" s="2" t="s">
        <v>964</v>
      </c>
      <c r="B634" s="2" t="s">
        <v>965</v>
      </c>
      <c r="C634" s="10" t="n">
        <v>45951</v>
      </c>
      <c r="D634" s="2" t="s">
        <v>63</v>
      </c>
      <c r="E634" s="2" t="s">
        <v>64</v>
      </c>
      <c r="F634" s="2" t="s">
        <v>65</v>
      </c>
      <c r="G634" s="2" t="s">
        <v>82</v>
      </c>
      <c r="H634" s="2" t="n">
        <v>2</v>
      </c>
      <c r="I634" s="2" t="n">
        <v>250</v>
      </c>
      <c r="J634" s="2" t="n">
        <v>0.15</v>
      </c>
      <c r="K634" s="2" t="n">
        <v>100</v>
      </c>
    </row>
    <row r="635" customFormat="false" ht="15" hidden="false" customHeight="false" outlineLevel="0" collapsed="false">
      <c r="A635" s="2" t="s">
        <v>966</v>
      </c>
      <c r="B635" s="2" t="s">
        <v>967</v>
      </c>
      <c r="C635" s="10" t="n">
        <v>45968</v>
      </c>
      <c r="D635" s="2" t="s">
        <v>77</v>
      </c>
      <c r="E635" s="2" t="s">
        <v>69</v>
      </c>
      <c r="F635" s="2" t="s">
        <v>65</v>
      </c>
      <c r="G635" s="2" t="s">
        <v>78</v>
      </c>
      <c r="H635" s="2" t="n">
        <v>15</v>
      </c>
      <c r="I635" s="2" t="n">
        <v>400</v>
      </c>
      <c r="J635" s="2" t="n">
        <v>0.05</v>
      </c>
      <c r="K635" s="2" t="n">
        <v>200</v>
      </c>
    </row>
    <row r="636" customFormat="false" ht="15" hidden="false" customHeight="false" outlineLevel="0" collapsed="false">
      <c r="A636" s="2" t="s">
        <v>968</v>
      </c>
      <c r="B636" s="2" t="s">
        <v>969</v>
      </c>
      <c r="C636" s="10" t="n">
        <v>45974</v>
      </c>
      <c r="D636" s="2" t="s">
        <v>77</v>
      </c>
      <c r="E636" s="2" t="s">
        <v>64</v>
      </c>
      <c r="F636" s="2" t="s">
        <v>73</v>
      </c>
      <c r="G636" s="2" t="s">
        <v>104</v>
      </c>
      <c r="H636" s="2" t="n">
        <v>2</v>
      </c>
      <c r="I636" s="2" t="n">
        <v>5500</v>
      </c>
      <c r="J636" s="2" t="n">
        <v>0.1</v>
      </c>
      <c r="K636" s="2" t="n">
        <v>3600</v>
      </c>
    </row>
    <row r="637" customFormat="false" ht="15" hidden="false" customHeight="false" outlineLevel="0" collapsed="false">
      <c r="A637" s="2" t="s">
        <v>970</v>
      </c>
      <c r="B637" s="2" t="s">
        <v>969</v>
      </c>
      <c r="C637" s="10" t="n">
        <v>45987</v>
      </c>
      <c r="D637" s="2" t="s">
        <v>77</v>
      </c>
      <c r="E637" s="2" t="s">
        <v>64</v>
      </c>
      <c r="F637" s="2" t="s">
        <v>70</v>
      </c>
      <c r="G637" s="2" t="s">
        <v>122</v>
      </c>
      <c r="H637" s="2" t="n">
        <v>1</v>
      </c>
      <c r="I637" s="2" t="n">
        <v>1500</v>
      </c>
      <c r="J637" s="2" t="n">
        <v>0.1</v>
      </c>
      <c r="K637" s="2" t="n">
        <v>900</v>
      </c>
    </row>
    <row r="638" customFormat="false" ht="15" hidden="false" customHeight="false" outlineLevel="0" collapsed="false">
      <c r="A638" s="2" t="s">
        <v>971</v>
      </c>
      <c r="B638" s="2" t="s">
        <v>969</v>
      </c>
      <c r="C638" s="10" t="n">
        <v>45708</v>
      </c>
      <c r="D638" s="2" t="s">
        <v>77</v>
      </c>
      <c r="E638" s="2" t="s">
        <v>64</v>
      </c>
      <c r="F638" s="2" t="s">
        <v>70</v>
      </c>
      <c r="G638" s="2" t="s">
        <v>71</v>
      </c>
      <c r="H638" s="2" t="n">
        <v>1</v>
      </c>
      <c r="I638" s="2" t="n">
        <v>2500</v>
      </c>
      <c r="J638" s="2" t="n">
        <v>0.05</v>
      </c>
      <c r="K638" s="2" t="n">
        <v>1600</v>
      </c>
    </row>
    <row r="639" customFormat="false" ht="15" hidden="false" customHeight="false" outlineLevel="0" collapsed="false">
      <c r="A639" s="2" t="s">
        <v>972</v>
      </c>
      <c r="B639" s="2" t="s">
        <v>969</v>
      </c>
      <c r="C639" s="10" t="n">
        <v>45870</v>
      </c>
      <c r="D639" s="2" t="s">
        <v>77</v>
      </c>
      <c r="E639" s="2" t="s">
        <v>64</v>
      </c>
      <c r="F639" s="2" t="s">
        <v>73</v>
      </c>
      <c r="G639" s="2" t="s">
        <v>85</v>
      </c>
      <c r="H639" s="2" t="n">
        <v>2</v>
      </c>
      <c r="I639" s="2" t="n">
        <v>1200</v>
      </c>
      <c r="J639" s="2" t="n">
        <v>0</v>
      </c>
      <c r="K639" s="2" t="n">
        <v>600</v>
      </c>
    </row>
    <row r="640" customFormat="false" ht="15" hidden="false" customHeight="false" outlineLevel="0" collapsed="false">
      <c r="A640" s="2" t="s">
        <v>973</v>
      </c>
      <c r="B640" s="2" t="s">
        <v>969</v>
      </c>
      <c r="C640" s="10" t="n">
        <v>45889</v>
      </c>
      <c r="D640" s="2" t="s">
        <v>77</v>
      </c>
      <c r="E640" s="2" t="s">
        <v>64</v>
      </c>
      <c r="F640" s="2" t="s">
        <v>70</v>
      </c>
      <c r="G640" s="2" t="s">
        <v>122</v>
      </c>
      <c r="H640" s="2" t="n">
        <v>3</v>
      </c>
      <c r="I640" s="2" t="n">
        <v>1500</v>
      </c>
      <c r="J640" s="2" t="n">
        <v>0.05</v>
      </c>
      <c r="K640" s="2" t="n">
        <v>900</v>
      </c>
    </row>
    <row r="641" customFormat="false" ht="15" hidden="false" customHeight="false" outlineLevel="0" collapsed="false">
      <c r="A641" s="2" t="s">
        <v>974</v>
      </c>
      <c r="B641" s="2" t="s">
        <v>969</v>
      </c>
      <c r="C641" s="10" t="n">
        <v>45845</v>
      </c>
      <c r="D641" s="2" t="s">
        <v>77</v>
      </c>
      <c r="E641" s="2" t="s">
        <v>64</v>
      </c>
      <c r="F641" s="2" t="s">
        <v>65</v>
      </c>
      <c r="G641" s="2" t="s">
        <v>66</v>
      </c>
      <c r="H641" s="2" t="n">
        <v>3</v>
      </c>
      <c r="I641" s="2" t="n">
        <v>600</v>
      </c>
      <c r="J641" s="2" t="n">
        <v>0</v>
      </c>
      <c r="K641" s="2" t="n">
        <v>300</v>
      </c>
    </row>
    <row r="642" customFormat="false" ht="15" hidden="false" customHeight="false" outlineLevel="0" collapsed="false">
      <c r="A642" s="2" t="s">
        <v>975</v>
      </c>
      <c r="B642" s="2" t="s">
        <v>976</v>
      </c>
      <c r="C642" s="10" t="n">
        <v>45671</v>
      </c>
      <c r="D642" s="2" t="s">
        <v>77</v>
      </c>
      <c r="E642" s="2" t="s">
        <v>69</v>
      </c>
      <c r="F642" s="2" t="s">
        <v>65</v>
      </c>
      <c r="G642" s="2" t="s">
        <v>82</v>
      </c>
      <c r="H642" s="2" t="n">
        <v>7</v>
      </c>
      <c r="I642" s="2" t="n">
        <v>250</v>
      </c>
      <c r="J642" s="2" t="n">
        <v>0</v>
      </c>
      <c r="K642" s="2" t="n">
        <v>100</v>
      </c>
    </row>
    <row r="643" customFormat="false" ht="15" hidden="false" customHeight="false" outlineLevel="0" collapsed="false">
      <c r="A643" s="2" t="s">
        <v>977</v>
      </c>
      <c r="B643" s="2" t="s">
        <v>976</v>
      </c>
      <c r="C643" s="10" t="n">
        <v>45721</v>
      </c>
      <c r="D643" s="2" t="s">
        <v>77</v>
      </c>
      <c r="E643" s="2" t="s">
        <v>69</v>
      </c>
      <c r="F643" s="2" t="s">
        <v>73</v>
      </c>
      <c r="G643" s="2" t="s">
        <v>104</v>
      </c>
      <c r="H643" s="2" t="n">
        <v>5</v>
      </c>
      <c r="I643" s="2" t="n">
        <v>5500</v>
      </c>
      <c r="J643" s="2" t="n">
        <v>0.1</v>
      </c>
      <c r="K643" s="2" t="n">
        <v>3600</v>
      </c>
    </row>
    <row r="644" customFormat="false" ht="15" hidden="false" customHeight="false" outlineLevel="0" collapsed="false">
      <c r="A644" s="2" t="s">
        <v>978</v>
      </c>
      <c r="B644" s="2" t="s">
        <v>976</v>
      </c>
      <c r="C644" s="10" t="n">
        <v>45986</v>
      </c>
      <c r="D644" s="2" t="s">
        <v>77</v>
      </c>
      <c r="E644" s="2" t="s">
        <v>69</v>
      </c>
      <c r="F644" s="2" t="s">
        <v>70</v>
      </c>
      <c r="G644" s="2" t="s">
        <v>122</v>
      </c>
      <c r="H644" s="2" t="n">
        <v>5</v>
      </c>
      <c r="I644" s="2" t="n">
        <v>1500</v>
      </c>
      <c r="J644" s="2" t="n">
        <v>0.1</v>
      </c>
      <c r="K644" s="2" t="n">
        <v>900</v>
      </c>
    </row>
    <row r="645" customFormat="false" ht="15" hidden="false" customHeight="false" outlineLevel="0" collapsed="false">
      <c r="A645" s="2" t="s">
        <v>979</v>
      </c>
      <c r="B645" s="2" t="s">
        <v>976</v>
      </c>
      <c r="C645" s="10" t="n">
        <v>45739</v>
      </c>
      <c r="D645" s="2" t="s">
        <v>77</v>
      </c>
      <c r="E645" s="2" t="s">
        <v>69</v>
      </c>
      <c r="F645" s="2" t="s">
        <v>70</v>
      </c>
      <c r="G645" s="2" t="s">
        <v>71</v>
      </c>
      <c r="H645" s="2" t="n">
        <v>3</v>
      </c>
      <c r="I645" s="2" t="n">
        <v>2500</v>
      </c>
      <c r="J645" s="2" t="n">
        <v>0.1</v>
      </c>
      <c r="K645" s="2" t="n">
        <v>1600</v>
      </c>
    </row>
    <row r="646" customFormat="false" ht="15" hidden="false" customHeight="false" outlineLevel="0" collapsed="false">
      <c r="A646" s="2" t="s">
        <v>980</v>
      </c>
      <c r="B646" s="2" t="s">
        <v>976</v>
      </c>
      <c r="C646" s="10" t="n">
        <v>46008</v>
      </c>
      <c r="D646" s="2" t="s">
        <v>77</v>
      </c>
      <c r="E646" s="2" t="s">
        <v>69</v>
      </c>
      <c r="F646" s="2" t="s">
        <v>65</v>
      </c>
      <c r="G646" s="2" t="s">
        <v>107</v>
      </c>
      <c r="H646" s="2" t="n">
        <v>13</v>
      </c>
      <c r="I646" s="2" t="n">
        <v>500</v>
      </c>
      <c r="J646" s="2" t="n">
        <v>0.15</v>
      </c>
      <c r="K646" s="2" t="n">
        <v>250</v>
      </c>
    </row>
    <row r="647" customFormat="false" ht="15" hidden="false" customHeight="false" outlineLevel="0" collapsed="false">
      <c r="A647" s="2" t="s">
        <v>981</v>
      </c>
      <c r="B647" s="2" t="s">
        <v>982</v>
      </c>
      <c r="C647" s="10" t="n">
        <v>45704</v>
      </c>
      <c r="D647" s="2" t="s">
        <v>63</v>
      </c>
      <c r="E647" s="2" t="s">
        <v>64</v>
      </c>
      <c r="F647" s="2" t="s">
        <v>65</v>
      </c>
      <c r="G647" s="2" t="s">
        <v>66</v>
      </c>
      <c r="H647" s="2" t="n">
        <v>3</v>
      </c>
      <c r="I647" s="2" t="n">
        <v>600</v>
      </c>
      <c r="J647" s="2" t="n">
        <v>0.1</v>
      </c>
      <c r="K647" s="2" t="n">
        <v>300</v>
      </c>
    </row>
    <row r="648" customFormat="false" ht="15" hidden="false" customHeight="false" outlineLevel="0" collapsed="false">
      <c r="A648" s="2" t="s">
        <v>983</v>
      </c>
      <c r="B648" s="2" t="s">
        <v>984</v>
      </c>
      <c r="C648" s="10" t="n">
        <v>45913</v>
      </c>
      <c r="D648" s="2" t="s">
        <v>63</v>
      </c>
      <c r="E648" s="2" t="s">
        <v>64</v>
      </c>
      <c r="F648" s="2" t="s">
        <v>70</v>
      </c>
      <c r="G648" s="2" t="s">
        <v>71</v>
      </c>
      <c r="H648" s="2" t="n">
        <v>3</v>
      </c>
      <c r="I648" s="2" t="n">
        <v>2500</v>
      </c>
      <c r="J648" s="2" t="n">
        <v>0</v>
      </c>
      <c r="K648" s="2" t="n">
        <v>1600</v>
      </c>
    </row>
    <row r="649" customFormat="false" ht="15" hidden="false" customHeight="false" outlineLevel="0" collapsed="false">
      <c r="A649" s="2" t="s">
        <v>985</v>
      </c>
      <c r="B649" s="2" t="s">
        <v>984</v>
      </c>
      <c r="C649" s="10" t="n">
        <v>45856</v>
      </c>
      <c r="D649" s="2" t="s">
        <v>63</v>
      </c>
      <c r="E649" s="2" t="s">
        <v>64</v>
      </c>
      <c r="F649" s="2" t="s">
        <v>65</v>
      </c>
      <c r="G649" s="2" t="s">
        <v>78</v>
      </c>
      <c r="H649" s="2" t="n">
        <v>2</v>
      </c>
      <c r="I649" s="2" t="n">
        <v>400</v>
      </c>
      <c r="J649" s="2" t="n">
        <v>0</v>
      </c>
      <c r="K649" s="2" t="n">
        <v>200</v>
      </c>
    </row>
    <row r="650" customFormat="false" ht="15" hidden="false" customHeight="false" outlineLevel="0" collapsed="false">
      <c r="A650" s="2" t="s">
        <v>986</v>
      </c>
      <c r="B650" s="2" t="s">
        <v>987</v>
      </c>
      <c r="C650" s="10" t="n">
        <v>45681</v>
      </c>
      <c r="D650" s="2" t="s">
        <v>91</v>
      </c>
      <c r="E650" s="2" t="s">
        <v>92</v>
      </c>
      <c r="F650" s="2" t="s">
        <v>73</v>
      </c>
      <c r="G650" s="2" t="s">
        <v>87</v>
      </c>
      <c r="H650" s="2" t="n">
        <v>4</v>
      </c>
      <c r="I650" s="2" t="n">
        <v>9000</v>
      </c>
      <c r="J650" s="2" t="n">
        <v>0.1</v>
      </c>
      <c r="K650" s="2" t="n">
        <v>6200</v>
      </c>
    </row>
    <row r="651" customFormat="false" ht="15" hidden="false" customHeight="false" outlineLevel="0" collapsed="false">
      <c r="A651" s="2" t="s">
        <v>988</v>
      </c>
      <c r="B651" s="2" t="s">
        <v>987</v>
      </c>
      <c r="C651" s="10" t="n">
        <v>45669</v>
      </c>
      <c r="D651" s="2" t="s">
        <v>91</v>
      </c>
      <c r="E651" s="2" t="s">
        <v>92</v>
      </c>
      <c r="F651" s="2" t="s">
        <v>73</v>
      </c>
      <c r="G651" s="2" t="s">
        <v>87</v>
      </c>
      <c r="H651" s="2" t="n">
        <v>6</v>
      </c>
      <c r="I651" s="2" t="n">
        <v>9000</v>
      </c>
      <c r="J651" s="2" t="n">
        <v>0</v>
      </c>
      <c r="K651" s="2" t="n">
        <v>6200</v>
      </c>
    </row>
    <row r="652" customFormat="false" ht="15" hidden="false" customHeight="false" outlineLevel="0" collapsed="false">
      <c r="A652" s="2" t="s">
        <v>989</v>
      </c>
      <c r="B652" s="2" t="s">
        <v>987</v>
      </c>
      <c r="C652" s="10" t="n">
        <v>45742</v>
      </c>
      <c r="D652" s="2" t="s">
        <v>91</v>
      </c>
      <c r="E652" s="2" t="s">
        <v>92</v>
      </c>
      <c r="F652" s="2" t="s">
        <v>70</v>
      </c>
      <c r="G652" s="2" t="s">
        <v>126</v>
      </c>
      <c r="H652" s="2" t="n">
        <v>3</v>
      </c>
      <c r="I652" s="2" t="n">
        <v>4500</v>
      </c>
      <c r="J652" s="2" t="n">
        <v>0.1</v>
      </c>
      <c r="K652" s="2" t="n">
        <v>3300</v>
      </c>
    </row>
    <row r="653" customFormat="false" ht="15" hidden="false" customHeight="false" outlineLevel="0" collapsed="false">
      <c r="A653" s="2" t="s">
        <v>990</v>
      </c>
      <c r="B653" s="2" t="s">
        <v>991</v>
      </c>
      <c r="C653" s="10" t="n">
        <v>45720</v>
      </c>
      <c r="D653" s="2" t="s">
        <v>77</v>
      </c>
      <c r="E653" s="2" t="s">
        <v>64</v>
      </c>
      <c r="F653" s="2" t="s">
        <v>73</v>
      </c>
      <c r="G653" s="2" t="s">
        <v>85</v>
      </c>
      <c r="H653" s="2" t="n">
        <v>2</v>
      </c>
      <c r="I653" s="2" t="n">
        <v>1200</v>
      </c>
      <c r="J653" s="2" t="n">
        <v>0</v>
      </c>
      <c r="K653" s="2" t="n">
        <v>600</v>
      </c>
    </row>
    <row r="654" customFormat="false" ht="15" hidden="false" customHeight="false" outlineLevel="0" collapsed="false">
      <c r="A654" s="2" t="s">
        <v>992</v>
      </c>
      <c r="B654" s="2" t="s">
        <v>991</v>
      </c>
      <c r="C654" s="10" t="n">
        <v>45932</v>
      </c>
      <c r="D654" s="2" t="s">
        <v>77</v>
      </c>
      <c r="E654" s="2" t="s">
        <v>64</v>
      </c>
      <c r="F654" s="2" t="s">
        <v>70</v>
      </c>
      <c r="G654" s="2" t="s">
        <v>71</v>
      </c>
      <c r="H654" s="2" t="n">
        <v>1</v>
      </c>
      <c r="I654" s="2" t="n">
        <v>2500</v>
      </c>
      <c r="J654" s="2" t="n">
        <v>0.05</v>
      </c>
      <c r="K654" s="2" t="n">
        <v>1600</v>
      </c>
    </row>
    <row r="655" customFormat="false" ht="15" hidden="false" customHeight="false" outlineLevel="0" collapsed="false">
      <c r="A655" s="2" t="s">
        <v>993</v>
      </c>
      <c r="B655" s="2" t="s">
        <v>991</v>
      </c>
      <c r="C655" s="10" t="n">
        <v>45983</v>
      </c>
      <c r="D655" s="2" t="s">
        <v>77</v>
      </c>
      <c r="E655" s="2" t="s">
        <v>64</v>
      </c>
      <c r="F655" s="2" t="s">
        <v>73</v>
      </c>
      <c r="G655" s="2" t="s">
        <v>87</v>
      </c>
      <c r="H655" s="2" t="n">
        <v>3</v>
      </c>
      <c r="I655" s="2" t="n">
        <v>9000</v>
      </c>
      <c r="J655" s="2" t="n">
        <v>0.1</v>
      </c>
      <c r="K655" s="2" t="n">
        <v>6200</v>
      </c>
    </row>
    <row r="656" customFormat="false" ht="15" hidden="false" customHeight="false" outlineLevel="0" collapsed="false">
      <c r="A656" s="2" t="s">
        <v>994</v>
      </c>
      <c r="B656" s="2" t="s">
        <v>995</v>
      </c>
      <c r="C656" s="10" t="n">
        <v>45861</v>
      </c>
      <c r="D656" s="2" t="s">
        <v>77</v>
      </c>
      <c r="E656" s="2" t="s">
        <v>64</v>
      </c>
      <c r="F656" s="2" t="s">
        <v>65</v>
      </c>
      <c r="G656" s="2" t="s">
        <v>82</v>
      </c>
      <c r="H656" s="2" t="n">
        <v>2</v>
      </c>
      <c r="I656" s="2" t="n">
        <v>250</v>
      </c>
      <c r="J656" s="2" t="n">
        <v>0</v>
      </c>
      <c r="K656" s="2" t="n">
        <v>100</v>
      </c>
    </row>
    <row r="657" customFormat="false" ht="15" hidden="false" customHeight="false" outlineLevel="0" collapsed="false">
      <c r="A657" s="2" t="s">
        <v>996</v>
      </c>
      <c r="B657" s="2" t="s">
        <v>995</v>
      </c>
      <c r="C657" s="10" t="n">
        <v>45911</v>
      </c>
      <c r="D657" s="2" t="s">
        <v>77</v>
      </c>
      <c r="E657" s="2" t="s">
        <v>64</v>
      </c>
      <c r="F657" s="2" t="s">
        <v>65</v>
      </c>
      <c r="G657" s="2" t="s">
        <v>107</v>
      </c>
      <c r="H657" s="2" t="n">
        <v>3</v>
      </c>
      <c r="I657" s="2" t="n">
        <v>500</v>
      </c>
      <c r="J657" s="2" t="n">
        <v>0</v>
      </c>
      <c r="K657" s="2" t="n">
        <v>250</v>
      </c>
    </row>
    <row r="658" customFormat="false" ht="15" hidden="false" customHeight="false" outlineLevel="0" collapsed="false">
      <c r="A658" s="2" t="s">
        <v>997</v>
      </c>
      <c r="B658" s="2" t="s">
        <v>998</v>
      </c>
      <c r="C658" s="10" t="n">
        <v>45784</v>
      </c>
      <c r="D658" s="2" t="s">
        <v>91</v>
      </c>
      <c r="E658" s="2" t="s">
        <v>64</v>
      </c>
      <c r="F658" s="2" t="s">
        <v>73</v>
      </c>
      <c r="G658" s="2" t="s">
        <v>85</v>
      </c>
      <c r="H658" s="2" t="n">
        <v>3</v>
      </c>
      <c r="I658" s="2" t="n">
        <v>1200</v>
      </c>
      <c r="J658" s="2" t="n">
        <v>0.05</v>
      </c>
      <c r="K658" s="2" t="n">
        <v>600</v>
      </c>
    </row>
    <row r="659" customFormat="false" ht="15" hidden="false" customHeight="false" outlineLevel="0" collapsed="false">
      <c r="A659" s="2" t="s">
        <v>999</v>
      </c>
      <c r="B659" s="2" t="s">
        <v>998</v>
      </c>
      <c r="C659" s="10" t="n">
        <v>45988</v>
      </c>
      <c r="D659" s="2" t="s">
        <v>91</v>
      </c>
      <c r="E659" s="2" t="s">
        <v>64</v>
      </c>
      <c r="F659" s="2" t="s">
        <v>65</v>
      </c>
      <c r="G659" s="2" t="s">
        <v>82</v>
      </c>
      <c r="H659" s="2" t="n">
        <v>5</v>
      </c>
      <c r="I659" s="2" t="n">
        <v>250</v>
      </c>
      <c r="J659" s="2" t="n">
        <v>0.05</v>
      </c>
      <c r="K659" s="2" t="n">
        <v>100</v>
      </c>
    </row>
    <row r="660" customFormat="false" ht="15" hidden="false" customHeight="false" outlineLevel="0" collapsed="false">
      <c r="A660" s="2" t="s">
        <v>1000</v>
      </c>
      <c r="B660" s="2" t="s">
        <v>1001</v>
      </c>
      <c r="C660" s="10" t="n">
        <v>45763</v>
      </c>
      <c r="D660" s="2" t="s">
        <v>77</v>
      </c>
      <c r="E660" s="2" t="s">
        <v>64</v>
      </c>
      <c r="F660" s="2" t="s">
        <v>73</v>
      </c>
      <c r="G660" s="2" t="s">
        <v>104</v>
      </c>
      <c r="H660" s="2" t="n">
        <v>2</v>
      </c>
      <c r="I660" s="2" t="n">
        <v>5500</v>
      </c>
      <c r="J660" s="2" t="n">
        <v>0</v>
      </c>
      <c r="K660" s="2" t="n">
        <v>3600</v>
      </c>
    </row>
    <row r="661" customFormat="false" ht="15" hidden="false" customHeight="false" outlineLevel="0" collapsed="false">
      <c r="A661" s="2" t="s">
        <v>1002</v>
      </c>
      <c r="B661" s="2" t="s">
        <v>1001</v>
      </c>
      <c r="C661" s="10" t="n">
        <v>45889</v>
      </c>
      <c r="D661" s="2" t="s">
        <v>77</v>
      </c>
      <c r="E661" s="2" t="s">
        <v>64</v>
      </c>
      <c r="F661" s="2" t="s">
        <v>70</v>
      </c>
      <c r="G661" s="2" t="s">
        <v>126</v>
      </c>
      <c r="H661" s="2" t="n">
        <v>1</v>
      </c>
      <c r="I661" s="2" t="n">
        <v>4500</v>
      </c>
      <c r="J661" s="2" t="n">
        <v>0.1</v>
      </c>
      <c r="K661" s="2" t="n">
        <v>3300</v>
      </c>
    </row>
    <row r="662" customFormat="false" ht="15" hidden="false" customHeight="false" outlineLevel="0" collapsed="false">
      <c r="A662" s="2" t="s">
        <v>1003</v>
      </c>
      <c r="B662" s="2" t="s">
        <v>1004</v>
      </c>
      <c r="C662" s="10" t="n">
        <v>45775</v>
      </c>
      <c r="D662" s="2" t="s">
        <v>77</v>
      </c>
      <c r="E662" s="2" t="s">
        <v>69</v>
      </c>
      <c r="F662" s="2" t="s">
        <v>65</v>
      </c>
      <c r="G662" s="2" t="s">
        <v>107</v>
      </c>
      <c r="H662" s="2" t="n">
        <v>6</v>
      </c>
      <c r="I662" s="2" t="n">
        <v>500</v>
      </c>
      <c r="J662" s="2" t="n">
        <v>0</v>
      </c>
      <c r="K662" s="2" t="n">
        <v>250</v>
      </c>
    </row>
    <row r="663" customFormat="false" ht="15" hidden="false" customHeight="false" outlineLevel="0" collapsed="false">
      <c r="A663" s="2" t="s">
        <v>1005</v>
      </c>
      <c r="B663" s="2" t="s">
        <v>1004</v>
      </c>
      <c r="C663" s="10" t="n">
        <v>46019</v>
      </c>
      <c r="D663" s="2" t="s">
        <v>77</v>
      </c>
      <c r="E663" s="2" t="s">
        <v>69</v>
      </c>
      <c r="F663" s="2" t="s">
        <v>65</v>
      </c>
      <c r="G663" s="2" t="s">
        <v>66</v>
      </c>
      <c r="H663" s="2" t="n">
        <v>19</v>
      </c>
      <c r="I663" s="2" t="n">
        <v>600</v>
      </c>
      <c r="J663" s="2" t="n">
        <v>0.1</v>
      </c>
      <c r="K663" s="2" t="n">
        <v>300</v>
      </c>
    </row>
    <row r="664" customFormat="false" ht="15" hidden="false" customHeight="false" outlineLevel="0" collapsed="false">
      <c r="A664" s="2" t="s">
        <v>1006</v>
      </c>
      <c r="B664" s="2" t="s">
        <v>1007</v>
      </c>
      <c r="C664" s="10" t="n">
        <v>45662</v>
      </c>
      <c r="D664" s="2" t="s">
        <v>77</v>
      </c>
      <c r="E664" s="2" t="s">
        <v>64</v>
      </c>
      <c r="F664" s="2" t="s">
        <v>70</v>
      </c>
      <c r="G664" s="2" t="s">
        <v>126</v>
      </c>
      <c r="H664" s="2" t="n">
        <v>2</v>
      </c>
      <c r="I664" s="2" t="n">
        <v>4500</v>
      </c>
      <c r="J664" s="2" t="n">
        <v>0</v>
      </c>
      <c r="K664" s="2" t="n">
        <v>3300</v>
      </c>
    </row>
    <row r="665" customFormat="false" ht="15" hidden="false" customHeight="false" outlineLevel="0" collapsed="false">
      <c r="A665" s="2" t="s">
        <v>1008</v>
      </c>
      <c r="B665" s="2" t="s">
        <v>1009</v>
      </c>
      <c r="C665" s="10" t="n">
        <v>45781</v>
      </c>
      <c r="D665" s="2" t="s">
        <v>63</v>
      </c>
      <c r="E665" s="2" t="s">
        <v>92</v>
      </c>
      <c r="F665" s="2" t="s">
        <v>65</v>
      </c>
      <c r="G665" s="2" t="s">
        <v>78</v>
      </c>
      <c r="H665" s="2" t="n">
        <v>14</v>
      </c>
      <c r="I665" s="2" t="n">
        <v>400</v>
      </c>
      <c r="J665" s="2" t="n">
        <v>0.1</v>
      </c>
      <c r="K665" s="2" t="n">
        <v>200</v>
      </c>
    </row>
    <row r="666" customFormat="false" ht="15" hidden="false" customHeight="false" outlineLevel="0" collapsed="false">
      <c r="A666" s="2" t="s">
        <v>1010</v>
      </c>
      <c r="B666" s="2" t="s">
        <v>1009</v>
      </c>
      <c r="C666" s="10" t="n">
        <v>45911</v>
      </c>
      <c r="D666" s="2" t="s">
        <v>63</v>
      </c>
      <c r="E666" s="2" t="s">
        <v>92</v>
      </c>
      <c r="F666" s="2" t="s">
        <v>73</v>
      </c>
      <c r="G666" s="2" t="s">
        <v>87</v>
      </c>
      <c r="H666" s="2" t="n">
        <v>2</v>
      </c>
      <c r="I666" s="2" t="n">
        <v>9000</v>
      </c>
      <c r="J666" s="2" t="n">
        <v>0.15</v>
      </c>
      <c r="K666" s="2" t="n">
        <v>6200</v>
      </c>
    </row>
    <row r="667" customFormat="false" ht="15" hidden="false" customHeight="false" outlineLevel="0" collapsed="false">
      <c r="A667" s="2" t="s">
        <v>1011</v>
      </c>
      <c r="B667" s="2" t="s">
        <v>1009</v>
      </c>
      <c r="C667" s="10" t="n">
        <v>45968</v>
      </c>
      <c r="D667" s="2" t="s">
        <v>63</v>
      </c>
      <c r="E667" s="2" t="s">
        <v>92</v>
      </c>
      <c r="F667" s="2" t="s">
        <v>73</v>
      </c>
      <c r="G667" s="2" t="s">
        <v>85</v>
      </c>
      <c r="H667" s="2" t="n">
        <v>6</v>
      </c>
      <c r="I667" s="2" t="n">
        <v>1200</v>
      </c>
      <c r="J667" s="2" t="n">
        <v>0.1</v>
      </c>
      <c r="K667" s="2" t="n">
        <v>600</v>
      </c>
    </row>
    <row r="668" customFormat="false" ht="15" hidden="false" customHeight="false" outlineLevel="0" collapsed="false">
      <c r="A668" s="2" t="s">
        <v>1012</v>
      </c>
      <c r="B668" s="2" t="s">
        <v>1009</v>
      </c>
      <c r="C668" s="10" t="n">
        <v>45888</v>
      </c>
      <c r="D668" s="2" t="s">
        <v>63</v>
      </c>
      <c r="E668" s="2" t="s">
        <v>92</v>
      </c>
      <c r="F668" s="2" t="s">
        <v>73</v>
      </c>
      <c r="G668" s="2" t="s">
        <v>74</v>
      </c>
      <c r="H668" s="2" t="n">
        <v>6</v>
      </c>
      <c r="I668" s="2" t="n">
        <v>7000</v>
      </c>
      <c r="J668" s="2" t="n">
        <v>0.05</v>
      </c>
      <c r="K668" s="2" t="n">
        <v>4800</v>
      </c>
    </row>
    <row r="669" customFormat="false" ht="15" hidden="false" customHeight="false" outlineLevel="0" collapsed="false">
      <c r="A669" s="2" t="s">
        <v>1013</v>
      </c>
      <c r="B669" s="2" t="s">
        <v>1014</v>
      </c>
      <c r="C669" s="10" t="n">
        <v>45902</v>
      </c>
      <c r="D669" s="2" t="s">
        <v>63</v>
      </c>
      <c r="E669" s="2" t="s">
        <v>64</v>
      </c>
      <c r="F669" s="2" t="s">
        <v>65</v>
      </c>
      <c r="G669" s="2" t="s">
        <v>107</v>
      </c>
      <c r="H669" s="2" t="n">
        <v>7</v>
      </c>
      <c r="I669" s="2" t="n">
        <v>500</v>
      </c>
      <c r="J669" s="2" t="n">
        <v>0</v>
      </c>
      <c r="K669" s="2" t="n">
        <v>250</v>
      </c>
    </row>
    <row r="670" customFormat="false" ht="15" hidden="false" customHeight="false" outlineLevel="0" collapsed="false">
      <c r="A670" s="2" t="s">
        <v>1015</v>
      </c>
      <c r="B670" s="2" t="s">
        <v>1016</v>
      </c>
      <c r="C670" s="10" t="n">
        <v>45693</v>
      </c>
      <c r="D670" s="2" t="s">
        <v>81</v>
      </c>
      <c r="E670" s="2" t="s">
        <v>64</v>
      </c>
      <c r="F670" s="2" t="s">
        <v>65</v>
      </c>
      <c r="G670" s="2" t="s">
        <v>66</v>
      </c>
      <c r="H670" s="2" t="n">
        <v>2</v>
      </c>
      <c r="I670" s="2" t="n">
        <v>600</v>
      </c>
      <c r="J670" s="2" t="n">
        <v>0.05</v>
      </c>
      <c r="K670" s="2" t="n">
        <v>300</v>
      </c>
    </row>
    <row r="671" customFormat="false" ht="15" hidden="false" customHeight="false" outlineLevel="0" collapsed="false">
      <c r="A671" s="2" t="s">
        <v>1017</v>
      </c>
      <c r="B671" s="2" t="s">
        <v>1016</v>
      </c>
      <c r="C671" s="10" t="n">
        <v>45693</v>
      </c>
      <c r="D671" s="2" t="s">
        <v>81</v>
      </c>
      <c r="E671" s="2" t="s">
        <v>64</v>
      </c>
      <c r="F671" s="2" t="s">
        <v>73</v>
      </c>
      <c r="G671" s="2" t="s">
        <v>85</v>
      </c>
      <c r="H671" s="2" t="n">
        <v>1</v>
      </c>
      <c r="I671" s="2" t="n">
        <v>1200</v>
      </c>
      <c r="J671" s="2" t="n">
        <v>0.1</v>
      </c>
      <c r="K671" s="2" t="n">
        <v>600</v>
      </c>
    </row>
    <row r="672" customFormat="false" ht="15" hidden="false" customHeight="false" outlineLevel="0" collapsed="false">
      <c r="A672" s="2" t="s">
        <v>1018</v>
      </c>
      <c r="B672" s="2" t="s">
        <v>1016</v>
      </c>
      <c r="C672" s="10" t="n">
        <v>45964</v>
      </c>
      <c r="D672" s="2" t="s">
        <v>81</v>
      </c>
      <c r="E672" s="2" t="s">
        <v>64</v>
      </c>
      <c r="F672" s="2" t="s">
        <v>70</v>
      </c>
      <c r="G672" s="2" t="s">
        <v>71</v>
      </c>
      <c r="H672" s="2" t="n">
        <v>3</v>
      </c>
      <c r="I672" s="2" t="n">
        <v>2500</v>
      </c>
      <c r="J672" s="2" t="n">
        <v>0.1</v>
      </c>
      <c r="K672" s="2" t="n">
        <v>1600</v>
      </c>
    </row>
    <row r="673" customFormat="false" ht="15" hidden="false" customHeight="false" outlineLevel="0" collapsed="false">
      <c r="A673" s="2" t="s">
        <v>1019</v>
      </c>
      <c r="B673" s="2" t="s">
        <v>1016</v>
      </c>
      <c r="C673" s="10" t="n">
        <v>45847</v>
      </c>
      <c r="D673" s="2" t="s">
        <v>81</v>
      </c>
      <c r="E673" s="2" t="s">
        <v>64</v>
      </c>
      <c r="F673" s="2" t="s">
        <v>65</v>
      </c>
      <c r="G673" s="2" t="s">
        <v>66</v>
      </c>
      <c r="H673" s="2" t="n">
        <v>3</v>
      </c>
      <c r="I673" s="2" t="n">
        <v>600</v>
      </c>
      <c r="J673" s="2" t="n">
        <v>0</v>
      </c>
      <c r="K673" s="2" t="n">
        <v>300</v>
      </c>
    </row>
    <row r="674" customFormat="false" ht="15" hidden="false" customHeight="false" outlineLevel="0" collapsed="false">
      <c r="A674" s="2" t="s">
        <v>1020</v>
      </c>
      <c r="B674" s="2" t="s">
        <v>1016</v>
      </c>
      <c r="C674" s="10" t="n">
        <v>45932</v>
      </c>
      <c r="D674" s="2" t="s">
        <v>81</v>
      </c>
      <c r="E674" s="2" t="s">
        <v>64</v>
      </c>
      <c r="F674" s="2" t="s">
        <v>65</v>
      </c>
      <c r="G674" s="2" t="s">
        <v>82</v>
      </c>
      <c r="H674" s="2" t="n">
        <v>2</v>
      </c>
      <c r="I674" s="2" t="n">
        <v>250</v>
      </c>
      <c r="J674" s="2" t="n">
        <v>0.05</v>
      </c>
      <c r="K674" s="2" t="n">
        <v>100</v>
      </c>
    </row>
    <row r="675" customFormat="false" ht="15" hidden="false" customHeight="false" outlineLevel="0" collapsed="false">
      <c r="A675" s="2" t="s">
        <v>1021</v>
      </c>
      <c r="B675" s="2" t="s">
        <v>1016</v>
      </c>
      <c r="C675" s="10" t="n">
        <v>45759</v>
      </c>
      <c r="D675" s="2" t="s">
        <v>81</v>
      </c>
      <c r="E675" s="2" t="s">
        <v>64</v>
      </c>
      <c r="F675" s="2" t="s">
        <v>70</v>
      </c>
      <c r="G675" s="2" t="s">
        <v>126</v>
      </c>
      <c r="H675" s="2" t="n">
        <v>3</v>
      </c>
      <c r="I675" s="2" t="n">
        <v>4500</v>
      </c>
      <c r="J675" s="2" t="n">
        <v>0.1</v>
      </c>
      <c r="K675" s="2" t="n">
        <v>3300</v>
      </c>
    </row>
    <row r="676" customFormat="false" ht="15" hidden="false" customHeight="false" outlineLevel="0" collapsed="false">
      <c r="A676" s="2" t="s">
        <v>1022</v>
      </c>
      <c r="B676" s="2" t="s">
        <v>1023</v>
      </c>
      <c r="C676" s="10" t="n">
        <v>45737</v>
      </c>
      <c r="D676" s="2" t="s">
        <v>77</v>
      </c>
      <c r="E676" s="2" t="s">
        <v>92</v>
      </c>
      <c r="F676" s="2" t="s">
        <v>73</v>
      </c>
      <c r="G676" s="2" t="s">
        <v>104</v>
      </c>
      <c r="H676" s="2" t="n">
        <v>7</v>
      </c>
      <c r="I676" s="2" t="n">
        <v>5500</v>
      </c>
      <c r="J676" s="2" t="n">
        <v>0</v>
      </c>
      <c r="K676" s="2" t="n">
        <v>3600</v>
      </c>
    </row>
    <row r="677" customFormat="false" ht="15" hidden="false" customHeight="false" outlineLevel="0" collapsed="false">
      <c r="A677" s="2" t="s">
        <v>1024</v>
      </c>
      <c r="B677" s="2" t="s">
        <v>1023</v>
      </c>
      <c r="C677" s="10" t="n">
        <v>45680</v>
      </c>
      <c r="D677" s="2" t="s">
        <v>77</v>
      </c>
      <c r="E677" s="2" t="s">
        <v>92</v>
      </c>
      <c r="F677" s="2" t="s">
        <v>70</v>
      </c>
      <c r="G677" s="2" t="s">
        <v>97</v>
      </c>
      <c r="H677" s="2" t="n">
        <v>6</v>
      </c>
      <c r="I677" s="2" t="n">
        <v>3000</v>
      </c>
      <c r="J677" s="2" t="n">
        <v>0.1</v>
      </c>
      <c r="K677" s="2" t="n">
        <v>2000</v>
      </c>
    </row>
    <row r="678" customFormat="false" ht="15" hidden="false" customHeight="false" outlineLevel="0" collapsed="false">
      <c r="A678" s="2" t="s">
        <v>1025</v>
      </c>
      <c r="B678" s="2" t="s">
        <v>1023</v>
      </c>
      <c r="C678" s="10" t="n">
        <v>45758</v>
      </c>
      <c r="D678" s="2" t="s">
        <v>337</v>
      </c>
      <c r="E678" s="2" t="s">
        <v>92</v>
      </c>
      <c r="F678" s="2" t="s">
        <v>73</v>
      </c>
      <c r="G678" s="2" t="s">
        <v>85</v>
      </c>
      <c r="H678" s="2" t="n">
        <v>5</v>
      </c>
      <c r="I678" s="2" t="n">
        <v>1200</v>
      </c>
      <c r="J678" s="2" t="n">
        <v>0.15</v>
      </c>
      <c r="K678" s="2" t="n">
        <v>600</v>
      </c>
    </row>
    <row r="679" customFormat="false" ht="15" hidden="false" customHeight="false" outlineLevel="0" collapsed="false">
      <c r="A679" s="2" t="s">
        <v>1026</v>
      </c>
      <c r="B679" s="2" t="s">
        <v>1027</v>
      </c>
      <c r="C679" s="10" t="n">
        <v>45944</v>
      </c>
      <c r="D679" s="2" t="s">
        <v>63</v>
      </c>
      <c r="E679" s="2" t="s">
        <v>64</v>
      </c>
      <c r="F679" s="2" t="s">
        <v>70</v>
      </c>
      <c r="G679" s="2" t="s">
        <v>97</v>
      </c>
      <c r="H679" s="2" t="n">
        <v>2</v>
      </c>
      <c r="I679" s="2" t="n">
        <v>3000</v>
      </c>
      <c r="J679" s="2" t="n">
        <v>0.1</v>
      </c>
      <c r="K679" s="2" t="n">
        <v>2000</v>
      </c>
    </row>
    <row r="680" customFormat="false" ht="15" hidden="false" customHeight="false" outlineLevel="0" collapsed="false">
      <c r="A680" s="2" t="s">
        <v>1028</v>
      </c>
      <c r="B680" s="2" t="s">
        <v>1027</v>
      </c>
      <c r="C680" s="10" t="n">
        <v>45947</v>
      </c>
      <c r="D680" s="2" t="s">
        <v>63</v>
      </c>
      <c r="E680" s="2" t="s">
        <v>64</v>
      </c>
      <c r="F680" s="2" t="s">
        <v>65</v>
      </c>
      <c r="G680" s="2" t="s">
        <v>82</v>
      </c>
      <c r="H680" s="2" t="n">
        <v>7</v>
      </c>
      <c r="I680" s="2" t="n">
        <v>250</v>
      </c>
      <c r="J680" s="2" t="n">
        <v>0.15</v>
      </c>
      <c r="K680" s="2" t="n">
        <v>100</v>
      </c>
    </row>
    <row r="681" customFormat="false" ht="15" hidden="false" customHeight="false" outlineLevel="0" collapsed="false">
      <c r="A681" s="2" t="s">
        <v>1029</v>
      </c>
      <c r="B681" s="2" t="s">
        <v>1030</v>
      </c>
      <c r="C681" s="10" t="n">
        <v>45983</v>
      </c>
      <c r="D681" s="2" t="s">
        <v>77</v>
      </c>
      <c r="E681" s="2" t="s">
        <v>64</v>
      </c>
      <c r="F681" s="2" t="s">
        <v>65</v>
      </c>
      <c r="G681" s="2" t="s">
        <v>66</v>
      </c>
      <c r="H681" s="2" t="n">
        <v>7</v>
      </c>
      <c r="I681" s="2" t="n">
        <v>600</v>
      </c>
      <c r="J681" s="2" t="n">
        <v>0.05</v>
      </c>
      <c r="K681" s="2" t="n">
        <v>300</v>
      </c>
    </row>
    <row r="682" customFormat="false" ht="15" hidden="false" customHeight="false" outlineLevel="0" collapsed="false">
      <c r="A682" s="2" t="s">
        <v>1031</v>
      </c>
      <c r="B682" s="2" t="s">
        <v>1030</v>
      </c>
      <c r="C682" s="10" t="n">
        <v>45984</v>
      </c>
      <c r="D682" s="2" t="s">
        <v>77</v>
      </c>
      <c r="E682" s="2" t="s">
        <v>64</v>
      </c>
      <c r="F682" s="2" t="s">
        <v>70</v>
      </c>
      <c r="G682" s="2" t="s">
        <v>71</v>
      </c>
      <c r="H682" s="2" t="n">
        <v>1</v>
      </c>
      <c r="I682" s="2" t="n">
        <v>2500</v>
      </c>
      <c r="J682" s="2" t="n">
        <v>0.05</v>
      </c>
      <c r="K682" s="2" t="n">
        <v>1600</v>
      </c>
    </row>
    <row r="683" customFormat="false" ht="15" hidden="false" customHeight="false" outlineLevel="0" collapsed="false">
      <c r="A683" s="2" t="s">
        <v>1032</v>
      </c>
      <c r="B683" s="2" t="s">
        <v>1030</v>
      </c>
      <c r="C683" s="10" t="n">
        <v>45826</v>
      </c>
      <c r="D683" s="2" t="s">
        <v>77</v>
      </c>
      <c r="E683" s="2" t="s">
        <v>64</v>
      </c>
      <c r="F683" s="2" t="s">
        <v>73</v>
      </c>
      <c r="G683" s="2" t="s">
        <v>74</v>
      </c>
      <c r="H683" s="2" t="n">
        <v>2</v>
      </c>
      <c r="I683" s="2" t="n">
        <v>7000</v>
      </c>
      <c r="J683" s="2" t="n">
        <v>0.05</v>
      </c>
      <c r="K683" s="2" t="n">
        <v>4800</v>
      </c>
    </row>
    <row r="684" customFormat="false" ht="15" hidden="false" customHeight="false" outlineLevel="0" collapsed="false">
      <c r="A684" s="2" t="s">
        <v>1033</v>
      </c>
      <c r="B684" s="2" t="s">
        <v>1030</v>
      </c>
      <c r="C684" s="10" t="n">
        <v>45825</v>
      </c>
      <c r="D684" s="2" t="s">
        <v>756</v>
      </c>
      <c r="E684" s="2" t="s">
        <v>64</v>
      </c>
      <c r="F684" s="2" t="s">
        <v>65</v>
      </c>
      <c r="G684" s="2" t="s">
        <v>66</v>
      </c>
      <c r="H684" s="2" t="n">
        <v>5</v>
      </c>
      <c r="I684" s="2" t="n">
        <v>600</v>
      </c>
      <c r="J684" s="2" t="n">
        <v>0.05</v>
      </c>
      <c r="K684" s="2" t="n">
        <v>300</v>
      </c>
    </row>
    <row r="685" customFormat="false" ht="15" hidden="false" customHeight="false" outlineLevel="0" collapsed="false">
      <c r="A685" s="2" t="s">
        <v>1034</v>
      </c>
      <c r="B685" s="2" t="s">
        <v>1030</v>
      </c>
      <c r="C685" s="10" t="n">
        <v>45684</v>
      </c>
      <c r="D685" s="2" t="s">
        <v>77</v>
      </c>
      <c r="E685" s="2" t="s">
        <v>64</v>
      </c>
      <c r="F685" s="2" t="s">
        <v>73</v>
      </c>
      <c r="G685" s="2" t="s">
        <v>104</v>
      </c>
      <c r="H685" s="2" t="n">
        <v>3</v>
      </c>
      <c r="I685" s="2" t="n">
        <v>5500</v>
      </c>
      <c r="J685" s="2" t="n">
        <v>0</v>
      </c>
      <c r="K685" s="2" t="n">
        <v>3600</v>
      </c>
    </row>
    <row r="686" customFormat="false" ht="15" hidden="false" customHeight="false" outlineLevel="0" collapsed="false">
      <c r="A686" s="2" t="s">
        <v>1035</v>
      </c>
      <c r="B686" s="2" t="s">
        <v>1030</v>
      </c>
      <c r="C686" s="10" t="n">
        <v>45939</v>
      </c>
      <c r="D686" s="2" t="s">
        <v>77</v>
      </c>
      <c r="E686" s="2" t="s">
        <v>64</v>
      </c>
      <c r="F686" s="2" t="s">
        <v>73</v>
      </c>
      <c r="G686" s="2" t="s">
        <v>85</v>
      </c>
      <c r="H686" s="2" t="n">
        <v>2</v>
      </c>
      <c r="I686" s="2" t="n">
        <v>1200</v>
      </c>
      <c r="J686" s="2" t="n">
        <v>0.15</v>
      </c>
      <c r="K686" s="2" t="n">
        <v>600</v>
      </c>
    </row>
    <row r="687" customFormat="false" ht="15" hidden="false" customHeight="false" outlineLevel="0" collapsed="false">
      <c r="A687" s="2" t="s">
        <v>1036</v>
      </c>
      <c r="B687" s="2" t="s">
        <v>1030</v>
      </c>
      <c r="C687" s="10" t="n">
        <v>46011</v>
      </c>
      <c r="D687" s="2" t="s">
        <v>77</v>
      </c>
      <c r="E687" s="2" t="s">
        <v>64</v>
      </c>
      <c r="F687" s="2" t="s">
        <v>70</v>
      </c>
      <c r="G687" s="2" t="s">
        <v>122</v>
      </c>
      <c r="H687" s="2" t="n">
        <v>1</v>
      </c>
      <c r="I687" s="2" t="n">
        <v>1500</v>
      </c>
      <c r="J687" s="2" t="n">
        <v>0.05</v>
      </c>
      <c r="K687" s="2" t="n">
        <v>900</v>
      </c>
    </row>
    <row r="688" customFormat="false" ht="15" hidden="false" customHeight="false" outlineLevel="0" collapsed="false">
      <c r="A688" s="2" t="s">
        <v>1037</v>
      </c>
      <c r="B688" s="2" t="s">
        <v>1030</v>
      </c>
      <c r="C688" s="10" t="n">
        <v>45917</v>
      </c>
      <c r="D688" s="2" t="s">
        <v>77</v>
      </c>
      <c r="E688" s="2" t="s">
        <v>64</v>
      </c>
      <c r="F688" s="2" t="s">
        <v>70</v>
      </c>
      <c r="G688" s="2" t="s">
        <v>122</v>
      </c>
      <c r="H688" s="2" t="n">
        <v>2</v>
      </c>
      <c r="I688" s="2" t="n">
        <v>1500</v>
      </c>
      <c r="J688" s="2" t="n">
        <v>0</v>
      </c>
      <c r="K688" s="2" t="n">
        <v>900</v>
      </c>
    </row>
    <row r="689" customFormat="false" ht="15" hidden="false" customHeight="false" outlineLevel="0" collapsed="false">
      <c r="A689" s="2" t="s">
        <v>1038</v>
      </c>
      <c r="B689" s="2" t="s">
        <v>1039</v>
      </c>
      <c r="C689" s="10" t="n">
        <v>45986</v>
      </c>
      <c r="D689" s="2" t="s">
        <v>81</v>
      </c>
      <c r="E689" s="2" t="s">
        <v>69</v>
      </c>
      <c r="F689" s="2" t="s">
        <v>73</v>
      </c>
      <c r="G689" s="2" t="s">
        <v>85</v>
      </c>
      <c r="H689" s="2" t="n">
        <v>2</v>
      </c>
      <c r="I689" s="2" t="n">
        <v>1200</v>
      </c>
      <c r="J689" s="2" t="n">
        <v>0.05</v>
      </c>
      <c r="K689" s="2" t="n">
        <v>600</v>
      </c>
    </row>
    <row r="690" customFormat="false" ht="15" hidden="false" customHeight="false" outlineLevel="0" collapsed="false">
      <c r="A690" s="2" t="s">
        <v>1040</v>
      </c>
      <c r="B690" s="2" t="s">
        <v>1041</v>
      </c>
      <c r="C690" s="10" t="n">
        <v>45896</v>
      </c>
      <c r="D690" s="2" t="s">
        <v>81</v>
      </c>
      <c r="E690" s="2" t="s">
        <v>64</v>
      </c>
      <c r="F690" s="2" t="s">
        <v>65</v>
      </c>
      <c r="G690" s="2" t="s">
        <v>66</v>
      </c>
      <c r="H690" s="2" t="n">
        <v>6</v>
      </c>
      <c r="I690" s="2" t="n">
        <v>600</v>
      </c>
      <c r="J690" s="2" t="n">
        <v>0</v>
      </c>
      <c r="K690" s="2" t="n">
        <v>300</v>
      </c>
    </row>
    <row r="691" customFormat="false" ht="15" hidden="false" customHeight="false" outlineLevel="0" collapsed="false">
      <c r="A691" s="2" t="s">
        <v>1042</v>
      </c>
      <c r="B691" s="2" t="s">
        <v>1043</v>
      </c>
      <c r="C691" s="10" t="n">
        <v>45875</v>
      </c>
      <c r="D691" s="2" t="s">
        <v>77</v>
      </c>
      <c r="E691" s="2" t="s">
        <v>64</v>
      </c>
      <c r="F691" s="2" t="s">
        <v>73</v>
      </c>
      <c r="G691" s="2" t="s">
        <v>104</v>
      </c>
      <c r="H691" s="2" t="n">
        <v>1</v>
      </c>
      <c r="I691" s="2" t="n">
        <v>5500</v>
      </c>
      <c r="J691" s="2" t="n">
        <v>0.05</v>
      </c>
      <c r="K691" s="2" t="n">
        <v>3600</v>
      </c>
    </row>
    <row r="692" customFormat="false" ht="15" hidden="false" customHeight="false" outlineLevel="0" collapsed="false">
      <c r="A692" s="2" t="s">
        <v>1044</v>
      </c>
      <c r="B692" s="2" t="s">
        <v>1045</v>
      </c>
      <c r="C692" s="10" t="n">
        <v>45751</v>
      </c>
      <c r="D692" s="2" t="s">
        <v>63</v>
      </c>
      <c r="E692" s="2" t="s">
        <v>69</v>
      </c>
      <c r="F692" s="2" t="s">
        <v>70</v>
      </c>
      <c r="G692" s="2" t="s">
        <v>71</v>
      </c>
      <c r="H692" s="2" t="n">
        <v>4</v>
      </c>
      <c r="I692" s="2" t="n">
        <v>2500</v>
      </c>
      <c r="J692" s="2" t="n">
        <v>0.05</v>
      </c>
      <c r="K692" s="2" t="n">
        <v>1600</v>
      </c>
    </row>
    <row r="693" customFormat="false" ht="15" hidden="false" customHeight="false" outlineLevel="0" collapsed="false">
      <c r="A693" s="2" t="s">
        <v>1046</v>
      </c>
      <c r="B693" s="2" t="s">
        <v>1045</v>
      </c>
      <c r="C693" s="10" t="n">
        <v>45669</v>
      </c>
      <c r="D693" s="2" t="s">
        <v>63</v>
      </c>
      <c r="E693" s="2" t="s">
        <v>69</v>
      </c>
      <c r="F693" s="2" t="s">
        <v>65</v>
      </c>
      <c r="G693" s="2" t="s">
        <v>107</v>
      </c>
      <c r="H693" s="2" t="n">
        <v>13</v>
      </c>
      <c r="I693" s="2" t="n">
        <v>500</v>
      </c>
      <c r="J693" s="2" t="n">
        <v>0</v>
      </c>
      <c r="K693" s="2" t="n">
        <v>250</v>
      </c>
    </row>
    <row r="694" customFormat="false" ht="15" hidden="false" customHeight="false" outlineLevel="0" collapsed="false">
      <c r="A694" s="2" t="s">
        <v>1047</v>
      </c>
      <c r="B694" s="2" t="s">
        <v>1045</v>
      </c>
      <c r="C694" s="10" t="n">
        <v>45915</v>
      </c>
      <c r="D694" s="2" t="s">
        <v>63</v>
      </c>
      <c r="E694" s="2" t="s">
        <v>69</v>
      </c>
      <c r="F694" s="2" t="s">
        <v>70</v>
      </c>
      <c r="G694" s="2" t="s">
        <v>122</v>
      </c>
      <c r="H694" s="2" t="n">
        <v>5</v>
      </c>
      <c r="I694" s="2" t="n">
        <v>1500</v>
      </c>
      <c r="J694" s="2" t="n">
        <v>0</v>
      </c>
      <c r="K694" s="2" t="n">
        <v>900</v>
      </c>
    </row>
    <row r="695" customFormat="false" ht="15" hidden="false" customHeight="false" outlineLevel="0" collapsed="false">
      <c r="A695" s="2" t="s">
        <v>1048</v>
      </c>
      <c r="B695" s="2" t="s">
        <v>1045</v>
      </c>
      <c r="C695" s="10" t="n">
        <v>45892</v>
      </c>
      <c r="D695" s="2" t="s">
        <v>63</v>
      </c>
      <c r="E695" s="2" t="s">
        <v>69</v>
      </c>
      <c r="F695" s="2" t="s">
        <v>73</v>
      </c>
      <c r="G695" s="2" t="s">
        <v>74</v>
      </c>
      <c r="H695" s="2" t="n">
        <v>4</v>
      </c>
      <c r="I695" s="2" t="n">
        <v>7000</v>
      </c>
      <c r="J695" s="2" t="n">
        <v>0.05</v>
      </c>
      <c r="K695" s="2" t="n">
        <v>4800</v>
      </c>
    </row>
    <row r="696" customFormat="false" ht="15" hidden="false" customHeight="false" outlineLevel="0" collapsed="false">
      <c r="A696" s="2" t="s">
        <v>1049</v>
      </c>
      <c r="B696" s="2" t="s">
        <v>1045</v>
      </c>
      <c r="C696" s="10" t="n">
        <v>45955</v>
      </c>
      <c r="D696" s="2" t="s">
        <v>63</v>
      </c>
      <c r="E696" s="2" t="s">
        <v>69</v>
      </c>
      <c r="F696" s="2" t="s">
        <v>73</v>
      </c>
      <c r="G696" s="2" t="s">
        <v>74</v>
      </c>
      <c r="H696" s="2" t="n">
        <v>4</v>
      </c>
      <c r="I696" s="2" t="n">
        <v>7000</v>
      </c>
      <c r="J696" s="2" t="n">
        <v>0.05</v>
      </c>
      <c r="K696" s="2" t="n">
        <v>4800</v>
      </c>
    </row>
    <row r="697" customFormat="false" ht="15" hidden="false" customHeight="false" outlineLevel="0" collapsed="false">
      <c r="A697" s="2" t="s">
        <v>1050</v>
      </c>
      <c r="B697" s="2" t="s">
        <v>1051</v>
      </c>
      <c r="C697" s="10" t="n">
        <v>45794</v>
      </c>
      <c r="D697" s="2" t="s">
        <v>91</v>
      </c>
      <c r="E697" s="2" t="s">
        <v>64</v>
      </c>
      <c r="F697" s="2" t="s">
        <v>73</v>
      </c>
      <c r="G697" s="2" t="s">
        <v>87</v>
      </c>
      <c r="H697" s="2" t="n">
        <v>1</v>
      </c>
      <c r="I697" s="2" t="n">
        <v>9000</v>
      </c>
      <c r="J697" s="2" t="n">
        <v>0.05</v>
      </c>
      <c r="K697" s="2" t="n">
        <v>6200</v>
      </c>
    </row>
    <row r="698" customFormat="false" ht="15" hidden="false" customHeight="false" outlineLevel="0" collapsed="false">
      <c r="A698" s="2" t="s">
        <v>1052</v>
      </c>
      <c r="B698" s="2" t="s">
        <v>1051</v>
      </c>
      <c r="C698" s="10" t="n">
        <v>45864</v>
      </c>
      <c r="D698" s="2" t="s">
        <v>91</v>
      </c>
      <c r="E698" s="2" t="s">
        <v>64</v>
      </c>
      <c r="F698" s="2" t="s">
        <v>65</v>
      </c>
      <c r="G698" s="2" t="s">
        <v>82</v>
      </c>
      <c r="H698" s="2" t="n">
        <v>6</v>
      </c>
      <c r="I698" s="2" t="n">
        <v>250</v>
      </c>
      <c r="J698" s="2" t="n">
        <v>0</v>
      </c>
      <c r="K698" s="2" t="n">
        <v>100</v>
      </c>
    </row>
    <row r="699" customFormat="false" ht="15" hidden="false" customHeight="false" outlineLevel="0" collapsed="false">
      <c r="A699" s="2" t="s">
        <v>1053</v>
      </c>
      <c r="B699" s="2" t="s">
        <v>1051</v>
      </c>
      <c r="C699" s="10" t="n">
        <v>45839</v>
      </c>
      <c r="D699" s="2" t="s">
        <v>91</v>
      </c>
      <c r="E699" s="2" t="s">
        <v>64</v>
      </c>
      <c r="F699" s="2" t="s">
        <v>65</v>
      </c>
      <c r="G699" s="2" t="s">
        <v>107</v>
      </c>
      <c r="H699" s="2" t="n">
        <v>4</v>
      </c>
      <c r="I699" s="2" t="n">
        <v>500</v>
      </c>
      <c r="J699" s="2" t="n">
        <v>0</v>
      </c>
      <c r="K699" s="2" t="n">
        <v>250</v>
      </c>
    </row>
    <row r="700" customFormat="false" ht="15" hidden="false" customHeight="false" outlineLevel="0" collapsed="false">
      <c r="A700" s="2" t="s">
        <v>1054</v>
      </c>
      <c r="B700" s="2" t="s">
        <v>1055</v>
      </c>
      <c r="C700" s="10" t="n">
        <v>45861</v>
      </c>
      <c r="D700" s="2" t="s">
        <v>63</v>
      </c>
      <c r="E700" s="2" t="s">
        <v>92</v>
      </c>
      <c r="F700" s="2" t="s">
        <v>70</v>
      </c>
      <c r="G700" s="2" t="s">
        <v>122</v>
      </c>
      <c r="H700" s="2" t="n">
        <v>3</v>
      </c>
      <c r="I700" s="2" t="n">
        <v>1500</v>
      </c>
      <c r="J700" s="2" t="n">
        <v>0.1</v>
      </c>
      <c r="K700" s="2" t="n">
        <v>900</v>
      </c>
    </row>
    <row r="701" customFormat="false" ht="15" hidden="false" customHeight="false" outlineLevel="0" collapsed="false">
      <c r="A701" s="2" t="s">
        <v>1056</v>
      </c>
      <c r="B701" s="2" t="s">
        <v>1055</v>
      </c>
      <c r="C701" s="10" t="n">
        <v>46018</v>
      </c>
      <c r="D701" s="2" t="s">
        <v>63</v>
      </c>
      <c r="E701" s="2" t="s">
        <v>92</v>
      </c>
      <c r="F701" s="2" t="s">
        <v>73</v>
      </c>
      <c r="G701" s="2" t="s">
        <v>104</v>
      </c>
      <c r="H701" s="2" t="n">
        <v>3</v>
      </c>
      <c r="I701" s="2" t="n">
        <v>5500</v>
      </c>
      <c r="J701" s="2" t="n">
        <v>0.15</v>
      </c>
      <c r="K701" s="2" t="n">
        <v>3600</v>
      </c>
    </row>
    <row r="702" customFormat="false" ht="15" hidden="false" customHeight="false" outlineLevel="0" collapsed="false">
      <c r="A702" s="2" t="s">
        <v>1057</v>
      </c>
      <c r="B702" s="2" t="s">
        <v>1055</v>
      </c>
      <c r="C702" s="10" t="n">
        <v>45664</v>
      </c>
      <c r="D702" s="2" t="s">
        <v>63</v>
      </c>
      <c r="E702" s="2" t="s">
        <v>92</v>
      </c>
      <c r="F702" s="2" t="s">
        <v>65</v>
      </c>
      <c r="G702" s="2" t="s">
        <v>107</v>
      </c>
      <c r="H702" s="2" t="n">
        <v>37</v>
      </c>
      <c r="I702" s="2" t="n">
        <v>500</v>
      </c>
      <c r="J702" s="2" t="n">
        <v>0</v>
      </c>
      <c r="K702" s="2" t="n">
        <v>250</v>
      </c>
    </row>
    <row r="703" customFormat="false" ht="15" hidden="false" customHeight="false" outlineLevel="0" collapsed="false">
      <c r="A703" s="2" t="s">
        <v>1058</v>
      </c>
      <c r="B703" s="2" t="s">
        <v>1059</v>
      </c>
      <c r="C703" s="10" t="n">
        <v>45779</v>
      </c>
      <c r="D703" s="2" t="s">
        <v>81</v>
      </c>
      <c r="E703" s="2" t="s">
        <v>69</v>
      </c>
      <c r="F703" s="2" t="s">
        <v>73</v>
      </c>
      <c r="G703" s="2" t="s">
        <v>87</v>
      </c>
      <c r="H703" s="2" t="n">
        <v>3</v>
      </c>
      <c r="I703" s="2" t="n">
        <v>9000</v>
      </c>
      <c r="J703" s="2" t="n">
        <v>0</v>
      </c>
      <c r="K703" s="2" t="n">
        <v>6200</v>
      </c>
    </row>
    <row r="704" customFormat="false" ht="15" hidden="false" customHeight="false" outlineLevel="0" collapsed="false">
      <c r="A704" s="2" t="s">
        <v>1060</v>
      </c>
      <c r="B704" s="2" t="s">
        <v>1061</v>
      </c>
      <c r="C704" s="10" t="n">
        <v>45944</v>
      </c>
      <c r="D704" s="2" t="s">
        <v>63</v>
      </c>
      <c r="E704" s="2" t="s">
        <v>64</v>
      </c>
      <c r="F704" s="2" t="s">
        <v>65</v>
      </c>
      <c r="G704" s="2" t="s">
        <v>107</v>
      </c>
      <c r="H704" s="2" t="n">
        <v>5</v>
      </c>
      <c r="I704" s="2" t="n">
        <v>500</v>
      </c>
      <c r="J704" s="2" t="n">
        <v>0.05</v>
      </c>
      <c r="K704" s="2" t="n">
        <v>250</v>
      </c>
    </row>
    <row r="705" customFormat="false" ht="15" hidden="false" customHeight="false" outlineLevel="0" collapsed="false">
      <c r="A705" s="2" t="s">
        <v>1062</v>
      </c>
      <c r="B705" s="2" t="s">
        <v>1063</v>
      </c>
      <c r="C705" s="10" t="n">
        <v>45851</v>
      </c>
      <c r="D705" s="2" t="s">
        <v>91</v>
      </c>
      <c r="E705" s="2" t="s">
        <v>64</v>
      </c>
      <c r="F705" s="2" t="s">
        <v>65</v>
      </c>
      <c r="G705" s="2" t="s">
        <v>107</v>
      </c>
      <c r="H705" s="2" t="n">
        <v>7</v>
      </c>
      <c r="I705" s="2" t="n">
        <v>500</v>
      </c>
      <c r="J705" s="2" t="n">
        <v>0</v>
      </c>
      <c r="K705" s="2" t="n">
        <v>250</v>
      </c>
    </row>
    <row r="706" customFormat="false" ht="15" hidden="false" customHeight="false" outlineLevel="0" collapsed="false">
      <c r="A706" s="2" t="s">
        <v>1064</v>
      </c>
      <c r="B706" s="2" t="s">
        <v>1063</v>
      </c>
      <c r="C706" s="10" t="n">
        <v>45728</v>
      </c>
      <c r="D706" s="2" t="s">
        <v>91</v>
      </c>
      <c r="E706" s="2" t="s">
        <v>64</v>
      </c>
      <c r="F706" s="2" t="s">
        <v>73</v>
      </c>
      <c r="G706" s="2" t="s">
        <v>87</v>
      </c>
      <c r="H706" s="2" t="n">
        <v>3</v>
      </c>
      <c r="I706" s="2" t="n">
        <v>9000</v>
      </c>
      <c r="J706" s="2" t="n">
        <v>0.1</v>
      </c>
      <c r="K706" s="2" t="n">
        <v>6200</v>
      </c>
    </row>
    <row r="707" customFormat="false" ht="15" hidden="false" customHeight="false" outlineLevel="0" collapsed="false">
      <c r="A707" s="2" t="s">
        <v>1065</v>
      </c>
      <c r="B707" s="2" t="s">
        <v>1063</v>
      </c>
      <c r="C707" s="10" t="n">
        <v>45750</v>
      </c>
      <c r="D707" s="2" t="s">
        <v>91</v>
      </c>
      <c r="E707" s="2" t="s">
        <v>64</v>
      </c>
      <c r="F707" s="2" t="s">
        <v>70</v>
      </c>
      <c r="G707" s="2" t="s">
        <v>71</v>
      </c>
      <c r="H707" s="2" t="n">
        <v>3</v>
      </c>
      <c r="I707" s="2" t="n">
        <v>2500</v>
      </c>
      <c r="J707" s="2" t="n">
        <v>0</v>
      </c>
      <c r="K707" s="2" t="n">
        <v>1600</v>
      </c>
    </row>
    <row r="708" customFormat="false" ht="15" hidden="false" customHeight="false" outlineLevel="0" collapsed="false">
      <c r="A708" s="2" t="s">
        <v>1066</v>
      </c>
      <c r="B708" s="2" t="s">
        <v>1063</v>
      </c>
      <c r="C708" s="10" t="n">
        <v>45793</v>
      </c>
      <c r="D708" s="2" t="s">
        <v>91</v>
      </c>
      <c r="E708" s="2" t="s">
        <v>64</v>
      </c>
      <c r="F708" s="2" t="s">
        <v>70</v>
      </c>
      <c r="G708" s="2" t="s">
        <v>97</v>
      </c>
      <c r="H708" s="2" t="n">
        <v>2</v>
      </c>
      <c r="I708" s="2" t="n">
        <v>3000</v>
      </c>
      <c r="J708" s="2" t="n">
        <v>0.05</v>
      </c>
      <c r="K708" s="2" t="n">
        <v>2000</v>
      </c>
    </row>
    <row r="709" customFormat="false" ht="15" hidden="false" customHeight="false" outlineLevel="0" collapsed="false">
      <c r="A709" s="2" t="s">
        <v>1067</v>
      </c>
      <c r="B709" s="2" t="s">
        <v>1063</v>
      </c>
      <c r="C709" s="10" t="n">
        <v>45739</v>
      </c>
      <c r="D709" s="2" t="s">
        <v>91</v>
      </c>
      <c r="E709" s="2" t="s">
        <v>64</v>
      </c>
      <c r="F709" s="2" t="s">
        <v>65</v>
      </c>
      <c r="G709" s="2" t="s">
        <v>78</v>
      </c>
      <c r="H709" s="2" t="n">
        <v>2</v>
      </c>
      <c r="I709" s="2" t="n">
        <v>400</v>
      </c>
      <c r="J709" s="2" t="n">
        <v>0.05</v>
      </c>
      <c r="K709" s="2" t="n">
        <v>200</v>
      </c>
    </row>
    <row r="710" customFormat="false" ht="15" hidden="false" customHeight="false" outlineLevel="0" collapsed="false">
      <c r="A710" s="2" t="s">
        <v>1068</v>
      </c>
      <c r="B710" s="2" t="s">
        <v>1069</v>
      </c>
      <c r="C710" s="10" t="n">
        <v>45884</v>
      </c>
      <c r="D710" s="2" t="s">
        <v>81</v>
      </c>
      <c r="E710" s="2" t="s">
        <v>64</v>
      </c>
      <c r="F710" s="2" t="s">
        <v>70</v>
      </c>
      <c r="G710" s="2" t="s">
        <v>97</v>
      </c>
      <c r="H710" s="2" t="n">
        <v>2</v>
      </c>
      <c r="I710" s="2" t="n">
        <v>3000</v>
      </c>
      <c r="J710" s="2" t="n">
        <v>0</v>
      </c>
      <c r="K710" s="2" t="n">
        <v>2000</v>
      </c>
    </row>
    <row r="711" customFormat="false" ht="15" hidden="false" customHeight="false" outlineLevel="0" collapsed="false">
      <c r="A711" s="2" t="s">
        <v>1070</v>
      </c>
      <c r="B711" s="2" t="s">
        <v>1071</v>
      </c>
      <c r="C711" s="10" t="n">
        <v>45983</v>
      </c>
      <c r="D711" s="2" t="s">
        <v>77</v>
      </c>
      <c r="E711" s="2" t="s">
        <v>92</v>
      </c>
      <c r="F711" s="2" t="s">
        <v>70</v>
      </c>
      <c r="G711" s="2" t="s">
        <v>97</v>
      </c>
      <c r="H711" s="2" t="n">
        <v>6</v>
      </c>
      <c r="I711" s="2" t="n">
        <v>3000</v>
      </c>
      <c r="J711" s="2" t="n">
        <v>0.05</v>
      </c>
      <c r="K711" s="2" t="n">
        <v>2000</v>
      </c>
    </row>
    <row r="712" customFormat="false" ht="15" hidden="false" customHeight="false" outlineLevel="0" collapsed="false">
      <c r="A712" s="2" t="s">
        <v>1072</v>
      </c>
      <c r="B712" s="2" t="s">
        <v>1071</v>
      </c>
      <c r="C712" s="10" t="n">
        <v>45738</v>
      </c>
      <c r="D712" s="2" t="s">
        <v>77</v>
      </c>
      <c r="E712" s="2" t="s">
        <v>92</v>
      </c>
      <c r="F712" s="2" t="s">
        <v>70</v>
      </c>
      <c r="G712" s="2" t="s">
        <v>126</v>
      </c>
      <c r="H712" s="2" t="n">
        <v>5</v>
      </c>
      <c r="I712" s="2" t="n">
        <v>4500</v>
      </c>
      <c r="J712" s="2" t="n">
        <v>0</v>
      </c>
      <c r="K712" s="2" t="n">
        <v>3300</v>
      </c>
    </row>
    <row r="713" customFormat="false" ht="15" hidden="false" customHeight="false" outlineLevel="0" collapsed="false">
      <c r="A713" s="2" t="s">
        <v>1073</v>
      </c>
      <c r="B713" s="2" t="s">
        <v>1071</v>
      </c>
      <c r="C713" s="10" t="n">
        <v>45772</v>
      </c>
      <c r="D713" s="2" t="s">
        <v>77</v>
      </c>
      <c r="E713" s="2" t="s">
        <v>92</v>
      </c>
      <c r="F713" s="2" t="s">
        <v>73</v>
      </c>
      <c r="G713" s="2" t="s">
        <v>104</v>
      </c>
      <c r="H713" s="2" t="n">
        <v>8</v>
      </c>
      <c r="I713" s="2" t="n">
        <v>5500</v>
      </c>
      <c r="J713" s="2" t="n">
        <v>0.15</v>
      </c>
      <c r="K713" s="2" t="n">
        <v>3600</v>
      </c>
    </row>
    <row r="714" customFormat="false" ht="15" hidden="false" customHeight="false" outlineLevel="0" collapsed="false">
      <c r="A714" s="2" t="s">
        <v>1074</v>
      </c>
      <c r="B714" s="2" t="s">
        <v>1071</v>
      </c>
      <c r="C714" s="10" t="n">
        <v>45707</v>
      </c>
      <c r="D714" s="2" t="s">
        <v>77</v>
      </c>
      <c r="E714" s="2" t="s">
        <v>92</v>
      </c>
      <c r="F714" s="2" t="s">
        <v>70</v>
      </c>
      <c r="G714" s="2" t="s">
        <v>97</v>
      </c>
      <c r="H714" s="2" t="n">
        <v>3</v>
      </c>
      <c r="I714" s="2" t="n">
        <v>3000</v>
      </c>
      <c r="J714" s="2" t="n">
        <v>0</v>
      </c>
      <c r="K714" s="2" t="n">
        <v>2000</v>
      </c>
    </row>
    <row r="715" customFormat="false" ht="15" hidden="false" customHeight="false" outlineLevel="0" collapsed="false">
      <c r="A715" s="2" t="s">
        <v>1075</v>
      </c>
      <c r="B715" s="2" t="s">
        <v>1071</v>
      </c>
      <c r="C715" s="10" t="n">
        <v>45949</v>
      </c>
      <c r="D715" s="2" t="s">
        <v>77</v>
      </c>
      <c r="E715" s="2" t="s">
        <v>92</v>
      </c>
      <c r="F715" s="2" t="s">
        <v>70</v>
      </c>
      <c r="G715" s="2" t="s">
        <v>71</v>
      </c>
      <c r="H715" s="2" t="n">
        <v>2</v>
      </c>
      <c r="I715" s="2" t="n">
        <v>2500</v>
      </c>
      <c r="J715" s="2" t="n">
        <v>0.1</v>
      </c>
      <c r="K715" s="2" t="n">
        <v>1600</v>
      </c>
    </row>
    <row r="716" customFormat="false" ht="15" hidden="false" customHeight="false" outlineLevel="0" collapsed="false">
      <c r="A716" s="2" t="s">
        <v>1076</v>
      </c>
      <c r="B716" s="2" t="s">
        <v>1071</v>
      </c>
      <c r="C716" s="10" t="n">
        <v>45854</v>
      </c>
      <c r="D716" s="2" t="s">
        <v>77</v>
      </c>
      <c r="E716" s="2" t="s">
        <v>92</v>
      </c>
      <c r="F716" s="2" t="s">
        <v>73</v>
      </c>
      <c r="G716" s="2" t="s">
        <v>85</v>
      </c>
      <c r="H716" s="2" t="n">
        <v>7</v>
      </c>
      <c r="I716" s="2" t="n">
        <v>1200</v>
      </c>
      <c r="J716" s="2" t="n">
        <v>0.1</v>
      </c>
      <c r="K716" s="2" t="n">
        <v>600</v>
      </c>
    </row>
    <row r="717" customFormat="false" ht="15" hidden="false" customHeight="false" outlineLevel="0" collapsed="false">
      <c r="A717" s="2" t="s">
        <v>1077</v>
      </c>
      <c r="B717" s="2" t="s">
        <v>1071</v>
      </c>
      <c r="C717" s="10" t="n">
        <v>45883</v>
      </c>
      <c r="D717" s="2" t="s">
        <v>77</v>
      </c>
      <c r="E717" s="2" t="s">
        <v>92</v>
      </c>
      <c r="F717" s="2" t="s">
        <v>73</v>
      </c>
      <c r="G717" s="2" t="s">
        <v>74</v>
      </c>
      <c r="H717" s="2" t="n">
        <v>8</v>
      </c>
      <c r="I717" s="2" t="n">
        <v>7000</v>
      </c>
      <c r="J717" s="2" t="n">
        <v>0.05</v>
      </c>
      <c r="K717" s="2" t="n">
        <v>4800</v>
      </c>
    </row>
    <row r="718" customFormat="false" ht="15" hidden="false" customHeight="false" outlineLevel="0" collapsed="false">
      <c r="A718" s="2" t="s">
        <v>1078</v>
      </c>
      <c r="B718" s="2" t="s">
        <v>1079</v>
      </c>
      <c r="C718" s="10" t="n">
        <v>45784</v>
      </c>
      <c r="D718" s="2" t="s">
        <v>77</v>
      </c>
      <c r="E718" s="2" t="s">
        <v>64</v>
      </c>
      <c r="F718" s="2" t="s">
        <v>65</v>
      </c>
      <c r="G718" s="2" t="s">
        <v>78</v>
      </c>
      <c r="H718" s="2" t="n">
        <v>8</v>
      </c>
      <c r="I718" s="2" t="n">
        <v>400</v>
      </c>
      <c r="J718" s="2" t="n">
        <v>0</v>
      </c>
      <c r="K718" s="2" t="n">
        <v>200</v>
      </c>
    </row>
    <row r="719" customFormat="false" ht="15" hidden="false" customHeight="false" outlineLevel="0" collapsed="false">
      <c r="A719" s="2" t="s">
        <v>1080</v>
      </c>
      <c r="B719" s="2" t="s">
        <v>1079</v>
      </c>
      <c r="C719" s="10" t="n">
        <v>45786</v>
      </c>
      <c r="D719" s="2" t="s">
        <v>77</v>
      </c>
      <c r="E719" s="2" t="s">
        <v>64</v>
      </c>
      <c r="F719" s="2" t="s">
        <v>70</v>
      </c>
      <c r="G719" s="2" t="s">
        <v>71</v>
      </c>
      <c r="H719" s="2" t="n">
        <v>1</v>
      </c>
      <c r="I719" s="2" t="n">
        <v>2500</v>
      </c>
      <c r="J719" s="2" t="n">
        <v>0.1</v>
      </c>
      <c r="K719" s="2" t="n">
        <v>1600</v>
      </c>
    </row>
    <row r="720" customFormat="false" ht="15" hidden="false" customHeight="false" outlineLevel="0" collapsed="false">
      <c r="A720" s="2" t="s">
        <v>1081</v>
      </c>
      <c r="B720" s="2" t="s">
        <v>1079</v>
      </c>
      <c r="C720" s="10" t="n">
        <v>45706</v>
      </c>
      <c r="D720" s="2" t="s">
        <v>77</v>
      </c>
      <c r="E720" s="2" t="s">
        <v>64</v>
      </c>
      <c r="F720" s="2" t="s">
        <v>70</v>
      </c>
      <c r="G720" s="2" t="s">
        <v>71</v>
      </c>
      <c r="H720" s="2" t="n">
        <v>2</v>
      </c>
      <c r="I720" s="2" t="n">
        <v>2500</v>
      </c>
      <c r="J720" s="2" t="n">
        <v>0</v>
      </c>
      <c r="K720" s="2" t="n">
        <v>1600</v>
      </c>
    </row>
    <row r="721" customFormat="false" ht="15" hidden="false" customHeight="false" outlineLevel="0" collapsed="false">
      <c r="A721" s="2" t="s">
        <v>1082</v>
      </c>
      <c r="B721" s="2" t="s">
        <v>1079</v>
      </c>
      <c r="C721" s="10" t="n">
        <v>45787</v>
      </c>
      <c r="D721" s="2" t="s">
        <v>77</v>
      </c>
      <c r="E721" s="2" t="s">
        <v>64</v>
      </c>
      <c r="F721" s="2" t="s">
        <v>70</v>
      </c>
      <c r="G721" s="2" t="s">
        <v>97</v>
      </c>
      <c r="H721" s="2" t="n">
        <v>3</v>
      </c>
      <c r="I721" s="2" t="n">
        <v>3000</v>
      </c>
      <c r="J721" s="2" t="n">
        <v>0</v>
      </c>
      <c r="K721" s="2" t="n">
        <v>2000</v>
      </c>
    </row>
    <row r="722" customFormat="false" ht="15" hidden="false" customHeight="false" outlineLevel="0" collapsed="false">
      <c r="A722" s="2" t="s">
        <v>1083</v>
      </c>
      <c r="B722" s="2" t="s">
        <v>1084</v>
      </c>
      <c r="C722" s="10" t="n">
        <v>45744</v>
      </c>
      <c r="D722" s="2" t="s">
        <v>77</v>
      </c>
      <c r="E722" s="2" t="s">
        <v>64</v>
      </c>
      <c r="F722" s="2" t="s">
        <v>65</v>
      </c>
      <c r="G722" s="2" t="s">
        <v>66</v>
      </c>
      <c r="H722" s="2" t="n">
        <v>3</v>
      </c>
      <c r="I722" s="2" t="n">
        <v>600</v>
      </c>
      <c r="J722" s="2" t="n">
        <v>0.05</v>
      </c>
      <c r="K722" s="2" t="n">
        <v>300</v>
      </c>
    </row>
    <row r="723" customFormat="false" ht="15" hidden="false" customHeight="false" outlineLevel="0" collapsed="false">
      <c r="A723" s="2" t="s">
        <v>1085</v>
      </c>
      <c r="B723" s="2" t="s">
        <v>1084</v>
      </c>
      <c r="C723" s="10" t="n">
        <v>45664</v>
      </c>
      <c r="D723" s="2" t="s">
        <v>77</v>
      </c>
      <c r="E723" s="2" t="s">
        <v>64</v>
      </c>
      <c r="F723" s="2" t="s">
        <v>65</v>
      </c>
      <c r="G723" s="2" t="s">
        <v>66</v>
      </c>
      <c r="H723" s="2" t="n">
        <v>4</v>
      </c>
      <c r="I723" s="2" t="n">
        <v>600</v>
      </c>
      <c r="J723" s="2" t="n">
        <v>0</v>
      </c>
      <c r="K723" s="2" t="n">
        <v>300</v>
      </c>
    </row>
    <row r="724" customFormat="false" ht="15" hidden="false" customHeight="false" outlineLevel="0" collapsed="false">
      <c r="A724" s="2" t="s">
        <v>1086</v>
      </c>
      <c r="B724" s="2" t="s">
        <v>1084</v>
      </c>
      <c r="C724" s="10" t="n">
        <v>45966</v>
      </c>
      <c r="D724" s="2" t="s">
        <v>77</v>
      </c>
      <c r="E724" s="2" t="s">
        <v>64</v>
      </c>
      <c r="F724" s="2" t="s">
        <v>73</v>
      </c>
      <c r="G724" s="2" t="s">
        <v>104</v>
      </c>
      <c r="H724" s="2" t="n">
        <v>2</v>
      </c>
      <c r="I724" s="2" t="n">
        <v>5500</v>
      </c>
      <c r="J724" s="2" t="n">
        <v>0.15</v>
      </c>
      <c r="K724" s="2" t="n">
        <v>3600</v>
      </c>
    </row>
    <row r="725" customFormat="false" ht="15" hidden="false" customHeight="false" outlineLevel="0" collapsed="false">
      <c r="A725" s="2" t="s">
        <v>1087</v>
      </c>
      <c r="B725" s="2" t="s">
        <v>1084</v>
      </c>
      <c r="C725" s="10" t="n">
        <v>45799</v>
      </c>
      <c r="D725" s="2" t="s">
        <v>77</v>
      </c>
      <c r="E725" s="2" t="s">
        <v>64</v>
      </c>
      <c r="F725" s="2" t="s">
        <v>70</v>
      </c>
      <c r="G725" s="2" t="s">
        <v>122</v>
      </c>
      <c r="H725" s="2" t="n">
        <v>2</v>
      </c>
      <c r="I725" s="2" t="n">
        <v>1500</v>
      </c>
      <c r="J725" s="2" t="n">
        <v>0.1</v>
      </c>
      <c r="K725" s="2" t="n">
        <v>900</v>
      </c>
    </row>
    <row r="726" customFormat="false" ht="15" hidden="false" customHeight="false" outlineLevel="0" collapsed="false">
      <c r="A726" s="2" t="s">
        <v>1088</v>
      </c>
      <c r="B726" s="2" t="s">
        <v>1084</v>
      </c>
      <c r="C726" s="10" t="n">
        <v>45691</v>
      </c>
      <c r="D726" s="2" t="s">
        <v>77</v>
      </c>
      <c r="E726" s="2" t="s">
        <v>64</v>
      </c>
      <c r="F726" s="2" t="s">
        <v>65</v>
      </c>
      <c r="G726" s="2" t="s">
        <v>78</v>
      </c>
      <c r="H726" s="2" t="n">
        <v>7</v>
      </c>
      <c r="I726" s="2" t="n">
        <v>400</v>
      </c>
      <c r="J726" s="2" t="n">
        <v>0.1</v>
      </c>
      <c r="K726" s="2" t="n">
        <v>200</v>
      </c>
    </row>
    <row r="727" customFormat="false" ht="15" hidden="false" customHeight="false" outlineLevel="0" collapsed="false">
      <c r="A727" s="2" t="s">
        <v>1089</v>
      </c>
      <c r="B727" s="2" t="s">
        <v>1084</v>
      </c>
      <c r="C727" s="10" t="n">
        <v>45908</v>
      </c>
      <c r="D727" s="2" t="s">
        <v>77</v>
      </c>
      <c r="E727" s="2" t="s">
        <v>64</v>
      </c>
      <c r="F727" s="2" t="s">
        <v>65</v>
      </c>
      <c r="G727" s="2" t="s">
        <v>107</v>
      </c>
      <c r="H727" s="2" t="n">
        <v>6</v>
      </c>
      <c r="I727" s="2" t="n">
        <v>500</v>
      </c>
      <c r="J727" s="2" t="n">
        <v>0</v>
      </c>
      <c r="K727" s="2" t="n">
        <v>250</v>
      </c>
    </row>
    <row r="728" customFormat="false" ht="15" hidden="false" customHeight="false" outlineLevel="0" collapsed="false">
      <c r="A728" s="2" t="s">
        <v>1090</v>
      </c>
      <c r="B728" s="2" t="s">
        <v>1084</v>
      </c>
      <c r="C728" s="10" t="n">
        <v>45987</v>
      </c>
      <c r="D728" s="2" t="s">
        <v>77</v>
      </c>
      <c r="E728" s="2" t="s">
        <v>64</v>
      </c>
      <c r="F728" s="2" t="s">
        <v>70</v>
      </c>
      <c r="G728" s="2" t="s">
        <v>97</v>
      </c>
      <c r="H728" s="2" t="n">
        <v>2</v>
      </c>
      <c r="I728" s="2" t="n">
        <v>3000</v>
      </c>
      <c r="J728" s="2" t="n">
        <v>0.05</v>
      </c>
      <c r="K728" s="2" t="n">
        <v>2000</v>
      </c>
    </row>
    <row r="729" customFormat="false" ht="15" hidden="false" customHeight="false" outlineLevel="0" collapsed="false">
      <c r="A729" s="2" t="s">
        <v>1091</v>
      </c>
      <c r="B729" s="2" t="s">
        <v>1084</v>
      </c>
      <c r="C729" s="10" t="n">
        <v>45840</v>
      </c>
      <c r="D729" s="2" t="s">
        <v>77</v>
      </c>
      <c r="E729" s="2" t="s">
        <v>64</v>
      </c>
      <c r="F729" s="2" t="s">
        <v>65</v>
      </c>
      <c r="G729" s="2" t="s">
        <v>107</v>
      </c>
      <c r="H729" s="2" t="n">
        <v>5</v>
      </c>
      <c r="I729" s="2" t="n">
        <v>500</v>
      </c>
      <c r="J729" s="2" t="n">
        <v>0</v>
      </c>
      <c r="K729" s="2" t="n">
        <v>250</v>
      </c>
    </row>
    <row r="730" customFormat="false" ht="15" hidden="false" customHeight="false" outlineLevel="0" collapsed="false">
      <c r="A730" s="2" t="s">
        <v>1092</v>
      </c>
      <c r="B730" s="2" t="s">
        <v>1093</v>
      </c>
      <c r="C730" s="10" t="n">
        <v>45685</v>
      </c>
      <c r="D730" s="2" t="s">
        <v>81</v>
      </c>
      <c r="E730" s="2" t="s">
        <v>64</v>
      </c>
      <c r="F730" s="2" t="s">
        <v>70</v>
      </c>
      <c r="G730" s="2" t="s">
        <v>126</v>
      </c>
      <c r="H730" s="2" t="n">
        <v>2</v>
      </c>
      <c r="I730" s="2" t="n">
        <v>4500</v>
      </c>
      <c r="J730" s="2" t="n">
        <v>0</v>
      </c>
      <c r="K730" s="2" t="n">
        <v>3300</v>
      </c>
    </row>
    <row r="731" customFormat="false" ht="15" hidden="false" customHeight="false" outlineLevel="0" collapsed="false">
      <c r="A731" s="2" t="s">
        <v>1094</v>
      </c>
      <c r="B731" s="2" t="s">
        <v>1093</v>
      </c>
      <c r="C731" s="10" t="n">
        <v>45740</v>
      </c>
      <c r="D731" s="2" t="s">
        <v>81</v>
      </c>
      <c r="E731" s="2" t="s">
        <v>64</v>
      </c>
      <c r="F731" s="2" t="s">
        <v>70</v>
      </c>
      <c r="G731" s="2" t="s">
        <v>71</v>
      </c>
      <c r="H731" s="2" t="n">
        <v>3</v>
      </c>
      <c r="I731" s="2" t="n">
        <v>2500</v>
      </c>
      <c r="J731" s="2" t="n">
        <v>0</v>
      </c>
      <c r="K731" s="2" t="n">
        <v>1600</v>
      </c>
    </row>
    <row r="732" customFormat="false" ht="15" hidden="false" customHeight="false" outlineLevel="0" collapsed="false">
      <c r="A732" s="2" t="s">
        <v>1095</v>
      </c>
      <c r="B732" s="2" t="s">
        <v>1096</v>
      </c>
      <c r="C732" s="10" t="n">
        <v>45803</v>
      </c>
      <c r="D732" s="2" t="s">
        <v>77</v>
      </c>
      <c r="E732" s="2" t="s">
        <v>92</v>
      </c>
      <c r="F732" s="2" t="s">
        <v>73</v>
      </c>
      <c r="G732" s="2" t="s">
        <v>87</v>
      </c>
      <c r="H732" s="2" t="n">
        <v>7</v>
      </c>
      <c r="I732" s="2" t="n">
        <v>9000</v>
      </c>
      <c r="J732" s="2" t="n">
        <v>0.1</v>
      </c>
      <c r="K732" s="2" t="n">
        <v>6200</v>
      </c>
    </row>
    <row r="733" customFormat="false" ht="15" hidden="false" customHeight="false" outlineLevel="0" collapsed="false">
      <c r="A733" s="2" t="s">
        <v>1097</v>
      </c>
      <c r="B733" s="2" t="s">
        <v>1096</v>
      </c>
      <c r="C733" s="10" t="n">
        <v>45825</v>
      </c>
      <c r="D733" s="2" t="s">
        <v>77</v>
      </c>
      <c r="E733" s="2" t="s">
        <v>92</v>
      </c>
      <c r="F733" s="2" t="s">
        <v>73</v>
      </c>
      <c r="G733" s="2" t="s">
        <v>87</v>
      </c>
      <c r="H733" s="2" t="n">
        <v>3</v>
      </c>
      <c r="I733" s="2" t="n">
        <v>9000</v>
      </c>
      <c r="J733" s="2" t="n">
        <v>0.05</v>
      </c>
      <c r="K733" s="2" t="n">
        <v>6200</v>
      </c>
    </row>
    <row r="734" customFormat="false" ht="15" hidden="false" customHeight="false" outlineLevel="0" collapsed="false">
      <c r="A734" s="2" t="s">
        <v>1098</v>
      </c>
      <c r="B734" s="2" t="s">
        <v>1099</v>
      </c>
      <c r="C734" s="10" t="n">
        <v>45659</v>
      </c>
      <c r="D734" s="2" t="s">
        <v>81</v>
      </c>
      <c r="E734" s="2" t="s">
        <v>64</v>
      </c>
      <c r="F734" s="2" t="s">
        <v>73</v>
      </c>
      <c r="G734" s="2" t="s">
        <v>74</v>
      </c>
      <c r="H734" s="2" t="n">
        <v>2</v>
      </c>
      <c r="I734" s="2" t="n">
        <v>7000</v>
      </c>
      <c r="J734" s="2" t="n">
        <v>0</v>
      </c>
      <c r="K734" s="2" t="n">
        <v>4800</v>
      </c>
    </row>
    <row r="735" customFormat="false" ht="15" hidden="false" customHeight="false" outlineLevel="0" collapsed="false">
      <c r="A735" s="2" t="s">
        <v>1100</v>
      </c>
      <c r="B735" s="2" t="s">
        <v>1099</v>
      </c>
      <c r="C735" s="10" t="n">
        <v>45952</v>
      </c>
      <c r="D735" s="2" t="s">
        <v>81</v>
      </c>
      <c r="E735" s="2" t="s">
        <v>64</v>
      </c>
      <c r="F735" s="2" t="s">
        <v>70</v>
      </c>
      <c r="G735" s="2" t="s">
        <v>97</v>
      </c>
      <c r="H735" s="2" t="n">
        <v>1</v>
      </c>
      <c r="I735" s="2" t="n">
        <v>3000</v>
      </c>
      <c r="J735" s="2" t="n">
        <v>0.1</v>
      </c>
      <c r="K735" s="2" t="n">
        <v>2000</v>
      </c>
    </row>
    <row r="736" customFormat="false" ht="15" hidden="false" customHeight="false" outlineLevel="0" collapsed="false">
      <c r="A736" s="2" t="s">
        <v>1101</v>
      </c>
      <c r="B736" s="2" t="s">
        <v>1102</v>
      </c>
      <c r="C736" s="10" t="n">
        <v>45963</v>
      </c>
      <c r="D736" s="2" t="s">
        <v>63</v>
      </c>
      <c r="E736" s="2" t="s">
        <v>69</v>
      </c>
      <c r="F736" s="2" t="s">
        <v>65</v>
      </c>
      <c r="G736" s="2" t="s">
        <v>107</v>
      </c>
      <c r="H736" s="2" t="n">
        <v>6</v>
      </c>
      <c r="I736" s="2" t="n">
        <v>500</v>
      </c>
      <c r="J736" s="2" t="n">
        <v>0.05</v>
      </c>
      <c r="K736" s="2" t="n">
        <v>250</v>
      </c>
    </row>
    <row r="737" customFormat="false" ht="15" hidden="false" customHeight="false" outlineLevel="0" collapsed="false">
      <c r="A737" s="2" t="s">
        <v>1103</v>
      </c>
      <c r="B737" s="2" t="s">
        <v>1102</v>
      </c>
      <c r="C737" s="10" t="n">
        <v>45775</v>
      </c>
      <c r="D737" s="2" t="s">
        <v>63</v>
      </c>
      <c r="E737" s="2" t="s">
        <v>69</v>
      </c>
      <c r="F737" s="2" t="s">
        <v>65</v>
      </c>
      <c r="G737" s="2" t="s">
        <v>82</v>
      </c>
      <c r="H737" s="2" t="n">
        <v>19</v>
      </c>
      <c r="I737" s="2" t="n">
        <v>250</v>
      </c>
      <c r="J737" s="2" t="n">
        <v>0</v>
      </c>
      <c r="K737" s="2" t="n">
        <v>100</v>
      </c>
    </row>
    <row r="738" customFormat="false" ht="15" hidden="false" customHeight="false" outlineLevel="0" collapsed="false">
      <c r="A738" s="2" t="s">
        <v>1104</v>
      </c>
      <c r="B738" s="2" t="s">
        <v>1102</v>
      </c>
      <c r="C738" s="10" t="n">
        <v>45971</v>
      </c>
      <c r="D738" s="2" t="s">
        <v>63</v>
      </c>
      <c r="E738" s="2" t="s">
        <v>69</v>
      </c>
      <c r="F738" s="2" t="s">
        <v>70</v>
      </c>
      <c r="G738" s="2" t="s">
        <v>122</v>
      </c>
      <c r="H738" s="2" t="n">
        <v>5</v>
      </c>
      <c r="I738" s="2" t="n">
        <v>1500</v>
      </c>
      <c r="J738" s="2" t="n">
        <v>0.05</v>
      </c>
      <c r="K738" s="2" t="n">
        <v>900</v>
      </c>
    </row>
    <row r="739" customFormat="false" ht="15" hidden="false" customHeight="false" outlineLevel="0" collapsed="false">
      <c r="A739" s="2" t="s">
        <v>1105</v>
      </c>
      <c r="B739" s="2" t="s">
        <v>1102</v>
      </c>
      <c r="C739" s="10" t="n">
        <v>45996</v>
      </c>
      <c r="D739" s="2" t="s">
        <v>63</v>
      </c>
      <c r="E739" s="2" t="s">
        <v>69</v>
      </c>
      <c r="F739" s="2" t="s">
        <v>70</v>
      </c>
      <c r="G739" s="2" t="s">
        <v>122</v>
      </c>
      <c r="H739" s="2" t="n">
        <v>5</v>
      </c>
      <c r="I739" s="2" t="n">
        <v>1500</v>
      </c>
      <c r="J739" s="2" t="n">
        <v>0.05</v>
      </c>
      <c r="K739" s="2" t="n">
        <v>900</v>
      </c>
    </row>
    <row r="740" customFormat="false" ht="15" hidden="false" customHeight="false" outlineLevel="0" collapsed="false">
      <c r="A740" s="2" t="s">
        <v>1106</v>
      </c>
      <c r="B740" s="2" t="s">
        <v>1102</v>
      </c>
      <c r="C740" s="10" t="n">
        <v>45813</v>
      </c>
      <c r="D740" s="2" t="s">
        <v>63</v>
      </c>
      <c r="E740" s="2" t="s">
        <v>69</v>
      </c>
      <c r="F740" s="2" t="s">
        <v>73</v>
      </c>
      <c r="G740" s="2" t="s">
        <v>87</v>
      </c>
      <c r="H740" s="2" t="n">
        <v>1</v>
      </c>
      <c r="I740" s="2" t="n">
        <v>9000</v>
      </c>
      <c r="J740" s="2" t="n">
        <v>0.05</v>
      </c>
      <c r="K740" s="2" t="n">
        <v>6200</v>
      </c>
    </row>
    <row r="741" customFormat="false" ht="15" hidden="false" customHeight="false" outlineLevel="0" collapsed="false">
      <c r="A741" s="2" t="s">
        <v>1107</v>
      </c>
      <c r="B741" s="2" t="s">
        <v>1108</v>
      </c>
      <c r="C741" s="10" t="n">
        <v>45752</v>
      </c>
      <c r="D741" s="2" t="s">
        <v>77</v>
      </c>
      <c r="E741" s="2" t="s">
        <v>64</v>
      </c>
      <c r="F741" s="2" t="s">
        <v>65</v>
      </c>
      <c r="G741" s="2" t="s">
        <v>66</v>
      </c>
      <c r="H741" s="2" t="n">
        <v>3</v>
      </c>
      <c r="I741" s="2" t="n">
        <v>600</v>
      </c>
      <c r="J741" s="2" t="n">
        <v>0.05</v>
      </c>
      <c r="K741" s="2" t="n">
        <v>300</v>
      </c>
    </row>
    <row r="742" customFormat="false" ht="15" hidden="false" customHeight="false" outlineLevel="0" collapsed="false">
      <c r="A742" s="2" t="s">
        <v>1109</v>
      </c>
      <c r="B742" s="2" t="s">
        <v>1108</v>
      </c>
      <c r="C742" s="10" t="n">
        <v>45873</v>
      </c>
      <c r="D742" s="2" t="s">
        <v>77</v>
      </c>
      <c r="E742" s="2" t="s">
        <v>64</v>
      </c>
      <c r="F742" s="2" t="s">
        <v>70</v>
      </c>
      <c r="G742" s="2" t="s">
        <v>126</v>
      </c>
      <c r="H742" s="2" t="n">
        <v>2</v>
      </c>
      <c r="I742" s="2" t="n">
        <v>4500</v>
      </c>
      <c r="J742" s="2" t="n">
        <v>0.05</v>
      </c>
      <c r="K742" s="2" t="n">
        <v>3300</v>
      </c>
    </row>
    <row r="743" customFormat="false" ht="15" hidden="false" customHeight="false" outlineLevel="0" collapsed="false">
      <c r="A743" s="2" t="s">
        <v>1110</v>
      </c>
      <c r="B743" s="2" t="s">
        <v>1108</v>
      </c>
      <c r="C743" s="10" t="n">
        <v>45951</v>
      </c>
      <c r="D743" s="2" t="s">
        <v>77</v>
      </c>
      <c r="E743" s="2" t="s">
        <v>64</v>
      </c>
      <c r="F743" s="2" t="s">
        <v>73</v>
      </c>
      <c r="G743" s="2" t="s">
        <v>74</v>
      </c>
      <c r="H743" s="2" t="n">
        <v>2</v>
      </c>
      <c r="I743" s="2" t="n">
        <v>7000</v>
      </c>
      <c r="J743" s="2" t="n">
        <v>0.05</v>
      </c>
      <c r="K743" s="2" t="n">
        <v>4800</v>
      </c>
    </row>
    <row r="744" customFormat="false" ht="15" hidden="false" customHeight="false" outlineLevel="0" collapsed="false">
      <c r="A744" s="2" t="s">
        <v>1111</v>
      </c>
      <c r="B744" s="2" t="s">
        <v>1108</v>
      </c>
      <c r="C744" s="10" t="n">
        <v>45682</v>
      </c>
      <c r="D744" s="2" t="s">
        <v>77</v>
      </c>
      <c r="E744" s="2" t="s">
        <v>64</v>
      </c>
      <c r="F744" s="2" t="s">
        <v>73</v>
      </c>
      <c r="G744" s="2" t="s">
        <v>74</v>
      </c>
      <c r="H744" s="2" t="n">
        <v>2</v>
      </c>
      <c r="I744" s="2" t="n">
        <v>7000</v>
      </c>
      <c r="J744" s="2" t="n">
        <v>0</v>
      </c>
      <c r="K744" s="2" t="n">
        <v>4800</v>
      </c>
    </row>
    <row r="745" customFormat="false" ht="15" hidden="false" customHeight="false" outlineLevel="0" collapsed="false">
      <c r="A745" s="2" t="s">
        <v>1112</v>
      </c>
      <c r="B745" s="2" t="s">
        <v>1108</v>
      </c>
      <c r="C745" s="10" t="n">
        <v>45958</v>
      </c>
      <c r="D745" s="2" t="s">
        <v>77</v>
      </c>
      <c r="E745" s="2" t="s">
        <v>64</v>
      </c>
      <c r="F745" s="2" t="s">
        <v>70</v>
      </c>
      <c r="G745" s="2" t="s">
        <v>97</v>
      </c>
      <c r="H745" s="2" t="n">
        <v>1</v>
      </c>
      <c r="I745" s="2" t="n">
        <v>3000</v>
      </c>
      <c r="J745" s="2" t="n">
        <v>0.05</v>
      </c>
      <c r="K745" s="2" t="n">
        <v>2000</v>
      </c>
    </row>
    <row r="746" customFormat="false" ht="15" hidden="false" customHeight="false" outlineLevel="0" collapsed="false">
      <c r="A746" s="2" t="s">
        <v>1113</v>
      </c>
      <c r="B746" s="2" t="s">
        <v>1108</v>
      </c>
      <c r="C746" s="10" t="n">
        <v>45885</v>
      </c>
      <c r="D746" s="2" t="s">
        <v>77</v>
      </c>
      <c r="E746" s="2" t="s">
        <v>64</v>
      </c>
      <c r="F746" s="2" t="s">
        <v>65</v>
      </c>
      <c r="G746" s="2" t="s">
        <v>66</v>
      </c>
      <c r="H746" s="2" t="n">
        <v>6</v>
      </c>
      <c r="I746" s="2" t="n">
        <v>600</v>
      </c>
      <c r="J746" s="2" t="n">
        <v>0</v>
      </c>
      <c r="K746" s="2" t="n">
        <v>300</v>
      </c>
    </row>
    <row r="747" customFormat="false" ht="15" hidden="false" customHeight="false" outlineLevel="0" collapsed="false">
      <c r="A747" s="2" t="s">
        <v>1114</v>
      </c>
      <c r="B747" s="2" t="s">
        <v>1115</v>
      </c>
      <c r="C747" s="10" t="n">
        <v>45980</v>
      </c>
      <c r="D747" s="2" t="s">
        <v>81</v>
      </c>
      <c r="E747" s="2" t="s">
        <v>92</v>
      </c>
      <c r="F747" s="2" t="s">
        <v>73</v>
      </c>
      <c r="G747" s="2" t="s">
        <v>104</v>
      </c>
      <c r="H747" s="2" t="n">
        <v>4</v>
      </c>
      <c r="I747" s="2" t="n">
        <v>5500</v>
      </c>
      <c r="J747" s="2" t="n">
        <v>0.05</v>
      </c>
      <c r="K747" s="2" t="n">
        <v>3600</v>
      </c>
    </row>
    <row r="748" customFormat="false" ht="15" hidden="false" customHeight="false" outlineLevel="0" collapsed="false">
      <c r="A748" s="2" t="s">
        <v>1116</v>
      </c>
      <c r="B748" s="2" t="s">
        <v>1115</v>
      </c>
      <c r="C748" s="10" t="n">
        <v>45952</v>
      </c>
      <c r="D748" s="2" t="s">
        <v>81</v>
      </c>
      <c r="E748" s="2" t="s">
        <v>92</v>
      </c>
      <c r="F748" s="2" t="s">
        <v>65</v>
      </c>
      <c r="G748" s="2" t="s">
        <v>78</v>
      </c>
      <c r="H748" s="2" t="n">
        <v>16</v>
      </c>
      <c r="I748" s="2" t="n">
        <v>400</v>
      </c>
      <c r="J748" s="2" t="n">
        <v>0.1</v>
      </c>
      <c r="K748" s="2" t="n">
        <v>200</v>
      </c>
    </row>
    <row r="749" customFormat="false" ht="15" hidden="false" customHeight="false" outlineLevel="0" collapsed="false">
      <c r="A749" s="2" t="s">
        <v>1117</v>
      </c>
      <c r="B749" s="2" t="s">
        <v>1115</v>
      </c>
      <c r="C749" s="10" t="n">
        <v>45945</v>
      </c>
      <c r="D749" s="2" t="s">
        <v>81</v>
      </c>
      <c r="E749" s="2" t="s">
        <v>92</v>
      </c>
      <c r="F749" s="2" t="s">
        <v>73</v>
      </c>
      <c r="G749" s="2" t="s">
        <v>104</v>
      </c>
      <c r="H749" s="2" t="n">
        <v>4</v>
      </c>
      <c r="I749" s="2" t="n">
        <v>5500</v>
      </c>
      <c r="J749" s="2" t="n">
        <v>0.15</v>
      </c>
      <c r="K749" s="2" t="n">
        <v>3600</v>
      </c>
    </row>
    <row r="750" customFormat="false" ht="15" hidden="false" customHeight="false" outlineLevel="0" collapsed="false">
      <c r="A750" s="2" t="s">
        <v>1118</v>
      </c>
      <c r="B750" s="2" t="s">
        <v>1119</v>
      </c>
      <c r="C750" s="10" t="n">
        <v>45814</v>
      </c>
      <c r="D750" s="2" t="s">
        <v>77</v>
      </c>
      <c r="E750" s="2" t="s">
        <v>64</v>
      </c>
      <c r="F750" s="2" t="s">
        <v>65</v>
      </c>
      <c r="G750" s="2" t="s">
        <v>107</v>
      </c>
      <c r="H750" s="2" t="n">
        <v>3</v>
      </c>
      <c r="I750" s="2" t="n">
        <v>500</v>
      </c>
      <c r="J750" s="2" t="n">
        <v>0</v>
      </c>
      <c r="K750" s="2" t="n">
        <v>250</v>
      </c>
    </row>
    <row r="751" customFormat="false" ht="15" hidden="false" customHeight="false" outlineLevel="0" collapsed="false">
      <c r="A751" s="2" t="s">
        <v>1120</v>
      </c>
      <c r="B751" s="2" t="s">
        <v>1119</v>
      </c>
      <c r="C751" s="10" t="n">
        <v>45681</v>
      </c>
      <c r="D751" s="2" t="s">
        <v>77</v>
      </c>
      <c r="E751" s="2" t="s">
        <v>64</v>
      </c>
      <c r="F751" s="2" t="s">
        <v>65</v>
      </c>
      <c r="G751" s="2" t="s">
        <v>78</v>
      </c>
      <c r="H751" s="2" t="n">
        <v>8</v>
      </c>
      <c r="I751" s="2" t="n">
        <v>400</v>
      </c>
      <c r="J751" s="2" t="n">
        <v>0</v>
      </c>
      <c r="K751" s="2" t="n">
        <v>200</v>
      </c>
    </row>
    <row r="752" customFormat="false" ht="15" hidden="false" customHeight="false" outlineLevel="0" collapsed="false">
      <c r="A752" s="2" t="s">
        <v>1121</v>
      </c>
      <c r="B752" s="2" t="s">
        <v>1122</v>
      </c>
      <c r="C752" s="10" t="n">
        <v>45950</v>
      </c>
      <c r="D752" s="2" t="s">
        <v>91</v>
      </c>
      <c r="E752" s="2" t="s">
        <v>64</v>
      </c>
      <c r="F752" s="2" t="s">
        <v>73</v>
      </c>
      <c r="G752" s="2" t="s">
        <v>85</v>
      </c>
      <c r="H752" s="2" t="n">
        <v>1</v>
      </c>
      <c r="I752" s="2" t="n">
        <v>1200</v>
      </c>
      <c r="J752" s="2" t="n">
        <v>0.05</v>
      </c>
      <c r="K752" s="2" t="n">
        <v>600</v>
      </c>
    </row>
    <row r="753" customFormat="false" ht="15" hidden="false" customHeight="false" outlineLevel="0" collapsed="false">
      <c r="A753" s="2" t="s">
        <v>1123</v>
      </c>
      <c r="B753" s="2" t="s">
        <v>1122</v>
      </c>
      <c r="C753" s="10" t="n">
        <v>45947</v>
      </c>
      <c r="D753" s="2" t="s">
        <v>91</v>
      </c>
      <c r="E753" s="2" t="s">
        <v>64</v>
      </c>
      <c r="F753" s="2" t="s">
        <v>73</v>
      </c>
      <c r="G753" s="2" t="s">
        <v>85</v>
      </c>
      <c r="H753" s="2" t="n">
        <v>2</v>
      </c>
      <c r="I753" s="2" t="n">
        <v>1200</v>
      </c>
      <c r="J753" s="2" t="n">
        <v>0.05</v>
      </c>
      <c r="K753" s="2" t="n">
        <v>600</v>
      </c>
    </row>
    <row r="754" customFormat="false" ht="15" hidden="false" customHeight="false" outlineLevel="0" collapsed="false">
      <c r="A754" s="2" t="s">
        <v>1124</v>
      </c>
      <c r="B754" s="2" t="s">
        <v>1122</v>
      </c>
      <c r="C754" s="10" t="n">
        <v>45988</v>
      </c>
      <c r="D754" s="2" t="s">
        <v>91</v>
      </c>
      <c r="E754" s="2" t="s">
        <v>64</v>
      </c>
      <c r="F754" s="2" t="s">
        <v>65</v>
      </c>
      <c r="G754" s="2" t="s">
        <v>78</v>
      </c>
      <c r="H754" s="2" t="n">
        <v>5</v>
      </c>
      <c r="I754" s="2" t="n">
        <v>400</v>
      </c>
      <c r="J754" s="2" t="n">
        <v>0.15</v>
      </c>
      <c r="K754" s="2" t="n">
        <v>200</v>
      </c>
    </row>
    <row r="755" customFormat="false" ht="15" hidden="false" customHeight="false" outlineLevel="0" collapsed="false">
      <c r="A755" s="2" t="s">
        <v>1125</v>
      </c>
      <c r="B755" s="2" t="s">
        <v>1126</v>
      </c>
      <c r="C755" s="10" t="n">
        <v>45973</v>
      </c>
      <c r="D755" s="2" t="s">
        <v>77</v>
      </c>
      <c r="E755" s="2" t="s">
        <v>92</v>
      </c>
      <c r="F755" s="2" t="s">
        <v>70</v>
      </c>
      <c r="G755" s="2" t="s">
        <v>122</v>
      </c>
      <c r="H755" s="2" t="n">
        <v>7</v>
      </c>
      <c r="I755" s="2" t="n">
        <v>1500</v>
      </c>
      <c r="J755" s="2" t="n">
        <v>0.1</v>
      </c>
      <c r="K755" s="2" t="n">
        <v>900</v>
      </c>
    </row>
    <row r="756" customFormat="false" ht="15" hidden="false" customHeight="false" outlineLevel="0" collapsed="false">
      <c r="A756" s="2" t="s">
        <v>1127</v>
      </c>
      <c r="B756" s="2" t="s">
        <v>1126</v>
      </c>
      <c r="C756" s="10" t="n">
        <v>46018</v>
      </c>
      <c r="D756" s="2" t="s">
        <v>77</v>
      </c>
      <c r="E756" s="2" t="s">
        <v>92</v>
      </c>
      <c r="F756" s="2" t="s">
        <v>73</v>
      </c>
      <c r="G756" s="2" t="s">
        <v>87</v>
      </c>
      <c r="H756" s="2" t="n">
        <v>4</v>
      </c>
      <c r="I756" s="2" t="n">
        <v>9000</v>
      </c>
      <c r="J756" s="2" t="n">
        <v>0.05</v>
      </c>
      <c r="K756" s="2" t="n">
        <v>6200</v>
      </c>
    </row>
    <row r="757" customFormat="false" ht="15" hidden="false" customHeight="false" outlineLevel="0" collapsed="false">
      <c r="A757" s="2" t="s">
        <v>1128</v>
      </c>
      <c r="B757" s="2" t="s">
        <v>1126</v>
      </c>
      <c r="C757" s="10" t="n">
        <v>45965</v>
      </c>
      <c r="D757" s="2" t="s">
        <v>77</v>
      </c>
      <c r="E757" s="2" t="s">
        <v>92</v>
      </c>
      <c r="F757" s="2" t="s">
        <v>70</v>
      </c>
      <c r="G757" s="2" t="s">
        <v>97</v>
      </c>
      <c r="H757" s="2" t="n">
        <v>4</v>
      </c>
      <c r="I757" s="2" t="n">
        <v>3000</v>
      </c>
      <c r="J757" s="2" t="n">
        <v>0.05</v>
      </c>
      <c r="K757" s="2" t="n">
        <v>2000</v>
      </c>
    </row>
    <row r="758" customFormat="false" ht="15" hidden="false" customHeight="false" outlineLevel="0" collapsed="false">
      <c r="A758" s="2" t="s">
        <v>1129</v>
      </c>
      <c r="B758" s="2" t="s">
        <v>1130</v>
      </c>
      <c r="C758" s="10" t="n">
        <v>46009</v>
      </c>
      <c r="D758" s="2" t="s">
        <v>77</v>
      </c>
      <c r="E758" s="2" t="s">
        <v>64</v>
      </c>
      <c r="F758" s="2" t="s">
        <v>65</v>
      </c>
      <c r="G758" s="2" t="s">
        <v>82</v>
      </c>
      <c r="H758" s="2" t="n">
        <v>2</v>
      </c>
      <c r="I758" s="2" t="n">
        <v>250</v>
      </c>
      <c r="J758" s="2" t="n">
        <v>0.05</v>
      </c>
      <c r="K758" s="2" t="n">
        <v>100</v>
      </c>
    </row>
    <row r="759" customFormat="false" ht="15" hidden="false" customHeight="false" outlineLevel="0" collapsed="false">
      <c r="A759" s="2" t="s">
        <v>1131</v>
      </c>
      <c r="B759" s="2" t="s">
        <v>1132</v>
      </c>
      <c r="C759" s="10" t="n">
        <v>45980</v>
      </c>
      <c r="D759" s="2" t="s">
        <v>91</v>
      </c>
      <c r="E759" s="2" t="s">
        <v>69</v>
      </c>
      <c r="F759" s="2" t="s">
        <v>65</v>
      </c>
      <c r="G759" s="2" t="s">
        <v>78</v>
      </c>
      <c r="H759" s="2" t="n">
        <v>19</v>
      </c>
      <c r="I759" s="2" t="n">
        <v>400</v>
      </c>
      <c r="J759" s="2" t="n">
        <v>0.05</v>
      </c>
      <c r="K759" s="2" t="n">
        <v>200</v>
      </c>
    </row>
    <row r="760" customFormat="false" ht="15" hidden="false" customHeight="false" outlineLevel="0" collapsed="false">
      <c r="A760" s="2" t="s">
        <v>1133</v>
      </c>
      <c r="B760" s="2" t="s">
        <v>1134</v>
      </c>
      <c r="C760" s="10" t="n">
        <v>45818</v>
      </c>
      <c r="D760" s="2" t="s">
        <v>77</v>
      </c>
      <c r="E760" s="2" t="s">
        <v>64</v>
      </c>
      <c r="F760" s="2" t="s">
        <v>65</v>
      </c>
      <c r="G760" s="2" t="s">
        <v>78</v>
      </c>
      <c r="H760" s="2" t="n">
        <v>6</v>
      </c>
      <c r="I760" s="2" t="n">
        <v>400</v>
      </c>
      <c r="J760" s="2" t="n">
        <v>0</v>
      </c>
      <c r="K760" s="2" t="n">
        <v>200</v>
      </c>
    </row>
    <row r="761" customFormat="false" ht="15" hidden="false" customHeight="false" outlineLevel="0" collapsed="false">
      <c r="A761" s="2" t="s">
        <v>1135</v>
      </c>
      <c r="B761" s="2" t="s">
        <v>1134</v>
      </c>
      <c r="C761" s="10" t="n">
        <v>45893</v>
      </c>
      <c r="D761" s="2" t="s">
        <v>77</v>
      </c>
      <c r="E761" s="2" t="s">
        <v>64</v>
      </c>
      <c r="F761" s="2" t="s">
        <v>65</v>
      </c>
      <c r="G761" s="2" t="s">
        <v>107</v>
      </c>
      <c r="H761" s="2" t="n">
        <v>6</v>
      </c>
      <c r="I761" s="2" t="n">
        <v>500</v>
      </c>
      <c r="J761" s="2" t="n">
        <v>0</v>
      </c>
      <c r="K761" s="2" t="n">
        <v>250</v>
      </c>
    </row>
    <row r="762" customFormat="false" ht="15" hidden="false" customHeight="false" outlineLevel="0" collapsed="false">
      <c r="A762" s="2" t="s">
        <v>1136</v>
      </c>
      <c r="B762" s="2" t="s">
        <v>1137</v>
      </c>
      <c r="C762" s="10" t="n">
        <v>45885</v>
      </c>
      <c r="D762" s="2" t="s">
        <v>77</v>
      </c>
      <c r="E762" s="2" t="s">
        <v>64</v>
      </c>
      <c r="F762" s="2" t="s">
        <v>70</v>
      </c>
      <c r="G762" s="2" t="s">
        <v>126</v>
      </c>
      <c r="H762" s="2" t="n">
        <v>1</v>
      </c>
      <c r="I762" s="2" t="n">
        <v>4500</v>
      </c>
      <c r="J762" s="2" t="n">
        <v>0</v>
      </c>
      <c r="K762" s="2" t="n">
        <v>3300</v>
      </c>
    </row>
    <row r="763" customFormat="false" ht="15" hidden="false" customHeight="false" outlineLevel="0" collapsed="false">
      <c r="A763" s="2" t="s">
        <v>1138</v>
      </c>
      <c r="B763" s="2" t="s">
        <v>1139</v>
      </c>
      <c r="C763" s="10" t="n">
        <v>45935</v>
      </c>
      <c r="D763" s="2" t="s">
        <v>81</v>
      </c>
      <c r="E763" s="2" t="s">
        <v>64</v>
      </c>
      <c r="F763" s="2" t="s">
        <v>70</v>
      </c>
      <c r="G763" s="2" t="s">
        <v>126</v>
      </c>
      <c r="H763" s="2" t="n">
        <v>3</v>
      </c>
      <c r="I763" s="2" t="n">
        <v>4500</v>
      </c>
      <c r="J763" s="2" t="n">
        <v>0.05</v>
      </c>
      <c r="K763" s="2" t="n">
        <v>3300</v>
      </c>
    </row>
    <row r="764" customFormat="false" ht="15" hidden="false" customHeight="false" outlineLevel="0" collapsed="false">
      <c r="A764" s="2" t="s">
        <v>1140</v>
      </c>
      <c r="B764" s="2" t="s">
        <v>1139</v>
      </c>
      <c r="C764" s="10" t="n">
        <v>45978</v>
      </c>
      <c r="D764" s="2" t="s">
        <v>81</v>
      </c>
      <c r="E764" s="2" t="s">
        <v>64</v>
      </c>
      <c r="F764" s="2" t="s">
        <v>70</v>
      </c>
      <c r="G764" s="2" t="s">
        <v>122</v>
      </c>
      <c r="H764" s="2" t="n">
        <v>1</v>
      </c>
      <c r="I764" s="2" t="n">
        <v>1500</v>
      </c>
      <c r="J764" s="2" t="n">
        <v>0.15</v>
      </c>
      <c r="K764" s="2" t="n">
        <v>900</v>
      </c>
    </row>
    <row r="765" customFormat="false" ht="15" hidden="false" customHeight="false" outlineLevel="0" collapsed="false">
      <c r="A765" s="2" t="s">
        <v>1141</v>
      </c>
      <c r="B765" s="2" t="s">
        <v>1139</v>
      </c>
      <c r="C765" s="10" t="n">
        <v>45876</v>
      </c>
      <c r="D765" s="2" t="s">
        <v>81</v>
      </c>
      <c r="E765" s="2" t="s">
        <v>64</v>
      </c>
      <c r="F765" s="2" t="s">
        <v>65</v>
      </c>
      <c r="G765" s="2" t="s">
        <v>78</v>
      </c>
      <c r="H765" s="2" t="n">
        <v>4</v>
      </c>
      <c r="I765" s="2" t="n">
        <v>400</v>
      </c>
      <c r="J765" s="2" t="n">
        <v>0.1</v>
      </c>
      <c r="K765" s="2" t="n">
        <v>200</v>
      </c>
    </row>
    <row r="766" customFormat="false" ht="15" hidden="false" customHeight="false" outlineLevel="0" collapsed="false">
      <c r="A766" s="2" t="s">
        <v>1142</v>
      </c>
      <c r="B766" s="2" t="s">
        <v>1143</v>
      </c>
      <c r="C766" s="10" t="n">
        <v>46014</v>
      </c>
      <c r="D766" s="2" t="s">
        <v>91</v>
      </c>
      <c r="E766" s="2" t="s">
        <v>64</v>
      </c>
      <c r="F766" s="2" t="s">
        <v>70</v>
      </c>
      <c r="G766" s="2" t="s">
        <v>126</v>
      </c>
      <c r="H766" s="2" t="n">
        <v>1</v>
      </c>
      <c r="I766" s="2" t="n">
        <v>4500</v>
      </c>
      <c r="J766" s="2" t="n">
        <v>0.15</v>
      </c>
      <c r="K766" s="2" t="n">
        <v>3300</v>
      </c>
    </row>
    <row r="767" customFormat="false" ht="15" hidden="false" customHeight="false" outlineLevel="0" collapsed="false">
      <c r="A767" s="2" t="s">
        <v>1144</v>
      </c>
      <c r="B767" s="2" t="s">
        <v>1143</v>
      </c>
      <c r="C767" s="10" t="n">
        <v>45965</v>
      </c>
      <c r="D767" s="2" t="s">
        <v>91</v>
      </c>
      <c r="E767" s="2" t="s">
        <v>64</v>
      </c>
      <c r="F767" s="2" t="s">
        <v>70</v>
      </c>
      <c r="G767" s="2" t="s">
        <v>71</v>
      </c>
      <c r="H767" s="2" t="n">
        <v>1</v>
      </c>
      <c r="I767" s="2" t="n">
        <v>2500</v>
      </c>
      <c r="J767" s="2" t="n">
        <v>0.05</v>
      </c>
      <c r="K767" s="2" t="n">
        <v>1600</v>
      </c>
    </row>
    <row r="768" customFormat="false" ht="15" hidden="false" customHeight="false" outlineLevel="0" collapsed="false">
      <c r="A768" s="2" t="s">
        <v>1145</v>
      </c>
      <c r="B768" s="2" t="s">
        <v>1146</v>
      </c>
      <c r="C768" s="10" t="n">
        <v>45972</v>
      </c>
      <c r="D768" s="2" t="s">
        <v>63</v>
      </c>
      <c r="E768" s="2" t="s">
        <v>64</v>
      </c>
      <c r="F768" s="2" t="s">
        <v>65</v>
      </c>
      <c r="G768" s="2" t="s">
        <v>78</v>
      </c>
      <c r="H768" s="2" t="n">
        <v>3</v>
      </c>
      <c r="I768" s="2" t="n">
        <v>400</v>
      </c>
      <c r="J768" s="2" t="n">
        <v>0.05</v>
      </c>
      <c r="K768" s="2" t="n">
        <v>200</v>
      </c>
    </row>
    <row r="769" customFormat="false" ht="15" hidden="false" customHeight="false" outlineLevel="0" collapsed="false">
      <c r="A769" s="2" t="s">
        <v>1147</v>
      </c>
      <c r="B769" s="2"/>
      <c r="C769" s="10" t="n">
        <v>45727</v>
      </c>
      <c r="D769" s="2" t="s">
        <v>63</v>
      </c>
      <c r="E769" s="2" t="s">
        <v>64</v>
      </c>
      <c r="F769" s="2" t="s">
        <v>73</v>
      </c>
      <c r="G769" s="2" t="s">
        <v>74</v>
      </c>
      <c r="H769" s="2" t="n">
        <v>2</v>
      </c>
      <c r="I769" s="2" t="n">
        <v>7000</v>
      </c>
      <c r="J769" s="2" t="n">
        <v>0</v>
      </c>
      <c r="K769" s="2" t="n">
        <v>4800</v>
      </c>
    </row>
    <row r="770" customFormat="false" ht="15" hidden="false" customHeight="false" outlineLevel="0" collapsed="false">
      <c r="A770" s="2" t="s">
        <v>1148</v>
      </c>
      <c r="B770" s="2" t="s">
        <v>1146</v>
      </c>
      <c r="C770" s="10" t="n">
        <v>45996</v>
      </c>
      <c r="D770" s="2" t="s">
        <v>63</v>
      </c>
      <c r="E770" s="2" t="s">
        <v>64</v>
      </c>
      <c r="F770" s="2" t="s">
        <v>70</v>
      </c>
      <c r="G770" s="2" t="s">
        <v>97</v>
      </c>
      <c r="H770" s="2" t="n">
        <v>2</v>
      </c>
      <c r="I770" s="2" t="n">
        <v>3000</v>
      </c>
      <c r="J770" s="2" t="n">
        <v>0.05</v>
      </c>
      <c r="K770" s="2" t="n">
        <v>2000</v>
      </c>
    </row>
    <row r="771" customFormat="false" ht="15" hidden="false" customHeight="false" outlineLevel="0" collapsed="false">
      <c r="A771" s="2" t="s">
        <v>1149</v>
      </c>
      <c r="B771" s="2" t="s">
        <v>1146</v>
      </c>
      <c r="C771" s="10" t="n">
        <v>45998</v>
      </c>
      <c r="D771" s="2" t="s">
        <v>63</v>
      </c>
      <c r="E771" s="2" t="s">
        <v>64</v>
      </c>
      <c r="F771" s="2" t="s">
        <v>70</v>
      </c>
      <c r="G771" s="2" t="s">
        <v>126</v>
      </c>
      <c r="H771" s="2" t="n">
        <v>1</v>
      </c>
      <c r="I771" s="2" t="n">
        <v>4500</v>
      </c>
      <c r="J771" s="2" t="n">
        <v>0.05</v>
      </c>
      <c r="K771" s="2" t="n">
        <v>3300</v>
      </c>
    </row>
    <row r="772" customFormat="false" ht="15" hidden="false" customHeight="false" outlineLevel="0" collapsed="false">
      <c r="A772" s="2" t="s">
        <v>1150</v>
      </c>
      <c r="B772" s="2" t="s">
        <v>1146</v>
      </c>
      <c r="C772" s="10" t="n">
        <v>45992</v>
      </c>
      <c r="D772" s="2" t="s">
        <v>63</v>
      </c>
      <c r="E772" s="2" t="s">
        <v>64</v>
      </c>
      <c r="F772" s="2" t="s">
        <v>65</v>
      </c>
      <c r="G772" s="2" t="s">
        <v>82</v>
      </c>
      <c r="H772" s="2" t="n">
        <v>3</v>
      </c>
      <c r="I772" s="2" t="n">
        <v>250</v>
      </c>
      <c r="J772" s="2" t="n">
        <v>0.05</v>
      </c>
      <c r="K772" s="2" t="n">
        <v>100</v>
      </c>
    </row>
    <row r="773" customFormat="false" ht="15" hidden="false" customHeight="false" outlineLevel="0" collapsed="false">
      <c r="A773" s="2" t="s">
        <v>1151</v>
      </c>
      <c r="B773" s="2" t="s">
        <v>1146</v>
      </c>
      <c r="C773" s="10" t="n">
        <v>45780</v>
      </c>
      <c r="D773" s="2" t="s">
        <v>63</v>
      </c>
      <c r="E773" s="2" t="s">
        <v>64</v>
      </c>
      <c r="F773" s="2" t="s">
        <v>73</v>
      </c>
      <c r="G773" s="2" t="s">
        <v>85</v>
      </c>
      <c r="H773" s="2" t="n">
        <v>1</v>
      </c>
      <c r="I773" s="2" t="n">
        <v>1200</v>
      </c>
      <c r="J773" s="2" t="n">
        <v>0</v>
      </c>
      <c r="K773" s="2" t="n">
        <v>600</v>
      </c>
    </row>
    <row r="774" customFormat="false" ht="15" hidden="false" customHeight="false" outlineLevel="0" collapsed="false">
      <c r="A774" s="2" t="s">
        <v>1152</v>
      </c>
      <c r="B774" s="2" t="s">
        <v>1153</v>
      </c>
      <c r="C774" s="10" t="n">
        <v>46017</v>
      </c>
      <c r="D774" s="2" t="s">
        <v>91</v>
      </c>
      <c r="E774" s="2" t="s">
        <v>64</v>
      </c>
      <c r="F774" s="2" t="s">
        <v>73</v>
      </c>
      <c r="G774" s="2" t="s">
        <v>74</v>
      </c>
      <c r="H774" s="2" t="n">
        <v>1</v>
      </c>
      <c r="I774" s="2" t="n">
        <v>7000</v>
      </c>
      <c r="J774" s="2" t="n">
        <v>0.05</v>
      </c>
      <c r="K774" s="2" t="n">
        <v>4800</v>
      </c>
    </row>
    <row r="775" customFormat="false" ht="15" hidden="false" customHeight="false" outlineLevel="0" collapsed="false">
      <c r="A775" s="2" t="s">
        <v>1154</v>
      </c>
      <c r="B775" s="2" t="s">
        <v>1153</v>
      </c>
      <c r="C775" s="10" t="n">
        <v>45803</v>
      </c>
      <c r="D775" s="2" t="s">
        <v>91</v>
      </c>
      <c r="E775" s="2" t="s">
        <v>64</v>
      </c>
      <c r="F775" s="2" t="s">
        <v>65</v>
      </c>
      <c r="G775" s="2" t="s">
        <v>107</v>
      </c>
      <c r="H775" s="2" t="n">
        <v>2</v>
      </c>
      <c r="I775" s="2" t="n">
        <v>500</v>
      </c>
      <c r="J775" s="2" t="n">
        <v>0</v>
      </c>
      <c r="K775" s="2" t="n">
        <v>250</v>
      </c>
    </row>
    <row r="776" customFormat="false" ht="15" hidden="false" customHeight="false" outlineLevel="0" collapsed="false">
      <c r="A776" s="2" t="s">
        <v>1155</v>
      </c>
      <c r="B776" s="2" t="s">
        <v>1153</v>
      </c>
      <c r="C776" s="10" t="n">
        <v>45743</v>
      </c>
      <c r="D776" s="2" t="s">
        <v>91</v>
      </c>
      <c r="E776" s="2" t="s">
        <v>64</v>
      </c>
      <c r="F776" s="2" t="s">
        <v>70</v>
      </c>
      <c r="G776" s="2" t="s">
        <v>97</v>
      </c>
      <c r="H776" s="2" t="n">
        <v>3</v>
      </c>
      <c r="I776" s="2" t="n">
        <v>3000</v>
      </c>
      <c r="J776" s="2" t="n">
        <v>0</v>
      </c>
      <c r="K776" s="2" t="n">
        <v>2000</v>
      </c>
    </row>
    <row r="777" customFormat="false" ht="15" hidden="false" customHeight="false" outlineLevel="0" collapsed="false">
      <c r="A777" s="2" t="s">
        <v>1156</v>
      </c>
      <c r="B777" s="2" t="s">
        <v>1157</v>
      </c>
      <c r="C777" s="10" t="n">
        <v>45906</v>
      </c>
      <c r="D777" s="2" t="s">
        <v>77</v>
      </c>
      <c r="E777" s="2" t="s">
        <v>64</v>
      </c>
      <c r="F777" s="2" t="s">
        <v>73</v>
      </c>
      <c r="G777" s="2" t="s">
        <v>104</v>
      </c>
      <c r="H777" s="2" t="n">
        <v>1</v>
      </c>
      <c r="I777" s="2" t="n">
        <v>5500</v>
      </c>
      <c r="J777" s="2" t="n">
        <v>0.1</v>
      </c>
      <c r="K777" s="2" t="n">
        <v>3600</v>
      </c>
    </row>
    <row r="778" customFormat="false" ht="15" hidden="false" customHeight="false" outlineLevel="0" collapsed="false">
      <c r="A778" s="2" t="s">
        <v>1158</v>
      </c>
      <c r="B778" s="2" t="s">
        <v>1157</v>
      </c>
      <c r="C778" s="10" t="n">
        <v>45979</v>
      </c>
      <c r="D778" s="2" t="s">
        <v>77</v>
      </c>
      <c r="E778" s="2" t="s">
        <v>64</v>
      </c>
      <c r="F778" s="2" t="s">
        <v>70</v>
      </c>
      <c r="G778" s="2" t="s">
        <v>97</v>
      </c>
      <c r="H778" s="2" t="n">
        <v>2</v>
      </c>
      <c r="I778" s="2" t="n">
        <v>3000</v>
      </c>
      <c r="J778" s="2" t="n">
        <v>0.15</v>
      </c>
      <c r="K778" s="2" t="n">
        <v>2000</v>
      </c>
    </row>
    <row r="779" customFormat="false" ht="15" hidden="false" customHeight="false" outlineLevel="0" collapsed="false">
      <c r="A779" s="2" t="s">
        <v>1159</v>
      </c>
      <c r="B779" s="2" t="s">
        <v>1160</v>
      </c>
      <c r="C779" s="10" t="n">
        <v>45877</v>
      </c>
      <c r="D779" s="2" t="s">
        <v>77</v>
      </c>
      <c r="E779" s="2" t="s">
        <v>92</v>
      </c>
      <c r="F779" s="2" t="s">
        <v>73</v>
      </c>
      <c r="G779" s="2" t="s">
        <v>74</v>
      </c>
      <c r="H779" s="2" t="n">
        <v>8</v>
      </c>
      <c r="I779" s="2" t="n">
        <v>7000</v>
      </c>
      <c r="J779" s="2" t="n">
        <v>0.05</v>
      </c>
      <c r="K779" s="2" t="n">
        <v>4800</v>
      </c>
    </row>
    <row r="780" customFormat="false" ht="15" hidden="false" customHeight="false" outlineLevel="0" collapsed="false">
      <c r="A780" s="2" t="s">
        <v>1161</v>
      </c>
      <c r="B780" s="2" t="s">
        <v>1160</v>
      </c>
      <c r="C780" s="10" t="n">
        <v>45977</v>
      </c>
      <c r="D780" s="2" t="s">
        <v>77</v>
      </c>
      <c r="E780" s="2" t="s">
        <v>92</v>
      </c>
      <c r="F780" s="2" t="s">
        <v>65</v>
      </c>
      <c r="G780" s="2" t="s">
        <v>82</v>
      </c>
      <c r="H780" s="2" t="n">
        <v>27</v>
      </c>
      <c r="I780" s="2" t="n">
        <v>250</v>
      </c>
      <c r="J780" s="2" t="n">
        <v>0.1</v>
      </c>
      <c r="K780" s="2" t="n">
        <v>100</v>
      </c>
    </row>
    <row r="781" customFormat="false" ht="15" hidden="false" customHeight="false" outlineLevel="0" collapsed="false">
      <c r="A781" s="2" t="s">
        <v>1162</v>
      </c>
      <c r="B781" s="2" t="s">
        <v>1163</v>
      </c>
      <c r="C781" s="10" t="n">
        <v>45835</v>
      </c>
      <c r="D781" s="2" t="s">
        <v>77</v>
      </c>
      <c r="E781" s="2" t="s">
        <v>64</v>
      </c>
      <c r="F781" s="2" t="s">
        <v>73</v>
      </c>
      <c r="G781" s="2" t="s">
        <v>74</v>
      </c>
      <c r="H781" s="2" t="n">
        <v>2</v>
      </c>
      <c r="I781" s="2" t="n">
        <v>7000</v>
      </c>
      <c r="J781" s="2" t="n">
        <v>0</v>
      </c>
      <c r="K781" s="2" t="n">
        <v>4800</v>
      </c>
    </row>
    <row r="782" customFormat="false" ht="15" hidden="false" customHeight="false" outlineLevel="0" collapsed="false">
      <c r="A782" s="2" t="s">
        <v>1164</v>
      </c>
      <c r="B782" s="2" t="s">
        <v>1165</v>
      </c>
      <c r="C782" s="10" t="n">
        <v>45922</v>
      </c>
      <c r="D782" s="2" t="s">
        <v>91</v>
      </c>
      <c r="E782" s="2" t="s">
        <v>64</v>
      </c>
      <c r="F782" s="2" t="s">
        <v>65</v>
      </c>
      <c r="G782" s="2" t="s">
        <v>107</v>
      </c>
      <c r="H782" s="2" t="n">
        <v>5</v>
      </c>
      <c r="I782" s="2" t="n">
        <v>500</v>
      </c>
      <c r="J782" s="2" t="n">
        <v>0</v>
      </c>
      <c r="K782" s="2" t="n">
        <v>250</v>
      </c>
    </row>
    <row r="783" customFormat="false" ht="15" hidden="false" customHeight="false" outlineLevel="0" collapsed="false">
      <c r="A783" s="2" t="s">
        <v>1166</v>
      </c>
      <c r="B783" s="2" t="s">
        <v>1165</v>
      </c>
      <c r="C783" s="10" t="n">
        <v>45977</v>
      </c>
      <c r="D783" s="2" t="s">
        <v>91</v>
      </c>
      <c r="E783" s="2" t="s">
        <v>64</v>
      </c>
      <c r="F783" s="2" t="s">
        <v>65</v>
      </c>
      <c r="G783" s="2" t="s">
        <v>107</v>
      </c>
      <c r="H783" s="2" t="n">
        <v>8</v>
      </c>
      <c r="I783" s="2" t="n">
        <v>500</v>
      </c>
      <c r="J783" s="2" t="n">
        <v>0.05</v>
      </c>
      <c r="K783" s="2" t="n">
        <v>250</v>
      </c>
    </row>
    <row r="784" customFormat="false" ht="15" hidden="false" customHeight="false" outlineLevel="0" collapsed="false">
      <c r="A784" s="2" t="s">
        <v>1167</v>
      </c>
      <c r="B784" s="2" t="s">
        <v>1165</v>
      </c>
      <c r="C784" s="10" t="n">
        <v>45797</v>
      </c>
      <c r="D784" s="2" t="s">
        <v>91</v>
      </c>
      <c r="E784" s="2" t="s">
        <v>64</v>
      </c>
      <c r="F784" s="2" t="s">
        <v>73</v>
      </c>
      <c r="G784" s="2" t="s">
        <v>74</v>
      </c>
      <c r="H784" s="2" t="n">
        <v>1</v>
      </c>
      <c r="I784" s="2" t="n">
        <v>7000</v>
      </c>
      <c r="J784" s="2" t="n">
        <v>0.05</v>
      </c>
      <c r="K784" s="2" t="n">
        <v>4800</v>
      </c>
    </row>
    <row r="785" customFormat="false" ht="15" hidden="false" customHeight="false" outlineLevel="0" collapsed="false">
      <c r="A785" s="2" t="s">
        <v>1168</v>
      </c>
      <c r="B785" s="2" t="s">
        <v>1165</v>
      </c>
      <c r="C785" s="10" t="n">
        <v>45968</v>
      </c>
      <c r="D785" s="2" t="s">
        <v>91</v>
      </c>
      <c r="E785" s="2" t="s">
        <v>64</v>
      </c>
      <c r="F785" s="2" t="s">
        <v>65</v>
      </c>
      <c r="G785" s="2" t="s">
        <v>66</v>
      </c>
      <c r="H785" s="2" t="n">
        <v>5</v>
      </c>
      <c r="I785" s="2" t="n">
        <v>600</v>
      </c>
      <c r="J785" s="2" t="n">
        <v>0.15</v>
      </c>
      <c r="K785" s="2" t="n">
        <v>300</v>
      </c>
    </row>
    <row r="786" customFormat="false" ht="15" hidden="false" customHeight="false" outlineLevel="0" collapsed="false">
      <c r="A786" s="2" t="s">
        <v>1169</v>
      </c>
      <c r="B786" s="2" t="s">
        <v>1165</v>
      </c>
      <c r="C786" s="10" t="n">
        <v>45797</v>
      </c>
      <c r="D786" s="2" t="s">
        <v>91</v>
      </c>
      <c r="E786" s="2" t="s">
        <v>64</v>
      </c>
      <c r="F786" s="2" t="s">
        <v>73</v>
      </c>
      <c r="G786" s="2" t="s">
        <v>74</v>
      </c>
      <c r="H786" s="2" t="n">
        <v>2</v>
      </c>
      <c r="I786" s="2" t="n">
        <v>7000</v>
      </c>
      <c r="J786" s="2" t="n">
        <v>0.05</v>
      </c>
      <c r="K786" s="2" t="n">
        <v>4800</v>
      </c>
    </row>
    <row r="787" customFormat="false" ht="15" hidden="false" customHeight="false" outlineLevel="0" collapsed="false">
      <c r="A787" s="2" t="s">
        <v>1170</v>
      </c>
      <c r="B787" s="2" t="s">
        <v>1171</v>
      </c>
      <c r="C787" s="10" t="n">
        <v>45753</v>
      </c>
      <c r="D787" s="2" t="s">
        <v>91</v>
      </c>
      <c r="E787" s="2" t="s">
        <v>64</v>
      </c>
      <c r="F787" s="2" t="s">
        <v>70</v>
      </c>
      <c r="G787" s="2" t="s">
        <v>71</v>
      </c>
      <c r="H787" s="2" t="n">
        <v>2</v>
      </c>
      <c r="I787" s="2" t="n">
        <v>2500</v>
      </c>
      <c r="J787" s="2" t="n">
        <v>0</v>
      </c>
      <c r="K787" s="2" t="n">
        <v>1600</v>
      </c>
    </row>
    <row r="788" customFormat="false" ht="15" hidden="false" customHeight="false" outlineLevel="0" collapsed="false">
      <c r="A788" s="2" t="s">
        <v>1172</v>
      </c>
      <c r="B788" s="2" t="s">
        <v>1171</v>
      </c>
      <c r="C788" s="10" t="n">
        <v>46013</v>
      </c>
      <c r="D788" s="2" t="s">
        <v>91</v>
      </c>
      <c r="E788" s="2" t="s">
        <v>64</v>
      </c>
      <c r="F788" s="2" t="s">
        <v>65</v>
      </c>
      <c r="G788" s="2" t="s">
        <v>107</v>
      </c>
      <c r="H788" s="2" t="n">
        <v>5</v>
      </c>
      <c r="I788" s="2" t="n">
        <v>500</v>
      </c>
      <c r="J788" s="2" t="n">
        <v>0.05</v>
      </c>
      <c r="K788" s="2" t="n">
        <v>250</v>
      </c>
    </row>
    <row r="789" customFormat="false" ht="15" hidden="false" customHeight="false" outlineLevel="0" collapsed="false">
      <c r="A789" s="2" t="s">
        <v>1173</v>
      </c>
      <c r="B789" s="2" t="s">
        <v>1174</v>
      </c>
      <c r="C789" s="10" t="n">
        <v>45819</v>
      </c>
      <c r="D789" s="2" t="s">
        <v>77</v>
      </c>
      <c r="E789" s="2" t="s">
        <v>64</v>
      </c>
      <c r="F789" s="2" t="s">
        <v>65</v>
      </c>
      <c r="G789" s="2" t="s">
        <v>78</v>
      </c>
      <c r="H789" s="2" t="n">
        <v>5</v>
      </c>
      <c r="I789" s="2" t="n">
        <v>400</v>
      </c>
      <c r="J789" s="2" t="n">
        <v>0</v>
      </c>
      <c r="K789" s="2" t="n">
        <v>200</v>
      </c>
    </row>
    <row r="790" customFormat="false" ht="15" hidden="false" customHeight="false" outlineLevel="0" collapsed="false">
      <c r="A790" s="2" t="s">
        <v>1175</v>
      </c>
      <c r="B790" s="2" t="s">
        <v>1176</v>
      </c>
      <c r="C790" s="10" t="n">
        <v>45927</v>
      </c>
      <c r="D790" s="2" t="s">
        <v>77</v>
      </c>
      <c r="E790" s="2" t="s">
        <v>69</v>
      </c>
      <c r="F790" s="2" t="s">
        <v>65</v>
      </c>
      <c r="G790" s="2" t="s">
        <v>82</v>
      </c>
      <c r="H790" s="2" t="n">
        <v>10</v>
      </c>
      <c r="I790" s="2" t="n">
        <v>250</v>
      </c>
      <c r="J790" s="2" t="n">
        <v>0</v>
      </c>
      <c r="K790" s="2" t="n">
        <v>100</v>
      </c>
    </row>
    <row r="791" customFormat="false" ht="15" hidden="false" customHeight="false" outlineLevel="0" collapsed="false">
      <c r="A791" s="2" t="s">
        <v>1177</v>
      </c>
      <c r="B791" s="2" t="s">
        <v>1176</v>
      </c>
      <c r="C791" s="10" t="n">
        <v>45742</v>
      </c>
      <c r="D791" s="2" t="s">
        <v>77</v>
      </c>
      <c r="E791" s="2" t="s">
        <v>69</v>
      </c>
      <c r="F791" s="2" t="s">
        <v>65</v>
      </c>
      <c r="G791" s="2" t="s">
        <v>107</v>
      </c>
      <c r="H791" s="2" t="n">
        <v>20</v>
      </c>
      <c r="I791" s="2" t="n">
        <v>500</v>
      </c>
      <c r="J791" s="2" t="n">
        <v>0.1</v>
      </c>
      <c r="K791" s="2" t="n">
        <v>250</v>
      </c>
    </row>
    <row r="792" customFormat="false" ht="15" hidden="false" customHeight="false" outlineLevel="0" collapsed="false">
      <c r="A792" s="2" t="s">
        <v>1178</v>
      </c>
      <c r="B792" s="2" t="s">
        <v>1179</v>
      </c>
      <c r="C792" s="10" t="n">
        <v>45839</v>
      </c>
      <c r="D792" s="2" t="s">
        <v>91</v>
      </c>
      <c r="E792" s="2" t="s">
        <v>92</v>
      </c>
      <c r="F792" s="2" t="s">
        <v>65</v>
      </c>
      <c r="G792" s="2" t="s">
        <v>82</v>
      </c>
      <c r="H792" s="2" t="n">
        <v>22</v>
      </c>
      <c r="I792" s="2" t="n">
        <v>250</v>
      </c>
      <c r="J792" s="2" t="n">
        <v>0</v>
      </c>
      <c r="K792" s="2" t="n">
        <v>100</v>
      </c>
    </row>
    <row r="793" customFormat="false" ht="15" hidden="false" customHeight="false" outlineLevel="0" collapsed="false">
      <c r="A793" s="2" t="s">
        <v>1180</v>
      </c>
      <c r="B793" s="2" t="s">
        <v>1179</v>
      </c>
      <c r="C793" s="10" t="n">
        <v>45771</v>
      </c>
      <c r="D793" s="2" t="s">
        <v>91</v>
      </c>
      <c r="E793" s="2" t="s">
        <v>92</v>
      </c>
      <c r="F793" s="2" t="s">
        <v>73</v>
      </c>
      <c r="G793" s="2" t="s">
        <v>87</v>
      </c>
      <c r="H793" s="2" t="n">
        <v>5</v>
      </c>
      <c r="I793" s="2" t="n">
        <v>9000</v>
      </c>
      <c r="J793" s="2" t="n">
        <v>0.1</v>
      </c>
      <c r="K793" s="2" t="n">
        <v>6200</v>
      </c>
    </row>
    <row r="794" customFormat="false" ht="15" hidden="false" customHeight="false" outlineLevel="0" collapsed="false">
      <c r="A794" s="2" t="s">
        <v>1181</v>
      </c>
      <c r="B794" s="2" t="s">
        <v>1179</v>
      </c>
      <c r="C794" s="10" t="n">
        <v>45905</v>
      </c>
      <c r="D794" s="2" t="s">
        <v>91</v>
      </c>
      <c r="E794" s="2" t="s">
        <v>92</v>
      </c>
      <c r="F794" s="2" t="s">
        <v>70</v>
      </c>
      <c r="G794" s="2" t="s">
        <v>122</v>
      </c>
      <c r="H794" s="2" t="n">
        <v>6</v>
      </c>
      <c r="I794" s="2" t="n">
        <v>1500</v>
      </c>
      <c r="J794" s="2" t="n">
        <v>0.15</v>
      </c>
      <c r="K794" s="2" t="n">
        <v>900</v>
      </c>
    </row>
    <row r="795" customFormat="false" ht="15" hidden="false" customHeight="false" outlineLevel="0" collapsed="false">
      <c r="A795" s="2" t="s">
        <v>1182</v>
      </c>
      <c r="B795" s="2" t="s">
        <v>1179</v>
      </c>
      <c r="C795" s="10" t="n">
        <v>45792</v>
      </c>
      <c r="D795" s="2" t="s">
        <v>91</v>
      </c>
      <c r="E795" s="2" t="s">
        <v>92</v>
      </c>
      <c r="F795" s="2" t="s">
        <v>73</v>
      </c>
      <c r="G795" s="2" t="s">
        <v>104</v>
      </c>
      <c r="H795" s="2" t="n">
        <v>2</v>
      </c>
      <c r="I795" s="2" t="n">
        <v>5500</v>
      </c>
      <c r="J795" s="2" t="n">
        <v>0.1</v>
      </c>
      <c r="K795" s="2" t="n">
        <v>3600</v>
      </c>
    </row>
    <row r="796" customFormat="false" ht="15" hidden="false" customHeight="false" outlineLevel="0" collapsed="false">
      <c r="A796" s="2" t="s">
        <v>1183</v>
      </c>
      <c r="B796" s="2" t="s">
        <v>1179</v>
      </c>
      <c r="C796" s="10" t="n">
        <v>45794</v>
      </c>
      <c r="D796" s="2" t="s">
        <v>91</v>
      </c>
      <c r="E796" s="2" t="s">
        <v>92</v>
      </c>
      <c r="F796" s="2" t="s">
        <v>73</v>
      </c>
      <c r="G796" s="2" t="s">
        <v>104</v>
      </c>
      <c r="H796" s="2" t="n">
        <v>4</v>
      </c>
      <c r="I796" s="2" t="n">
        <v>5500</v>
      </c>
      <c r="J796" s="2" t="n">
        <v>0.15</v>
      </c>
      <c r="K796" s="2" t="n">
        <v>3600</v>
      </c>
    </row>
    <row r="797" customFormat="false" ht="15" hidden="false" customHeight="false" outlineLevel="0" collapsed="false">
      <c r="A797" s="2" t="s">
        <v>1184</v>
      </c>
      <c r="B797" s="2" t="s">
        <v>1185</v>
      </c>
      <c r="C797" s="10" t="n">
        <v>45984</v>
      </c>
      <c r="D797" s="2" t="s">
        <v>63</v>
      </c>
      <c r="E797" s="2" t="s">
        <v>64</v>
      </c>
      <c r="F797" s="2" t="s">
        <v>65</v>
      </c>
      <c r="G797" s="2" t="s">
        <v>78</v>
      </c>
      <c r="H797" s="2" t="n">
        <v>7</v>
      </c>
      <c r="I797" s="2" t="n">
        <v>400</v>
      </c>
      <c r="J797" s="2" t="n">
        <v>0.05</v>
      </c>
      <c r="K797" s="2" t="n">
        <v>200</v>
      </c>
    </row>
    <row r="798" customFormat="false" ht="15" hidden="false" customHeight="false" outlineLevel="0" collapsed="false">
      <c r="A798" s="2" t="s">
        <v>1186</v>
      </c>
      <c r="B798" s="2" t="s">
        <v>1185</v>
      </c>
      <c r="C798" s="10" t="n">
        <v>46006</v>
      </c>
      <c r="D798" s="2" t="s">
        <v>63</v>
      </c>
      <c r="E798" s="2" t="s">
        <v>64</v>
      </c>
      <c r="F798" s="2" t="s">
        <v>65</v>
      </c>
      <c r="G798" s="2" t="s">
        <v>78</v>
      </c>
      <c r="H798" s="2" t="n">
        <v>2</v>
      </c>
      <c r="I798" s="2" t="n">
        <v>400</v>
      </c>
      <c r="J798" s="2" t="n">
        <v>0.1</v>
      </c>
      <c r="K798" s="2" t="n">
        <v>200</v>
      </c>
    </row>
    <row r="799" customFormat="false" ht="15" hidden="false" customHeight="false" outlineLevel="0" collapsed="false">
      <c r="A799" s="2" t="s">
        <v>1187</v>
      </c>
      <c r="B799" s="2"/>
      <c r="C799" s="10" t="n">
        <v>45801</v>
      </c>
      <c r="D799" s="2" t="s">
        <v>63</v>
      </c>
      <c r="E799" s="2" t="s">
        <v>64</v>
      </c>
      <c r="F799" s="2" t="s">
        <v>70</v>
      </c>
      <c r="G799" s="2" t="s">
        <v>122</v>
      </c>
      <c r="H799" s="2" t="n">
        <v>3</v>
      </c>
      <c r="I799" s="2" t="n">
        <v>1500</v>
      </c>
      <c r="J799" s="2" t="n">
        <v>0.1</v>
      </c>
      <c r="K799" s="2" t="n">
        <v>900</v>
      </c>
    </row>
    <row r="800" customFormat="false" ht="15" hidden="false" customHeight="false" outlineLevel="0" collapsed="false">
      <c r="A800" s="2" t="s">
        <v>1188</v>
      </c>
      <c r="B800" s="2" t="s">
        <v>1185</v>
      </c>
      <c r="C800" s="10" t="n">
        <v>45689</v>
      </c>
      <c r="D800" s="2" t="s">
        <v>63</v>
      </c>
      <c r="E800" s="2" t="s">
        <v>64</v>
      </c>
      <c r="F800" s="2" t="s">
        <v>65</v>
      </c>
      <c r="G800" s="2" t="s">
        <v>107</v>
      </c>
      <c r="H800" s="2" t="n">
        <v>2</v>
      </c>
      <c r="I800" s="2" t="n">
        <v>500</v>
      </c>
      <c r="J800" s="2" t="n">
        <v>0</v>
      </c>
      <c r="K800" s="2" t="n">
        <v>250</v>
      </c>
    </row>
    <row r="801" customFormat="false" ht="15" hidden="false" customHeight="false" outlineLevel="0" collapsed="false">
      <c r="A801" s="2" t="s">
        <v>1189</v>
      </c>
      <c r="B801" s="2" t="s">
        <v>1190</v>
      </c>
      <c r="C801" s="10" t="n">
        <v>45917</v>
      </c>
      <c r="D801" s="2" t="s">
        <v>63</v>
      </c>
      <c r="E801" s="2" t="s">
        <v>64</v>
      </c>
      <c r="F801" s="2" t="s">
        <v>65</v>
      </c>
      <c r="G801" s="2" t="s">
        <v>66</v>
      </c>
      <c r="H801" s="2" t="n">
        <v>3</v>
      </c>
      <c r="I801" s="2" t="n">
        <v>600</v>
      </c>
      <c r="J801" s="2" t="n">
        <v>0.1</v>
      </c>
      <c r="K801" s="2" t="n">
        <v>300</v>
      </c>
    </row>
    <row r="802" customFormat="false" ht="15" hidden="false" customHeight="false" outlineLevel="0" collapsed="false">
      <c r="A802" s="2" t="s">
        <v>1191</v>
      </c>
      <c r="B802" s="2" t="s">
        <v>1190</v>
      </c>
      <c r="C802" s="10" t="n">
        <v>45982</v>
      </c>
      <c r="D802" s="2" t="s">
        <v>63</v>
      </c>
      <c r="E802" s="2" t="s">
        <v>64</v>
      </c>
      <c r="F802" s="2" t="s">
        <v>65</v>
      </c>
      <c r="G802" s="2" t="s">
        <v>78</v>
      </c>
      <c r="H802" s="2" t="n">
        <v>5</v>
      </c>
      <c r="I802" s="2" t="n">
        <v>400</v>
      </c>
      <c r="J802" s="2" t="n">
        <v>0.15</v>
      </c>
      <c r="K802" s="2" t="n">
        <v>200</v>
      </c>
    </row>
    <row r="803" customFormat="false" ht="15" hidden="false" customHeight="false" outlineLevel="0" collapsed="false">
      <c r="A803" s="2" t="s">
        <v>1192</v>
      </c>
      <c r="B803" s="2" t="s">
        <v>1190</v>
      </c>
      <c r="C803" s="10" t="n">
        <v>45717</v>
      </c>
      <c r="D803" s="2" t="s">
        <v>63</v>
      </c>
      <c r="E803" s="2" t="s">
        <v>64</v>
      </c>
      <c r="F803" s="2" t="s">
        <v>73</v>
      </c>
      <c r="G803" s="2" t="s">
        <v>104</v>
      </c>
      <c r="H803" s="2" t="n">
        <v>3</v>
      </c>
      <c r="I803" s="2" t="n">
        <v>5500</v>
      </c>
      <c r="J803" s="2" t="n">
        <v>0.1</v>
      </c>
      <c r="K803" s="2" t="n">
        <v>3600</v>
      </c>
    </row>
    <row r="804" customFormat="false" ht="15" hidden="false" customHeight="false" outlineLevel="0" collapsed="false">
      <c r="A804" s="2" t="s">
        <v>1193</v>
      </c>
      <c r="B804" s="2" t="s">
        <v>1190</v>
      </c>
      <c r="C804" s="10" t="n">
        <v>45742</v>
      </c>
      <c r="D804" s="2" t="s">
        <v>63</v>
      </c>
      <c r="E804" s="2" t="s">
        <v>64</v>
      </c>
      <c r="F804" s="2" t="s">
        <v>65</v>
      </c>
      <c r="G804" s="2" t="s">
        <v>107</v>
      </c>
      <c r="H804" s="2" t="n">
        <v>6</v>
      </c>
      <c r="I804" s="2" t="n">
        <v>500</v>
      </c>
      <c r="J804" s="2" t="n">
        <v>0</v>
      </c>
      <c r="K804" s="2" t="n">
        <v>250</v>
      </c>
    </row>
    <row r="805" customFormat="false" ht="15" hidden="false" customHeight="false" outlineLevel="0" collapsed="false">
      <c r="A805" s="2" t="s">
        <v>1194</v>
      </c>
      <c r="B805" s="2" t="s">
        <v>1195</v>
      </c>
      <c r="C805" s="10" t="n">
        <v>45941</v>
      </c>
      <c r="D805" s="2" t="s">
        <v>77</v>
      </c>
      <c r="E805" s="2" t="s">
        <v>92</v>
      </c>
      <c r="F805" s="2" t="s">
        <v>70</v>
      </c>
      <c r="G805" s="2" t="s">
        <v>97</v>
      </c>
      <c r="H805" s="2" t="n">
        <v>7</v>
      </c>
      <c r="I805" s="2" t="n">
        <v>3000</v>
      </c>
      <c r="J805" s="2" t="n">
        <v>0.15</v>
      </c>
      <c r="K805" s="2" t="n">
        <v>2000</v>
      </c>
    </row>
    <row r="806" customFormat="false" ht="15" hidden="false" customHeight="false" outlineLevel="0" collapsed="false">
      <c r="A806" s="2" t="s">
        <v>1196</v>
      </c>
      <c r="B806" s="2" t="s">
        <v>1195</v>
      </c>
      <c r="C806" s="10" t="n">
        <v>45773</v>
      </c>
      <c r="D806" s="2" t="s">
        <v>337</v>
      </c>
      <c r="E806" s="2" t="s">
        <v>92</v>
      </c>
      <c r="F806" s="2" t="s">
        <v>73</v>
      </c>
      <c r="G806" s="2" t="s">
        <v>87</v>
      </c>
      <c r="H806" s="2" t="n">
        <v>8</v>
      </c>
      <c r="I806" s="2" t="n">
        <v>9000</v>
      </c>
      <c r="J806" s="2" t="n">
        <v>0</v>
      </c>
      <c r="K806" s="2" t="n">
        <v>6200</v>
      </c>
    </row>
    <row r="807" customFormat="false" ht="15" hidden="false" customHeight="false" outlineLevel="0" collapsed="false">
      <c r="A807" s="2" t="s">
        <v>1197</v>
      </c>
      <c r="B807" s="2" t="s">
        <v>1195</v>
      </c>
      <c r="C807" s="10" t="n">
        <v>45906</v>
      </c>
      <c r="D807" s="2" t="s">
        <v>77</v>
      </c>
      <c r="E807" s="2" t="s">
        <v>92</v>
      </c>
      <c r="F807" s="2" t="s">
        <v>70</v>
      </c>
      <c r="G807" s="2" t="s">
        <v>122</v>
      </c>
      <c r="H807" s="2" t="n">
        <v>6</v>
      </c>
      <c r="I807" s="2" t="n">
        <v>1500</v>
      </c>
      <c r="J807" s="2" t="n">
        <v>0</v>
      </c>
      <c r="K807" s="2" t="n">
        <v>900</v>
      </c>
    </row>
    <row r="808" customFormat="false" ht="15" hidden="false" customHeight="false" outlineLevel="0" collapsed="false">
      <c r="A808" s="2" t="s">
        <v>1198</v>
      </c>
      <c r="B808" s="2" t="s">
        <v>1195</v>
      </c>
      <c r="C808" s="10" t="n">
        <v>45779</v>
      </c>
      <c r="D808" s="2" t="s">
        <v>77</v>
      </c>
      <c r="E808" s="2" t="s">
        <v>92</v>
      </c>
      <c r="F808" s="2" t="s">
        <v>70</v>
      </c>
      <c r="G808" s="2" t="s">
        <v>122</v>
      </c>
      <c r="H808" s="2" t="n">
        <v>3</v>
      </c>
      <c r="I808" s="2" t="n">
        <v>1500</v>
      </c>
      <c r="J808" s="2" t="n">
        <v>0.1</v>
      </c>
      <c r="K808" s="2" t="n">
        <v>900</v>
      </c>
    </row>
    <row r="809" customFormat="false" ht="15" hidden="false" customHeight="false" outlineLevel="0" collapsed="false">
      <c r="A809" s="2" t="s">
        <v>1199</v>
      </c>
      <c r="B809" s="2" t="s">
        <v>1195</v>
      </c>
      <c r="C809" s="10" t="n">
        <v>45878</v>
      </c>
      <c r="D809" s="2" t="s">
        <v>77</v>
      </c>
      <c r="E809" s="2" t="s">
        <v>92</v>
      </c>
      <c r="F809" s="2" t="s">
        <v>73</v>
      </c>
      <c r="G809" s="2" t="s">
        <v>104</v>
      </c>
      <c r="H809" s="2"/>
      <c r="I809" s="2" t="n">
        <v>5500</v>
      </c>
      <c r="J809" s="2" t="n">
        <v>0.05</v>
      </c>
      <c r="K809" s="2" t="n">
        <v>3600</v>
      </c>
    </row>
    <row r="810" customFormat="false" ht="15" hidden="false" customHeight="false" outlineLevel="0" collapsed="false">
      <c r="A810" s="2" t="s">
        <v>1200</v>
      </c>
      <c r="B810" s="2" t="s">
        <v>1195</v>
      </c>
      <c r="C810" s="10" t="n">
        <v>45853</v>
      </c>
      <c r="D810" s="2" t="s">
        <v>77</v>
      </c>
      <c r="E810" s="2" t="s">
        <v>92</v>
      </c>
      <c r="F810" s="2" t="s">
        <v>73</v>
      </c>
      <c r="G810" s="2" t="s">
        <v>104</v>
      </c>
      <c r="H810" s="2" t="n">
        <v>6</v>
      </c>
      <c r="I810" s="2" t="n">
        <v>5500</v>
      </c>
      <c r="J810" s="2" t="n">
        <v>0.1</v>
      </c>
      <c r="K810" s="2" t="n">
        <v>3600</v>
      </c>
    </row>
    <row r="811" customFormat="false" ht="15" hidden="false" customHeight="false" outlineLevel="0" collapsed="false">
      <c r="A811" s="2" t="s">
        <v>1201</v>
      </c>
      <c r="B811" s="2" t="s">
        <v>1202</v>
      </c>
      <c r="C811" s="10" t="n">
        <v>45699</v>
      </c>
      <c r="D811" s="2" t="s">
        <v>77</v>
      </c>
      <c r="E811" s="2" t="s">
        <v>64</v>
      </c>
      <c r="F811" s="2" t="s">
        <v>70</v>
      </c>
      <c r="G811" s="2" t="s">
        <v>97</v>
      </c>
      <c r="H811" s="2" t="n">
        <v>1</v>
      </c>
      <c r="I811" s="2" t="n">
        <v>3000</v>
      </c>
      <c r="J811" s="2" t="n">
        <v>0.05</v>
      </c>
      <c r="K811" s="2" t="n">
        <v>2000</v>
      </c>
    </row>
    <row r="812" customFormat="false" ht="15" hidden="false" customHeight="false" outlineLevel="0" collapsed="false">
      <c r="A812" s="2" t="s">
        <v>1203</v>
      </c>
      <c r="B812" s="2" t="s">
        <v>1202</v>
      </c>
      <c r="C812" s="10" t="n">
        <v>45708</v>
      </c>
      <c r="D812" s="2" t="s">
        <v>77</v>
      </c>
      <c r="E812" s="2" t="s">
        <v>64</v>
      </c>
      <c r="F812" s="2" t="s">
        <v>70</v>
      </c>
      <c r="G812" s="2" t="s">
        <v>97</v>
      </c>
      <c r="H812" s="2" t="n">
        <v>2</v>
      </c>
      <c r="I812" s="2" t="n">
        <v>3000</v>
      </c>
      <c r="J812" s="2" t="n">
        <v>0</v>
      </c>
      <c r="K812" s="2" t="n">
        <v>2000</v>
      </c>
    </row>
    <row r="813" customFormat="false" ht="15" hidden="false" customHeight="false" outlineLevel="0" collapsed="false">
      <c r="A813" s="2" t="s">
        <v>1204</v>
      </c>
      <c r="B813" s="2" t="s">
        <v>1205</v>
      </c>
      <c r="C813" s="10" t="n">
        <v>45833</v>
      </c>
      <c r="D813" s="2" t="s">
        <v>63</v>
      </c>
      <c r="E813" s="2" t="s">
        <v>64</v>
      </c>
      <c r="F813" s="2" t="s">
        <v>73</v>
      </c>
      <c r="G813" s="2" t="s">
        <v>85</v>
      </c>
      <c r="H813" s="2" t="n">
        <v>3</v>
      </c>
      <c r="I813" s="2" t="n">
        <v>1200</v>
      </c>
      <c r="J813" s="2" t="n">
        <v>0</v>
      </c>
      <c r="K813" s="2" t="n">
        <v>600</v>
      </c>
    </row>
    <row r="814" customFormat="false" ht="15" hidden="false" customHeight="false" outlineLevel="0" collapsed="false">
      <c r="A814" s="2" t="s">
        <v>1206</v>
      </c>
      <c r="B814" s="2" t="s">
        <v>1205</v>
      </c>
      <c r="C814" s="10" t="n">
        <v>45916</v>
      </c>
      <c r="D814" s="2" t="s">
        <v>63</v>
      </c>
      <c r="E814" s="2" t="s">
        <v>64</v>
      </c>
      <c r="F814" s="2" t="s">
        <v>65</v>
      </c>
      <c r="G814" s="2" t="s">
        <v>66</v>
      </c>
      <c r="H814" s="2" t="n">
        <v>2</v>
      </c>
      <c r="I814" s="2" t="n">
        <v>600</v>
      </c>
      <c r="J814" s="2" t="n">
        <v>0.1</v>
      </c>
      <c r="K814" s="2" t="n">
        <v>300</v>
      </c>
    </row>
    <row r="815" customFormat="false" ht="15" hidden="false" customHeight="false" outlineLevel="0" collapsed="false">
      <c r="A815" s="2" t="s">
        <v>1207</v>
      </c>
      <c r="B815" s="2" t="s">
        <v>1208</v>
      </c>
      <c r="C815" s="10" t="n">
        <v>45789</v>
      </c>
      <c r="D815" s="2" t="s">
        <v>63</v>
      </c>
      <c r="E815" s="2" t="s">
        <v>64</v>
      </c>
      <c r="F815" s="2" t="s">
        <v>65</v>
      </c>
      <c r="G815" s="2" t="s">
        <v>107</v>
      </c>
      <c r="H815" s="2" t="n">
        <v>8</v>
      </c>
      <c r="I815" s="2" t="n">
        <v>500</v>
      </c>
      <c r="J815" s="2" t="n">
        <v>0.05</v>
      </c>
      <c r="K815" s="2" t="n">
        <v>250</v>
      </c>
    </row>
    <row r="816" customFormat="false" ht="15" hidden="false" customHeight="false" outlineLevel="0" collapsed="false">
      <c r="A816" s="2" t="s">
        <v>1209</v>
      </c>
      <c r="B816" s="2" t="s">
        <v>1210</v>
      </c>
      <c r="C816" s="10" t="n">
        <v>45909</v>
      </c>
      <c r="D816" s="2" t="s">
        <v>63</v>
      </c>
      <c r="E816" s="2" t="s">
        <v>92</v>
      </c>
      <c r="F816" s="2" t="s">
        <v>73</v>
      </c>
      <c r="G816" s="2" t="s">
        <v>85</v>
      </c>
      <c r="H816" s="2" t="n">
        <v>8</v>
      </c>
      <c r="I816" s="2" t="n">
        <v>1200</v>
      </c>
      <c r="J816" s="2" t="n">
        <v>0</v>
      </c>
      <c r="K816" s="2" t="n">
        <v>600</v>
      </c>
    </row>
    <row r="817" customFormat="false" ht="15" hidden="false" customHeight="false" outlineLevel="0" collapsed="false">
      <c r="A817" s="2" t="s">
        <v>1211</v>
      </c>
      <c r="B817" s="2" t="s">
        <v>1210</v>
      </c>
      <c r="C817" s="10" t="n">
        <v>45669</v>
      </c>
      <c r="D817" s="2" t="s">
        <v>63</v>
      </c>
      <c r="E817" s="2" t="s">
        <v>92</v>
      </c>
      <c r="F817" s="2" t="s">
        <v>73</v>
      </c>
      <c r="G817" s="2" t="s">
        <v>85</v>
      </c>
      <c r="H817" s="2" t="n">
        <v>6</v>
      </c>
      <c r="I817" s="2" t="n">
        <v>1200</v>
      </c>
      <c r="J817" s="2" t="n">
        <v>0.1</v>
      </c>
      <c r="K817" s="2" t="n">
        <v>600</v>
      </c>
    </row>
    <row r="818" customFormat="false" ht="15" hidden="false" customHeight="false" outlineLevel="0" collapsed="false">
      <c r="A818" s="2" t="s">
        <v>1212</v>
      </c>
      <c r="B818" s="2" t="s">
        <v>1210</v>
      </c>
      <c r="C818" s="10" t="n">
        <v>45986</v>
      </c>
      <c r="D818" s="2" t="s">
        <v>63</v>
      </c>
      <c r="E818" s="2" t="s">
        <v>92</v>
      </c>
      <c r="F818" s="2" t="s">
        <v>73</v>
      </c>
      <c r="G818" s="2" t="s">
        <v>104</v>
      </c>
      <c r="H818" s="2" t="n">
        <v>2</v>
      </c>
      <c r="I818" s="2" t="n">
        <v>5500</v>
      </c>
      <c r="J818" s="2" t="n">
        <v>0.05</v>
      </c>
      <c r="K818" s="2" t="n">
        <v>3600</v>
      </c>
    </row>
    <row r="819" customFormat="false" ht="15" hidden="false" customHeight="false" outlineLevel="0" collapsed="false">
      <c r="A819" s="2" t="s">
        <v>1213</v>
      </c>
      <c r="B819" s="2" t="s">
        <v>1210</v>
      </c>
      <c r="C819" s="10" t="n">
        <v>45737</v>
      </c>
      <c r="D819" s="2" t="s">
        <v>63</v>
      </c>
      <c r="E819" s="2" t="s">
        <v>92</v>
      </c>
      <c r="F819" s="2" t="s">
        <v>70</v>
      </c>
      <c r="G819" s="2" t="s">
        <v>97</v>
      </c>
      <c r="H819" s="2" t="n">
        <v>4</v>
      </c>
      <c r="I819" s="2" t="n">
        <v>3000</v>
      </c>
      <c r="J819" s="2" t="n">
        <v>0.05</v>
      </c>
      <c r="K819" s="2" t="n">
        <v>2000</v>
      </c>
    </row>
    <row r="820" customFormat="false" ht="15" hidden="false" customHeight="false" outlineLevel="0" collapsed="false">
      <c r="A820" s="2" t="s">
        <v>1214</v>
      </c>
      <c r="B820" s="2" t="s">
        <v>1210</v>
      </c>
      <c r="C820" s="10" t="n">
        <v>46004</v>
      </c>
      <c r="D820" s="2" t="s">
        <v>63</v>
      </c>
      <c r="E820" s="2" t="s">
        <v>92</v>
      </c>
      <c r="F820" s="2" t="s">
        <v>65</v>
      </c>
      <c r="G820" s="2" t="s">
        <v>82</v>
      </c>
      <c r="H820" s="2" t="n">
        <v>34</v>
      </c>
      <c r="I820" s="2" t="n">
        <v>250</v>
      </c>
      <c r="J820" s="2" t="n">
        <v>0.15</v>
      </c>
      <c r="K820" s="2" t="n">
        <v>100</v>
      </c>
    </row>
    <row r="821" customFormat="false" ht="15" hidden="false" customHeight="false" outlineLevel="0" collapsed="false">
      <c r="A821" s="2" t="s">
        <v>1215</v>
      </c>
      <c r="B821" s="2" t="s">
        <v>1216</v>
      </c>
      <c r="C821" s="10" t="n">
        <v>45912</v>
      </c>
      <c r="D821" s="2" t="s">
        <v>63</v>
      </c>
      <c r="E821" s="2" t="s">
        <v>69</v>
      </c>
      <c r="F821" s="2" t="s">
        <v>73</v>
      </c>
      <c r="G821" s="2" t="s">
        <v>104</v>
      </c>
      <c r="H821" s="2" t="n">
        <v>4</v>
      </c>
      <c r="I821" s="2" t="n">
        <v>5500</v>
      </c>
      <c r="J821" s="2" t="n">
        <v>0</v>
      </c>
      <c r="K821" s="2" t="n">
        <v>3600</v>
      </c>
    </row>
    <row r="822" customFormat="false" ht="15" hidden="false" customHeight="false" outlineLevel="0" collapsed="false">
      <c r="A822" s="2" t="s">
        <v>1217</v>
      </c>
      <c r="B822" s="2" t="s">
        <v>1216</v>
      </c>
      <c r="C822" s="10" t="n">
        <v>45761</v>
      </c>
      <c r="D822" s="2" t="s">
        <v>63</v>
      </c>
      <c r="E822" s="2" t="s">
        <v>69</v>
      </c>
      <c r="F822" s="2" t="s">
        <v>65</v>
      </c>
      <c r="G822" s="2" t="s">
        <v>82</v>
      </c>
      <c r="H822" s="2" t="n">
        <v>9</v>
      </c>
      <c r="I822" s="2" t="n">
        <v>250</v>
      </c>
      <c r="J822" s="2" t="n">
        <v>0.1</v>
      </c>
      <c r="K822" s="2" t="n">
        <v>100</v>
      </c>
    </row>
    <row r="823" customFormat="false" ht="15" hidden="false" customHeight="false" outlineLevel="0" collapsed="false">
      <c r="A823" s="2" t="s">
        <v>1218</v>
      </c>
      <c r="B823" s="2" t="s">
        <v>1219</v>
      </c>
      <c r="C823" s="10" t="n">
        <v>45975</v>
      </c>
      <c r="D823" s="2" t="s">
        <v>63</v>
      </c>
      <c r="E823" s="2" t="s">
        <v>69</v>
      </c>
      <c r="F823" s="2" t="s">
        <v>65</v>
      </c>
      <c r="G823" s="2" t="s">
        <v>66</v>
      </c>
      <c r="H823" s="2" t="n">
        <v>11</v>
      </c>
      <c r="I823" s="2" t="n">
        <v>600</v>
      </c>
      <c r="J823" s="2" t="n">
        <v>0.05</v>
      </c>
      <c r="K823" s="2" t="n">
        <v>300</v>
      </c>
    </row>
    <row r="824" customFormat="false" ht="15" hidden="false" customHeight="false" outlineLevel="0" collapsed="false">
      <c r="A824" s="2" t="s">
        <v>1220</v>
      </c>
      <c r="B824" s="2" t="s">
        <v>1221</v>
      </c>
      <c r="C824" s="10" t="n">
        <v>45799</v>
      </c>
      <c r="D824" s="2" t="s">
        <v>63</v>
      </c>
      <c r="E824" s="2" t="s">
        <v>64</v>
      </c>
      <c r="F824" s="2" t="s">
        <v>73</v>
      </c>
      <c r="G824" s="2" t="s">
        <v>74</v>
      </c>
      <c r="H824" s="2" t="n">
        <v>3</v>
      </c>
      <c r="I824" s="2" t="n">
        <v>7000</v>
      </c>
      <c r="J824" s="2" t="n">
        <v>0.1</v>
      </c>
      <c r="K824" s="2" t="n">
        <v>4800</v>
      </c>
    </row>
    <row r="825" customFormat="false" ht="15" hidden="false" customHeight="false" outlineLevel="0" collapsed="false">
      <c r="A825" s="2" t="s">
        <v>1222</v>
      </c>
      <c r="B825" s="2" t="s">
        <v>1223</v>
      </c>
      <c r="C825" s="10" t="n">
        <v>45766</v>
      </c>
      <c r="D825" s="2" t="s">
        <v>63</v>
      </c>
      <c r="E825" s="2" t="s">
        <v>69</v>
      </c>
      <c r="F825" s="2" t="s">
        <v>73</v>
      </c>
      <c r="G825" s="2" t="s">
        <v>87</v>
      </c>
      <c r="H825" s="2" t="n">
        <v>4</v>
      </c>
      <c r="I825" s="2" t="n">
        <v>9000</v>
      </c>
      <c r="J825" s="2" t="n">
        <v>0</v>
      </c>
      <c r="K825" s="2" t="n">
        <v>6200</v>
      </c>
    </row>
    <row r="826" customFormat="false" ht="15" hidden="false" customHeight="false" outlineLevel="0" collapsed="false">
      <c r="A826" s="2" t="s">
        <v>1224</v>
      </c>
      <c r="B826" s="2" t="s">
        <v>1223</v>
      </c>
      <c r="C826" s="10" t="n">
        <v>45952</v>
      </c>
      <c r="D826" s="2" t="s">
        <v>63</v>
      </c>
      <c r="E826" s="2" t="s">
        <v>69</v>
      </c>
      <c r="F826" s="2" t="s">
        <v>70</v>
      </c>
      <c r="G826" s="2" t="s">
        <v>122</v>
      </c>
      <c r="H826" s="2" t="n">
        <v>2</v>
      </c>
      <c r="I826" s="2" t="n">
        <v>1500</v>
      </c>
      <c r="J826" s="2" t="n">
        <v>0.05</v>
      </c>
      <c r="K826" s="2" t="n">
        <v>900</v>
      </c>
    </row>
    <row r="827" customFormat="false" ht="15" hidden="false" customHeight="false" outlineLevel="0" collapsed="false">
      <c r="A827" s="2" t="s">
        <v>1225</v>
      </c>
      <c r="B827" s="2" t="s">
        <v>1223</v>
      </c>
      <c r="C827" s="10" t="n">
        <v>45718</v>
      </c>
      <c r="D827" s="2" t="s">
        <v>63</v>
      </c>
      <c r="E827" s="2" t="s">
        <v>69</v>
      </c>
      <c r="F827" s="2" t="s">
        <v>65</v>
      </c>
      <c r="G827" s="2" t="s">
        <v>82</v>
      </c>
      <c r="H827" s="2" t="n">
        <v>8</v>
      </c>
      <c r="I827" s="2" t="n">
        <v>250</v>
      </c>
      <c r="J827" s="2" t="n">
        <v>0</v>
      </c>
      <c r="K827" s="2" t="n">
        <v>100</v>
      </c>
    </row>
    <row r="828" customFormat="false" ht="15" hidden="false" customHeight="false" outlineLevel="0" collapsed="false">
      <c r="A828" s="2" t="s">
        <v>1226</v>
      </c>
      <c r="B828" s="2" t="s">
        <v>1227</v>
      </c>
      <c r="C828" s="10" t="n">
        <v>45828</v>
      </c>
      <c r="D828" s="2" t="s">
        <v>77</v>
      </c>
      <c r="E828" s="2" t="s">
        <v>69</v>
      </c>
      <c r="F828" s="2" t="s">
        <v>73</v>
      </c>
      <c r="G828" s="2" t="s">
        <v>85</v>
      </c>
      <c r="H828" s="2" t="n">
        <v>2</v>
      </c>
      <c r="I828" s="2" t="n">
        <v>1200</v>
      </c>
      <c r="J828" s="2" t="n">
        <v>0.05</v>
      </c>
      <c r="K828" s="2" t="n">
        <v>600</v>
      </c>
    </row>
    <row r="829" customFormat="false" ht="15" hidden="false" customHeight="false" outlineLevel="0" collapsed="false">
      <c r="A829" s="2" t="s">
        <v>1228</v>
      </c>
      <c r="B829" s="2" t="s">
        <v>1229</v>
      </c>
      <c r="C829" s="10" t="n">
        <v>45920</v>
      </c>
      <c r="D829" s="2" t="s">
        <v>63</v>
      </c>
      <c r="E829" s="2" t="s">
        <v>69</v>
      </c>
      <c r="F829" s="2" t="s">
        <v>65</v>
      </c>
      <c r="G829" s="2" t="s">
        <v>66</v>
      </c>
      <c r="H829" s="2" t="n">
        <v>7</v>
      </c>
      <c r="I829" s="2" t="n">
        <v>600</v>
      </c>
      <c r="J829" s="2" t="n">
        <v>0.1</v>
      </c>
      <c r="K829" s="2" t="n">
        <v>300</v>
      </c>
    </row>
    <row r="830" customFormat="false" ht="15" hidden="false" customHeight="false" outlineLevel="0" collapsed="false">
      <c r="A830" s="2" t="s">
        <v>1230</v>
      </c>
      <c r="B830" s="2" t="s">
        <v>1231</v>
      </c>
      <c r="C830" s="10" t="n">
        <v>45934</v>
      </c>
      <c r="D830" s="2" t="s">
        <v>81</v>
      </c>
      <c r="E830" s="2" t="s">
        <v>69</v>
      </c>
      <c r="F830" s="2" t="s">
        <v>70</v>
      </c>
      <c r="G830" s="2" t="s">
        <v>122</v>
      </c>
      <c r="H830" s="2" t="n">
        <v>2</v>
      </c>
      <c r="I830" s="2" t="n">
        <v>1500</v>
      </c>
      <c r="J830" s="2" t="n">
        <v>0.05</v>
      </c>
      <c r="K830" s="2" t="n">
        <v>900</v>
      </c>
    </row>
    <row r="831" customFormat="false" ht="15" hidden="false" customHeight="false" outlineLevel="0" collapsed="false">
      <c r="A831" s="2" t="s">
        <v>1232</v>
      </c>
      <c r="B831" s="2" t="s">
        <v>1233</v>
      </c>
      <c r="C831" s="10" t="n">
        <v>45912</v>
      </c>
      <c r="D831" s="2" t="s">
        <v>77</v>
      </c>
      <c r="E831" s="2" t="s">
        <v>64</v>
      </c>
      <c r="F831" s="2" t="s">
        <v>70</v>
      </c>
      <c r="G831" s="2" t="s">
        <v>122</v>
      </c>
      <c r="H831" s="2" t="n">
        <v>3</v>
      </c>
      <c r="I831" s="2" t="n">
        <v>1500</v>
      </c>
      <c r="J831" s="2" t="n">
        <v>0</v>
      </c>
      <c r="K831" s="2" t="n">
        <v>900</v>
      </c>
    </row>
    <row r="832" customFormat="false" ht="15" hidden="false" customHeight="false" outlineLevel="0" collapsed="false">
      <c r="A832" s="2" t="s">
        <v>1234</v>
      </c>
      <c r="B832" s="2" t="s">
        <v>1233</v>
      </c>
      <c r="C832" s="10" t="n">
        <v>45968</v>
      </c>
      <c r="D832" s="2" t="s">
        <v>77</v>
      </c>
      <c r="E832" s="2" t="s">
        <v>64</v>
      </c>
      <c r="F832" s="2" t="s">
        <v>65</v>
      </c>
      <c r="G832" s="2" t="s">
        <v>78</v>
      </c>
      <c r="H832" s="2" t="n">
        <v>7</v>
      </c>
      <c r="I832" s="2" t="n">
        <v>400</v>
      </c>
      <c r="J832" s="2" t="n">
        <v>0.05</v>
      </c>
      <c r="K832" s="2" t="n">
        <v>200</v>
      </c>
    </row>
    <row r="833" customFormat="false" ht="15" hidden="false" customHeight="false" outlineLevel="0" collapsed="false">
      <c r="A833" s="2" t="s">
        <v>1235</v>
      </c>
      <c r="B833" s="2" t="s">
        <v>1233</v>
      </c>
      <c r="C833" s="10" t="n">
        <v>46008</v>
      </c>
      <c r="D833" s="2" t="s">
        <v>77</v>
      </c>
      <c r="E833" s="2" t="s">
        <v>64</v>
      </c>
      <c r="F833" s="2" t="s">
        <v>70</v>
      </c>
      <c r="G833" s="2" t="s">
        <v>71</v>
      </c>
      <c r="H833" s="2" t="n">
        <v>2</v>
      </c>
      <c r="I833" s="2" t="n">
        <v>2500</v>
      </c>
      <c r="J833" s="2" t="n">
        <v>0.05</v>
      </c>
      <c r="K833" s="2" t="n">
        <v>1600</v>
      </c>
    </row>
    <row r="834" customFormat="false" ht="15" hidden="false" customHeight="false" outlineLevel="0" collapsed="false">
      <c r="A834" s="2" t="s">
        <v>1236</v>
      </c>
      <c r="B834" s="2" t="s">
        <v>1237</v>
      </c>
      <c r="C834" s="10" t="n">
        <v>45835</v>
      </c>
      <c r="D834" s="2" t="s">
        <v>63</v>
      </c>
      <c r="E834" s="2" t="s">
        <v>64</v>
      </c>
      <c r="F834" s="2" t="s">
        <v>65</v>
      </c>
      <c r="G834" s="2" t="s">
        <v>78</v>
      </c>
      <c r="H834" s="2" t="n">
        <v>5</v>
      </c>
      <c r="I834" s="2" t="n">
        <v>400</v>
      </c>
      <c r="J834" s="2" t="n">
        <v>0.1</v>
      </c>
      <c r="K834" s="2" t="n">
        <v>200</v>
      </c>
    </row>
    <row r="835" customFormat="false" ht="15" hidden="false" customHeight="false" outlineLevel="0" collapsed="false">
      <c r="A835" s="2" t="s">
        <v>1238</v>
      </c>
      <c r="B835" s="2" t="s">
        <v>1239</v>
      </c>
      <c r="C835" s="10" t="n">
        <v>45829</v>
      </c>
      <c r="D835" s="2" t="s">
        <v>81</v>
      </c>
      <c r="E835" s="2" t="s">
        <v>64</v>
      </c>
      <c r="F835" s="2" t="s">
        <v>70</v>
      </c>
      <c r="G835" s="2" t="s">
        <v>97</v>
      </c>
      <c r="H835" s="2" t="n">
        <v>1</v>
      </c>
      <c r="I835" s="2" t="n">
        <v>3000</v>
      </c>
      <c r="J835" s="2" t="n">
        <v>0</v>
      </c>
      <c r="K835" s="2" t="n">
        <v>2000</v>
      </c>
    </row>
    <row r="836" customFormat="false" ht="15" hidden="false" customHeight="false" outlineLevel="0" collapsed="false">
      <c r="A836" s="2" t="s">
        <v>1240</v>
      </c>
      <c r="B836" s="2" t="s">
        <v>1241</v>
      </c>
      <c r="C836" s="10" t="n">
        <v>45926</v>
      </c>
      <c r="D836" s="2" t="s">
        <v>81</v>
      </c>
      <c r="E836" s="2" t="s">
        <v>64</v>
      </c>
      <c r="F836" s="2" t="s">
        <v>65</v>
      </c>
      <c r="G836" s="2" t="s">
        <v>66</v>
      </c>
      <c r="H836" s="2" t="n">
        <v>4</v>
      </c>
      <c r="I836" s="2" t="n">
        <v>600</v>
      </c>
      <c r="J836" s="2" t="n">
        <v>0.1</v>
      </c>
      <c r="K836" s="2" t="n">
        <v>300</v>
      </c>
    </row>
    <row r="837" customFormat="false" ht="15" hidden="false" customHeight="false" outlineLevel="0" collapsed="false">
      <c r="A837" s="2" t="s">
        <v>1242</v>
      </c>
      <c r="B837" s="2" t="s">
        <v>1243</v>
      </c>
      <c r="C837" s="10" t="n">
        <v>45658</v>
      </c>
      <c r="D837" s="2" t="s">
        <v>77</v>
      </c>
      <c r="E837" s="2" t="s">
        <v>69</v>
      </c>
      <c r="F837" s="2" t="s">
        <v>65</v>
      </c>
      <c r="G837" s="2" t="s">
        <v>82</v>
      </c>
      <c r="H837" s="2" t="n">
        <v>5</v>
      </c>
      <c r="I837" s="2" t="n">
        <v>250</v>
      </c>
      <c r="J837" s="2" t="n">
        <v>0</v>
      </c>
      <c r="K837" s="2" t="n">
        <v>100</v>
      </c>
    </row>
    <row r="838" customFormat="false" ht="15" hidden="false" customHeight="false" outlineLevel="0" collapsed="false">
      <c r="A838" s="2" t="s">
        <v>1244</v>
      </c>
      <c r="B838" s="2" t="s">
        <v>1243</v>
      </c>
      <c r="C838" s="10" t="n">
        <v>45985</v>
      </c>
      <c r="D838" s="2" t="s">
        <v>77</v>
      </c>
      <c r="E838" s="2" t="s">
        <v>69</v>
      </c>
      <c r="F838" s="2" t="s">
        <v>65</v>
      </c>
      <c r="G838" s="2" t="s">
        <v>66</v>
      </c>
      <c r="H838" s="2" t="n">
        <v>16</v>
      </c>
      <c r="I838" s="2" t="n">
        <v>600</v>
      </c>
      <c r="J838" s="2" t="n">
        <v>0.05</v>
      </c>
      <c r="K838" s="2" t="n">
        <v>300</v>
      </c>
    </row>
    <row r="839" customFormat="false" ht="15" hidden="false" customHeight="false" outlineLevel="0" collapsed="false">
      <c r="A839" s="2" t="s">
        <v>1245</v>
      </c>
      <c r="B839" s="2" t="s">
        <v>1243</v>
      </c>
      <c r="C839" s="10" t="n">
        <v>45705</v>
      </c>
      <c r="D839" s="2" t="s">
        <v>77</v>
      </c>
      <c r="E839" s="2" t="s">
        <v>69</v>
      </c>
      <c r="F839" s="2" t="s">
        <v>65</v>
      </c>
      <c r="G839" s="2" t="s">
        <v>78</v>
      </c>
      <c r="H839" s="2" t="n">
        <v>8</v>
      </c>
      <c r="I839" s="2" t="n">
        <v>400</v>
      </c>
      <c r="J839" s="2" t="n">
        <v>0.05</v>
      </c>
      <c r="K839" s="2" t="n">
        <v>200</v>
      </c>
    </row>
    <row r="840" customFormat="false" ht="15" hidden="false" customHeight="false" outlineLevel="0" collapsed="false">
      <c r="A840" s="2" t="s">
        <v>1246</v>
      </c>
      <c r="B840" s="2" t="s">
        <v>1247</v>
      </c>
      <c r="C840" s="10" t="n">
        <v>45706</v>
      </c>
      <c r="D840" s="2" t="s">
        <v>63</v>
      </c>
      <c r="E840" s="2" t="s">
        <v>64</v>
      </c>
      <c r="F840" s="2" t="s">
        <v>73</v>
      </c>
      <c r="G840" s="2" t="s">
        <v>85</v>
      </c>
      <c r="H840" s="2" t="n">
        <v>1</v>
      </c>
      <c r="I840" s="2" t="n">
        <v>1200</v>
      </c>
      <c r="J840" s="2" t="n">
        <v>0</v>
      </c>
      <c r="K840" s="2" t="n">
        <v>600</v>
      </c>
    </row>
    <row r="841" customFormat="false" ht="15" hidden="false" customHeight="false" outlineLevel="0" collapsed="false">
      <c r="A841" s="2" t="s">
        <v>1248</v>
      </c>
      <c r="B841" s="2" t="s">
        <v>1249</v>
      </c>
      <c r="C841" s="10" t="n">
        <v>45796</v>
      </c>
      <c r="D841" s="2" t="s">
        <v>81</v>
      </c>
      <c r="E841" s="2" t="s">
        <v>69</v>
      </c>
      <c r="F841" s="2" t="s">
        <v>73</v>
      </c>
      <c r="G841" s="2" t="s">
        <v>104</v>
      </c>
      <c r="H841" s="2" t="n">
        <v>3</v>
      </c>
      <c r="I841" s="2" t="n">
        <v>5500</v>
      </c>
      <c r="J841" s="2" t="n">
        <v>0.05</v>
      </c>
      <c r="K841" s="2" t="n">
        <v>3600</v>
      </c>
    </row>
    <row r="842" customFormat="false" ht="15" hidden="false" customHeight="false" outlineLevel="0" collapsed="false">
      <c r="A842" s="2" t="s">
        <v>1250</v>
      </c>
      <c r="B842" s="2" t="s">
        <v>1249</v>
      </c>
      <c r="C842" s="10" t="n">
        <v>45884</v>
      </c>
      <c r="D842" s="2" t="s">
        <v>81</v>
      </c>
      <c r="E842" s="2" t="s">
        <v>69</v>
      </c>
      <c r="F842" s="2" t="s">
        <v>65</v>
      </c>
      <c r="G842" s="2" t="s">
        <v>82</v>
      </c>
      <c r="H842" s="2" t="n">
        <v>19</v>
      </c>
      <c r="I842" s="2" t="n">
        <v>250</v>
      </c>
      <c r="J842" s="2" t="n">
        <v>0.1</v>
      </c>
      <c r="K842" s="2" t="n">
        <v>100</v>
      </c>
    </row>
    <row r="843" customFormat="false" ht="15" hidden="false" customHeight="false" outlineLevel="0" collapsed="false">
      <c r="A843" s="2" t="s">
        <v>1251</v>
      </c>
      <c r="B843" s="2" t="s">
        <v>1252</v>
      </c>
      <c r="C843" s="10" t="n">
        <v>45670</v>
      </c>
      <c r="D843" s="2" t="s">
        <v>81</v>
      </c>
      <c r="E843" s="2" t="s">
        <v>64</v>
      </c>
      <c r="F843" s="2" t="s">
        <v>70</v>
      </c>
      <c r="G843" s="2" t="s">
        <v>126</v>
      </c>
      <c r="H843" s="2" t="n">
        <v>2</v>
      </c>
      <c r="I843" s="2" t="n">
        <v>4500</v>
      </c>
      <c r="J843" s="2" t="n">
        <v>0</v>
      </c>
      <c r="K843" s="2" t="n">
        <v>3300</v>
      </c>
    </row>
    <row r="844" customFormat="false" ht="15" hidden="false" customHeight="false" outlineLevel="0" collapsed="false">
      <c r="A844" s="2" t="s">
        <v>1253</v>
      </c>
      <c r="B844" s="2" t="s">
        <v>1252</v>
      </c>
      <c r="C844" s="10" t="n">
        <v>45658</v>
      </c>
      <c r="D844" s="2" t="s">
        <v>81</v>
      </c>
      <c r="E844" s="2" t="s">
        <v>64</v>
      </c>
      <c r="F844" s="2" t="s">
        <v>73</v>
      </c>
      <c r="G844" s="2" t="s">
        <v>87</v>
      </c>
      <c r="H844" s="2" t="n">
        <v>2</v>
      </c>
      <c r="I844" s="2" t="n">
        <v>9000</v>
      </c>
      <c r="J844" s="2" t="n">
        <v>0.1</v>
      </c>
      <c r="K844" s="2" t="n">
        <v>6200</v>
      </c>
    </row>
    <row r="845" customFormat="false" ht="15" hidden="false" customHeight="false" outlineLevel="0" collapsed="false">
      <c r="A845" s="2" t="s">
        <v>1254</v>
      </c>
      <c r="B845" s="2" t="s">
        <v>1255</v>
      </c>
      <c r="C845" s="10" t="n">
        <v>45815</v>
      </c>
      <c r="D845" s="2" t="s">
        <v>91</v>
      </c>
      <c r="E845" s="2" t="s">
        <v>69</v>
      </c>
      <c r="F845" s="2" t="s">
        <v>70</v>
      </c>
      <c r="G845" s="2" t="s">
        <v>97</v>
      </c>
      <c r="H845" s="2" t="n">
        <v>2</v>
      </c>
      <c r="I845" s="2" t="n">
        <v>3000</v>
      </c>
      <c r="J845" s="2" t="n">
        <v>0</v>
      </c>
      <c r="K845" s="2" t="n">
        <v>2000</v>
      </c>
    </row>
    <row r="846" customFormat="false" ht="15" hidden="false" customHeight="false" outlineLevel="0" collapsed="false">
      <c r="A846" s="2" t="s">
        <v>1256</v>
      </c>
      <c r="B846" s="2" t="s">
        <v>1257</v>
      </c>
      <c r="C846" s="10" t="n">
        <v>45893</v>
      </c>
      <c r="D846" s="2" t="s">
        <v>81</v>
      </c>
      <c r="E846" s="2" t="s">
        <v>64</v>
      </c>
      <c r="F846" s="2" t="s">
        <v>70</v>
      </c>
      <c r="G846" s="2" t="s">
        <v>122</v>
      </c>
      <c r="H846" s="2" t="n">
        <v>3</v>
      </c>
      <c r="I846" s="2" t="n">
        <v>1500</v>
      </c>
      <c r="J846" s="2" t="n">
        <v>0.1</v>
      </c>
      <c r="K846" s="2" t="n">
        <v>900</v>
      </c>
    </row>
    <row r="847" customFormat="false" ht="15" hidden="false" customHeight="false" outlineLevel="0" collapsed="false">
      <c r="A847" s="2" t="s">
        <v>1258</v>
      </c>
      <c r="B847" s="2" t="s">
        <v>1259</v>
      </c>
      <c r="C847" s="10" t="n">
        <v>45962</v>
      </c>
      <c r="D847" s="2" t="s">
        <v>77</v>
      </c>
      <c r="E847" s="2" t="s">
        <v>64</v>
      </c>
      <c r="F847" s="2" t="s">
        <v>70</v>
      </c>
      <c r="G847" s="2" t="s">
        <v>71</v>
      </c>
      <c r="H847" s="2" t="n">
        <v>1</v>
      </c>
      <c r="I847" s="2" t="n">
        <v>2500</v>
      </c>
      <c r="J847" s="2" t="n">
        <v>0.1</v>
      </c>
      <c r="K847" s="2" t="n">
        <v>1600</v>
      </c>
    </row>
    <row r="848" customFormat="false" ht="15" hidden="false" customHeight="false" outlineLevel="0" collapsed="false">
      <c r="A848" s="2" t="s">
        <v>1260</v>
      </c>
      <c r="B848" s="2" t="s">
        <v>1259</v>
      </c>
      <c r="C848" s="10" t="n">
        <v>45735</v>
      </c>
      <c r="D848" s="2" t="s">
        <v>77</v>
      </c>
      <c r="E848" s="2" t="s">
        <v>64</v>
      </c>
      <c r="F848" s="2" t="s">
        <v>73</v>
      </c>
      <c r="G848" s="2" t="s">
        <v>104</v>
      </c>
      <c r="H848" s="2" t="n">
        <v>3</v>
      </c>
      <c r="I848" s="2" t="n">
        <v>5500</v>
      </c>
      <c r="J848" s="2" t="n">
        <v>0</v>
      </c>
      <c r="K848" s="2" t="n">
        <v>3600</v>
      </c>
    </row>
    <row r="849" customFormat="false" ht="15" hidden="false" customHeight="false" outlineLevel="0" collapsed="false">
      <c r="A849" s="2" t="s">
        <v>1261</v>
      </c>
      <c r="B849" s="2" t="s">
        <v>1262</v>
      </c>
      <c r="C849" s="10" t="n">
        <v>45985</v>
      </c>
      <c r="D849" s="2" t="s">
        <v>77</v>
      </c>
      <c r="E849" s="2" t="s">
        <v>64</v>
      </c>
      <c r="F849" s="2" t="s">
        <v>73</v>
      </c>
      <c r="G849" s="2" t="s">
        <v>104</v>
      </c>
      <c r="H849" s="2" t="n">
        <v>2</v>
      </c>
      <c r="I849" s="2" t="n">
        <v>5500</v>
      </c>
      <c r="J849" s="2" t="n">
        <v>0.05</v>
      </c>
      <c r="K849" s="2" t="n">
        <v>3600</v>
      </c>
    </row>
    <row r="850" customFormat="false" ht="15" hidden="false" customHeight="false" outlineLevel="0" collapsed="false">
      <c r="A850" s="2" t="s">
        <v>1263</v>
      </c>
      <c r="B850" s="2" t="s">
        <v>1264</v>
      </c>
      <c r="C850" s="10" t="n">
        <v>45956</v>
      </c>
      <c r="D850" s="2" t="s">
        <v>63</v>
      </c>
      <c r="E850" s="2" t="s">
        <v>64</v>
      </c>
      <c r="F850" s="2" t="s">
        <v>70</v>
      </c>
      <c r="G850" s="2" t="s">
        <v>126</v>
      </c>
      <c r="H850" s="2" t="n">
        <v>3</v>
      </c>
      <c r="I850" s="2" t="n">
        <v>4500</v>
      </c>
      <c r="J850" s="2" t="n">
        <v>0.05</v>
      </c>
      <c r="K850" s="2" t="n">
        <v>3300</v>
      </c>
    </row>
    <row r="851" customFormat="false" ht="15" hidden="false" customHeight="false" outlineLevel="0" collapsed="false">
      <c r="A851" s="2" t="s">
        <v>1265</v>
      </c>
      <c r="B851" s="2" t="s">
        <v>1266</v>
      </c>
      <c r="C851" s="10" t="n">
        <v>45759</v>
      </c>
      <c r="D851" s="2" t="s">
        <v>63</v>
      </c>
      <c r="E851" s="2" t="s">
        <v>92</v>
      </c>
      <c r="F851" s="2" t="s">
        <v>73</v>
      </c>
      <c r="G851" s="2" t="s">
        <v>85</v>
      </c>
      <c r="H851" s="2" t="n">
        <v>2</v>
      </c>
      <c r="I851" s="2" t="n">
        <v>1200</v>
      </c>
      <c r="J851" s="2" t="n">
        <v>0.05</v>
      </c>
      <c r="K851" s="2" t="n">
        <v>600</v>
      </c>
    </row>
    <row r="852" customFormat="false" ht="15" hidden="false" customHeight="false" outlineLevel="0" collapsed="false">
      <c r="A852" s="2" t="s">
        <v>1267</v>
      </c>
      <c r="B852" s="2" t="s">
        <v>1266</v>
      </c>
      <c r="C852" s="10" t="n">
        <v>45916</v>
      </c>
      <c r="D852" s="2" t="s">
        <v>63</v>
      </c>
      <c r="E852" s="2" t="s">
        <v>92</v>
      </c>
      <c r="F852" s="2" t="s">
        <v>73</v>
      </c>
      <c r="G852" s="2" t="s">
        <v>85</v>
      </c>
      <c r="H852" s="2" t="n">
        <v>4</v>
      </c>
      <c r="I852" s="2" t="n">
        <v>1200</v>
      </c>
      <c r="J852" s="2" t="n">
        <v>0.1</v>
      </c>
      <c r="K852" s="2" t="n">
        <v>600</v>
      </c>
    </row>
    <row r="853" customFormat="false" ht="15" hidden="false" customHeight="false" outlineLevel="0" collapsed="false">
      <c r="A853" s="2" t="s">
        <v>1268</v>
      </c>
      <c r="B853" s="2" t="s">
        <v>1269</v>
      </c>
      <c r="C853" s="10" t="n">
        <v>45786</v>
      </c>
      <c r="D853" s="2" t="s">
        <v>91</v>
      </c>
      <c r="E853" s="2" t="s">
        <v>64</v>
      </c>
      <c r="F853" s="2" t="s">
        <v>65</v>
      </c>
      <c r="G853" s="2" t="s">
        <v>82</v>
      </c>
      <c r="H853" s="2" t="n">
        <v>8</v>
      </c>
      <c r="I853" s="2" t="n">
        <v>250</v>
      </c>
      <c r="J853" s="2" t="n">
        <v>0.1</v>
      </c>
      <c r="K853" s="2" t="n">
        <v>100</v>
      </c>
    </row>
    <row r="854" customFormat="false" ht="15" hidden="false" customHeight="false" outlineLevel="0" collapsed="false">
      <c r="A854" s="2" t="s">
        <v>1270</v>
      </c>
      <c r="B854" s="2" t="s">
        <v>1271</v>
      </c>
      <c r="C854" s="10" t="n">
        <v>45815</v>
      </c>
      <c r="D854" s="2" t="s">
        <v>77</v>
      </c>
      <c r="E854" s="2" t="s">
        <v>92</v>
      </c>
      <c r="F854" s="2" t="s">
        <v>65</v>
      </c>
      <c r="G854" s="2" t="s">
        <v>107</v>
      </c>
      <c r="H854" s="2" t="n">
        <v>18</v>
      </c>
      <c r="I854" s="2" t="n">
        <v>500</v>
      </c>
      <c r="J854" s="2" t="n">
        <v>0</v>
      </c>
      <c r="K854" s="2" t="n">
        <v>250</v>
      </c>
    </row>
    <row r="855" customFormat="false" ht="15" hidden="false" customHeight="false" outlineLevel="0" collapsed="false">
      <c r="A855" s="2" t="s">
        <v>1272</v>
      </c>
      <c r="B855" s="2" t="s">
        <v>1271</v>
      </c>
      <c r="C855" s="10" t="n">
        <v>45814</v>
      </c>
      <c r="D855" s="2" t="s">
        <v>77</v>
      </c>
      <c r="E855" s="2" t="s">
        <v>92</v>
      </c>
      <c r="F855" s="2" t="s">
        <v>73</v>
      </c>
      <c r="G855" s="2" t="s">
        <v>104</v>
      </c>
      <c r="H855" s="2" t="n">
        <v>8</v>
      </c>
      <c r="I855" s="2" t="n">
        <v>5500</v>
      </c>
      <c r="J855" s="2" t="n">
        <v>0.15</v>
      </c>
      <c r="K855" s="2" t="n">
        <v>3600</v>
      </c>
    </row>
    <row r="856" customFormat="false" ht="15" hidden="false" customHeight="false" outlineLevel="0" collapsed="false">
      <c r="A856" s="2" t="s">
        <v>1273</v>
      </c>
      <c r="B856" s="2" t="s">
        <v>1271</v>
      </c>
      <c r="C856" s="10" t="n">
        <v>45998</v>
      </c>
      <c r="D856" s="2" t="s">
        <v>77</v>
      </c>
      <c r="E856" s="2" t="s">
        <v>92</v>
      </c>
      <c r="F856" s="2" t="s">
        <v>73</v>
      </c>
      <c r="G856" s="2" t="s">
        <v>85</v>
      </c>
      <c r="H856" s="2" t="n">
        <v>2</v>
      </c>
      <c r="I856" s="2" t="n">
        <v>1200</v>
      </c>
      <c r="J856" s="2" t="n">
        <v>0.05</v>
      </c>
      <c r="K856" s="2" t="n">
        <v>600</v>
      </c>
    </row>
    <row r="857" customFormat="false" ht="15" hidden="false" customHeight="false" outlineLevel="0" collapsed="false">
      <c r="A857" s="2" t="s">
        <v>1274</v>
      </c>
      <c r="B857" s="2" t="s">
        <v>1271</v>
      </c>
      <c r="C857" s="10" t="n">
        <v>45976</v>
      </c>
      <c r="D857" s="2" t="s">
        <v>77</v>
      </c>
      <c r="E857" s="2" t="s">
        <v>92</v>
      </c>
      <c r="F857" s="2" t="s">
        <v>65</v>
      </c>
      <c r="G857" s="2" t="s">
        <v>107</v>
      </c>
      <c r="H857" s="2" t="n">
        <v>36</v>
      </c>
      <c r="I857" s="2" t="n">
        <v>500</v>
      </c>
      <c r="J857" s="2" t="n">
        <v>0.05</v>
      </c>
      <c r="K857" s="2" t="n">
        <v>250</v>
      </c>
    </row>
    <row r="858" customFormat="false" ht="15" hidden="false" customHeight="false" outlineLevel="0" collapsed="false">
      <c r="A858" s="2" t="s">
        <v>1275</v>
      </c>
      <c r="B858" s="2" t="s">
        <v>1276</v>
      </c>
      <c r="C858" s="10" t="n">
        <v>45928</v>
      </c>
      <c r="D858" s="2" t="s">
        <v>77</v>
      </c>
      <c r="E858" s="2" t="s">
        <v>64</v>
      </c>
      <c r="F858" s="2" t="s">
        <v>70</v>
      </c>
      <c r="G858" s="2" t="s">
        <v>71</v>
      </c>
      <c r="H858" s="2" t="n">
        <v>1</v>
      </c>
      <c r="I858" s="2" t="n">
        <v>2500</v>
      </c>
      <c r="J858" s="2" t="n">
        <v>0</v>
      </c>
      <c r="K858" s="2" t="n">
        <v>1600</v>
      </c>
    </row>
    <row r="859" customFormat="false" ht="15" hidden="false" customHeight="false" outlineLevel="0" collapsed="false">
      <c r="A859" s="2" t="s">
        <v>1277</v>
      </c>
      <c r="B859" s="2" t="s">
        <v>1278</v>
      </c>
      <c r="C859" s="10" t="n">
        <v>45854</v>
      </c>
      <c r="D859" s="2" t="s">
        <v>63</v>
      </c>
      <c r="E859" s="2" t="s">
        <v>64</v>
      </c>
      <c r="F859" s="2" t="s">
        <v>73</v>
      </c>
      <c r="G859" s="2" t="s">
        <v>104</v>
      </c>
      <c r="H859" s="2" t="n">
        <v>2</v>
      </c>
      <c r="I859" s="2" t="n">
        <v>5500</v>
      </c>
      <c r="J859" s="2" t="n">
        <v>0.05</v>
      </c>
      <c r="K859" s="2" t="n">
        <v>3600</v>
      </c>
    </row>
    <row r="860" customFormat="false" ht="15" hidden="false" customHeight="false" outlineLevel="0" collapsed="false">
      <c r="A860" s="2" t="s">
        <v>1279</v>
      </c>
      <c r="B860" s="2" t="s">
        <v>1280</v>
      </c>
      <c r="C860" s="10" t="n">
        <v>45882</v>
      </c>
      <c r="D860" s="2" t="s">
        <v>77</v>
      </c>
      <c r="E860" s="2" t="s">
        <v>69</v>
      </c>
      <c r="F860" s="2" t="s">
        <v>65</v>
      </c>
      <c r="G860" s="2" t="s">
        <v>82</v>
      </c>
      <c r="H860" s="2" t="n">
        <v>12</v>
      </c>
      <c r="I860" s="2" t="n">
        <v>250</v>
      </c>
      <c r="J860" s="2" t="n">
        <v>0</v>
      </c>
      <c r="K860" s="2" t="n">
        <v>100</v>
      </c>
    </row>
    <row r="861" customFormat="false" ht="15" hidden="false" customHeight="false" outlineLevel="0" collapsed="false">
      <c r="A861" s="2" t="s">
        <v>1281</v>
      </c>
      <c r="B861" s="2" t="s">
        <v>1282</v>
      </c>
      <c r="C861" s="10" t="n">
        <v>45945</v>
      </c>
      <c r="D861" s="2" t="s">
        <v>81</v>
      </c>
      <c r="E861" s="2" t="s">
        <v>64</v>
      </c>
      <c r="F861" s="2" t="s">
        <v>70</v>
      </c>
      <c r="G861" s="2" t="s">
        <v>71</v>
      </c>
      <c r="H861" s="2" t="n">
        <v>1</v>
      </c>
      <c r="I861" s="2" t="n">
        <v>2500</v>
      </c>
      <c r="J861" s="2" t="n">
        <v>0.05</v>
      </c>
      <c r="K861" s="2" t="n">
        <v>1600</v>
      </c>
    </row>
    <row r="862" customFormat="false" ht="15" hidden="false" customHeight="false" outlineLevel="0" collapsed="false">
      <c r="A862" s="2" t="s">
        <v>1283</v>
      </c>
      <c r="B862" s="2" t="s">
        <v>1284</v>
      </c>
      <c r="C862" s="10" t="n">
        <v>45925</v>
      </c>
      <c r="D862" s="2" t="s">
        <v>63</v>
      </c>
      <c r="E862" s="2" t="s">
        <v>69</v>
      </c>
      <c r="F862" s="2" t="s">
        <v>73</v>
      </c>
      <c r="G862" s="2" t="s">
        <v>85</v>
      </c>
      <c r="H862" s="2" t="n">
        <v>5</v>
      </c>
      <c r="I862" s="2" t="n">
        <v>1200</v>
      </c>
      <c r="J862" s="2" t="n">
        <v>0.05</v>
      </c>
      <c r="K862" s="2" t="n">
        <v>600</v>
      </c>
    </row>
    <row r="863" customFormat="false" ht="15" hidden="false" customHeight="false" outlineLevel="0" collapsed="false">
      <c r="A863" s="2" t="s">
        <v>1285</v>
      </c>
      <c r="B863" s="2" t="s">
        <v>1284</v>
      </c>
      <c r="C863" s="10" t="n">
        <v>45694</v>
      </c>
      <c r="D863" s="2" t="s">
        <v>63</v>
      </c>
      <c r="E863" s="2" t="s">
        <v>69</v>
      </c>
      <c r="F863" s="2" t="s">
        <v>73</v>
      </c>
      <c r="G863" s="2" t="s">
        <v>74</v>
      </c>
      <c r="H863" s="2" t="n">
        <v>1</v>
      </c>
      <c r="I863" s="2" t="n">
        <v>7000</v>
      </c>
      <c r="J863" s="2" t="n">
        <v>0.05</v>
      </c>
      <c r="K863" s="2" t="n">
        <v>4800</v>
      </c>
    </row>
    <row r="864" customFormat="false" ht="15" hidden="false" customHeight="false" outlineLevel="0" collapsed="false">
      <c r="A864" s="2" t="s">
        <v>1286</v>
      </c>
      <c r="B864" s="2" t="s">
        <v>1287</v>
      </c>
      <c r="C864" s="10" t="n">
        <v>45739</v>
      </c>
      <c r="D864" s="2" t="s">
        <v>63</v>
      </c>
      <c r="E864" s="2" t="s">
        <v>64</v>
      </c>
      <c r="F864" s="2" t="s">
        <v>65</v>
      </c>
      <c r="G864" s="2" t="s">
        <v>107</v>
      </c>
      <c r="H864" s="2" t="n">
        <v>7</v>
      </c>
      <c r="I864" s="2" t="n">
        <v>500</v>
      </c>
      <c r="J864" s="2" t="n">
        <v>0.05</v>
      </c>
      <c r="K864" s="2" t="n">
        <v>250</v>
      </c>
    </row>
    <row r="865" customFormat="false" ht="15" hidden="false" customHeight="false" outlineLevel="0" collapsed="false">
      <c r="A865" s="2" t="s">
        <v>1288</v>
      </c>
      <c r="B865" s="2" t="s">
        <v>1287</v>
      </c>
      <c r="C865" s="10" t="n">
        <v>45920</v>
      </c>
      <c r="D865" s="2" t="s">
        <v>63</v>
      </c>
      <c r="E865" s="2" t="s">
        <v>64</v>
      </c>
      <c r="F865" s="2" t="s">
        <v>70</v>
      </c>
      <c r="G865" s="2" t="s">
        <v>97</v>
      </c>
      <c r="H865" s="2" t="n">
        <v>3</v>
      </c>
      <c r="I865" s="2" t="n">
        <v>3000</v>
      </c>
      <c r="J865" s="2" t="n">
        <v>0.05</v>
      </c>
      <c r="K865" s="2" t="n">
        <v>2000</v>
      </c>
    </row>
    <row r="866" customFormat="false" ht="15" hidden="false" customHeight="false" outlineLevel="0" collapsed="false">
      <c r="A866" s="2" t="s">
        <v>1289</v>
      </c>
      <c r="B866" s="2" t="s">
        <v>1287</v>
      </c>
      <c r="C866" s="10" t="n">
        <v>45809</v>
      </c>
      <c r="D866" s="2" t="s">
        <v>63</v>
      </c>
      <c r="E866" s="2" t="s">
        <v>64</v>
      </c>
      <c r="F866" s="2" t="s">
        <v>65</v>
      </c>
      <c r="G866" s="2" t="s">
        <v>107</v>
      </c>
      <c r="H866" s="2" t="n">
        <v>2</v>
      </c>
      <c r="I866" s="2" t="n">
        <v>500</v>
      </c>
      <c r="J866" s="2" t="n">
        <v>0</v>
      </c>
      <c r="K866" s="2" t="n">
        <v>250</v>
      </c>
    </row>
    <row r="867" customFormat="false" ht="15" hidden="false" customHeight="false" outlineLevel="0" collapsed="false">
      <c r="A867" s="2" t="s">
        <v>1290</v>
      </c>
      <c r="B867" s="2" t="s">
        <v>1287</v>
      </c>
      <c r="C867" s="10" t="n">
        <v>45938</v>
      </c>
      <c r="D867" s="2" t="s">
        <v>63</v>
      </c>
      <c r="E867" s="2" t="s">
        <v>64</v>
      </c>
      <c r="F867" s="2" t="s">
        <v>73</v>
      </c>
      <c r="G867" s="2" t="s">
        <v>85</v>
      </c>
      <c r="H867" s="2" t="n">
        <v>3</v>
      </c>
      <c r="I867" s="2" t="n">
        <v>1200</v>
      </c>
      <c r="J867" s="2" t="n">
        <v>0.05</v>
      </c>
      <c r="K867" s="2" t="n">
        <v>600</v>
      </c>
    </row>
    <row r="868" customFormat="false" ht="15" hidden="false" customHeight="false" outlineLevel="0" collapsed="false">
      <c r="A868" s="2" t="s">
        <v>1291</v>
      </c>
      <c r="B868" s="2" t="s">
        <v>1292</v>
      </c>
      <c r="C868" s="10" t="n">
        <v>45963</v>
      </c>
      <c r="D868" s="2" t="s">
        <v>77</v>
      </c>
      <c r="E868" s="2" t="s">
        <v>69</v>
      </c>
      <c r="F868" s="2" t="s">
        <v>70</v>
      </c>
      <c r="G868" s="2" t="s">
        <v>71</v>
      </c>
      <c r="H868" s="2" t="n">
        <v>1</v>
      </c>
      <c r="I868" s="2" t="n">
        <v>2500</v>
      </c>
      <c r="J868" s="2" t="n">
        <v>0.1</v>
      </c>
      <c r="K868" s="2" t="n">
        <v>1600</v>
      </c>
    </row>
    <row r="869" customFormat="false" ht="15" hidden="false" customHeight="false" outlineLevel="0" collapsed="false">
      <c r="A869" s="2" t="s">
        <v>1293</v>
      </c>
      <c r="B869" s="2" t="s">
        <v>1292</v>
      </c>
      <c r="C869" s="10" t="n">
        <v>45856</v>
      </c>
      <c r="D869" s="2" t="s">
        <v>77</v>
      </c>
      <c r="E869" s="2" t="s">
        <v>69</v>
      </c>
      <c r="F869" s="2" t="s">
        <v>65</v>
      </c>
      <c r="G869" s="2" t="s">
        <v>107</v>
      </c>
      <c r="H869" s="2" t="n">
        <v>12</v>
      </c>
      <c r="I869" s="2" t="n">
        <v>500</v>
      </c>
      <c r="J869" s="2" t="n">
        <v>0</v>
      </c>
      <c r="K869" s="2" t="n">
        <v>250</v>
      </c>
    </row>
    <row r="870" customFormat="false" ht="15" hidden="false" customHeight="false" outlineLevel="0" collapsed="false">
      <c r="A870" s="2" t="s">
        <v>1294</v>
      </c>
      <c r="B870" s="2" t="s">
        <v>1295</v>
      </c>
      <c r="C870" s="10" t="n">
        <v>45931</v>
      </c>
      <c r="D870" s="2" t="s">
        <v>77</v>
      </c>
      <c r="E870" s="2" t="s">
        <v>64</v>
      </c>
      <c r="F870" s="2" t="s">
        <v>65</v>
      </c>
      <c r="G870" s="2" t="s">
        <v>107</v>
      </c>
      <c r="H870" s="2" t="n">
        <v>4</v>
      </c>
      <c r="I870" s="2" t="n">
        <v>500</v>
      </c>
      <c r="J870" s="2" t="n">
        <v>0.1</v>
      </c>
      <c r="K870" s="2" t="n">
        <v>250</v>
      </c>
    </row>
    <row r="871" customFormat="false" ht="15" hidden="false" customHeight="false" outlineLevel="0" collapsed="false">
      <c r="A871" s="2" t="s">
        <v>1296</v>
      </c>
      <c r="B871" s="2" t="s">
        <v>1297</v>
      </c>
      <c r="C871" s="10" t="n">
        <v>45987</v>
      </c>
      <c r="D871" s="2" t="s">
        <v>81</v>
      </c>
      <c r="E871" s="2" t="s">
        <v>64</v>
      </c>
      <c r="F871" s="2" t="s">
        <v>73</v>
      </c>
      <c r="G871" s="2" t="s">
        <v>85</v>
      </c>
      <c r="H871" s="2" t="n">
        <v>1</v>
      </c>
      <c r="I871" s="2" t="n">
        <v>1200</v>
      </c>
      <c r="J871" s="2" t="n">
        <v>0.05</v>
      </c>
      <c r="K871" s="2" t="n">
        <v>600</v>
      </c>
    </row>
    <row r="872" customFormat="false" ht="15" hidden="false" customHeight="false" outlineLevel="0" collapsed="false">
      <c r="A872" s="2" t="s">
        <v>1298</v>
      </c>
      <c r="B872" s="2" t="s">
        <v>1297</v>
      </c>
      <c r="C872" s="10" t="n">
        <v>45855</v>
      </c>
      <c r="D872" s="2" t="s">
        <v>81</v>
      </c>
      <c r="E872" s="2" t="s">
        <v>64</v>
      </c>
      <c r="F872" s="2" t="s">
        <v>70</v>
      </c>
      <c r="G872" s="2" t="s">
        <v>126</v>
      </c>
      <c r="H872" s="2" t="n">
        <v>3</v>
      </c>
      <c r="I872" s="2" t="n">
        <v>4500</v>
      </c>
      <c r="J872" s="2" t="n">
        <v>0</v>
      </c>
      <c r="K872" s="2" t="n">
        <v>3300</v>
      </c>
    </row>
    <row r="873" customFormat="false" ht="15" hidden="false" customHeight="false" outlineLevel="0" collapsed="false">
      <c r="A873" s="2" t="s">
        <v>1299</v>
      </c>
      <c r="B873" s="2" t="s">
        <v>1300</v>
      </c>
      <c r="C873" s="10" t="n">
        <v>45887</v>
      </c>
      <c r="D873" s="2" t="s">
        <v>77</v>
      </c>
      <c r="E873" s="2" t="s">
        <v>92</v>
      </c>
      <c r="F873" s="2" t="s">
        <v>73</v>
      </c>
      <c r="G873" s="2" t="s">
        <v>85</v>
      </c>
      <c r="H873" s="2" t="n">
        <v>8</v>
      </c>
      <c r="I873" s="2" t="n">
        <v>1200</v>
      </c>
      <c r="J873" s="2" t="n">
        <v>0</v>
      </c>
      <c r="K873" s="2" t="n">
        <v>600</v>
      </c>
    </row>
    <row r="874" customFormat="false" ht="15" hidden="false" customHeight="false" outlineLevel="0" collapsed="false">
      <c r="A874" s="2" t="s">
        <v>1301</v>
      </c>
      <c r="B874" s="2" t="s">
        <v>1300</v>
      </c>
      <c r="C874" s="10" t="n">
        <v>45800</v>
      </c>
      <c r="D874" s="2" t="s">
        <v>77</v>
      </c>
      <c r="E874" s="2" t="s">
        <v>92</v>
      </c>
      <c r="F874" s="2" t="s">
        <v>73</v>
      </c>
      <c r="G874" s="2" t="s">
        <v>74</v>
      </c>
      <c r="H874" s="2" t="n">
        <v>6</v>
      </c>
      <c r="I874" s="2" t="n">
        <v>7000</v>
      </c>
      <c r="J874" s="2" t="n">
        <v>0</v>
      </c>
      <c r="K874" s="2" t="n">
        <v>4800</v>
      </c>
    </row>
    <row r="875" customFormat="false" ht="15" hidden="false" customHeight="false" outlineLevel="0" collapsed="false">
      <c r="A875" s="2" t="s">
        <v>1302</v>
      </c>
      <c r="B875" s="2" t="s">
        <v>1300</v>
      </c>
      <c r="C875" s="10" t="n">
        <v>45762</v>
      </c>
      <c r="D875" s="2" t="s">
        <v>77</v>
      </c>
      <c r="E875" s="2" t="s">
        <v>92</v>
      </c>
      <c r="F875" s="2" t="s">
        <v>73</v>
      </c>
      <c r="G875" s="2" t="s">
        <v>74</v>
      </c>
      <c r="H875" s="2" t="n">
        <v>6</v>
      </c>
      <c r="I875" s="2" t="n">
        <v>7000</v>
      </c>
      <c r="J875" s="2" t="n">
        <v>0.1</v>
      </c>
      <c r="K875" s="2" t="n">
        <v>4800</v>
      </c>
    </row>
    <row r="876" customFormat="false" ht="15" hidden="false" customHeight="false" outlineLevel="0" collapsed="false">
      <c r="A876" s="2" t="s">
        <v>1303</v>
      </c>
      <c r="B876" s="2" t="s">
        <v>1300</v>
      </c>
      <c r="C876" s="10" t="n">
        <v>45748</v>
      </c>
      <c r="D876" s="2" t="s">
        <v>77</v>
      </c>
      <c r="E876" s="2" t="s">
        <v>92</v>
      </c>
      <c r="F876" s="2" t="s">
        <v>73</v>
      </c>
      <c r="G876" s="2" t="s">
        <v>85</v>
      </c>
      <c r="H876" s="2" t="n">
        <v>6</v>
      </c>
      <c r="I876" s="2" t="n">
        <v>1200</v>
      </c>
      <c r="J876" s="2" t="n">
        <v>0.05</v>
      </c>
      <c r="K876" s="2" t="n">
        <v>600</v>
      </c>
    </row>
    <row r="877" customFormat="false" ht="15" hidden="false" customHeight="false" outlineLevel="0" collapsed="false">
      <c r="A877" s="2" t="s">
        <v>1304</v>
      </c>
      <c r="B877" s="2" t="s">
        <v>1300</v>
      </c>
      <c r="C877" s="10" t="n">
        <v>45800</v>
      </c>
      <c r="D877" s="2" t="s">
        <v>77</v>
      </c>
      <c r="E877" s="2" t="s">
        <v>92</v>
      </c>
      <c r="F877" s="2" t="s">
        <v>73</v>
      </c>
      <c r="G877" s="2" t="s">
        <v>87</v>
      </c>
      <c r="H877" s="2" t="n">
        <v>3</v>
      </c>
      <c r="I877" s="2" t="n">
        <v>9000</v>
      </c>
      <c r="J877" s="2" t="n">
        <v>0</v>
      </c>
      <c r="K877" s="2" t="n">
        <v>6200</v>
      </c>
    </row>
    <row r="878" customFormat="false" ht="15" hidden="false" customHeight="false" outlineLevel="0" collapsed="false">
      <c r="A878" s="2" t="s">
        <v>1305</v>
      </c>
      <c r="B878" s="2" t="s">
        <v>1300</v>
      </c>
      <c r="C878" s="10" t="n">
        <v>45948</v>
      </c>
      <c r="D878" s="2" t="s">
        <v>77</v>
      </c>
      <c r="E878" s="2" t="s">
        <v>92</v>
      </c>
      <c r="F878" s="2" t="s">
        <v>73</v>
      </c>
      <c r="G878" s="2" t="s">
        <v>87</v>
      </c>
      <c r="H878" s="2" t="n">
        <v>2</v>
      </c>
      <c r="I878" s="2" t="n">
        <v>9000</v>
      </c>
      <c r="J878" s="2" t="n">
        <v>0.05</v>
      </c>
      <c r="K878" s="2" t="n">
        <v>6200</v>
      </c>
    </row>
    <row r="879" customFormat="false" ht="15" hidden="false" customHeight="false" outlineLevel="0" collapsed="false">
      <c r="A879" s="2" t="s">
        <v>1306</v>
      </c>
      <c r="B879" s="2" t="s">
        <v>1300</v>
      </c>
      <c r="C879" s="10" t="n">
        <v>45989</v>
      </c>
      <c r="D879" s="2" t="s">
        <v>77</v>
      </c>
      <c r="E879" s="2" t="s">
        <v>92</v>
      </c>
      <c r="F879" s="2" t="s">
        <v>73</v>
      </c>
      <c r="G879" s="2" t="s">
        <v>104</v>
      </c>
      <c r="H879" s="2" t="n">
        <v>2</v>
      </c>
      <c r="I879" s="2" t="n">
        <v>5500</v>
      </c>
      <c r="J879" s="2" t="n">
        <v>0.1</v>
      </c>
      <c r="K879" s="2" t="n">
        <v>3600</v>
      </c>
    </row>
    <row r="880" customFormat="false" ht="15" hidden="false" customHeight="false" outlineLevel="0" collapsed="false">
      <c r="A880" s="2" t="s">
        <v>1307</v>
      </c>
      <c r="B880" s="2" t="s">
        <v>1308</v>
      </c>
      <c r="C880" s="10" t="n">
        <v>45940</v>
      </c>
      <c r="D880" s="2" t="s">
        <v>77</v>
      </c>
      <c r="E880" s="2" t="s">
        <v>64</v>
      </c>
      <c r="F880" s="2" t="s">
        <v>70</v>
      </c>
      <c r="G880" s="2" t="s">
        <v>71</v>
      </c>
      <c r="H880" s="2" t="n">
        <v>1</v>
      </c>
      <c r="I880" s="2" t="n">
        <v>2500</v>
      </c>
      <c r="J880" s="2" t="n">
        <v>0.05</v>
      </c>
      <c r="K880" s="2" t="n">
        <v>1600</v>
      </c>
    </row>
    <row r="881" customFormat="false" ht="15" hidden="false" customHeight="false" outlineLevel="0" collapsed="false">
      <c r="A881" s="2" t="s">
        <v>1309</v>
      </c>
      <c r="B881" s="2" t="s">
        <v>1310</v>
      </c>
      <c r="C881" s="10" t="n">
        <v>45699</v>
      </c>
      <c r="D881" s="2" t="s">
        <v>91</v>
      </c>
      <c r="E881" s="2" t="s">
        <v>69</v>
      </c>
      <c r="F881" s="2" t="s">
        <v>73</v>
      </c>
      <c r="G881" s="2" t="s">
        <v>104</v>
      </c>
      <c r="H881" s="2" t="n">
        <v>4</v>
      </c>
      <c r="I881" s="2" t="n">
        <v>5500</v>
      </c>
      <c r="J881" s="2" t="n">
        <v>0.1</v>
      </c>
      <c r="K881" s="2" t="n">
        <v>3600</v>
      </c>
    </row>
    <row r="882" customFormat="false" ht="15" hidden="false" customHeight="false" outlineLevel="0" collapsed="false">
      <c r="A882" s="2" t="s">
        <v>1311</v>
      </c>
      <c r="B882" s="2" t="s">
        <v>1312</v>
      </c>
      <c r="C882" s="10" t="n">
        <v>45995</v>
      </c>
      <c r="D882" s="2" t="s">
        <v>91</v>
      </c>
      <c r="E882" s="2" t="s">
        <v>69</v>
      </c>
      <c r="F882" s="2" t="s">
        <v>73</v>
      </c>
      <c r="G882" s="2" t="s">
        <v>87</v>
      </c>
      <c r="H882" s="2" t="n">
        <v>1</v>
      </c>
      <c r="I882" s="2" t="n">
        <v>9000</v>
      </c>
      <c r="J882" s="2" t="n">
        <v>0.05</v>
      </c>
      <c r="K882" s="2" t="n">
        <v>6200</v>
      </c>
    </row>
    <row r="883" customFormat="false" ht="15" hidden="false" customHeight="false" outlineLevel="0" collapsed="false">
      <c r="A883" s="2" t="s">
        <v>1313</v>
      </c>
      <c r="B883" s="2" t="s">
        <v>1314</v>
      </c>
      <c r="C883" s="10" t="n">
        <v>45767</v>
      </c>
      <c r="D883" s="2" t="s">
        <v>63</v>
      </c>
      <c r="E883" s="2" t="s">
        <v>64</v>
      </c>
      <c r="F883" s="2" t="s">
        <v>73</v>
      </c>
      <c r="G883" s="2" t="s">
        <v>87</v>
      </c>
      <c r="H883" s="2" t="n">
        <v>3</v>
      </c>
      <c r="I883" s="2" t="n">
        <v>9000</v>
      </c>
      <c r="J883" s="2" t="n">
        <v>0.05</v>
      </c>
      <c r="K883" s="2" t="n">
        <v>6200</v>
      </c>
    </row>
    <row r="884" customFormat="false" ht="15" hidden="false" customHeight="false" outlineLevel="0" collapsed="false">
      <c r="A884" s="2" t="s">
        <v>1315</v>
      </c>
      <c r="B884" s="2" t="s">
        <v>1314</v>
      </c>
      <c r="C884" s="10" t="n">
        <v>45865</v>
      </c>
      <c r="D884" s="2" t="s">
        <v>63</v>
      </c>
      <c r="E884" s="2" t="s">
        <v>64</v>
      </c>
      <c r="F884" s="2" t="s">
        <v>65</v>
      </c>
      <c r="G884" s="2" t="s">
        <v>82</v>
      </c>
      <c r="H884" s="2" t="n">
        <v>8</v>
      </c>
      <c r="I884" s="2" t="n">
        <v>250</v>
      </c>
      <c r="J884" s="2" t="n">
        <v>0</v>
      </c>
      <c r="K884" s="2" t="n">
        <v>100</v>
      </c>
    </row>
    <row r="885" customFormat="false" ht="15" hidden="false" customHeight="false" outlineLevel="0" collapsed="false">
      <c r="A885" s="2" t="s">
        <v>1316</v>
      </c>
      <c r="B885" s="2" t="s">
        <v>1317</v>
      </c>
      <c r="C885" s="10" t="n">
        <v>45989</v>
      </c>
      <c r="D885" s="2" t="s">
        <v>63</v>
      </c>
      <c r="E885" s="2" t="s">
        <v>69</v>
      </c>
      <c r="F885" s="2" t="s">
        <v>70</v>
      </c>
      <c r="G885" s="2" t="s">
        <v>71</v>
      </c>
      <c r="H885" s="2" t="n">
        <v>1</v>
      </c>
      <c r="I885" s="2" t="n">
        <v>2500</v>
      </c>
      <c r="J885" s="2" t="n">
        <v>0.05</v>
      </c>
      <c r="K885" s="2" t="n">
        <v>1600</v>
      </c>
    </row>
    <row r="886" customFormat="false" ht="15" hidden="false" customHeight="false" outlineLevel="0" collapsed="false">
      <c r="A886" s="2" t="s">
        <v>1318</v>
      </c>
      <c r="B886" s="2" t="s">
        <v>1319</v>
      </c>
      <c r="C886" s="10" t="n">
        <v>45976</v>
      </c>
      <c r="D886" s="2" t="s">
        <v>77</v>
      </c>
      <c r="E886" s="2" t="s">
        <v>92</v>
      </c>
      <c r="F886" s="2" t="s">
        <v>73</v>
      </c>
      <c r="G886" s="2" t="s">
        <v>85</v>
      </c>
      <c r="H886" s="2" t="n">
        <v>6</v>
      </c>
      <c r="I886" s="2" t="n">
        <v>1200</v>
      </c>
      <c r="J886" s="2" t="n">
        <v>0.15</v>
      </c>
      <c r="K886" s="2" t="n">
        <v>600</v>
      </c>
    </row>
    <row r="887" customFormat="false" ht="15" hidden="false" customHeight="false" outlineLevel="0" collapsed="false">
      <c r="A887" s="2" t="s">
        <v>1320</v>
      </c>
      <c r="B887" s="2" t="s">
        <v>1319</v>
      </c>
      <c r="C887" s="10" t="n">
        <v>45989</v>
      </c>
      <c r="D887" s="2" t="s">
        <v>77</v>
      </c>
      <c r="E887" s="2" t="s">
        <v>92</v>
      </c>
      <c r="F887" s="2" t="s">
        <v>73</v>
      </c>
      <c r="G887" s="2" t="s">
        <v>104</v>
      </c>
      <c r="H887" s="2" t="n">
        <v>4</v>
      </c>
      <c r="I887" s="2" t="n">
        <v>5500</v>
      </c>
      <c r="J887" s="2" t="n">
        <v>0.15</v>
      </c>
      <c r="K887" s="2" t="n">
        <v>3600</v>
      </c>
    </row>
    <row r="888" customFormat="false" ht="15" hidden="false" customHeight="false" outlineLevel="0" collapsed="false">
      <c r="A888" s="2" t="s">
        <v>1321</v>
      </c>
      <c r="B888" s="2" t="s">
        <v>1319</v>
      </c>
      <c r="C888" s="10" t="n">
        <v>45844</v>
      </c>
      <c r="D888" s="2" t="s">
        <v>77</v>
      </c>
      <c r="E888" s="2" t="s">
        <v>92</v>
      </c>
      <c r="F888" s="2" t="s">
        <v>73</v>
      </c>
      <c r="G888" s="2" t="s">
        <v>104</v>
      </c>
      <c r="H888" s="2" t="n">
        <v>5</v>
      </c>
      <c r="I888" s="2" t="n">
        <v>5500</v>
      </c>
      <c r="J888" s="2" t="n">
        <v>0</v>
      </c>
      <c r="K888" s="2" t="n">
        <v>3600</v>
      </c>
    </row>
    <row r="889" customFormat="false" ht="15" hidden="false" customHeight="false" outlineLevel="0" collapsed="false">
      <c r="A889" s="2" t="s">
        <v>1322</v>
      </c>
      <c r="B889" s="2" t="s">
        <v>1319</v>
      </c>
      <c r="C889" s="10" t="n">
        <v>45970</v>
      </c>
      <c r="D889" s="2" t="s">
        <v>77</v>
      </c>
      <c r="E889" s="2" t="s">
        <v>92</v>
      </c>
      <c r="F889" s="2" t="s">
        <v>73</v>
      </c>
      <c r="G889" s="2" t="s">
        <v>85</v>
      </c>
      <c r="H889" s="2" t="n">
        <v>8</v>
      </c>
      <c r="I889" s="2" t="n">
        <v>1200</v>
      </c>
      <c r="J889" s="2" t="n">
        <v>0.15</v>
      </c>
      <c r="K889" s="2" t="n">
        <v>600</v>
      </c>
    </row>
    <row r="890" customFormat="false" ht="15" hidden="false" customHeight="false" outlineLevel="0" collapsed="false">
      <c r="A890" s="2" t="s">
        <v>1323</v>
      </c>
      <c r="B890" s="2" t="s">
        <v>1319</v>
      </c>
      <c r="C890" s="10" t="n">
        <v>45788</v>
      </c>
      <c r="D890" s="2" t="s">
        <v>77</v>
      </c>
      <c r="E890" s="2" t="s">
        <v>92</v>
      </c>
      <c r="F890" s="2" t="s">
        <v>70</v>
      </c>
      <c r="G890" s="2" t="s">
        <v>126</v>
      </c>
      <c r="H890" s="2" t="n">
        <v>6</v>
      </c>
      <c r="I890" s="2" t="n">
        <v>4500</v>
      </c>
      <c r="J890" s="2" t="n">
        <v>0</v>
      </c>
      <c r="K890" s="2" t="n">
        <v>3300</v>
      </c>
    </row>
    <row r="891" customFormat="false" ht="15" hidden="false" customHeight="false" outlineLevel="0" collapsed="false">
      <c r="A891" s="2" t="s">
        <v>1324</v>
      </c>
      <c r="B891" s="2" t="s">
        <v>1319</v>
      </c>
      <c r="C891" s="10" t="n">
        <v>45689</v>
      </c>
      <c r="D891" s="2" t="s">
        <v>77</v>
      </c>
      <c r="E891" s="2" t="s">
        <v>92</v>
      </c>
      <c r="F891" s="2" t="s">
        <v>73</v>
      </c>
      <c r="G891" s="2" t="s">
        <v>87</v>
      </c>
      <c r="H891" s="2" t="n">
        <v>8</v>
      </c>
      <c r="I891" s="2" t="n">
        <v>9000</v>
      </c>
      <c r="J891" s="2" t="n">
        <v>0.1</v>
      </c>
      <c r="K891" s="2" t="n">
        <v>6200</v>
      </c>
    </row>
    <row r="892" customFormat="false" ht="15" hidden="false" customHeight="false" outlineLevel="0" collapsed="false">
      <c r="A892" s="2" t="s">
        <v>1325</v>
      </c>
      <c r="B892" s="2" t="s">
        <v>1319</v>
      </c>
      <c r="C892" s="10" t="n">
        <v>45781</v>
      </c>
      <c r="D892" s="2" t="s">
        <v>77</v>
      </c>
      <c r="E892" s="2" t="s">
        <v>92</v>
      </c>
      <c r="F892" s="2" t="s">
        <v>73</v>
      </c>
      <c r="G892" s="2" t="s">
        <v>87</v>
      </c>
      <c r="H892" s="2" t="n">
        <v>6</v>
      </c>
      <c r="I892" s="2" t="n">
        <v>9000</v>
      </c>
      <c r="J892" s="2" t="n">
        <v>0.05</v>
      </c>
      <c r="K892" s="2" t="n">
        <v>6200</v>
      </c>
    </row>
    <row r="893" customFormat="false" ht="15" hidden="false" customHeight="false" outlineLevel="0" collapsed="false">
      <c r="A893" s="2" t="s">
        <v>1326</v>
      </c>
      <c r="B893" s="2" t="s">
        <v>1319</v>
      </c>
      <c r="C893" s="10" t="n">
        <v>45669</v>
      </c>
      <c r="D893" s="2" t="s">
        <v>77</v>
      </c>
      <c r="E893" s="2" t="s">
        <v>92</v>
      </c>
      <c r="F893" s="2" t="s">
        <v>73</v>
      </c>
      <c r="G893" s="2" t="s">
        <v>74</v>
      </c>
      <c r="H893" s="2" t="n">
        <v>7</v>
      </c>
      <c r="I893" s="2" t="n">
        <v>7000</v>
      </c>
      <c r="J893" s="2" t="n">
        <v>0.1</v>
      </c>
      <c r="K893" s="2" t="n">
        <v>4800</v>
      </c>
    </row>
    <row r="894" customFormat="false" ht="15" hidden="false" customHeight="false" outlineLevel="0" collapsed="false">
      <c r="A894" s="2" t="s">
        <v>1327</v>
      </c>
      <c r="B894" s="2" t="s">
        <v>1319</v>
      </c>
      <c r="C894" s="10" t="n">
        <v>45876</v>
      </c>
      <c r="D894" s="2" t="s">
        <v>77</v>
      </c>
      <c r="E894" s="2" t="s">
        <v>92</v>
      </c>
      <c r="F894" s="2" t="s">
        <v>73</v>
      </c>
      <c r="G894" s="2" t="s">
        <v>74</v>
      </c>
      <c r="H894" s="2" t="n">
        <v>5</v>
      </c>
      <c r="I894" s="2" t="n">
        <v>7000</v>
      </c>
      <c r="J894" s="2" t="n">
        <v>0.05</v>
      </c>
      <c r="K894" s="2" t="n">
        <v>4800</v>
      </c>
    </row>
    <row r="895" customFormat="false" ht="15" hidden="false" customHeight="false" outlineLevel="0" collapsed="false">
      <c r="A895" s="2" t="s">
        <v>1328</v>
      </c>
      <c r="B895" s="2" t="s">
        <v>1329</v>
      </c>
      <c r="C895" s="10" t="n">
        <v>45825</v>
      </c>
      <c r="D895" s="2" t="s">
        <v>63</v>
      </c>
      <c r="E895" s="2" t="s">
        <v>64</v>
      </c>
      <c r="F895" s="2" t="s">
        <v>70</v>
      </c>
      <c r="G895" s="2" t="s">
        <v>71</v>
      </c>
      <c r="H895" s="2" t="n">
        <v>3</v>
      </c>
      <c r="I895" s="2" t="n">
        <v>2500</v>
      </c>
      <c r="J895" s="2" t="n">
        <v>0.05</v>
      </c>
      <c r="K895" s="2" t="n">
        <v>1600</v>
      </c>
    </row>
    <row r="896" customFormat="false" ht="15" hidden="false" customHeight="false" outlineLevel="0" collapsed="false">
      <c r="A896" s="2" t="s">
        <v>1330</v>
      </c>
      <c r="B896" s="2" t="s">
        <v>1331</v>
      </c>
      <c r="C896" s="10" t="n">
        <v>45741</v>
      </c>
      <c r="D896" s="2" t="s">
        <v>81</v>
      </c>
      <c r="E896" s="2" t="s">
        <v>64</v>
      </c>
      <c r="F896" s="2" t="s">
        <v>73</v>
      </c>
      <c r="G896" s="2" t="s">
        <v>74</v>
      </c>
      <c r="H896" s="2" t="n">
        <v>3</v>
      </c>
      <c r="I896" s="2" t="n">
        <v>7000</v>
      </c>
      <c r="J896" s="2" t="n">
        <v>0</v>
      </c>
      <c r="K896" s="2" t="n">
        <v>4800</v>
      </c>
    </row>
    <row r="897" customFormat="false" ht="15" hidden="false" customHeight="false" outlineLevel="0" collapsed="false">
      <c r="A897" s="2" t="s">
        <v>1332</v>
      </c>
      <c r="B897" s="2" t="s">
        <v>1331</v>
      </c>
      <c r="C897" s="10" t="n">
        <v>45906</v>
      </c>
      <c r="D897" s="2" t="s">
        <v>81</v>
      </c>
      <c r="E897" s="2" t="s">
        <v>64</v>
      </c>
      <c r="F897" s="2" t="s">
        <v>70</v>
      </c>
      <c r="G897" s="2" t="s">
        <v>71</v>
      </c>
      <c r="H897" s="2" t="n">
        <v>3</v>
      </c>
      <c r="I897" s="2" t="n">
        <v>2500</v>
      </c>
      <c r="J897" s="2" t="n">
        <v>0</v>
      </c>
      <c r="K897" s="2" t="n">
        <v>1600</v>
      </c>
    </row>
    <row r="898" customFormat="false" ht="15" hidden="false" customHeight="false" outlineLevel="0" collapsed="false">
      <c r="A898" s="2" t="s">
        <v>1333</v>
      </c>
      <c r="B898" s="2" t="s">
        <v>1334</v>
      </c>
      <c r="C898" s="10" t="n">
        <v>45772</v>
      </c>
      <c r="D898" s="2" t="s">
        <v>81</v>
      </c>
      <c r="E898" s="2" t="s">
        <v>64</v>
      </c>
      <c r="F898" s="2" t="s">
        <v>73</v>
      </c>
      <c r="G898" s="2" t="s">
        <v>85</v>
      </c>
      <c r="H898" s="2" t="n">
        <v>3</v>
      </c>
      <c r="I898" s="2" t="n">
        <v>1200</v>
      </c>
      <c r="J898" s="2" t="n">
        <v>0</v>
      </c>
      <c r="K898" s="2" t="n">
        <v>600</v>
      </c>
    </row>
    <row r="899" customFormat="false" ht="15" hidden="false" customHeight="false" outlineLevel="0" collapsed="false">
      <c r="A899" s="2" t="s">
        <v>1335</v>
      </c>
      <c r="B899" s="2" t="s">
        <v>1336</v>
      </c>
      <c r="C899" s="10" t="n">
        <v>45872</v>
      </c>
      <c r="D899" s="2" t="s">
        <v>77</v>
      </c>
      <c r="E899" s="2" t="s">
        <v>69</v>
      </c>
      <c r="F899" s="2" t="s">
        <v>65</v>
      </c>
      <c r="G899" s="2" t="s">
        <v>107</v>
      </c>
      <c r="H899" s="2" t="n">
        <v>15</v>
      </c>
      <c r="I899" s="2" t="n">
        <v>500</v>
      </c>
      <c r="J899" s="2" t="n">
        <v>0</v>
      </c>
      <c r="K899" s="2" t="n">
        <v>250</v>
      </c>
    </row>
    <row r="900" customFormat="false" ht="15" hidden="false" customHeight="false" outlineLevel="0" collapsed="false">
      <c r="A900" s="2" t="s">
        <v>1337</v>
      </c>
      <c r="B900" s="2" t="s">
        <v>1338</v>
      </c>
      <c r="C900" s="10" t="n">
        <v>45721</v>
      </c>
      <c r="D900" s="2" t="s">
        <v>91</v>
      </c>
      <c r="E900" s="2" t="s">
        <v>64</v>
      </c>
      <c r="F900" s="2" t="s">
        <v>73</v>
      </c>
      <c r="G900" s="2" t="s">
        <v>87</v>
      </c>
      <c r="H900" s="2" t="n">
        <v>3</v>
      </c>
      <c r="I900" s="2" t="n">
        <v>9000</v>
      </c>
      <c r="J900" s="2" t="n">
        <v>0.1</v>
      </c>
      <c r="K900" s="2" t="n">
        <v>6200</v>
      </c>
    </row>
    <row r="901" customFormat="false" ht="15" hidden="false" customHeight="false" outlineLevel="0" collapsed="false">
      <c r="A901" s="2" t="s">
        <v>1339</v>
      </c>
      <c r="B901" s="2" t="s">
        <v>1340</v>
      </c>
      <c r="C901" s="10" t="n">
        <v>45971</v>
      </c>
      <c r="D901" s="2" t="s">
        <v>77</v>
      </c>
      <c r="E901" s="2" t="s">
        <v>64</v>
      </c>
      <c r="F901" s="2" t="s">
        <v>70</v>
      </c>
      <c r="G901" s="2" t="s">
        <v>71</v>
      </c>
      <c r="H901" s="2" t="n">
        <v>3</v>
      </c>
      <c r="I901" s="2" t="n">
        <v>2500</v>
      </c>
      <c r="J901" s="2" t="n">
        <v>0.1</v>
      </c>
      <c r="K901" s="2" t="n">
        <v>1600</v>
      </c>
    </row>
    <row r="902" customFormat="false" ht="15" hidden="false" customHeight="false" outlineLevel="0" collapsed="false">
      <c r="A902" s="2" t="s">
        <v>1341</v>
      </c>
      <c r="B902" s="2" t="s">
        <v>1340</v>
      </c>
      <c r="C902" s="10" t="n">
        <v>45964</v>
      </c>
      <c r="D902" s="2" t="s">
        <v>77</v>
      </c>
      <c r="E902" s="2" t="s">
        <v>64</v>
      </c>
      <c r="F902" s="2" t="s">
        <v>73</v>
      </c>
      <c r="G902" s="2" t="s">
        <v>74</v>
      </c>
      <c r="H902" s="2" t="n">
        <v>1</v>
      </c>
      <c r="I902" s="2" t="n">
        <v>7000</v>
      </c>
      <c r="J902" s="2" t="n">
        <v>0.05</v>
      </c>
      <c r="K902" s="2" t="n">
        <v>4800</v>
      </c>
    </row>
    <row r="903" customFormat="false" ht="15" hidden="false" customHeight="false" outlineLevel="0" collapsed="false">
      <c r="A903" s="2" t="s">
        <v>1342</v>
      </c>
      <c r="B903" s="2" t="s">
        <v>1340</v>
      </c>
      <c r="C903" s="10" t="n">
        <v>45832</v>
      </c>
      <c r="D903" s="2" t="s">
        <v>77</v>
      </c>
      <c r="E903" s="2" t="s">
        <v>64</v>
      </c>
      <c r="F903" s="2" t="s">
        <v>65</v>
      </c>
      <c r="G903" s="2" t="s">
        <v>66</v>
      </c>
      <c r="H903" s="2" t="n">
        <v>2</v>
      </c>
      <c r="I903" s="2" t="n">
        <v>600</v>
      </c>
      <c r="J903" s="2" t="n">
        <v>0</v>
      </c>
      <c r="K903" s="2" t="n">
        <v>300</v>
      </c>
    </row>
    <row r="904" customFormat="false" ht="15" hidden="false" customHeight="false" outlineLevel="0" collapsed="false">
      <c r="A904" s="2" t="s">
        <v>1343</v>
      </c>
      <c r="B904" s="2" t="s">
        <v>1340</v>
      </c>
      <c r="C904" s="10" t="n">
        <v>45955</v>
      </c>
      <c r="D904" s="2" t="s">
        <v>77</v>
      </c>
      <c r="E904" s="2" t="s">
        <v>64</v>
      </c>
      <c r="F904" s="2" t="s">
        <v>70</v>
      </c>
      <c r="G904" s="2" t="s">
        <v>97</v>
      </c>
      <c r="H904" s="2" t="n">
        <v>3</v>
      </c>
      <c r="I904" s="2" t="n">
        <v>3000</v>
      </c>
      <c r="J904" s="2" t="n">
        <v>0.05</v>
      </c>
      <c r="K904" s="2" t="n">
        <v>2000</v>
      </c>
    </row>
    <row r="905" customFormat="false" ht="15" hidden="false" customHeight="false" outlineLevel="0" collapsed="false">
      <c r="A905" s="2" t="s">
        <v>1344</v>
      </c>
      <c r="B905" s="2" t="s">
        <v>1340</v>
      </c>
      <c r="C905" s="10" t="n">
        <v>45701</v>
      </c>
      <c r="D905" s="2" t="s">
        <v>77</v>
      </c>
      <c r="E905" s="2" t="s">
        <v>64</v>
      </c>
      <c r="F905" s="2" t="s">
        <v>70</v>
      </c>
      <c r="G905" s="2" t="s">
        <v>97</v>
      </c>
      <c r="H905" s="2" t="n">
        <v>1</v>
      </c>
      <c r="I905" s="2" t="n">
        <v>3000</v>
      </c>
      <c r="J905" s="2" t="n">
        <v>0</v>
      </c>
      <c r="K905" s="2" t="n">
        <v>2000</v>
      </c>
    </row>
    <row r="906" customFormat="false" ht="15" hidden="false" customHeight="false" outlineLevel="0" collapsed="false">
      <c r="A906" s="2" t="s">
        <v>1345</v>
      </c>
      <c r="B906" s="2" t="s">
        <v>1346</v>
      </c>
      <c r="C906" s="10" t="n">
        <v>45866</v>
      </c>
      <c r="D906" s="2" t="s">
        <v>63</v>
      </c>
      <c r="E906" s="2" t="s">
        <v>69</v>
      </c>
      <c r="F906" s="2" t="s">
        <v>70</v>
      </c>
      <c r="G906" s="2" t="s">
        <v>97</v>
      </c>
      <c r="H906" s="2" t="n">
        <v>2</v>
      </c>
      <c r="I906" s="2" t="n">
        <v>3000</v>
      </c>
      <c r="J906" s="2" t="n">
        <v>0</v>
      </c>
      <c r="K906" s="2" t="n">
        <v>2000</v>
      </c>
    </row>
    <row r="907" customFormat="false" ht="15" hidden="false" customHeight="false" outlineLevel="0" collapsed="false">
      <c r="A907" s="2" t="s">
        <v>1347</v>
      </c>
      <c r="B907" s="2" t="s">
        <v>1348</v>
      </c>
      <c r="C907" s="10" t="n">
        <v>45992</v>
      </c>
      <c r="D907" s="2" t="s">
        <v>81</v>
      </c>
      <c r="E907" s="2" t="s">
        <v>69</v>
      </c>
      <c r="F907" s="2" t="s">
        <v>73</v>
      </c>
      <c r="G907" s="2" t="s">
        <v>85</v>
      </c>
      <c r="H907" s="2" t="n">
        <v>3</v>
      </c>
      <c r="I907" s="2" t="n">
        <v>1200</v>
      </c>
      <c r="J907" s="2" t="n">
        <v>0.05</v>
      </c>
      <c r="K907" s="2" t="n">
        <v>600</v>
      </c>
    </row>
    <row r="908" customFormat="false" ht="15" hidden="false" customHeight="false" outlineLevel="0" collapsed="false">
      <c r="A908" s="2" t="s">
        <v>1349</v>
      </c>
      <c r="B908" s="2" t="s">
        <v>1350</v>
      </c>
      <c r="C908" s="10" t="n">
        <v>45987</v>
      </c>
      <c r="D908" s="2" t="s">
        <v>81</v>
      </c>
      <c r="E908" s="2" t="s">
        <v>64</v>
      </c>
      <c r="F908" s="2" t="s">
        <v>70</v>
      </c>
      <c r="G908" s="2" t="s">
        <v>97</v>
      </c>
      <c r="H908" s="2" t="n">
        <v>1</v>
      </c>
      <c r="I908" s="2" t="n">
        <v>3000</v>
      </c>
      <c r="J908" s="2" t="n">
        <v>0.05</v>
      </c>
      <c r="K908" s="2" t="n">
        <v>2000</v>
      </c>
    </row>
    <row r="909" customFormat="false" ht="15" hidden="false" customHeight="false" outlineLevel="0" collapsed="false">
      <c r="A909" s="2" t="s">
        <v>1351</v>
      </c>
      <c r="B909" s="2" t="s">
        <v>1352</v>
      </c>
      <c r="C909" s="10" t="n">
        <v>45748</v>
      </c>
      <c r="D909" s="2" t="s">
        <v>81</v>
      </c>
      <c r="E909" s="2" t="s">
        <v>69</v>
      </c>
      <c r="F909" s="2" t="s">
        <v>73</v>
      </c>
      <c r="G909" s="2" t="s">
        <v>104</v>
      </c>
      <c r="H909" s="2" t="n">
        <v>3</v>
      </c>
      <c r="I909" s="2" t="n">
        <v>5500</v>
      </c>
      <c r="J909" s="2" t="n">
        <v>0.1</v>
      </c>
      <c r="K909" s="2" t="n">
        <v>3600</v>
      </c>
    </row>
    <row r="910" customFormat="false" ht="15" hidden="false" customHeight="false" outlineLevel="0" collapsed="false">
      <c r="A910" s="2" t="s">
        <v>1353</v>
      </c>
      <c r="B910" s="2" t="s">
        <v>1354</v>
      </c>
      <c r="C910" s="10" t="n">
        <v>46001</v>
      </c>
      <c r="D910" s="2" t="s">
        <v>91</v>
      </c>
      <c r="E910" s="2" t="s">
        <v>64</v>
      </c>
      <c r="F910" s="2" t="s">
        <v>70</v>
      </c>
      <c r="G910" s="2" t="s">
        <v>126</v>
      </c>
      <c r="H910" s="2" t="n">
        <v>1</v>
      </c>
      <c r="I910" s="2" t="n">
        <v>4500</v>
      </c>
      <c r="J910" s="2" t="n">
        <v>0.15</v>
      </c>
      <c r="K910" s="2" t="n">
        <v>3300</v>
      </c>
    </row>
    <row r="911" customFormat="false" ht="15" hidden="false" customHeight="false" outlineLevel="0" collapsed="false">
      <c r="A911" s="2" t="s">
        <v>1355</v>
      </c>
      <c r="B911" s="2" t="s">
        <v>1356</v>
      </c>
      <c r="C911" s="10" t="n">
        <v>45842</v>
      </c>
      <c r="D911" s="2" t="s">
        <v>91</v>
      </c>
      <c r="E911" s="2" t="s">
        <v>69</v>
      </c>
      <c r="F911" s="2" t="s">
        <v>65</v>
      </c>
      <c r="G911" s="2" t="s">
        <v>66</v>
      </c>
      <c r="H911" s="2" t="n">
        <v>6</v>
      </c>
      <c r="I911" s="2" t="n">
        <v>600</v>
      </c>
      <c r="J911" s="2" t="n">
        <v>0.05</v>
      </c>
      <c r="K911" s="2" t="n">
        <v>300</v>
      </c>
    </row>
    <row r="912" customFormat="false" ht="15" hidden="false" customHeight="false" outlineLevel="0" collapsed="false">
      <c r="A912" s="2" t="s">
        <v>1357</v>
      </c>
      <c r="B912" s="2" t="s">
        <v>1358</v>
      </c>
      <c r="C912" s="10" t="n">
        <v>45796</v>
      </c>
      <c r="D912" s="2" t="s">
        <v>77</v>
      </c>
      <c r="E912" s="2" t="s">
        <v>64</v>
      </c>
      <c r="F912" s="2" t="s">
        <v>70</v>
      </c>
      <c r="G912" s="2" t="s">
        <v>71</v>
      </c>
      <c r="H912" s="2" t="n">
        <v>2</v>
      </c>
      <c r="I912" s="2" t="n">
        <v>2500</v>
      </c>
      <c r="J912" s="2" t="n">
        <v>0</v>
      </c>
      <c r="K912" s="2" t="n">
        <v>1600</v>
      </c>
    </row>
    <row r="913" customFormat="false" ht="15" hidden="false" customHeight="false" outlineLevel="0" collapsed="false">
      <c r="A913" s="2" t="s">
        <v>1359</v>
      </c>
      <c r="B913" s="2" t="s">
        <v>1358</v>
      </c>
      <c r="C913" s="10" t="n">
        <v>45817</v>
      </c>
      <c r="D913" s="2" t="s">
        <v>77</v>
      </c>
      <c r="E913" s="2" t="s">
        <v>64</v>
      </c>
      <c r="F913" s="2" t="s">
        <v>73</v>
      </c>
      <c r="G913" s="2" t="s">
        <v>87</v>
      </c>
      <c r="H913" s="2" t="n">
        <v>1</v>
      </c>
      <c r="I913" s="2" t="n">
        <v>9000</v>
      </c>
      <c r="J913" s="2" t="n">
        <v>0</v>
      </c>
      <c r="K913" s="2" t="n">
        <v>6200</v>
      </c>
    </row>
    <row r="914" customFormat="false" ht="15" hidden="false" customHeight="false" outlineLevel="0" collapsed="false">
      <c r="A914" s="2" t="s">
        <v>1360</v>
      </c>
      <c r="B914" s="2" t="s">
        <v>1358</v>
      </c>
      <c r="C914" s="10" t="n">
        <v>45966</v>
      </c>
      <c r="D914" s="2" t="s">
        <v>77</v>
      </c>
      <c r="E914" s="2" t="s">
        <v>64</v>
      </c>
      <c r="F914" s="2" t="s">
        <v>70</v>
      </c>
      <c r="G914" s="2" t="s">
        <v>126</v>
      </c>
      <c r="H914" s="2" t="n">
        <v>2</v>
      </c>
      <c r="I914" s="2" t="n">
        <v>4500</v>
      </c>
      <c r="J914" s="2" t="n">
        <v>0.05</v>
      </c>
      <c r="K914" s="2" t="n">
        <v>3300</v>
      </c>
    </row>
    <row r="915" customFormat="false" ht="15" hidden="false" customHeight="false" outlineLevel="0" collapsed="false">
      <c r="A915" s="2" t="s">
        <v>1361</v>
      </c>
      <c r="B915" s="2" t="s">
        <v>1358</v>
      </c>
      <c r="C915" s="10" t="n">
        <v>45814</v>
      </c>
      <c r="D915" s="2" t="s">
        <v>77</v>
      </c>
      <c r="E915" s="2" t="s">
        <v>64</v>
      </c>
      <c r="F915" s="2" t="s">
        <v>65</v>
      </c>
      <c r="G915" s="2" t="s">
        <v>66</v>
      </c>
      <c r="H915" s="2" t="n">
        <v>8</v>
      </c>
      <c r="I915" s="2" t="n">
        <v>600</v>
      </c>
      <c r="J915" s="2" t="n">
        <v>0</v>
      </c>
      <c r="K915" s="2" t="n">
        <v>300</v>
      </c>
    </row>
    <row r="916" customFormat="false" ht="15" hidden="false" customHeight="false" outlineLevel="0" collapsed="false">
      <c r="A916" s="2" t="s">
        <v>1362</v>
      </c>
      <c r="B916" s="2" t="s">
        <v>1358</v>
      </c>
      <c r="C916" s="10" t="n">
        <v>45925</v>
      </c>
      <c r="D916" s="2" t="s">
        <v>77</v>
      </c>
      <c r="E916" s="2" t="s">
        <v>64</v>
      </c>
      <c r="F916" s="2" t="s">
        <v>73</v>
      </c>
      <c r="G916" s="2" t="s">
        <v>74</v>
      </c>
      <c r="H916" s="2" t="n">
        <v>1</v>
      </c>
      <c r="I916" s="2" t="n">
        <v>7000</v>
      </c>
      <c r="J916" s="2" t="n">
        <v>0.05</v>
      </c>
      <c r="K916" s="2" t="n">
        <v>4800</v>
      </c>
    </row>
    <row r="917" customFormat="false" ht="15" hidden="false" customHeight="false" outlineLevel="0" collapsed="false">
      <c r="A917" s="2" t="s">
        <v>1363</v>
      </c>
      <c r="B917" s="2" t="s">
        <v>1358</v>
      </c>
      <c r="C917" s="10" t="n">
        <v>45716</v>
      </c>
      <c r="D917" s="2" t="s">
        <v>77</v>
      </c>
      <c r="E917" s="2" t="s">
        <v>64</v>
      </c>
      <c r="F917" s="2" t="s">
        <v>73</v>
      </c>
      <c r="G917" s="2" t="s">
        <v>74</v>
      </c>
      <c r="H917" s="2" t="n">
        <v>1</v>
      </c>
      <c r="I917" s="2" t="n">
        <v>7000</v>
      </c>
      <c r="J917" s="2" t="n">
        <v>0.05</v>
      </c>
      <c r="K917" s="2" t="n">
        <v>4800</v>
      </c>
    </row>
    <row r="918" customFormat="false" ht="15" hidden="false" customHeight="false" outlineLevel="0" collapsed="false">
      <c r="A918" s="2" t="s">
        <v>1364</v>
      </c>
      <c r="B918" s="2" t="s">
        <v>1358</v>
      </c>
      <c r="C918" s="10" t="n">
        <v>45993</v>
      </c>
      <c r="D918" s="2" t="s">
        <v>77</v>
      </c>
      <c r="E918" s="2" t="s">
        <v>64</v>
      </c>
      <c r="F918" s="2" t="s">
        <v>70</v>
      </c>
      <c r="G918" s="2" t="s">
        <v>122</v>
      </c>
      <c r="H918" s="2" t="n">
        <v>1</v>
      </c>
      <c r="I918" s="2" t="n">
        <v>1500</v>
      </c>
      <c r="J918" s="2" t="n">
        <v>0.05</v>
      </c>
      <c r="K918" s="2" t="n">
        <v>900</v>
      </c>
    </row>
    <row r="919" customFormat="false" ht="15" hidden="false" customHeight="false" outlineLevel="0" collapsed="false">
      <c r="A919" s="2" t="s">
        <v>1365</v>
      </c>
      <c r="B919" s="2" t="s">
        <v>1358</v>
      </c>
      <c r="C919" s="10" t="n">
        <v>45755</v>
      </c>
      <c r="D919" s="2" t="s">
        <v>77</v>
      </c>
      <c r="E919" s="2" t="s">
        <v>64</v>
      </c>
      <c r="F919" s="2" t="s">
        <v>65</v>
      </c>
      <c r="G919" s="2" t="s">
        <v>78</v>
      </c>
      <c r="H919" s="2" t="n">
        <v>7</v>
      </c>
      <c r="I919" s="2" t="n">
        <v>400</v>
      </c>
      <c r="J919" s="2" t="n">
        <v>0</v>
      </c>
      <c r="K919" s="2" t="n">
        <v>200</v>
      </c>
    </row>
    <row r="920" customFormat="false" ht="15" hidden="false" customHeight="false" outlineLevel="0" collapsed="false">
      <c r="A920" s="2" t="s">
        <v>1366</v>
      </c>
      <c r="B920" s="2" t="s">
        <v>1367</v>
      </c>
      <c r="C920" s="10" t="n">
        <v>45934</v>
      </c>
      <c r="D920" s="2" t="s">
        <v>77</v>
      </c>
      <c r="E920" s="2" t="s">
        <v>64</v>
      </c>
      <c r="F920" s="2" t="s">
        <v>70</v>
      </c>
      <c r="G920" s="2" t="s">
        <v>122</v>
      </c>
      <c r="H920" s="2" t="n">
        <v>1</v>
      </c>
      <c r="I920" s="2" t="n">
        <v>1500</v>
      </c>
      <c r="J920" s="2" t="n">
        <v>0.1</v>
      </c>
      <c r="K920" s="2" t="n">
        <v>900</v>
      </c>
    </row>
    <row r="921" customFormat="false" ht="15" hidden="false" customHeight="false" outlineLevel="0" collapsed="false">
      <c r="A921" s="2" t="s">
        <v>1368</v>
      </c>
      <c r="B921" s="2" t="s">
        <v>1367</v>
      </c>
      <c r="C921" s="10" t="n">
        <v>45933</v>
      </c>
      <c r="D921" s="2" t="s">
        <v>77</v>
      </c>
      <c r="E921" s="2" t="s">
        <v>64</v>
      </c>
      <c r="F921" s="2" t="s">
        <v>70</v>
      </c>
      <c r="G921" s="2" t="s">
        <v>71</v>
      </c>
      <c r="H921" s="2" t="n">
        <v>2</v>
      </c>
      <c r="I921" s="2" t="n">
        <v>2500</v>
      </c>
      <c r="J921" s="2" t="n">
        <v>0.1</v>
      </c>
      <c r="K921" s="2" t="n">
        <v>1600</v>
      </c>
    </row>
    <row r="922" customFormat="false" ht="15" hidden="false" customHeight="false" outlineLevel="0" collapsed="false">
      <c r="A922" s="2" t="s">
        <v>1369</v>
      </c>
      <c r="B922" s="2" t="s">
        <v>1367</v>
      </c>
      <c r="C922" s="10" t="n">
        <v>45696</v>
      </c>
      <c r="D922" s="2" t="s">
        <v>77</v>
      </c>
      <c r="E922" s="2" t="s">
        <v>64</v>
      </c>
      <c r="F922" s="2" t="s">
        <v>70</v>
      </c>
      <c r="G922" s="2" t="s">
        <v>97</v>
      </c>
      <c r="H922" s="2" t="n">
        <v>1</v>
      </c>
      <c r="I922" s="2" t="n">
        <v>3000</v>
      </c>
      <c r="J922" s="2" t="n">
        <v>0</v>
      </c>
      <c r="K922" s="2" t="n">
        <v>2000</v>
      </c>
    </row>
    <row r="923" customFormat="false" ht="15" hidden="false" customHeight="false" outlineLevel="0" collapsed="false">
      <c r="A923" s="2" t="s">
        <v>1370</v>
      </c>
      <c r="B923" s="2" t="s">
        <v>1367</v>
      </c>
      <c r="C923" s="10" t="n">
        <v>45933</v>
      </c>
      <c r="D923" s="2" t="s">
        <v>77</v>
      </c>
      <c r="E923" s="2" t="s">
        <v>64</v>
      </c>
      <c r="F923" s="2" t="s">
        <v>65</v>
      </c>
      <c r="G923" s="2" t="s">
        <v>107</v>
      </c>
      <c r="H923" s="2" t="n">
        <v>5</v>
      </c>
      <c r="I923" s="2" t="n">
        <v>500</v>
      </c>
      <c r="J923" s="2" t="n">
        <v>0.05</v>
      </c>
      <c r="K923" s="2" t="n">
        <v>250</v>
      </c>
    </row>
    <row r="924" customFormat="false" ht="15" hidden="false" customHeight="false" outlineLevel="0" collapsed="false">
      <c r="A924" s="2" t="s">
        <v>1371</v>
      </c>
      <c r="B924" s="2" t="s">
        <v>1367</v>
      </c>
      <c r="C924" s="10" t="n">
        <v>45788</v>
      </c>
      <c r="D924" s="2" t="s">
        <v>77</v>
      </c>
      <c r="E924" s="2" t="s">
        <v>64</v>
      </c>
      <c r="F924" s="2" t="s">
        <v>70</v>
      </c>
      <c r="G924" s="2" t="s">
        <v>122</v>
      </c>
      <c r="H924" s="2" t="n">
        <v>2</v>
      </c>
      <c r="I924" s="2" t="n">
        <v>1500</v>
      </c>
      <c r="J924" s="2" t="n">
        <v>0</v>
      </c>
      <c r="K924" s="2" t="n">
        <v>900</v>
      </c>
    </row>
    <row r="925" customFormat="false" ht="15" hidden="false" customHeight="false" outlineLevel="0" collapsed="false">
      <c r="A925" s="2" t="s">
        <v>1372</v>
      </c>
      <c r="B925" s="2" t="s">
        <v>1373</v>
      </c>
      <c r="C925" s="10" t="n">
        <v>45919</v>
      </c>
      <c r="D925" s="2" t="s">
        <v>63</v>
      </c>
      <c r="E925" s="2" t="s">
        <v>69</v>
      </c>
      <c r="F925" s="2" t="s">
        <v>65</v>
      </c>
      <c r="G925" s="2" t="s">
        <v>78</v>
      </c>
      <c r="H925" s="2" t="n">
        <v>12</v>
      </c>
      <c r="I925" s="2" t="n">
        <v>400</v>
      </c>
      <c r="J925" s="2" t="n">
        <v>0</v>
      </c>
      <c r="K925" s="2" t="n">
        <v>200</v>
      </c>
    </row>
    <row r="926" customFormat="false" ht="15" hidden="false" customHeight="false" outlineLevel="0" collapsed="false">
      <c r="A926" s="2" t="s">
        <v>1374</v>
      </c>
      <c r="B926" s="2" t="s">
        <v>1375</v>
      </c>
      <c r="C926" s="10" t="n">
        <v>45810</v>
      </c>
      <c r="D926" s="2" t="s">
        <v>77</v>
      </c>
      <c r="E926" s="2" t="s">
        <v>69</v>
      </c>
      <c r="F926" s="2" t="s">
        <v>73</v>
      </c>
      <c r="G926" s="2" t="s">
        <v>85</v>
      </c>
      <c r="H926" s="2" t="n">
        <v>1</v>
      </c>
      <c r="I926" s="2" t="n">
        <v>1200</v>
      </c>
      <c r="J926" s="2" t="n">
        <v>0.1</v>
      </c>
      <c r="K926" s="2" t="n">
        <v>600</v>
      </c>
    </row>
    <row r="927" customFormat="false" ht="15" hidden="false" customHeight="false" outlineLevel="0" collapsed="false">
      <c r="A927" s="2" t="s">
        <v>1376</v>
      </c>
      <c r="B927" s="2" t="s">
        <v>1375</v>
      </c>
      <c r="C927" s="10" t="n">
        <v>45876</v>
      </c>
      <c r="D927" s="2" t="s">
        <v>77</v>
      </c>
      <c r="E927" s="2" t="s">
        <v>69</v>
      </c>
      <c r="F927" s="2" t="s">
        <v>65</v>
      </c>
      <c r="G927" s="2" t="s">
        <v>82</v>
      </c>
      <c r="H927" s="2" t="n">
        <v>10</v>
      </c>
      <c r="I927" s="2" t="n">
        <v>250</v>
      </c>
      <c r="J927" s="2" t="n">
        <v>0</v>
      </c>
      <c r="K927" s="2" t="n">
        <v>100</v>
      </c>
    </row>
    <row r="928" customFormat="false" ht="15" hidden="false" customHeight="false" outlineLevel="0" collapsed="false">
      <c r="A928" s="2" t="s">
        <v>1377</v>
      </c>
      <c r="B928" s="2" t="s">
        <v>1375</v>
      </c>
      <c r="C928" s="10" t="n">
        <v>45792</v>
      </c>
      <c r="D928" s="2" t="s">
        <v>77</v>
      </c>
      <c r="E928" s="2" t="s">
        <v>69</v>
      </c>
      <c r="F928" s="2" t="s">
        <v>65</v>
      </c>
      <c r="G928" s="2" t="s">
        <v>78</v>
      </c>
      <c r="H928" s="2" t="n">
        <v>20</v>
      </c>
      <c r="I928" s="2" t="n">
        <v>400</v>
      </c>
      <c r="J928" s="2" t="n">
        <v>0.05</v>
      </c>
      <c r="K928" s="2" t="n">
        <v>200</v>
      </c>
    </row>
    <row r="929" customFormat="false" ht="15" hidden="false" customHeight="false" outlineLevel="0" collapsed="false">
      <c r="A929" s="2" t="s">
        <v>1378</v>
      </c>
      <c r="B929" s="2" t="s">
        <v>1375</v>
      </c>
      <c r="C929" s="10" t="n">
        <v>45934</v>
      </c>
      <c r="D929" s="2" t="s">
        <v>77</v>
      </c>
      <c r="E929" s="2" t="s">
        <v>69</v>
      </c>
      <c r="F929" s="2" t="s">
        <v>73</v>
      </c>
      <c r="G929" s="2" t="s">
        <v>87</v>
      </c>
      <c r="H929" s="2" t="n">
        <v>4</v>
      </c>
      <c r="I929" s="2" t="n">
        <v>9000</v>
      </c>
      <c r="J929" s="2" t="n">
        <v>0.05</v>
      </c>
      <c r="K929" s="2" t="n">
        <v>6200</v>
      </c>
    </row>
    <row r="930" customFormat="false" ht="15" hidden="false" customHeight="false" outlineLevel="0" collapsed="false">
      <c r="A930" s="2" t="s">
        <v>1379</v>
      </c>
      <c r="B930" s="2" t="s">
        <v>1380</v>
      </c>
      <c r="C930" s="10" t="n">
        <v>45953</v>
      </c>
      <c r="D930" s="2" t="s">
        <v>63</v>
      </c>
      <c r="E930" s="2" t="s">
        <v>69</v>
      </c>
      <c r="F930" s="2" t="s">
        <v>70</v>
      </c>
      <c r="G930" s="2" t="s">
        <v>126</v>
      </c>
      <c r="H930" s="2" t="n">
        <v>3</v>
      </c>
      <c r="I930" s="2" t="n">
        <v>4500</v>
      </c>
      <c r="J930" s="2" t="n">
        <v>0.05</v>
      </c>
      <c r="K930" s="2" t="n">
        <v>3300</v>
      </c>
    </row>
    <row r="931" customFormat="false" ht="15" hidden="false" customHeight="false" outlineLevel="0" collapsed="false">
      <c r="A931" s="2" t="s">
        <v>1381</v>
      </c>
      <c r="B931" s="2" t="s">
        <v>1382</v>
      </c>
      <c r="C931" s="10" t="n">
        <v>45798</v>
      </c>
      <c r="D931" s="2" t="s">
        <v>63</v>
      </c>
      <c r="E931" s="2" t="s">
        <v>92</v>
      </c>
      <c r="F931" s="2" t="s">
        <v>73</v>
      </c>
      <c r="G931" s="2" t="s">
        <v>85</v>
      </c>
      <c r="H931" s="2" t="n">
        <v>3</v>
      </c>
      <c r="I931" s="2" t="n">
        <v>1200</v>
      </c>
      <c r="J931" s="2" t="n">
        <v>0</v>
      </c>
      <c r="K931" s="2" t="n">
        <v>600</v>
      </c>
    </row>
    <row r="932" customFormat="false" ht="15" hidden="false" customHeight="false" outlineLevel="0" collapsed="false">
      <c r="A932" s="2" t="s">
        <v>1383</v>
      </c>
      <c r="B932" s="2" t="s">
        <v>1382</v>
      </c>
      <c r="C932" s="10" t="n">
        <v>45918</v>
      </c>
      <c r="D932" s="2" t="s">
        <v>63</v>
      </c>
      <c r="E932" s="2" t="s">
        <v>92</v>
      </c>
      <c r="F932" s="2" t="s">
        <v>73</v>
      </c>
      <c r="G932" s="2" t="s">
        <v>74</v>
      </c>
      <c r="H932" s="2" t="n">
        <v>7</v>
      </c>
      <c r="I932" s="2" t="n">
        <v>7000</v>
      </c>
      <c r="J932" s="2" t="n">
        <v>0</v>
      </c>
      <c r="K932" s="2" t="n">
        <v>4800</v>
      </c>
    </row>
    <row r="933" customFormat="false" ht="15" hidden="false" customHeight="false" outlineLevel="0" collapsed="false">
      <c r="A933" s="2" t="s">
        <v>1384</v>
      </c>
      <c r="B933" s="2" t="s">
        <v>1382</v>
      </c>
      <c r="C933" s="10" t="n">
        <v>45782</v>
      </c>
      <c r="D933" s="2" t="s">
        <v>63</v>
      </c>
      <c r="E933" s="2" t="s">
        <v>92</v>
      </c>
      <c r="F933" s="2" t="s">
        <v>73</v>
      </c>
      <c r="G933" s="2" t="s">
        <v>87</v>
      </c>
      <c r="H933" s="2" t="n">
        <v>3</v>
      </c>
      <c r="I933" s="2" t="n">
        <v>9000</v>
      </c>
      <c r="J933" s="2" t="n">
        <v>0.1</v>
      </c>
      <c r="K933" s="2" t="n">
        <v>6200</v>
      </c>
    </row>
    <row r="934" customFormat="false" ht="15" hidden="false" customHeight="false" outlineLevel="0" collapsed="false">
      <c r="A934" s="2" t="s">
        <v>1385</v>
      </c>
      <c r="B934" s="2" t="s">
        <v>1382</v>
      </c>
      <c r="C934" s="10" t="n">
        <v>46013</v>
      </c>
      <c r="D934" s="2" t="s">
        <v>63</v>
      </c>
      <c r="E934" s="2" t="s">
        <v>92</v>
      </c>
      <c r="F934" s="2" t="s">
        <v>73</v>
      </c>
      <c r="G934" s="2" t="s">
        <v>85</v>
      </c>
      <c r="H934" s="2" t="n">
        <v>8</v>
      </c>
      <c r="I934" s="2" t="n">
        <v>1200</v>
      </c>
      <c r="J934" s="2" t="n">
        <v>0.15</v>
      </c>
      <c r="K934" s="2" t="n">
        <v>600</v>
      </c>
    </row>
    <row r="935" customFormat="false" ht="15" hidden="false" customHeight="false" outlineLevel="0" collapsed="false">
      <c r="A935" s="2" t="s">
        <v>1386</v>
      </c>
      <c r="B935" s="2" t="s">
        <v>1387</v>
      </c>
      <c r="C935" s="10" t="n">
        <v>45823</v>
      </c>
      <c r="D935" s="2" t="s">
        <v>91</v>
      </c>
      <c r="E935" s="2" t="s">
        <v>64</v>
      </c>
      <c r="F935" s="2" t="s">
        <v>70</v>
      </c>
      <c r="G935" s="2" t="s">
        <v>126</v>
      </c>
      <c r="H935" s="2" t="n">
        <v>3</v>
      </c>
      <c r="I935" s="2" t="n">
        <v>4500</v>
      </c>
      <c r="J935" s="2" t="n">
        <v>0.1</v>
      </c>
      <c r="K935" s="2" t="n">
        <v>3300</v>
      </c>
    </row>
    <row r="936" customFormat="false" ht="15" hidden="false" customHeight="false" outlineLevel="0" collapsed="false">
      <c r="A936" s="2" t="s">
        <v>1388</v>
      </c>
      <c r="B936" s="2" t="s">
        <v>1387</v>
      </c>
      <c r="C936" s="10" t="n">
        <v>45818</v>
      </c>
      <c r="D936" s="2" t="s">
        <v>91</v>
      </c>
      <c r="E936" s="2" t="s">
        <v>64</v>
      </c>
      <c r="F936" s="2" t="s">
        <v>70</v>
      </c>
      <c r="G936" s="2" t="s">
        <v>71</v>
      </c>
      <c r="H936" s="2" t="n">
        <v>2</v>
      </c>
      <c r="I936" s="2" t="n">
        <v>2500</v>
      </c>
      <c r="J936" s="2" t="n">
        <v>0</v>
      </c>
      <c r="K936" s="2" t="n">
        <v>1600</v>
      </c>
    </row>
    <row r="937" customFormat="false" ht="15" hidden="false" customHeight="false" outlineLevel="0" collapsed="false">
      <c r="A937" s="2" t="s">
        <v>1389</v>
      </c>
      <c r="B937" s="2" t="s">
        <v>1387</v>
      </c>
      <c r="C937" s="10" t="n">
        <v>45857</v>
      </c>
      <c r="D937" s="2" t="s">
        <v>91</v>
      </c>
      <c r="E937" s="2" t="s">
        <v>64</v>
      </c>
      <c r="F937" s="2" t="s">
        <v>73</v>
      </c>
      <c r="G937" s="2" t="s">
        <v>85</v>
      </c>
      <c r="H937" s="2" t="n">
        <v>1</v>
      </c>
      <c r="I937" s="2" t="n">
        <v>1200</v>
      </c>
      <c r="J937" s="2" t="n">
        <v>0</v>
      </c>
      <c r="K937" s="2" t="n">
        <v>600</v>
      </c>
    </row>
    <row r="938" customFormat="false" ht="15" hidden="false" customHeight="false" outlineLevel="0" collapsed="false">
      <c r="A938" s="2" t="s">
        <v>1390</v>
      </c>
      <c r="B938" s="2" t="s">
        <v>1387</v>
      </c>
      <c r="C938" s="10" t="n">
        <v>45931</v>
      </c>
      <c r="D938" s="2" t="s">
        <v>91</v>
      </c>
      <c r="E938" s="2" t="s">
        <v>64</v>
      </c>
      <c r="F938" s="2" t="s">
        <v>65</v>
      </c>
      <c r="G938" s="2" t="s">
        <v>82</v>
      </c>
      <c r="H938" s="2" t="n">
        <v>2</v>
      </c>
      <c r="I938" s="2" t="n">
        <v>250</v>
      </c>
      <c r="J938" s="2" t="n">
        <v>0.05</v>
      </c>
      <c r="K938" s="2" t="n">
        <v>100</v>
      </c>
    </row>
    <row r="939" customFormat="false" ht="15" hidden="false" customHeight="false" outlineLevel="0" collapsed="false">
      <c r="A939" s="2" t="s">
        <v>1391</v>
      </c>
      <c r="B939" s="2" t="s">
        <v>1387</v>
      </c>
      <c r="C939" s="10" t="n">
        <v>45912</v>
      </c>
      <c r="D939" s="2" t="s">
        <v>91</v>
      </c>
      <c r="E939" s="2" t="s">
        <v>64</v>
      </c>
      <c r="F939" s="2" t="s">
        <v>73</v>
      </c>
      <c r="G939" s="2" t="s">
        <v>104</v>
      </c>
      <c r="H939" s="2" t="n">
        <v>2</v>
      </c>
      <c r="I939" s="2" t="n">
        <v>5500</v>
      </c>
      <c r="J939" s="2" t="n">
        <v>0.05</v>
      </c>
      <c r="K939" s="2" t="n">
        <v>3600</v>
      </c>
    </row>
    <row r="940" customFormat="false" ht="15" hidden="false" customHeight="false" outlineLevel="0" collapsed="false">
      <c r="A940" s="2" t="s">
        <v>1392</v>
      </c>
      <c r="B940" s="2" t="s">
        <v>1393</v>
      </c>
      <c r="C940" s="10" t="n">
        <v>45784</v>
      </c>
      <c r="D940" s="2" t="s">
        <v>63</v>
      </c>
      <c r="E940" s="2" t="s">
        <v>64</v>
      </c>
      <c r="F940" s="2" t="s">
        <v>70</v>
      </c>
      <c r="G940" s="2" t="s">
        <v>97</v>
      </c>
      <c r="H940" s="2" t="n">
        <v>3</v>
      </c>
      <c r="I940" s="2" t="n">
        <v>3000</v>
      </c>
      <c r="J940" s="2" t="n">
        <v>0</v>
      </c>
      <c r="K940" s="2" t="n">
        <v>2000</v>
      </c>
    </row>
    <row r="941" customFormat="false" ht="15" hidden="false" customHeight="false" outlineLevel="0" collapsed="false">
      <c r="A941" s="2" t="s">
        <v>1394</v>
      </c>
      <c r="B941" s="2" t="s">
        <v>1395</v>
      </c>
      <c r="C941" s="10" t="n">
        <v>45786</v>
      </c>
      <c r="D941" s="2" t="s">
        <v>63</v>
      </c>
      <c r="E941" s="2" t="s">
        <v>64</v>
      </c>
      <c r="F941" s="2" t="s">
        <v>65</v>
      </c>
      <c r="G941" s="2" t="s">
        <v>107</v>
      </c>
      <c r="H941" s="2" t="n">
        <v>3</v>
      </c>
      <c r="I941" s="2" t="n">
        <v>500</v>
      </c>
      <c r="J941" s="2" t="n">
        <v>0.05</v>
      </c>
      <c r="K941" s="2" t="n">
        <v>250</v>
      </c>
    </row>
    <row r="942" customFormat="false" ht="15" hidden="false" customHeight="false" outlineLevel="0" collapsed="false">
      <c r="A942" s="2" t="s">
        <v>1396</v>
      </c>
      <c r="B942" s="2" t="s">
        <v>1397</v>
      </c>
      <c r="C942" s="10" t="n">
        <v>45668</v>
      </c>
      <c r="D942" s="2" t="s">
        <v>81</v>
      </c>
      <c r="E942" s="2" t="s">
        <v>64</v>
      </c>
      <c r="F942" s="2" t="s">
        <v>70</v>
      </c>
      <c r="G942" s="2" t="s">
        <v>126</v>
      </c>
      <c r="H942" s="2" t="n">
        <v>2</v>
      </c>
      <c r="I942" s="2" t="n">
        <v>4500</v>
      </c>
      <c r="J942" s="2" t="n">
        <v>0</v>
      </c>
      <c r="K942" s="2" t="n">
        <v>3300</v>
      </c>
    </row>
    <row r="943" customFormat="false" ht="15" hidden="false" customHeight="false" outlineLevel="0" collapsed="false">
      <c r="A943" s="2" t="s">
        <v>1398</v>
      </c>
      <c r="B943" s="2" t="s">
        <v>1397</v>
      </c>
      <c r="C943" s="10" t="n">
        <v>45802</v>
      </c>
      <c r="D943" s="2" t="s">
        <v>81</v>
      </c>
      <c r="E943" s="2" t="s">
        <v>64</v>
      </c>
      <c r="F943" s="2" t="s">
        <v>73</v>
      </c>
      <c r="G943" s="2" t="s">
        <v>85</v>
      </c>
      <c r="H943" s="2" t="n">
        <v>3</v>
      </c>
      <c r="I943" s="2" t="n">
        <v>1200</v>
      </c>
      <c r="J943" s="2" t="n">
        <v>0</v>
      </c>
      <c r="K943" s="2" t="n">
        <v>600</v>
      </c>
    </row>
    <row r="944" customFormat="false" ht="15" hidden="false" customHeight="false" outlineLevel="0" collapsed="false">
      <c r="A944" s="2" t="s">
        <v>1399</v>
      </c>
      <c r="B944" s="2" t="s">
        <v>1397</v>
      </c>
      <c r="C944" s="10" t="n">
        <v>45987</v>
      </c>
      <c r="D944" s="2" t="s">
        <v>81</v>
      </c>
      <c r="E944" s="2" t="s">
        <v>64</v>
      </c>
      <c r="F944" s="2" t="s">
        <v>73</v>
      </c>
      <c r="G944" s="2" t="s">
        <v>87</v>
      </c>
      <c r="H944" s="2" t="n">
        <v>1</v>
      </c>
      <c r="I944" s="2" t="n">
        <v>9000</v>
      </c>
      <c r="J944" s="2" t="n">
        <v>0.15</v>
      </c>
      <c r="K944" s="2" t="n">
        <v>6200</v>
      </c>
    </row>
    <row r="945" customFormat="false" ht="15" hidden="false" customHeight="false" outlineLevel="0" collapsed="false">
      <c r="A945" s="2" t="s">
        <v>1400</v>
      </c>
      <c r="B945" s="2" t="s">
        <v>1401</v>
      </c>
      <c r="C945" s="10" t="n">
        <v>45918</v>
      </c>
      <c r="D945" s="2" t="s">
        <v>77</v>
      </c>
      <c r="E945" s="2" t="s">
        <v>64</v>
      </c>
      <c r="F945" s="2" t="s">
        <v>70</v>
      </c>
      <c r="G945" s="2" t="s">
        <v>122</v>
      </c>
      <c r="H945" s="2" t="n">
        <v>3</v>
      </c>
      <c r="I945" s="2" t="n">
        <v>1500</v>
      </c>
      <c r="J945" s="2" t="n">
        <v>0.1</v>
      </c>
      <c r="K945" s="2" t="n">
        <v>900</v>
      </c>
    </row>
    <row r="946" customFormat="false" ht="15" hidden="false" customHeight="false" outlineLevel="0" collapsed="false">
      <c r="A946" s="2" t="s">
        <v>1402</v>
      </c>
      <c r="B946" s="2" t="s">
        <v>1401</v>
      </c>
      <c r="C946" s="10" t="n">
        <v>45995</v>
      </c>
      <c r="D946" s="2" t="s">
        <v>77</v>
      </c>
      <c r="E946" s="2" t="s">
        <v>64</v>
      </c>
      <c r="F946" s="2" t="s">
        <v>65</v>
      </c>
      <c r="G946" s="2" t="s">
        <v>107</v>
      </c>
      <c r="H946" s="2" t="n">
        <v>3</v>
      </c>
      <c r="I946" s="2" t="n">
        <v>500</v>
      </c>
      <c r="J946" s="2" t="n">
        <v>0.15</v>
      </c>
      <c r="K946" s="2" t="n">
        <v>250</v>
      </c>
    </row>
    <row r="947" customFormat="false" ht="15" hidden="false" customHeight="false" outlineLevel="0" collapsed="false">
      <c r="A947" s="2" t="s">
        <v>1403</v>
      </c>
      <c r="B947" s="2" t="s">
        <v>1404</v>
      </c>
      <c r="C947" s="10" t="n">
        <v>45662</v>
      </c>
      <c r="D947" s="2" t="s">
        <v>77</v>
      </c>
      <c r="E947" s="2" t="s">
        <v>64</v>
      </c>
      <c r="F947" s="2" t="s">
        <v>73</v>
      </c>
      <c r="G947" s="2" t="s">
        <v>104</v>
      </c>
      <c r="H947" s="2" t="n">
        <v>2</v>
      </c>
      <c r="I947" s="2" t="n">
        <v>5500</v>
      </c>
      <c r="J947" s="2" t="n">
        <v>0.1</v>
      </c>
      <c r="K947" s="2" t="n">
        <v>3600</v>
      </c>
    </row>
    <row r="948" customFormat="false" ht="15" hidden="false" customHeight="false" outlineLevel="0" collapsed="false">
      <c r="A948" s="2" t="s">
        <v>1405</v>
      </c>
      <c r="B948" s="2" t="s">
        <v>1404</v>
      </c>
      <c r="C948" s="10" t="n">
        <v>45967</v>
      </c>
      <c r="D948" s="2" t="s">
        <v>77</v>
      </c>
      <c r="E948" s="2" t="s">
        <v>64</v>
      </c>
      <c r="F948" s="2" t="s">
        <v>70</v>
      </c>
      <c r="G948" s="2" t="s">
        <v>122</v>
      </c>
      <c r="H948" s="2" t="n">
        <v>1</v>
      </c>
      <c r="I948" s="2" t="n">
        <v>1500</v>
      </c>
      <c r="J948" s="2" t="n">
        <v>0.1</v>
      </c>
      <c r="K948" s="2" t="n">
        <v>900</v>
      </c>
    </row>
    <row r="949" customFormat="false" ht="15" hidden="false" customHeight="false" outlineLevel="0" collapsed="false">
      <c r="A949" s="2" t="s">
        <v>1406</v>
      </c>
      <c r="B949" s="2" t="s">
        <v>1404</v>
      </c>
      <c r="C949" s="10" t="n">
        <v>46000</v>
      </c>
      <c r="D949" s="2" t="s">
        <v>77</v>
      </c>
      <c r="E949" s="2" t="s">
        <v>64</v>
      </c>
      <c r="F949" s="2" t="s">
        <v>70</v>
      </c>
      <c r="G949" s="2" t="s">
        <v>71</v>
      </c>
      <c r="H949" s="2" t="n">
        <v>3</v>
      </c>
      <c r="I949" s="2" t="n">
        <v>2500</v>
      </c>
      <c r="J949" s="2" t="n">
        <v>0.1</v>
      </c>
      <c r="K949" s="2" t="n">
        <v>1600</v>
      </c>
    </row>
    <row r="950" customFormat="false" ht="15" hidden="false" customHeight="false" outlineLevel="0" collapsed="false">
      <c r="A950" s="2" t="s">
        <v>1407</v>
      </c>
      <c r="B950" s="2" t="s">
        <v>1404</v>
      </c>
      <c r="C950" s="10" t="n">
        <v>45751</v>
      </c>
      <c r="D950" s="2" t="s">
        <v>77</v>
      </c>
      <c r="E950" s="2" t="s">
        <v>64</v>
      </c>
      <c r="F950" s="2" t="s">
        <v>70</v>
      </c>
      <c r="G950" s="2" t="s">
        <v>126</v>
      </c>
      <c r="H950" s="2" t="n">
        <v>1</v>
      </c>
      <c r="I950" s="2" t="n">
        <v>4500</v>
      </c>
      <c r="J950" s="2" t="n">
        <v>0.05</v>
      </c>
      <c r="K950" s="2" t="n">
        <v>3300</v>
      </c>
    </row>
    <row r="951" customFormat="false" ht="15" hidden="false" customHeight="false" outlineLevel="0" collapsed="false">
      <c r="A951" s="2" t="s">
        <v>1408</v>
      </c>
      <c r="B951" s="2" t="s">
        <v>1404</v>
      </c>
      <c r="C951" s="10" t="n">
        <v>45933</v>
      </c>
      <c r="D951" s="2" t="s">
        <v>77</v>
      </c>
      <c r="E951" s="2" t="s">
        <v>64</v>
      </c>
      <c r="F951" s="2" t="s">
        <v>70</v>
      </c>
      <c r="G951" s="2" t="s">
        <v>71</v>
      </c>
      <c r="H951" s="2" t="n">
        <v>2</v>
      </c>
      <c r="I951" s="2" t="n">
        <v>2500</v>
      </c>
      <c r="J951" s="2" t="n">
        <v>0.05</v>
      </c>
      <c r="K951" s="2" t="n">
        <v>1600</v>
      </c>
    </row>
    <row r="952" customFormat="false" ht="15" hidden="false" customHeight="false" outlineLevel="0" collapsed="false">
      <c r="A952" s="2" t="s">
        <v>1409</v>
      </c>
      <c r="B952" s="2" t="s">
        <v>1404</v>
      </c>
      <c r="C952" s="10" t="n">
        <v>46005</v>
      </c>
      <c r="D952" s="2" t="s">
        <v>77</v>
      </c>
      <c r="E952" s="2" t="s">
        <v>64</v>
      </c>
      <c r="F952" s="2" t="s">
        <v>65</v>
      </c>
      <c r="G952" s="2" t="s">
        <v>66</v>
      </c>
      <c r="H952" s="2" t="n">
        <v>8</v>
      </c>
      <c r="I952" s="2" t="n">
        <v>600</v>
      </c>
      <c r="J952" s="2" t="n">
        <v>0.05</v>
      </c>
      <c r="K952" s="2" t="n">
        <v>300</v>
      </c>
    </row>
    <row r="953" customFormat="false" ht="15" hidden="false" customHeight="false" outlineLevel="0" collapsed="false">
      <c r="A953" s="2" t="s">
        <v>1410</v>
      </c>
      <c r="B953" s="2" t="s">
        <v>1404</v>
      </c>
      <c r="C953" s="10" t="n">
        <v>45683</v>
      </c>
      <c r="D953" s="2" t="s">
        <v>77</v>
      </c>
      <c r="E953" s="2" t="s">
        <v>64</v>
      </c>
      <c r="F953" s="2" t="s">
        <v>70</v>
      </c>
      <c r="G953" s="2" t="s">
        <v>71</v>
      </c>
      <c r="H953" s="2" t="n">
        <v>3</v>
      </c>
      <c r="I953" s="2" t="n">
        <v>2500</v>
      </c>
      <c r="J953" s="2" t="n">
        <v>0</v>
      </c>
      <c r="K953" s="2" t="n">
        <v>1600</v>
      </c>
    </row>
    <row r="954" customFormat="false" ht="15" hidden="false" customHeight="false" outlineLevel="0" collapsed="false">
      <c r="A954" s="2" t="s">
        <v>1411</v>
      </c>
      <c r="B954" s="2" t="s">
        <v>1404</v>
      </c>
      <c r="C954" s="10" t="n">
        <v>45919</v>
      </c>
      <c r="D954" s="2" t="s">
        <v>77</v>
      </c>
      <c r="E954" s="2" t="s">
        <v>64</v>
      </c>
      <c r="F954" s="2" t="s">
        <v>73</v>
      </c>
      <c r="G954" s="2" t="s">
        <v>74</v>
      </c>
      <c r="H954" s="2" t="n">
        <v>2</v>
      </c>
      <c r="I954" s="2" t="n">
        <v>7000</v>
      </c>
      <c r="J954" s="2" t="n">
        <v>0.1</v>
      </c>
      <c r="K954" s="2" t="n">
        <v>4800</v>
      </c>
    </row>
    <row r="955" customFormat="false" ht="15" hidden="false" customHeight="false" outlineLevel="0" collapsed="false">
      <c r="A955" s="2" t="s">
        <v>1412</v>
      </c>
      <c r="B955" s="2" t="s">
        <v>1413</v>
      </c>
      <c r="C955" s="10" t="n">
        <v>45964</v>
      </c>
      <c r="D955" s="2" t="s">
        <v>91</v>
      </c>
      <c r="E955" s="2" t="s">
        <v>64</v>
      </c>
      <c r="F955" s="2" t="s">
        <v>70</v>
      </c>
      <c r="G955" s="2" t="s">
        <v>122</v>
      </c>
      <c r="H955" s="2" t="n">
        <v>3</v>
      </c>
      <c r="I955" s="2" t="n">
        <v>1500</v>
      </c>
      <c r="J955" s="2" t="n">
        <v>0.1</v>
      </c>
      <c r="K955" s="2" t="n">
        <v>900</v>
      </c>
    </row>
    <row r="956" customFormat="false" ht="15" hidden="false" customHeight="false" outlineLevel="0" collapsed="false">
      <c r="A956" s="2" t="s">
        <v>1414</v>
      </c>
      <c r="B956" s="2" t="s">
        <v>1415</v>
      </c>
      <c r="C956" s="10" t="n">
        <v>45798</v>
      </c>
      <c r="D956" s="2" t="s">
        <v>63</v>
      </c>
      <c r="E956" s="2" t="s">
        <v>64</v>
      </c>
      <c r="F956" s="2" t="s">
        <v>70</v>
      </c>
      <c r="G956" s="2" t="s">
        <v>122</v>
      </c>
      <c r="H956" s="2" t="n">
        <v>3</v>
      </c>
      <c r="I956" s="2" t="n">
        <v>1500</v>
      </c>
      <c r="J956" s="2" t="n">
        <v>0</v>
      </c>
      <c r="K956" s="2" t="n">
        <v>900</v>
      </c>
    </row>
    <row r="957" customFormat="false" ht="15" hidden="false" customHeight="false" outlineLevel="0" collapsed="false">
      <c r="A957" s="2" t="s">
        <v>1416</v>
      </c>
      <c r="B957" s="2" t="s">
        <v>1417</v>
      </c>
      <c r="C957" s="10" t="n">
        <v>45983</v>
      </c>
      <c r="D957" s="2" t="s">
        <v>63</v>
      </c>
      <c r="E957" s="2" t="s">
        <v>64</v>
      </c>
      <c r="F957" s="2" t="s">
        <v>70</v>
      </c>
      <c r="G957" s="2" t="s">
        <v>126</v>
      </c>
      <c r="H957" s="2" t="n">
        <v>2</v>
      </c>
      <c r="I957" s="2" t="n">
        <v>4500</v>
      </c>
      <c r="J957" s="2" t="n">
        <v>0.05</v>
      </c>
      <c r="K957" s="2" t="n">
        <v>3300</v>
      </c>
    </row>
    <row r="958" customFormat="false" ht="15" hidden="false" customHeight="false" outlineLevel="0" collapsed="false">
      <c r="A958" s="2" t="s">
        <v>1418</v>
      </c>
      <c r="B958" s="2" t="s">
        <v>1419</v>
      </c>
      <c r="C958" s="10" t="n">
        <v>45695</v>
      </c>
      <c r="D958" s="2" t="s">
        <v>77</v>
      </c>
      <c r="E958" s="2" t="s">
        <v>64</v>
      </c>
      <c r="F958" s="2" t="s">
        <v>73</v>
      </c>
      <c r="G958" s="2" t="s">
        <v>74</v>
      </c>
      <c r="H958" s="2" t="n">
        <v>3</v>
      </c>
      <c r="I958" s="2" t="n">
        <v>7000</v>
      </c>
      <c r="J958" s="2" t="n">
        <v>0.05</v>
      </c>
      <c r="K958" s="2" t="n">
        <v>4800</v>
      </c>
    </row>
    <row r="959" customFormat="false" ht="15" hidden="false" customHeight="false" outlineLevel="0" collapsed="false">
      <c r="A959" s="2" t="s">
        <v>1420</v>
      </c>
      <c r="B959" s="2" t="s">
        <v>1421</v>
      </c>
      <c r="C959" s="10" t="n">
        <v>45819</v>
      </c>
      <c r="D959" s="2" t="s">
        <v>63</v>
      </c>
      <c r="E959" s="2" t="s">
        <v>64</v>
      </c>
      <c r="F959" s="2" t="s">
        <v>65</v>
      </c>
      <c r="G959" s="2" t="s">
        <v>66</v>
      </c>
      <c r="H959" s="2" t="n">
        <v>8</v>
      </c>
      <c r="I959" s="2" t="n">
        <v>600</v>
      </c>
      <c r="J959" s="2" t="n">
        <v>0.05</v>
      </c>
      <c r="K959" s="2" t="n">
        <v>300</v>
      </c>
    </row>
    <row r="960" customFormat="false" ht="15" hidden="false" customHeight="false" outlineLevel="0" collapsed="false">
      <c r="A960" s="2" t="s">
        <v>1422</v>
      </c>
      <c r="B960" s="2" t="s">
        <v>1423</v>
      </c>
      <c r="C960" s="10" t="n">
        <v>45914</v>
      </c>
      <c r="D960" s="2" t="s">
        <v>81</v>
      </c>
      <c r="E960" s="2" t="s">
        <v>64</v>
      </c>
      <c r="F960" s="2" t="s">
        <v>70</v>
      </c>
      <c r="G960" s="2" t="s">
        <v>126</v>
      </c>
      <c r="H960" s="2" t="n">
        <v>2</v>
      </c>
      <c r="I960" s="2" t="n">
        <v>4500</v>
      </c>
      <c r="J960" s="2" t="n">
        <v>0</v>
      </c>
      <c r="K960" s="2" t="n">
        <v>3300</v>
      </c>
    </row>
    <row r="961" customFormat="false" ht="15" hidden="false" customHeight="false" outlineLevel="0" collapsed="false">
      <c r="A961" s="2" t="s">
        <v>1424</v>
      </c>
      <c r="B961" s="2" t="s">
        <v>1423</v>
      </c>
      <c r="C961" s="10" t="n">
        <v>45752</v>
      </c>
      <c r="D961" s="2" t="s">
        <v>81</v>
      </c>
      <c r="E961" s="2" t="s">
        <v>64</v>
      </c>
      <c r="F961" s="2" t="s">
        <v>73</v>
      </c>
      <c r="G961" s="2" t="s">
        <v>74</v>
      </c>
      <c r="H961" s="2" t="n">
        <v>1</v>
      </c>
      <c r="I961" s="2" t="n">
        <v>7000</v>
      </c>
      <c r="J961" s="2" t="n">
        <v>0.05</v>
      </c>
      <c r="K961" s="2" t="n">
        <v>4800</v>
      </c>
    </row>
    <row r="962" customFormat="false" ht="15" hidden="false" customHeight="false" outlineLevel="0" collapsed="false">
      <c r="A962" s="2" t="s">
        <v>1425</v>
      </c>
      <c r="B962" s="2" t="s">
        <v>1426</v>
      </c>
      <c r="C962" s="10" t="n">
        <v>45986</v>
      </c>
      <c r="D962" s="2" t="s">
        <v>91</v>
      </c>
      <c r="E962" s="2" t="s">
        <v>92</v>
      </c>
      <c r="F962" s="2" t="s">
        <v>65</v>
      </c>
      <c r="G962" s="2" t="s">
        <v>82</v>
      </c>
      <c r="H962" s="2" t="n">
        <v>22</v>
      </c>
      <c r="I962" s="2" t="n">
        <v>250</v>
      </c>
      <c r="J962" s="2" t="n">
        <v>0.15</v>
      </c>
      <c r="K962" s="2" t="n">
        <v>100</v>
      </c>
    </row>
    <row r="963" customFormat="false" ht="15" hidden="false" customHeight="false" outlineLevel="0" collapsed="false">
      <c r="A963" s="2" t="s">
        <v>1427</v>
      </c>
      <c r="B963" s="2" t="s">
        <v>1426</v>
      </c>
      <c r="C963" s="10" t="n">
        <v>45970</v>
      </c>
      <c r="D963" s="2" t="s">
        <v>91</v>
      </c>
      <c r="E963" s="2" t="s">
        <v>92</v>
      </c>
      <c r="F963" s="2" t="s">
        <v>73</v>
      </c>
      <c r="G963" s="2" t="s">
        <v>104</v>
      </c>
      <c r="H963" s="2" t="n">
        <v>7</v>
      </c>
      <c r="I963" s="2" t="n">
        <v>5500</v>
      </c>
      <c r="J963" s="2" t="n">
        <v>0.1</v>
      </c>
      <c r="K963" s="2" t="n">
        <v>3600</v>
      </c>
    </row>
    <row r="964" customFormat="false" ht="15" hidden="false" customHeight="false" outlineLevel="0" collapsed="false">
      <c r="A964" s="2" t="s">
        <v>1428</v>
      </c>
      <c r="B964" s="2" t="s">
        <v>1426</v>
      </c>
      <c r="C964" s="10" t="n">
        <v>45981</v>
      </c>
      <c r="D964" s="2" t="s">
        <v>91</v>
      </c>
      <c r="E964" s="2" t="s">
        <v>92</v>
      </c>
      <c r="F964" s="2" t="s">
        <v>65</v>
      </c>
      <c r="G964" s="2" t="s">
        <v>78</v>
      </c>
      <c r="H964" s="2" t="n">
        <v>38</v>
      </c>
      <c r="I964" s="2" t="n">
        <v>400</v>
      </c>
      <c r="J964" s="2" t="n">
        <v>0.15</v>
      </c>
      <c r="K964" s="2" t="n">
        <v>200</v>
      </c>
    </row>
    <row r="965" customFormat="false" ht="15" hidden="false" customHeight="false" outlineLevel="0" collapsed="false">
      <c r="A965" s="2" t="s">
        <v>1429</v>
      </c>
      <c r="B965" s="2" t="s">
        <v>1430</v>
      </c>
      <c r="C965" s="10" t="n">
        <v>45823</v>
      </c>
      <c r="D965" s="2" t="s">
        <v>91</v>
      </c>
      <c r="E965" s="2" t="s">
        <v>64</v>
      </c>
      <c r="F965" s="2" t="s">
        <v>65</v>
      </c>
      <c r="G965" s="2" t="s">
        <v>107</v>
      </c>
      <c r="H965" s="2" t="n">
        <v>7</v>
      </c>
      <c r="I965" s="2" t="n">
        <v>500</v>
      </c>
      <c r="J965" s="2" t="n">
        <v>0.1</v>
      </c>
      <c r="K965" s="2" t="n">
        <v>250</v>
      </c>
    </row>
    <row r="966" customFormat="false" ht="15" hidden="false" customHeight="false" outlineLevel="0" collapsed="false">
      <c r="A966" s="2" t="s">
        <v>1431</v>
      </c>
      <c r="B966" s="2" t="s">
        <v>1430</v>
      </c>
      <c r="C966" s="10" t="n">
        <v>45788</v>
      </c>
      <c r="D966" s="2" t="s">
        <v>91</v>
      </c>
      <c r="E966" s="2" t="s">
        <v>64</v>
      </c>
      <c r="F966" s="2" t="s">
        <v>65</v>
      </c>
      <c r="G966" s="2" t="s">
        <v>66</v>
      </c>
      <c r="H966" s="2" t="n">
        <v>6</v>
      </c>
      <c r="I966" s="2" t="n">
        <v>600</v>
      </c>
      <c r="J966" s="2" t="n">
        <v>0.05</v>
      </c>
      <c r="K966" s="2" t="n">
        <v>300</v>
      </c>
    </row>
    <row r="967" customFormat="false" ht="15" hidden="false" customHeight="false" outlineLevel="0" collapsed="false">
      <c r="A967" s="2" t="s">
        <v>1432</v>
      </c>
      <c r="B967" s="2" t="s">
        <v>1433</v>
      </c>
      <c r="C967" s="10" t="n">
        <v>45760</v>
      </c>
      <c r="D967" s="2" t="s">
        <v>91</v>
      </c>
      <c r="E967" s="2" t="s">
        <v>69</v>
      </c>
      <c r="F967" s="2" t="s">
        <v>73</v>
      </c>
      <c r="G967" s="2" t="s">
        <v>87</v>
      </c>
      <c r="H967" s="2" t="n">
        <v>1</v>
      </c>
      <c r="I967" s="2" t="n">
        <v>9000</v>
      </c>
      <c r="J967" s="2" t="n">
        <v>0</v>
      </c>
      <c r="K967" s="2" t="n">
        <v>6200</v>
      </c>
    </row>
    <row r="968" customFormat="false" ht="15" hidden="false" customHeight="false" outlineLevel="0" collapsed="false">
      <c r="A968" s="2" t="s">
        <v>1434</v>
      </c>
      <c r="B968" s="2" t="s">
        <v>1433</v>
      </c>
      <c r="C968" s="10" t="n">
        <v>45798</v>
      </c>
      <c r="D968" s="2" t="s">
        <v>91</v>
      </c>
      <c r="E968" s="2" t="s">
        <v>69</v>
      </c>
      <c r="F968" s="2" t="s">
        <v>73</v>
      </c>
      <c r="G968" s="2" t="s">
        <v>104</v>
      </c>
      <c r="H968" s="2" t="n">
        <v>3</v>
      </c>
      <c r="I968" s="2" t="n">
        <v>5500</v>
      </c>
      <c r="J968" s="2" t="n">
        <v>0.1</v>
      </c>
      <c r="K968" s="2" t="n">
        <v>3600</v>
      </c>
    </row>
    <row r="969" customFormat="false" ht="15" hidden="false" customHeight="false" outlineLevel="0" collapsed="false">
      <c r="A969" s="2" t="s">
        <v>1435</v>
      </c>
      <c r="B969" s="2" t="s">
        <v>1436</v>
      </c>
      <c r="C969" s="10" t="n">
        <v>45802</v>
      </c>
      <c r="D969" s="2" t="s">
        <v>63</v>
      </c>
      <c r="E969" s="2" t="s">
        <v>69</v>
      </c>
      <c r="F969" s="2" t="s">
        <v>65</v>
      </c>
      <c r="G969" s="2" t="s">
        <v>82</v>
      </c>
      <c r="H969" s="2" t="n">
        <v>12</v>
      </c>
      <c r="I969" s="2" t="n">
        <v>250</v>
      </c>
      <c r="J969" s="2" t="n">
        <v>0.1</v>
      </c>
      <c r="K969" s="2" t="n">
        <v>100</v>
      </c>
    </row>
    <row r="970" customFormat="false" ht="15" hidden="false" customHeight="false" outlineLevel="0" collapsed="false">
      <c r="A970" s="2" t="s">
        <v>1437</v>
      </c>
      <c r="B970" s="2" t="s">
        <v>1438</v>
      </c>
      <c r="C970" s="10" t="n">
        <v>45694</v>
      </c>
      <c r="D970" s="2" t="s">
        <v>77</v>
      </c>
      <c r="E970" s="2" t="s">
        <v>64</v>
      </c>
      <c r="F970" s="2" t="s">
        <v>65</v>
      </c>
      <c r="G970" s="2" t="s">
        <v>82</v>
      </c>
      <c r="H970" s="2" t="n">
        <v>4</v>
      </c>
      <c r="I970" s="2" t="n">
        <v>250</v>
      </c>
      <c r="J970" s="2" t="n">
        <v>0</v>
      </c>
      <c r="K970" s="2" t="n">
        <v>100</v>
      </c>
    </row>
    <row r="971" customFormat="false" ht="15" hidden="false" customHeight="false" outlineLevel="0" collapsed="false">
      <c r="A971" s="2" t="s">
        <v>1439</v>
      </c>
      <c r="B971" s="2" t="s">
        <v>1438</v>
      </c>
      <c r="C971" s="10" t="n">
        <v>45690</v>
      </c>
      <c r="D971" s="2" t="s">
        <v>77</v>
      </c>
      <c r="E971" s="2" t="s">
        <v>64</v>
      </c>
      <c r="F971" s="2" t="s">
        <v>65</v>
      </c>
      <c r="G971" s="2" t="s">
        <v>78</v>
      </c>
      <c r="H971" s="2" t="n">
        <v>6</v>
      </c>
      <c r="I971" s="2" t="n">
        <v>400</v>
      </c>
      <c r="J971" s="2" t="n">
        <v>0.1</v>
      </c>
      <c r="K971" s="2" t="n">
        <v>200</v>
      </c>
    </row>
    <row r="972" customFormat="false" ht="15" hidden="false" customHeight="false" outlineLevel="0" collapsed="false">
      <c r="A972" s="2" t="s">
        <v>1440</v>
      </c>
      <c r="B972" s="2" t="s">
        <v>1438</v>
      </c>
      <c r="C972" s="10" t="n">
        <v>45740</v>
      </c>
      <c r="D972" s="2" t="s">
        <v>77</v>
      </c>
      <c r="E972" s="2" t="s">
        <v>64</v>
      </c>
      <c r="F972" s="2" t="s">
        <v>70</v>
      </c>
      <c r="G972" s="2" t="s">
        <v>126</v>
      </c>
      <c r="H972" s="2" t="n">
        <v>1</v>
      </c>
      <c r="I972" s="2" t="n">
        <v>4500</v>
      </c>
      <c r="J972" s="2" t="n">
        <v>0.05</v>
      </c>
      <c r="K972" s="2" t="n">
        <v>3300</v>
      </c>
    </row>
    <row r="973" customFormat="false" ht="15" hidden="false" customHeight="false" outlineLevel="0" collapsed="false">
      <c r="A973" s="2" t="s">
        <v>1441</v>
      </c>
      <c r="B973" s="2" t="s">
        <v>1442</v>
      </c>
      <c r="C973" s="10" t="n">
        <v>45715</v>
      </c>
      <c r="D973" s="2" t="s">
        <v>91</v>
      </c>
      <c r="E973" s="2" t="s">
        <v>64</v>
      </c>
      <c r="F973" s="2" t="s">
        <v>73</v>
      </c>
      <c r="G973" s="2" t="s">
        <v>104</v>
      </c>
      <c r="H973" s="2" t="n">
        <v>1</v>
      </c>
      <c r="I973" s="2" t="n">
        <v>5500</v>
      </c>
      <c r="J973" s="2" t="n">
        <v>0</v>
      </c>
      <c r="K973" s="2" t="n">
        <v>3600</v>
      </c>
    </row>
    <row r="974" customFormat="false" ht="15" hidden="false" customHeight="false" outlineLevel="0" collapsed="false">
      <c r="A974" s="2" t="s">
        <v>1443</v>
      </c>
      <c r="B974" s="2" t="s">
        <v>1442</v>
      </c>
      <c r="C974" s="10" t="n">
        <v>45969</v>
      </c>
      <c r="D974" s="2" t="s">
        <v>91</v>
      </c>
      <c r="E974" s="2" t="s">
        <v>64</v>
      </c>
      <c r="F974" s="2" t="s">
        <v>65</v>
      </c>
      <c r="G974" s="2" t="s">
        <v>82</v>
      </c>
      <c r="H974" s="2" t="n">
        <v>2</v>
      </c>
      <c r="I974" s="2" t="n">
        <v>250</v>
      </c>
      <c r="J974" s="2" t="n">
        <v>0.05</v>
      </c>
      <c r="K974" s="2" t="n">
        <v>100</v>
      </c>
    </row>
    <row r="975" customFormat="false" ht="15" hidden="false" customHeight="false" outlineLevel="0" collapsed="false">
      <c r="A975" s="2" t="s">
        <v>1444</v>
      </c>
      <c r="B975" s="2" t="s">
        <v>1442</v>
      </c>
      <c r="C975" s="10" t="n">
        <v>45904</v>
      </c>
      <c r="D975" s="2" t="s">
        <v>91</v>
      </c>
      <c r="E975" s="2" t="s">
        <v>64</v>
      </c>
      <c r="F975" s="2" t="s">
        <v>65</v>
      </c>
      <c r="G975" s="2" t="s">
        <v>82</v>
      </c>
      <c r="H975" s="2" t="n">
        <v>4</v>
      </c>
      <c r="I975" s="2" t="n">
        <v>250</v>
      </c>
      <c r="J975" s="2" t="n">
        <v>0</v>
      </c>
      <c r="K975" s="2" t="n">
        <v>100</v>
      </c>
    </row>
    <row r="976" customFormat="false" ht="15" hidden="false" customHeight="false" outlineLevel="0" collapsed="false">
      <c r="A976" s="2" t="s">
        <v>1445</v>
      </c>
      <c r="B976" s="2" t="s">
        <v>1442</v>
      </c>
      <c r="C976" s="10" t="n">
        <v>46002</v>
      </c>
      <c r="D976" s="2" t="s">
        <v>91</v>
      </c>
      <c r="E976" s="2" t="s">
        <v>64</v>
      </c>
      <c r="F976" s="2" t="s">
        <v>65</v>
      </c>
      <c r="G976" s="2" t="s">
        <v>78</v>
      </c>
      <c r="H976" s="2" t="n">
        <v>2</v>
      </c>
      <c r="I976" s="2" t="n">
        <v>400</v>
      </c>
      <c r="J976" s="2" t="n">
        <v>0.1</v>
      </c>
      <c r="K976" s="2" t="n">
        <v>200</v>
      </c>
    </row>
    <row r="977" customFormat="false" ht="15" hidden="false" customHeight="false" outlineLevel="0" collapsed="false">
      <c r="A977" s="2" t="s">
        <v>1446</v>
      </c>
      <c r="B977" s="2" t="s">
        <v>1442</v>
      </c>
      <c r="C977" s="10" t="n">
        <v>45975</v>
      </c>
      <c r="D977" s="2" t="s">
        <v>91</v>
      </c>
      <c r="E977" s="2" t="s">
        <v>64</v>
      </c>
      <c r="F977" s="2" t="s">
        <v>73</v>
      </c>
      <c r="G977" s="2" t="s">
        <v>74</v>
      </c>
      <c r="H977" s="2" t="n">
        <v>3</v>
      </c>
      <c r="I977" s="2" t="n">
        <v>7000</v>
      </c>
      <c r="J977" s="2" t="n">
        <v>0.05</v>
      </c>
      <c r="K977" s="2" t="n">
        <v>4800</v>
      </c>
    </row>
    <row r="978" customFormat="false" ht="15" hidden="false" customHeight="false" outlineLevel="0" collapsed="false">
      <c r="A978" s="2" t="s">
        <v>1447</v>
      </c>
      <c r="B978" s="2" t="s">
        <v>1442</v>
      </c>
      <c r="C978" s="10" t="n">
        <v>46000</v>
      </c>
      <c r="D978" s="2" t="s">
        <v>91</v>
      </c>
      <c r="E978" s="2" t="s">
        <v>64</v>
      </c>
      <c r="F978" s="2" t="s">
        <v>73</v>
      </c>
      <c r="G978" s="2" t="s">
        <v>85</v>
      </c>
      <c r="H978" s="2" t="n">
        <v>2</v>
      </c>
      <c r="I978" s="2" t="n">
        <v>1200</v>
      </c>
      <c r="J978" s="2" t="n">
        <v>0.05</v>
      </c>
      <c r="K978" s="2" t="n">
        <v>600</v>
      </c>
    </row>
    <row r="979" customFormat="false" ht="15" hidden="false" customHeight="false" outlineLevel="0" collapsed="false">
      <c r="A979" s="2" t="s">
        <v>1448</v>
      </c>
      <c r="B979" s="2" t="s">
        <v>1442</v>
      </c>
      <c r="C979" s="10" t="n">
        <v>45902</v>
      </c>
      <c r="D979" s="2" t="s">
        <v>91</v>
      </c>
      <c r="E979" s="2" t="s">
        <v>64</v>
      </c>
      <c r="F979" s="2" t="s">
        <v>65</v>
      </c>
      <c r="G979" s="2" t="s">
        <v>82</v>
      </c>
      <c r="H979" s="2" t="n">
        <v>4</v>
      </c>
      <c r="I979" s="2" t="n">
        <v>250</v>
      </c>
      <c r="J979" s="2" t="n">
        <v>0.1</v>
      </c>
      <c r="K979" s="2" t="n">
        <v>100</v>
      </c>
    </row>
    <row r="980" customFormat="false" ht="15" hidden="false" customHeight="false" outlineLevel="0" collapsed="false">
      <c r="A980" s="2" t="s">
        <v>1449</v>
      </c>
      <c r="B980" s="2" t="s">
        <v>1442</v>
      </c>
      <c r="C980" s="10" t="n">
        <v>46007</v>
      </c>
      <c r="D980" s="2" t="s">
        <v>91</v>
      </c>
      <c r="E980" s="2" t="s">
        <v>64</v>
      </c>
      <c r="F980" s="2" t="s">
        <v>65</v>
      </c>
      <c r="G980" s="2" t="s">
        <v>66</v>
      </c>
      <c r="H980" s="2" t="n">
        <v>3</v>
      </c>
      <c r="I980" s="2" t="n">
        <v>600</v>
      </c>
      <c r="J980" s="2" t="n">
        <v>0.15</v>
      </c>
      <c r="K980" s="2" t="n">
        <v>300</v>
      </c>
    </row>
    <row r="981" customFormat="false" ht="15" hidden="false" customHeight="false" outlineLevel="0" collapsed="false">
      <c r="A981" s="2" t="s">
        <v>1450</v>
      </c>
      <c r="B981" s="2" t="s">
        <v>1442</v>
      </c>
      <c r="C981" s="10" t="n">
        <v>45896</v>
      </c>
      <c r="D981" s="2" t="s">
        <v>91</v>
      </c>
      <c r="E981" s="2" t="s">
        <v>64</v>
      </c>
      <c r="F981" s="2" t="s">
        <v>65</v>
      </c>
      <c r="G981" s="2" t="s">
        <v>82</v>
      </c>
      <c r="H981" s="2" t="n">
        <v>3</v>
      </c>
      <c r="I981" s="2" t="n">
        <v>250</v>
      </c>
      <c r="J981" s="2" t="n">
        <v>0</v>
      </c>
      <c r="K981" s="2" t="n">
        <v>100</v>
      </c>
    </row>
    <row r="982" customFormat="false" ht="15" hidden="false" customHeight="false" outlineLevel="0" collapsed="false">
      <c r="A982" s="2" t="s">
        <v>1451</v>
      </c>
      <c r="B982" s="2" t="s">
        <v>1442</v>
      </c>
      <c r="C982" s="10" t="n">
        <v>45755</v>
      </c>
      <c r="D982" s="2" t="s">
        <v>91</v>
      </c>
      <c r="E982" s="2" t="s">
        <v>64</v>
      </c>
      <c r="F982" s="2" t="s">
        <v>65</v>
      </c>
      <c r="G982" s="2" t="s">
        <v>107</v>
      </c>
      <c r="H982" s="2" t="n">
        <v>5</v>
      </c>
      <c r="I982" s="2" t="n">
        <v>500</v>
      </c>
      <c r="J982" s="2" t="n">
        <v>0</v>
      </c>
      <c r="K982" s="2" t="n">
        <v>250</v>
      </c>
    </row>
    <row r="983" customFormat="false" ht="15" hidden="false" customHeight="false" outlineLevel="0" collapsed="false">
      <c r="A983" s="2" t="s">
        <v>1452</v>
      </c>
      <c r="B983" s="2" t="s">
        <v>1453</v>
      </c>
      <c r="C983" s="10" t="n">
        <v>45707</v>
      </c>
      <c r="D983" s="2" t="s">
        <v>91</v>
      </c>
      <c r="E983" s="2" t="s">
        <v>92</v>
      </c>
      <c r="F983" s="2" t="s">
        <v>70</v>
      </c>
      <c r="G983" s="2" t="s">
        <v>122</v>
      </c>
      <c r="H983" s="2" t="n">
        <v>2</v>
      </c>
      <c r="I983" s="2" t="n">
        <v>1500</v>
      </c>
      <c r="J983" s="2" t="n">
        <v>0</v>
      </c>
      <c r="K983" s="2" t="n">
        <v>900</v>
      </c>
    </row>
    <row r="984" customFormat="false" ht="15" hidden="false" customHeight="false" outlineLevel="0" collapsed="false">
      <c r="A984" s="2" t="s">
        <v>1454</v>
      </c>
      <c r="B984" s="2" t="s">
        <v>1453</v>
      </c>
      <c r="C984" s="10" t="n">
        <v>45834</v>
      </c>
      <c r="D984" s="2" t="s">
        <v>91</v>
      </c>
      <c r="E984" s="2" t="s">
        <v>92</v>
      </c>
      <c r="F984" s="2" t="s">
        <v>73</v>
      </c>
      <c r="G984" s="2" t="s">
        <v>87</v>
      </c>
      <c r="H984" s="2" t="n">
        <v>8</v>
      </c>
      <c r="I984" s="2" t="n">
        <v>9000</v>
      </c>
      <c r="J984" s="2" t="n">
        <v>0.15</v>
      </c>
      <c r="K984" s="2" t="n">
        <v>6200</v>
      </c>
    </row>
    <row r="985" customFormat="false" ht="15" hidden="false" customHeight="false" outlineLevel="0" collapsed="false">
      <c r="A985" s="2" t="s">
        <v>1455</v>
      </c>
      <c r="B985" s="2" t="s">
        <v>1456</v>
      </c>
      <c r="C985" s="10" t="n">
        <v>45919</v>
      </c>
      <c r="D985" s="2" t="s">
        <v>77</v>
      </c>
      <c r="E985" s="2" t="s">
        <v>64</v>
      </c>
      <c r="F985" s="2" t="s">
        <v>73</v>
      </c>
      <c r="G985" s="2" t="s">
        <v>87</v>
      </c>
      <c r="H985" s="2" t="n">
        <v>3</v>
      </c>
      <c r="I985" s="2" t="n">
        <v>9000</v>
      </c>
      <c r="J985" s="2" t="n">
        <v>0.05</v>
      </c>
      <c r="K985" s="2" t="n">
        <v>6200</v>
      </c>
    </row>
    <row r="986" customFormat="false" ht="15" hidden="false" customHeight="false" outlineLevel="0" collapsed="false">
      <c r="A986" s="2" t="s">
        <v>1457</v>
      </c>
      <c r="B986" s="2" t="s">
        <v>1456</v>
      </c>
      <c r="C986" s="10" t="n">
        <v>45695</v>
      </c>
      <c r="D986" s="2" t="s">
        <v>77</v>
      </c>
      <c r="E986" s="2" t="s">
        <v>64</v>
      </c>
      <c r="F986" s="2" t="s">
        <v>70</v>
      </c>
      <c r="G986" s="2" t="s">
        <v>97</v>
      </c>
      <c r="H986" s="2" t="n">
        <v>1</v>
      </c>
      <c r="I986" s="2" t="n">
        <v>3000</v>
      </c>
      <c r="J986" s="2" t="n">
        <v>0.1</v>
      </c>
      <c r="K986" s="2" t="n">
        <v>2000</v>
      </c>
    </row>
    <row r="987" customFormat="false" ht="15" hidden="false" customHeight="false" outlineLevel="0" collapsed="false">
      <c r="A987" s="2" t="s">
        <v>1458</v>
      </c>
      <c r="B987" s="2" t="s">
        <v>1459</v>
      </c>
      <c r="C987" s="10" t="n">
        <v>45917</v>
      </c>
      <c r="D987" s="2" t="s">
        <v>81</v>
      </c>
      <c r="E987" s="2" t="s">
        <v>69</v>
      </c>
      <c r="F987" s="2" t="s">
        <v>65</v>
      </c>
      <c r="G987" s="2" t="s">
        <v>78</v>
      </c>
      <c r="H987" s="2" t="n">
        <v>19</v>
      </c>
      <c r="I987" s="2" t="n">
        <v>400</v>
      </c>
      <c r="J987" s="2" t="n">
        <v>0</v>
      </c>
      <c r="K987" s="2" t="n">
        <v>200</v>
      </c>
    </row>
    <row r="988" customFormat="false" ht="15" hidden="false" customHeight="false" outlineLevel="0" collapsed="false">
      <c r="A988" s="2" t="s">
        <v>1460</v>
      </c>
      <c r="B988" s="2" t="s">
        <v>1461</v>
      </c>
      <c r="C988" s="10" t="n">
        <v>45870</v>
      </c>
      <c r="D988" s="2" t="s">
        <v>77</v>
      </c>
      <c r="E988" s="2" t="s">
        <v>69</v>
      </c>
      <c r="F988" s="2" t="s">
        <v>70</v>
      </c>
      <c r="G988" s="2" t="s">
        <v>97</v>
      </c>
      <c r="H988" s="2" t="n">
        <v>5</v>
      </c>
      <c r="I988" s="2" t="n">
        <v>3000</v>
      </c>
      <c r="J988" s="2" t="n">
        <v>0</v>
      </c>
      <c r="K988" s="2" t="n">
        <v>2000</v>
      </c>
    </row>
    <row r="989" customFormat="false" ht="15" hidden="false" customHeight="false" outlineLevel="0" collapsed="false">
      <c r="A989" s="2" t="s">
        <v>1462</v>
      </c>
      <c r="B989" s="2" t="s">
        <v>1461</v>
      </c>
      <c r="C989" s="10" t="n">
        <v>45757</v>
      </c>
      <c r="D989" s="2" t="s">
        <v>77</v>
      </c>
      <c r="E989" s="2" t="s">
        <v>69</v>
      </c>
      <c r="F989" s="2" t="s">
        <v>73</v>
      </c>
      <c r="G989" s="2" t="s">
        <v>87</v>
      </c>
      <c r="H989" s="2" t="n">
        <v>1</v>
      </c>
      <c r="I989" s="2" t="n">
        <v>9000</v>
      </c>
      <c r="J989" s="2" t="n">
        <v>0.1</v>
      </c>
      <c r="K989" s="2" t="n">
        <v>6200</v>
      </c>
    </row>
    <row r="990" customFormat="false" ht="15" hidden="false" customHeight="false" outlineLevel="0" collapsed="false">
      <c r="A990" s="2" t="s">
        <v>1463</v>
      </c>
      <c r="B990" s="2" t="s">
        <v>1461</v>
      </c>
      <c r="C990" s="10" t="n">
        <v>45936</v>
      </c>
      <c r="D990" s="2" t="s">
        <v>77</v>
      </c>
      <c r="E990" s="2" t="s">
        <v>69</v>
      </c>
      <c r="F990" s="2" t="s">
        <v>65</v>
      </c>
      <c r="G990" s="2" t="s">
        <v>82</v>
      </c>
      <c r="H990" s="2" t="n">
        <v>19</v>
      </c>
      <c r="I990" s="2" t="n">
        <v>250</v>
      </c>
      <c r="J990" s="2" t="n">
        <v>0.05</v>
      </c>
      <c r="K990" s="2" t="n">
        <v>100</v>
      </c>
    </row>
    <row r="991" customFormat="false" ht="15" hidden="false" customHeight="false" outlineLevel="0" collapsed="false">
      <c r="A991" s="2" t="s">
        <v>1464</v>
      </c>
      <c r="B991" s="2" t="s">
        <v>1461</v>
      </c>
      <c r="C991" s="10" t="n">
        <v>45993</v>
      </c>
      <c r="D991" s="2" t="s">
        <v>77</v>
      </c>
      <c r="E991" s="2" t="s">
        <v>69</v>
      </c>
      <c r="F991" s="2" t="s">
        <v>73</v>
      </c>
      <c r="G991" s="2" t="s">
        <v>87</v>
      </c>
      <c r="H991" s="2" t="n">
        <v>3</v>
      </c>
      <c r="I991" s="2" t="n">
        <v>9000</v>
      </c>
      <c r="J991" s="2" t="n">
        <v>0.05</v>
      </c>
      <c r="K991" s="2" t="n">
        <v>6200</v>
      </c>
    </row>
    <row r="992" customFormat="false" ht="15" hidden="false" customHeight="false" outlineLevel="0" collapsed="false">
      <c r="A992" s="2" t="s">
        <v>1465</v>
      </c>
      <c r="B992" s="2" t="s">
        <v>1461</v>
      </c>
      <c r="C992" s="10" t="n">
        <v>45882</v>
      </c>
      <c r="D992" s="2" t="s">
        <v>77</v>
      </c>
      <c r="E992" s="2" t="s">
        <v>69</v>
      </c>
      <c r="F992" s="2" t="s">
        <v>73</v>
      </c>
      <c r="G992" s="2" t="s">
        <v>87</v>
      </c>
      <c r="H992" s="2" t="n">
        <v>3</v>
      </c>
      <c r="I992" s="2" t="n">
        <v>9000</v>
      </c>
      <c r="J992" s="2" t="n">
        <v>0</v>
      </c>
      <c r="K992" s="2" t="n">
        <v>6200</v>
      </c>
    </row>
    <row r="993" customFormat="false" ht="15" hidden="false" customHeight="false" outlineLevel="0" collapsed="false">
      <c r="A993" s="2" t="s">
        <v>1466</v>
      </c>
      <c r="B993" s="2" t="s">
        <v>1461</v>
      </c>
      <c r="C993" s="10" t="n">
        <v>45727</v>
      </c>
      <c r="D993" s="2" t="s">
        <v>77</v>
      </c>
      <c r="E993" s="2" t="s">
        <v>69</v>
      </c>
      <c r="F993" s="2" t="s">
        <v>70</v>
      </c>
      <c r="G993" s="2" t="s">
        <v>122</v>
      </c>
      <c r="H993" s="2" t="n">
        <v>3</v>
      </c>
      <c r="I993" s="2" t="n">
        <v>1500</v>
      </c>
      <c r="J993" s="2" t="n">
        <v>0.1</v>
      </c>
      <c r="K993" s="2" t="n">
        <v>900</v>
      </c>
    </row>
    <row r="994" customFormat="false" ht="15" hidden="false" customHeight="false" outlineLevel="0" collapsed="false">
      <c r="A994" s="2" t="s">
        <v>1467</v>
      </c>
      <c r="B994" s="2" t="s">
        <v>1461</v>
      </c>
      <c r="C994" s="10" t="n">
        <v>45908</v>
      </c>
      <c r="D994" s="2" t="s">
        <v>77</v>
      </c>
      <c r="E994" s="2" t="s">
        <v>69</v>
      </c>
      <c r="F994" s="2" t="s">
        <v>70</v>
      </c>
      <c r="G994" s="2" t="s">
        <v>71</v>
      </c>
      <c r="H994" s="2" t="n">
        <v>1</v>
      </c>
      <c r="I994" s="2" t="n">
        <v>2500</v>
      </c>
      <c r="J994" s="2" t="n">
        <v>0.1</v>
      </c>
      <c r="K994" s="2" t="n">
        <v>1600</v>
      </c>
    </row>
    <row r="995" customFormat="false" ht="15" hidden="false" customHeight="false" outlineLevel="0" collapsed="false">
      <c r="A995" s="2" t="s">
        <v>1468</v>
      </c>
      <c r="B995" s="2" t="s">
        <v>1461</v>
      </c>
      <c r="C995" s="10" t="n">
        <v>45876</v>
      </c>
      <c r="D995" s="2" t="s">
        <v>77</v>
      </c>
      <c r="E995" s="2" t="s">
        <v>69</v>
      </c>
      <c r="F995" s="2" t="s">
        <v>73</v>
      </c>
      <c r="G995" s="2" t="s">
        <v>87</v>
      </c>
      <c r="H995" s="2" t="n">
        <v>2</v>
      </c>
      <c r="I995" s="2" t="n">
        <v>9000</v>
      </c>
      <c r="J995" s="2" t="n">
        <v>0</v>
      </c>
      <c r="K995" s="2" t="n">
        <v>6200</v>
      </c>
    </row>
    <row r="996" customFormat="false" ht="15" hidden="false" customHeight="false" outlineLevel="0" collapsed="false">
      <c r="A996" s="2" t="s">
        <v>1469</v>
      </c>
      <c r="B996" s="2" t="s">
        <v>1461</v>
      </c>
      <c r="C996" s="10" t="n">
        <v>45716</v>
      </c>
      <c r="D996" s="2" t="s">
        <v>77</v>
      </c>
      <c r="E996" s="2" t="s">
        <v>69</v>
      </c>
      <c r="F996" s="2" t="s">
        <v>73</v>
      </c>
      <c r="G996" s="2" t="s">
        <v>104</v>
      </c>
      <c r="H996" s="2" t="n">
        <v>5</v>
      </c>
      <c r="I996" s="2" t="n">
        <v>5500</v>
      </c>
      <c r="J996" s="2" t="n">
        <v>0.1</v>
      </c>
      <c r="K996" s="2" t="n">
        <v>3600</v>
      </c>
    </row>
    <row r="997" customFormat="false" ht="15" hidden="false" customHeight="false" outlineLevel="0" collapsed="false">
      <c r="A997" s="2" t="s">
        <v>1470</v>
      </c>
      <c r="B997" s="2" t="s">
        <v>1461</v>
      </c>
      <c r="C997" s="10" t="n">
        <v>45713</v>
      </c>
      <c r="D997" s="2" t="s">
        <v>77</v>
      </c>
      <c r="E997" s="2" t="s">
        <v>69</v>
      </c>
      <c r="F997" s="2" t="s">
        <v>70</v>
      </c>
      <c r="G997" s="2" t="s">
        <v>122</v>
      </c>
      <c r="H997" s="2" t="n">
        <v>4</v>
      </c>
      <c r="I997" s="2" t="n">
        <v>1500</v>
      </c>
      <c r="J997" s="2" t="n">
        <v>0</v>
      </c>
      <c r="K997" s="2" t="n">
        <v>900</v>
      </c>
    </row>
    <row r="998" customFormat="false" ht="15" hidden="false" customHeight="false" outlineLevel="0" collapsed="false">
      <c r="A998" s="2" t="s">
        <v>1471</v>
      </c>
      <c r="B998" s="2" t="s">
        <v>1472</v>
      </c>
      <c r="C998" s="10" t="n">
        <v>45822</v>
      </c>
      <c r="D998" s="2" t="s">
        <v>77</v>
      </c>
      <c r="E998" s="2" t="s">
        <v>64</v>
      </c>
      <c r="F998" s="2" t="s">
        <v>65</v>
      </c>
      <c r="G998" s="2" t="s">
        <v>78</v>
      </c>
      <c r="H998" s="2" t="n">
        <v>2</v>
      </c>
      <c r="I998" s="2" t="n">
        <v>400</v>
      </c>
      <c r="J998" s="2" t="n">
        <v>0.05</v>
      </c>
      <c r="K998" s="2" t="n">
        <v>200</v>
      </c>
    </row>
    <row r="999" customFormat="false" ht="15" hidden="false" customHeight="false" outlineLevel="0" collapsed="false">
      <c r="A999" s="2" t="s">
        <v>1473</v>
      </c>
      <c r="B999" s="2" t="s">
        <v>1472</v>
      </c>
      <c r="C999" s="10" t="n">
        <v>45938</v>
      </c>
      <c r="D999" s="2" t="s">
        <v>77</v>
      </c>
      <c r="E999" s="2" t="s">
        <v>64</v>
      </c>
      <c r="F999" s="2" t="s">
        <v>65</v>
      </c>
      <c r="G999" s="2" t="s">
        <v>107</v>
      </c>
      <c r="H999" s="2" t="n">
        <v>2</v>
      </c>
      <c r="I999" s="2" t="n">
        <v>500</v>
      </c>
      <c r="J999" s="2" t="n">
        <v>0.15</v>
      </c>
      <c r="K999" s="2" t="n">
        <v>250</v>
      </c>
    </row>
    <row r="1000" customFormat="false" ht="15" hidden="false" customHeight="false" outlineLevel="0" collapsed="false">
      <c r="A1000" s="2" t="s">
        <v>1474</v>
      </c>
      <c r="B1000" s="2" t="s">
        <v>1472</v>
      </c>
      <c r="C1000" s="10" t="n">
        <v>45833</v>
      </c>
      <c r="D1000" s="2" t="s">
        <v>77</v>
      </c>
      <c r="E1000" s="2" t="s">
        <v>64</v>
      </c>
      <c r="F1000" s="2" t="s">
        <v>70</v>
      </c>
      <c r="G1000" s="2" t="s">
        <v>97</v>
      </c>
      <c r="H1000" s="2" t="n">
        <v>2</v>
      </c>
      <c r="I1000" s="2" t="n">
        <v>3000</v>
      </c>
      <c r="J1000" s="2" t="n">
        <v>0.05</v>
      </c>
      <c r="K1000" s="2" t="n">
        <v>2000</v>
      </c>
    </row>
    <row r="1001" customFormat="false" ht="15" hidden="false" customHeight="false" outlineLevel="0" collapsed="false">
      <c r="A1001" s="2" t="s">
        <v>1475</v>
      </c>
      <c r="B1001" s="2" t="s">
        <v>1472</v>
      </c>
      <c r="C1001" s="10" t="n">
        <v>45797</v>
      </c>
      <c r="D1001" s="2" t="s">
        <v>77</v>
      </c>
      <c r="E1001" s="2" t="s">
        <v>64</v>
      </c>
      <c r="F1001" s="2" t="s">
        <v>73</v>
      </c>
      <c r="G1001" s="2" t="s">
        <v>104</v>
      </c>
      <c r="H1001" s="2" t="n">
        <v>3</v>
      </c>
      <c r="I1001" s="2" t="n">
        <v>5500</v>
      </c>
      <c r="J1001" s="2" t="n">
        <v>0</v>
      </c>
      <c r="K1001" s="2" t="n">
        <v>3600</v>
      </c>
    </row>
    <row r="1002" customFormat="false" ht="15" hidden="false" customHeight="false" outlineLevel="0" collapsed="false">
      <c r="A1002" s="2" t="s">
        <v>1476</v>
      </c>
      <c r="B1002" s="2" t="s">
        <v>1477</v>
      </c>
      <c r="C1002" s="10" t="n">
        <v>45874</v>
      </c>
      <c r="D1002" s="2" t="s">
        <v>63</v>
      </c>
      <c r="E1002" s="2" t="s">
        <v>92</v>
      </c>
      <c r="F1002" s="2" t="s">
        <v>70</v>
      </c>
      <c r="G1002" s="2" t="s">
        <v>71</v>
      </c>
      <c r="H1002" s="2" t="n">
        <v>2</v>
      </c>
      <c r="I1002" s="2" t="n">
        <v>2500</v>
      </c>
      <c r="J1002" s="2" t="n">
        <v>0.1</v>
      </c>
      <c r="K1002" s="2" t="n">
        <v>1600</v>
      </c>
    </row>
    <row r="1003" customFormat="false" ht="15" hidden="false" customHeight="false" outlineLevel="0" collapsed="false">
      <c r="A1003" s="2" t="s">
        <v>1478</v>
      </c>
      <c r="B1003" s="2" t="s">
        <v>1477</v>
      </c>
      <c r="C1003" s="10" t="n">
        <v>45952</v>
      </c>
      <c r="D1003" s="2" t="s">
        <v>63</v>
      </c>
      <c r="E1003" s="2" t="s">
        <v>92</v>
      </c>
      <c r="F1003" s="2" t="s">
        <v>70</v>
      </c>
      <c r="G1003" s="2" t="s">
        <v>71</v>
      </c>
      <c r="H1003" s="2" t="n">
        <v>2</v>
      </c>
      <c r="I1003" s="2" t="n">
        <v>2500</v>
      </c>
      <c r="J1003" s="2" t="n">
        <v>0.15</v>
      </c>
      <c r="K1003" s="2" t="n">
        <v>1600</v>
      </c>
    </row>
    <row r="1004" customFormat="false" ht="15" hidden="false" customHeight="false" outlineLevel="0" collapsed="false">
      <c r="A1004" s="2" t="s">
        <v>1479</v>
      </c>
      <c r="B1004" s="2" t="s">
        <v>1477</v>
      </c>
      <c r="C1004" s="10" t="n">
        <v>46005</v>
      </c>
      <c r="D1004" s="2" t="s">
        <v>63</v>
      </c>
      <c r="E1004" s="2" t="s">
        <v>92</v>
      </c>
      <c r="F1004" s="2" t="s">
        <v>70</v>
      </c>
      <c r="G1004" s="2" t="s">
        <v>71</v>
      </c>
      <c r="H1004" s="2" t="n">
        <v>8</v>
      </c>
      <c r="I1004" s="2" t="n">
        <v>2500</v>
      </c>
      <c r="J1004" s="2" t="n">
        <v>0.15</v>
      </c>
      <c r="K1004" s="2" t="n">
        <v>1600</v>
      </c>
    </row>
    <row r="1005" customFormat="false" ht="15" hidden="false" customHeight="false" outlineLevel="0" collapsed="false">
      <c r="A1005" s="2" t="s">
        <v>1480</v>
      </c>
      <c r="B1005" s="2" t="s">
        <v>1477</v>
      </c>
      <c r="C1005" s="10" t="n">
        <v>45800</v>
      </c>
      <c r="D1005" s="2" t="s">
        <v>63</v>
      </c>
      <c r="E1005" s="2" t="s">
        <v>92</v>
      </c>
      <c r="F1005" s="2" t="s">
        <v>73</v>
      </c>
      <c r="G1005" s="2" t="s">
        <v>74</v>
      </c>
      <c r="H1005" s="2" t="n">
        <v>7</v>
      </c>
      <c r="I1005" s="2" t="n">
        <v>7000</v>
      </c>
      <c r="J1005" s="2" t="n">
        <v>0</v>
      </c>
      <c r="K1005" s="2" t="n">
        <v>4800</v>
      </c>
    </row>
    <row r="1006" customFormat="false" ht="15" hidden="false" customHeight="false" outlineLevel="0" collapsed="false">
      <c r="A1006" s="2" t="s">
        <v>1481</v>
      </c>
      <c r="B1006" s="2" t="s">
        <v>1477</v>
      </c>
      <c r="C1006" s="10" t="n">
        <v>46008</v>
      </c>
      <c r="D1006" s="2" t="s">
        <v>63</v>
      </c>
      <c r="E1006" s="2" t="s">
        <v>92</v>
      </c>
      <c r="F1006" s="2" t="s">
        <v>70</v>
      </c>
      <c r="G1006" s="2" t="s">
        <v>71</v>
      </c>
      <c r="H1006" s="2" t="n">
        <v>8</v>
      </c>
      <c r="I1006" s="2" t="n">
        <v>2500</v>
      </c>
      <c r="J1006" s="2" t="n">
        <v>0.1</v>
      </c>
      <c r="K1006" s="2" t="n">
        <v>1600</v>
      </c>
    </row>
    <row r="1007" customFormat="false" ht="15" hidden="false" customHeight="false" outlineLevel="0" collapsed="false">
      <c r="A1007" s="2" t="s">
        <v>1482</v>
      </c>
      <c r="B1007" s="2" t="s">
        <v>1477</v>
      </c>
      <c r="C1007" s="10" t="n">
        <v>45957</v>
      </c>
      <c r="D1007" s="2" t="s">
        <v>63</v>
      </c>
      <c r="E1007" s="2" t="s">
        <v>92</v>
      </c>
      <c r="F1007" s="2" t="s">
        <v>65</v>
      </c>
      <c r="G1007" s="2" t="s">
        <v>78</v>
      </c>
      <c r="H1007" s="2" t="n">
        <v>20</v>
      </c>
      <c r="I1007" s="2" t="n">
        <v>400</v>
      </c>
      <c r="J1007" s="2" t="n">
        <v>0.1</v>
      </c>
      <c r="K1007" s="2" t="n">
        <v>200</v>
      </c>
    </row>
    <row r="1008" customFormat="false" ht="15" hidden="false" customHeight="false" outlineLevel="0" collapsed="false">
      <c r="A1008" s="2" t="s">
        <v>1483</v>
      </c>
      <c r="B1008" s="2" t="s">
        <v>1477</v>
      </c>
      <c r="C1008" s="10" t="n">
        <v>45713</v>
      </c>
      <c r="D1008" s="2" t="s">
        <v>63</v>
      </c>
      <c r="E1008" s="2" t="s">
        <v>92</v>
      </c>
      <c r="F1008" s="2" t="s">
        <v>70</v>
      </c>
      <c r="G1008" s="2" t="s">
        <v>97</v>
      </c>
      <c r="H1008" s="2" t="n">
        <v>3</v>
      </c>
      <c r="I1008" s="2" t="n">
        <v>3000</v>
      </c>
      <c r="J1008" s="2" t="n">
        <v>0.15</v>
      </c>
      <c r="K1008" s="2" t="n">
        <v>2000</v>
      </c>
    </row>
    <row r="1009" customFormat="false" ht="15" hidden="false" customHeight="false" outlineLevel="0" collapsed="false">
      <c r="A1009" s="2" t="s">
        <v>1484</v>
      </c>
      <c r="B1009" s="2" t="s">
        <v>1477</v>
      </c>
      <c r="C1009" s="10" t="n">
        <v>45785</v>
      </c>
      <c r="D1009" s="2" t="s">
        <v>63</v>
      </c>
      <c r="E1009" s="2" t="s">
        <v>92</v>
      </c>
      <c r="F1009" s="2" t="s">
        <v>70</v>
      </c>
      <c r="G1009" s="2" t="s">
        <v>97</v>
      </c>
      <c r="H1009" s="2" t="n">
        <v>4</v>
      </c>
      <c r="I1009" s="2" t="n">
        <v>3000</v>
      </c>
      <c r="J1009" s="2" t="n">
        <v>0</v>
      </c>
      <c r="K1009" s="2" t="n">
        <v>2000</v>
      </c>
    </row>
    <row r="1010" customFormat="false" ht="15" hidden="false" customHeight="false" outlineLevel="0" collapsed="false">
      <c r="A1010" s="2" t="s">
        <v>1485</v>
      </c>
      <c r="B1010" s="2" t="s">
        <v>1477</v>
      </c>
      <c r="C1010" s="10" t="n">
        <v>45924</v>
      </c>
      <c r="D1010" s="2" t="s">
        <v>63</v>
      </c>
      <c r="E1010" s="2" t="s">
        <v>92</v>
      </c>
      <c r="F1010" s="2" t="s">
        <v>70</v>
      </c>
      <c r="G1010" s="2" t="s">
        <v>97</v>
      </c>
      <c r="H1010" s="2" t="n">
        <v>2</v>
      </c>
      <c r="I1010" s="2" t="n">
        <v>3000</v>
      </c>
      <c r="J1010" s="2" t="n">
        <v>0.1</v>
      </c>
      <c r="K1010" s="2" t="n">
        <v>2000</v>
      </c>
    </row>
    <row r="1011" customFormat="false" ht="15" hidden="false" customHeight="false" outlineLevel="0" collapsed="false">
      <c r="A1011" s="2" t="s">
        <v>1486</v>
      </c>
      <c r="B1011" s="2" t="s">
        <v>1477</v>
      </c>
      <c r="C1011" s="10" t="n">
        <v>45833</v>
      </c>
      <c r="D1011" s="2" t="s">
        <v>63</v>
      </c>
      <c r="E1011" s="2" t="s">
        <v>92</v>
      </c>
      <c r="F1011" s="2" t="s">
        <v>73</v>
      </c>
      <c r="G1011" s="2" t="s">
        <v>85</v>
      </c>
      <c r="H1011" s="2" t="n">
        <v>3</v>
      </c>
      <c r="I1011" s="2" t="n">
        <v>1200</v>
      </c>
      <c r="J1011" s="2" t="n">
        <v>0.1</v>
      </c>
      <c r="K1011" s="2" t="n">
        <v>600</v>
      </c>
    </row>
    <row r="1012" customFormat="false" ht="15" hidden="false" customHeight="false" outlineLevel="0" collapsed="false">
      <c r="A1012" s="2" t="s">
        <v>1487</v>
      </c>
      <c r="B1012" s="2" t="s">
        <v>1477</v>
      </c>
      <c r="C1012" s="10" t="n">
        <v>45801</v>
      </c>
      <c r="D1012" s="2" t="s">
        <v>63</v>
      </c>
      <c r="E1012" s="2" t="s">
        <v>92</v>
      </c>
      <c r="F1012" s="2" t="s">
        <v>73</v>
      </c>
      <c r="G1012" s="2" t="s">
        <v>85</v>
      </c>
      <c r="H1012" s="2" t="n">
        <v>7</v>
      </c>
      <c r="I1012" s="2" t="n">
        <v>1200</v>
      </c>
      <c r="J1012" s="2" t="n">
        <v>0.05</v>
      </c>
      <c r="K1012" s="2" t="n">
        <v>600</v>
      </c>
    </row>
    <row r="1013" customFormat="false" ht="15" hidden="false" customHeight="false" outlineLevel="0" collapsed="false">
      <c r="A1013" s="2" t="s">
        <v>1488</v>
      </c>
      <c r="B1013" s="2" t="s">
        <v>1489</v>
      </c>
      <c r="C1013" s="10" t="n">
        <v>45941</v>
      </c>
      <c r="D1013" s="2" t="s">
        <v>91</v>
      </c>
      <c r="E1013" s="2" t="s">
        <v>69</v>
      </c>
      <c r="F1013" s="2" t="s">
        <v>70</v>
      </c>
      <c r="G1013" s="2" t="s">
        <v>126</v>
      </c>
      <c r="H1013" s="2" t="n">
        <v>1</v>
      </c>
      <c r="I1013" s="2" t="n">
        <v>4500</v>
      </c>
      <c r="J1013" s="2" t="n">
        <v>0.15</v>
      </c>
      <c r="K1013" s="2" t="n">
        <v>3300</v>
      </c>
    </row>
    <row r="1014" customFormat="false" ht="15" hidden="false" customHeight="false" outlineLevel="0" collapsed="false">
      <c r="A1014" s="2" t="s">
        <v>1490</v>
      </c>
      <c r="B1014" s="2" t="s">
        <v>1491</v>
      </c>
      <c r="C1014" s="10" t="n">
        <v>45804</v>
      </c>
      <c r="D1014" s="2" t="s">
        <v>77</v>
      </c>
      <c r="E1014" s="2" t="s">
        <v>64</v>
      </c>
      <c r="F1014" s="2" t="s">
        <v>70</v>
      </c>
      <c r="G1014" s="2" t="s">
        <v>126</v>
      </c>
      <c r="H1014" s="2" t="n">
        <v>1</v>
      </c>
      <c r="I1014" s="2" t="n">
        <v>4500</v>
      </c>
      <c r="J1014" s="2" t="n">
        <v>0.05</v>
      </c>
      <c r="K1014" s="2" t="n">
        <v>3300</v>
      </c>
    </row>
    <row r="1015" customFormat="false" ht="15" hidden="false" customHeight="false" outlineLevel="0" collapsed="false">
      <c r="A1015" s="2" t="s">
        <v>1492</v>
      </c>
      <c r="B1015" s="2" t="s">
        <v>1493</v>
      </c>
      <c r="C1015" s="10" t="n">
        <v>45771</v>
      </c>
      <c r="D1015" s="2" t="s">
        <v>91</v>
      </c>
      <c r="E1015" s="2" t="s">
        <v>69</v>
      </c>
      <c r="F1015" s="2" t="s">
        <v>70</v>
      </c>
      <c r="G1015" s="2" t="s">
        <v>126</v>
      </c>
      <c r="H1015" s="2" t="n">
        <v>3</v>
      </c>
      <c r="I1015" s="2" t="n">
        <v>4500</v>
      </c>
      <c r="J1015" s="2" t="n">
        <v>0</v>
      </c>
      <c r="K1015" s="2" t="n">
        <v>3300</v>
      </c>
    </row>
    <row r="1016" customFormat="false" ht="15" hidden="false" customHeight="false" outlineLevel="0" collapsed="false">
      <c r="A1016" s="2" t="s">
        <v>1494</v>
      </c>
      <c r="B1016" s="2" t="s">
        <v>1495</v>
      </c>
      <c r="C1016" s="10" t="n">
        <v>45963</v>
      </c>
      <c r="D1016" s="2" t="s">
        <v>63</v>
      </c>
      <c r="E1016" s="2" t="s">
        <v>64</v>
      </c>
      <c r="F1016" s="2" t="s">
        <v>65</v>
      </c>
      <c r="G1016" s="2" t="s">
        <v>66</v>
      </c>
      <c r="H1016" s="2" t="n">
        <v>7</v>
      </c>
      <c r="I1016" s="2" t="n">
        <v>600</v>
      </c>
      <c r="J1016" s="2" t="n">
        <v>0.1</v>
      </c>
      <c r="K1016" s="2" t="n">
        <v>300</v>
      </c>
    </row>
    <row r="1017" customFormat="false" ht="15" hidden="false" customHeight="false" outlineLevel="0" collapsed="false">
      <c r="A1017" s="2" t="s">
        <v>1496</v>
      </c>
      <c r="B1017" s="2" t="s">
        <v>1497</v>
      </c>
      <c r="C1017" s="10" t="n">
        <v>45834</v>
      </c>
      <c r="D1017" s="2" t="s">
        <v>81</v>
      </c>
      <c r="E1017" s="2" t="s">
        <v>69</v>
      </c>
      <c r="F1017" s="2" t="s">
        <v>70</v>
      </c>
      <c r="G1017" s="2" t="s">
        <v>71</v>
      </c>
      <c r="H1017" s="2" t="n">
        <v>5</v>
      </c>
      <c r="I1017" s="2" t="n">
        <v>2500</v>
      </c>
      <c r="J1017" s="2" t="n">
        <v>0</v>
      </c>
      <c r="K1017" s="2" t="n">
        <v>1600</v>
      </c>
    </row>
    <row r="1018" customFormat="false" ht="15" hidden="false" customHeight="false" outlineLevel="0" collapsed="false">
      <c r="A1018" s="2" t="s">
        <v>1498</v>
      </c>
      <c r="B1018" s="2" t="s">
        <v>1497</v>
      </c>
      <c r="C1018" s="10" t="n">
        <v>45727</v>
      </c>
      <c r="D1018" s="2" t="s">
        <v>81</v>
      </c>
      <c r="E1018" s="2" t="s">
        <v>69</v>
      </c>
      <c r="F1018" s="2" t="s">
        <v>65</v>
      </c>
      <c r="G1018" s="2" t="s">
        <v>66</v>
      </c>
      <c r="H1018" s="2" t="n">
        <v>6</v>
      </c>
      <c r="I1018" s="2" t="n">
        <v>600</v>
      </c>
      <c r="J1018" s="2" t="n">
        <v>0</v>
      </c>
      <c r="K1018" s="2" t="n">
        <v>300</v>
      </c>
    </row>
    <row r="1019" customFormat="false" ht="15" hidden="false" customHeight="false" outlineLevel="0" collapsed="false">
      <c r="A1019" s="2" t="s">
        <v>1499</v>
      </c>
      <c r="B1019" s="2" t="s">
        <v>1497</v>
      </c>
      <c r="C1019" s="10" t="n">
        <v>45942</v>
      </c>
      <c r="D1019" s="2" t="s">
        <v>81</v>
      </c>
      <c r="E1019" s="2" t="s">
        <v>69</v>
      </c>
      <c r="F1019" s="2" t="s">
        <v>73</v>
      </c>
      <c r="G1019" s="2" t="s">
        <v>87</v>
      </c>
      <c r="H1019" s="2" t="n">
        <v>3</v>
      </c>
      <c r="I1019" s="2" t="n">
        <v>9000</v>
      </c>
      <c r="J1019" s="2" t="n">
        <v>0.05</v>
      </c>
      <c r="K1019" s="2" t="n">
        <v>6200</v>
      </c>
    </row>
    <row r="1020" customFormat="false" ht="15" hidden="false" customHeight="false" outlineLevel="0" collapsed="false">
      <c r="A1020" s="2" t="s">
        <v>1500</v>
      </c>
      <c r="B1020" s="2" t="s">
        <v>1497</v>
      </c>
      <c r="C1020" s="10" t="n">
        <v>45999</v>
      </c>
      <c r="D1020" s="2" t="s">
        <v>81</v>
      </c>
      <c r="E1020" s="2" t="s">
        <v>69</v>
      </c>
      <c r="F1020" s="2" t="s">
        <v>65</v>
      </c>
      <c r="G1020" s="2" t="s">
        <v>66</v>
      </c>
      <c r="H1020" s="2" t="n">
        <v>17</v>
      </c>
      <c r="I1020" s="2" t="n">
        <v>600</v>
      </c>
      <c r="J1020" s="2" t="n">
        <v>0.05</v>
      </c>
      <c r="K1020" s="2" t="n">
        <v>300</v>
      </c>
    </row>
    <row r="1021" customFormat="false" ht="15" hidden="false" customHeight="false" outlineLevel="0" collapsed="false">
      <c r="A1021" s="2" t="s">
        <v>1501</v>
      </c>
      <c r="B1021" s="2" t="s">
        <v>1497</v>
      </c>
      <c r="C1021" s="10" t="n">
        <v>45802</v>
      </c>
      <c r="D1021" s="2" t="s">
        <v>81</v>
      </c>
      <c r="E1021" s="2" t="s">
        <v>69</v>
      </c>
      <c r="F1021" s="2" t="s">
        <v>70</v>
      </c>
      <c r="G1021" s="2" t="s">
        <v>71</v>
      </c>
      <c r="H1021" s="2" t="n">
        <v>4</v>
      </c>
      <c r="I1021" s="2" t="n">
        <v>2500</v>
      </c>
      <c r="J1021" s="2" t="n">
        <v>0.1</v>
      </c>
      <c r="K1021" s="2" t="n">
        <v>1600</v>
      </c>
    </row>
    <row r="1022" customFormat="false" ht="15" hidden="false" customHeight="false" outlineLevel="0" collapsed="false">
      <c r="A1022" s="2" t="s">
        <v>1502</v>
      </c>
      <c r="B1022" s="2" t="s">
        <v>1497</v>
      </c>
      <c r="C1022" s="10" t="n">
        <v>45955</v>
      </c>
      <c r="D1022" s="2" t="s">
        <v>81</v>
      </c>
      <c r="E1022" s="2" t="s">
        <v>69</v>
      </c>
      <c r="F1022" s="2" t="s">
        <v>65</v>
      </c>
      <c r="G1022" s="2" t="s">
        <v>82</v>
      </c>
      <c r="H1022" s="2" t="n">
        <v>6</v>
      </c>
      <c r="I1022" s="2" t="n">
        <v>250</v>
      </c>
      <c r="J1022" s="2" t="n">
        <v>0.05</v>
      </c>
      <c r="K1022" s="2" t="n">
        <v>100</v>
      </c>
    </row>
    <row r="1023" customFormat="false" ht="15" hidden="false" customHeight="false" outlineLevel="0" collapsed="false">
      <c r="A1023" s="2" t="s">
        <v>1503</v>
      </c>
      <c r="B1023" s="2" t="s">
        <v>1497</v>
      </c>
      <c r="C1023" s="10" t="n">
        <v>45709</v>
      </c>
      <c r="D1023" s="2" t="s">
        <v>81</v>
      </c>
      <c r="E1023" s="2" t="s">
        <v>69</v>
      </c>
      <c r="F1023" s="2" t="s">
        <v>65</v>
      </c>
      <c r="G1023" s="2" t="s">
        <v>82</v>
      </c>
      <c r="H1023" s="2" t="n">
        <v>14</v>
      </c>
      <c r="I1023" s="2" t="n">
        <v>250</v>
      </c>
      <c r="J1023" s="2" t="n">
        <v>0.1</v>
      </c>
      <c r="K1023" s="2" t="n">
        <v>100</v>
      </c>
    </row>
    <row r="1024" customFormat="false" ht="15" hidden="false" customHeight="false" outlineLevel="0" collapsed="false">
      <c r="A1024" s="2" t="s">
        <v>1504</v>
      </c>
      <c r="B1024" s="2" t="s">
        <v>1497</v>
      </c>
      <c r="C1024" s="10" t="n">
        <v>45662</v>
      </c>
      <c r="D1024" s="2" t="s">
        <v>81</v>
      </c>
      <c r="E1024" s="2" t="s">
        <v>69</v>
      </c>
      <c r="F1024" s="2" t="s">
        <v>70</v>
      </c>
      <c r="G1024" s="2" t="s">
        <v>122</v>
      </c>
      <c r="H1024" s="2" t="n">
        <v>4</v>
      </c>
      <c r="I1024" s="2" t="n">
        <v>1500</v>
      </c>
      <c r="J1024" s="2" t="n">
        <v>0</v>
      </c>
      <c r="K1024" s="2" t="n">
        <v>900</v>
      </c>
    </row>
    <row r="1025" customFormat="false" ht="15" hidden="false" customHeight="false" outlineLevel="0" collapsed="false">
      <c r="A1025" s="2" t="s">
        <v>1505</v>
      </c>
      <c r="B1025" s="2" t="s">
        <v>1506</v>
      </c>
      <c r="C1025" s="10" t="n">
        <v>45728</v>
      </c>
      <c r="D1025" s="2" t="s">
        <v>77</v>
      </c>
      <c r="E1025" s="2" t="s">
        <v>64</v>
      </c>
      <c r="F1025" s="2" t="s">
        <v>73</v>
      </c>
      <c r="G1025" s="2" t="s">
        <v>87</v>
      </c>
      <c r="H1025" s="2" t="n">
        <v>3</v>
      </c>
      <c r="I1025" s="2" t="n">
        <v>9000</v>
      </c>
      <c r="J1025" s="2" t="n">
        <v>0</v>
      </c>
      <c r="K1025" s="2" t="n">
        <v>6200</v>
      </c>
    </row>
    <row r="1026" customFormat="false" ht="15" hidden="false" customHeight="false" outlineLevel="0" collapsed="false">
      <c r="A1026" s="2" t="s">
        <v>1507</v>
      </c>
      <c r="B1026" s="2" t="s">
        <v>1506</v>
      </c>
      <c r="C1026" s="10" t="n">
        <v>45829</v>
      </c>
      <c r="D1026" s="2" t="s">
        <v>77</v>
      </c>
      <c r="E1026" s="2" t="s">
        <v>64</v>
      </c>
      <c r="F1026" s="2" t="s">
        <v>73</v>
      </c>
      <c r="G1026" s="2" t="s">
        <v>87</v>
      </c>
      <c r="H1026" s="2" t="n">
        <v>2</v>
      </c>
      <c r="I1026" s="2" t="n">
        <v>9000</v>
      </c>
      <c r="J1026" s="2" t="n">
        <v>0.1</v>
      </c>
      <c r="K1026" s="2" t="n">
        <v>6200</v>
      </c>
    </row>
    <row r="1027" customFormat="false" ht="15" hidden="false" customHeight="false" outlineLevel="0" collapsed="false">
      <c r="A1027" s="2" t="s">
        <v>1508</v>
      </c>
      <c r="B1027" s="2" t="s">
        <v>1509</v>
      </c>
      <c r="C1027" s="10" t="n">
        <v>46017</v>
      </c>
      <c r="D1027" s="2" t="s">
        <v>63</v>
      </c>
      <c r="E1027" s="2" t="s">
        <v>92</v>
      </c>
      <c r="F1027" s="2" t="s">
        <v>73</v>
      </c>
      <c r="G1027" s="2" t="s">
        <v>74</v>
      </c>
      <c r="H1027" s="2" t="n">
        <v>4</v>
      </c>
      <c r="I1027" s="2" t="n">
        <v>7000</v>
      </c>
      <c r="J1027" s="2" t="n">
        <v>0.15</v>
      </c>
      <c r="K1027" s="2" t="n">
        <v>4800</v>
      </c>
    </row>
    <row r="1028" customFormat="false" ht="15" hidden="false" customHeight="false" outlineLevel="0" collapsed="false">
      <c r="A1028" s="2" t="s">
        <v>1510</v>
      </c>
      <c r="B1028" s="2" t="s">
        <v>1509</v>
      </c>
      <c r="C1028" s="10" t="n">
        <v>45942</v>
      </c>
      <c r="D1028" s="2" t="s">
        <v>63</v>
      </c>
      <c r="E1028" s="2" t="s">
        <v>92</v>
      </c>
      <c r="F1028" s="2" t="s">
        <v>73</v>
      </c>
      <c r="G1028" s="2" t="s">
        <v>85</v>
      </c>
      <c r="H1028" s="2" t="n">
        <v>7</v>
      </c>
      <c r="I1028" s="2" t="n">
        <v>1200</v>
      </c>
      <c r="J1028" s="2" t="n">
        <v>0.15</v>
      </c>
      <c r="K1028" s="2" t="n">
        <v>600</v>
      </c>
    </row>
    <row r="1029" customFormat="false" ht="15" hidden="false" customHeight="false" outlineLevel="0" collapsed="false">
      <c r="A1029" s="2" t="s">
        <v>1511</v>
      </c>
      <c r="B1029" s="2" t="s">
        <v>1509</v>
      </c>
      <c r="C1029" s="10" t="n">
        <v>45839</v>
      </c>
      <c r="D1029" s="2" t="s">
        <v>63</v>
      </c>
      <c r="E1029" s="2" t="s">
        <v>92</v>
      </c>
      <c r="F1029" s="2" t="s">
        <v>73</v>
      </c>
      <c r="G1029" s="2" t="s">
        <v>87</v>
      </c>
      <c r="H1029" s="2" t="n">
        <v>2</v>
      </c>
      <c r="I1029" s="2" t="n">
        <v>9000</v>
      </c>
      <c r="J1029" s="2" t="n">
        <v>0.1</v>
      </c>
      <c r="K1029" s="2" t="n">
        <v>6200</v>
      </c>
    </row>
    <row r="1030" customFormat="false" ht="15" hidden="false" customHeight="false" outlineLevel="0" collapsed="false">
      <c r="A1030" s="2" t="s">
        <v>1512</v>
      </c>
      <c r="B1030" s="2" t="s">
        <v>1509</v>
      </c>
      <c r="C1030" s="10" t="n">
        <v>45793</v>
      </c>
      <c r="D1030" s="2" t="s">
        <v>63</v>
      </c>
      <c r="E1030" s="2" t="s">
        <v>92</v>
      </c>
      <c r="F1030" s="2" t="s">
        <v>65</v>
      </c>
      <c r="G1030" s="2" t="s">
        <v>78</v>
      </c>
      <c r="H1030" s="2" t="n">
        <v>12</v>
      </c>
      <c r="I1030" s="2" t="n">
        <v>400</v>
      </c>
      <c r="J1030" s="2" t="n">
        <v>0</v>
      </c>
      <c r="K1030" s="2" t="n">
        <v>200</v>
      </c>
    </row>
    <row r="1031" customFormat="false" ht="15" hidden="false" customHeight="false" outlineLevel="0" collapsed="false">
      <c r="A1031" s="2" t="s">
        <v>1513</v>
      </c>
      <c r="B1031" s="2" t="s">
        <v>1514</v>
      </c>
      <c r="C1031" s="10" t="n">
        <v>45787</v>
      </c>
      <c r="D1031" s="2" t="s">
        <v>81</v>
      </c>
      <c r="E1031" s="2" t="s">
        <v>64</v>
      </c>
      <c r="F1031" s="2" t="s">
        <v>70</v>
      </c>
      <c r="G1031" s="2" t="s">
        <v>71</v>
      </c>
      <c r="H1031" s="2" t="n">
        <v>1</v>
      </c>
      <c r="I1031" s="2" t="n">
        <v>2500</v>
      </c>
      <c r="J1031" s="2" t="n">
        <v>0.05</v>
      </c>
      <c r="K1031" s="2" t="n">
        <v>1600</v>
      </c>
    </row>
    <row r="1032" customFormat="false" ht="15" hidden="false" customHeight="false" outlineLevel="0" collapsed="false">
      <c r="A1032" s="2" t="s">
        <v>1515</v>
      </c>
      <c r="B1032" s="2" t="s">
        <v>1516</v>
      </c>
      <c r="C1032" s="10" t="n">
        <v>46007</v>
      </c>
      <c r="D1032" s="2" t="s">
        <v>81</v>
      </c>
      <c r="E1032" s="2" t="s">
        <v>64</v>
      </c>
      <c r="F1032" s="2" t="s">
        <v>70</v>
      </c>
      <c r="G1032" s="2" t="s">
        <v>97</v>
      </c>
      <c r="H1032" s="2" t="n">
        <v>2</v>
      </c>
      <c r="I1032" s="2" t="n">
        <v>3000</v>
      </c>
      <c r="J1032" s="2" t="n">
        <v>0.15</v>
      </c>
      <c r="K1032" s="2" t="n">
        <v>2000</v>
      </c>
    </row>
    <row r="1033" customFormat="false" ht="15" hidden="false" customHeight="false" outlineLevel="0" collapsed="false">
      <c r="A1033" s="2" t="s">
        <v>1517</v>
      </c>
      <c r="B1033" s="2" t="s">
        <v>1516</v>
      </c>
      <c r="C1033" s="10" t="n">
        <v>46010</v>
      </c>
      <c r="D1033" s="2" t="s">
        <v>81</v>
      </c>
      <c r="E1033" s="2" t="s">
        <v>64</v>
      </c>
      <c r="F1033" s="2" t="s">
        <v>65</v>
      </c>
      <c r="G1033" s="2" t="s">
        <v>66</v>
      </c>
      <c r="H1033" s="2" t="n">
        <v>4</v>
      </c>
      <c r="I1033" s="2" t="n">
        <v>600</v>
      </c>
      <c r="J1033" s="2" t="n">
        <v>0.05</v>
      </c>
      <c r="K1033" s="2" t="n">
        <v>300</v>
      </c>
    </row>
    <row r="1034" customFormat="false" ht="15" hidden="false" customHeight="false" outlineLevel="0" collapsed="false">
      <c r="A1034" s="2" t="s">
        <v>1518</v>
      </c>
      <c r="B1034" s="2" t="s">
        <v>1516</v>
      </c>
      <c r="C1034" s="10" t="n">
        <v>45702</v>
      </c>
      <c r="D1034" s="2" t="s">
        <v>81</v>
      </c>
      <c r="E1034" s="2" t="s">
        <v>64</v>
      </c>
      <c r="F1034" s="2" t="s">
        <v>65</v>
      </c>
      <c r="G1034" s="2" t="s">
        <v>78</v>
      </c>
      <c r="H1034" s="2" t="n">
        <v>6</v>
      </c>
      <c r="I1034" s="2" t="n">
        <v>400</v>
      </c>
      <c r="J1034" s="2" t="n">
        <v>0.05</v>
      </c>
      <c r="K1034" s="2" t="n">
        <v>200</v>
      </c>
    </row>
    <row r="1035" customFormat="false" ht="15" hidden="false" customHeight="false" outlineLevel="0" collapsed="false">
      <c r="A1035" s="2" t="s">
        <v>1519</v>
      </c>
      <c r="B1035" s="2" t="s">
        <v>1516</v>
      </c>
      <c r="C1035" s="10" t="n">
        <v>45789</v>
      </c>
      <c r="D1035" s="2" t="s">
        <v>81</v>
      </c>
      <c r="E1035" s="2" t="s">
        <v>64</v>
      </c>
      <c r="F1035" s="2" t="s">
        <v>70</v>
      </c>
      <c r="G1035" s="2" t="s">
        <v>71</v>
      </c>
      <c r="H1035" s="2" t="n">
        <v>3</v>
      </c>
      <c r="I1035" s="2" t="n">
        <v>2500</v>
      </c>
      <c r="J1035" s="2" t="n">
        <v>0</v>
      </c>
      <c r="K1035" s="2" t="n">
        <v>1600</v>
      </c>
    </row>
    <row r="1036" customFormat="false" ht="15" hidden="false" customHeight="false" outlineLevel="0" collapsed="false">
      <c r="A1036" s="2" t="s">
        <v>1520</v>
      </c>
      <c r="B1036" s="2" t="s">
        <v>1516</v>
      </c>
      <c r="C1036" s="10" t="n">
        <v>45993</v>
      </c>
      <c r="D1036" s="2" t="s">
        <v>81</v>
      </c>
      <c r="E1036" s="2" t="s">
        <v>64</v>
      </c>
      <c r="F1036" s="2" t="s">
        <v>65</v>
      </c>
      <c r="G1036" s="2" t="s">
        <v>66</v>
      </c>
      <c r="H1036" s="2" t="n">
        <v>7</v>
      </c>
      <c r="I1036" s="2" t="n">
        <v>600</v>
      </c>
      <c r="J1036" s="2" t="n">
        <v>0.15</v>
      </c>
      <c r="K1036" s="2" t="n">
        <v>300</v>
      </c>
    </row>
    <row r="1037" customFormat="false" ht="15" hidden="false" customHeight="false" outlineLevel="0" collapsed="false">
      <c r="A1037" s="2" t="s">
        <v>1521</v>
      </c>
      <c r="B1037" s="2" t="s">
        <v>1516</v>
      </c>
      <c r="C1037" s="10" t="n">
        <v>45975</v>
      </c>
      <c r="D1037" s="2" t="s">
        <v>81</v>
      </c>
      <c r="E1037" s="2" t="s">
        <v>64</v>
      </c>
      <c r="F1037" s="2" t="s">
        <v>65</v>
      </c>
      <c r="G1037" s="2" t="s">
        <v>107</v>
      </c>
      <c r="H1037" s="2" t="n">
        <v>6</v>
      </c>
      <c r="I1037" s="2" t="n">
        <v>500</v>
      </c>
      <c r="J1037" s="2" t="n">
        <v>0.05</v>
      </c>
      <c r="K1037" s="2" t="n">
        <v>250</v>
      </c>
    </row>
    <row r="1038" customFormat="false" ht="15" hidden="false" customHeight="false" outlineLevel="0" collapsed="false">
      <c r="A1038" s="2" t="s">
        <v>1522</v>
      </c>
      <c r="B1038" s="2" t="s">
        <v>1523</v>
      </c>
      <c r="C1038" s="10" t="n">
        <v>45803</v>
      </c>
      <c r="D1038" s="2" t="s">
        <v>81</v>
      </c>
      <c r="E1038" s="2" t="s">
        <v>64</v>
      </c>
      <c r="F1038" s="2" t="s">
        <v>73</v>
      </c>
      <c r="G1038" s="2" t="s">
        <v>74</v>
      </c>
      <c r="H1038" s="2" t="n">
        <v>1</v>
      </c>
      <c r="I1038" s="2" t="n">
        <v>7000</v>
      </c>
      <c r="J1038" s="2" t="n">
        <v>0.1</v>
      </c>
      <c r="K1038" s="2" t="n">
        <v>4800</v>
      </c>
    </row>
    <row r="1039" customFormat="false" ht="15" hidden="false" customHeight="false" outlineLevel="0" collapsed="false">
      <c r="A1039" s="2" t="s">
        <v>1524</v>
      </c>
      <c r="B1039" s="2" t="s">
        <v>1525</v>
      </c>
      <c r="C1039" s="10" t="n">
        <v>45846</v>
      </c>
      <c r="D1039" s="2" t="s">
        <v>81</v>
      </c>
      <c r="E1039" s="2" t="s">
        <v>92</v>
      </c>
      <c r="F1039" s="2" t="s">
        <v>73</v>
      </c>
      <c r="G1039" s="2" t="s">
        <v>104</v>
      </c>
      <c r="H1039" s="2" t="n">
        <v>8</v>
      </c>
      <c r="I1039" s="2" t="n">
        <v>5500</v>
      </c>
      <c r="J1039" s="2" t="n">
        <v>0</v>
      </c>
      <c r="K1039" s="2" t="n">
        <v>3600</v>
      </c>
    </row>
    <row r="1040" customFormat="false" ht="15" hidden="false" customHeight="false" outlineLevel="0" collapsed="false">
      <c r="A1040" s="2" t="s">
        <v>1526</v>
      </c>
      <c r="B1040" s="2" t="s">
        <v>1525</v>
      </c>
      <c r="C1040" s="10" t="n">
        <v>45798</v>
      </c>
      <c r="D1040" s="2" t="s">
        <v>81</v>
      </c>
      <c r="E1040" s="2" t="s">
        <v>92</v>
      </c>
      <c r="F1040" s="2" t="s">
        <v>70</v>
      </c>
      <c r="G1040" s="2" t="s">
        <v>122</v>
      </c>
      <c r="H1040" s="2" t="n">
        <v>3</v>
      </c>
      <c r="I1040" s="2" t="n">
        <v>1500</v>
      </c>
      <c r="J1040" s="2" t="n">
        <v>0.15</v>
      </c>
      <c r="K1040" s="2" t="n">
        <v>900</v>
      </c>
    </row>
    <row r="1041" customFormat="false" ht="15" hidden="false" customHeight="false" outlineLevel="0" collapsed="false">
      <c r="A1041" s="2" t="s">
        <v>1527</v>
      </c>
      <c r="B1041" s="2" t="s">
        <v>1525</v>
      </c>
      <c r="C1041" s="10" t="n">
        <v>45788</v>
      </c>
      <c r="D1041" s="2" t="s">
        <v>81</v>
      </c>
      <c r="E1041" s="2" t="s">
        <v>92</v>
      </c>
      <c r="F1041" s="2" t="s">
        <v>73</v>
      </c>
      <c r="G1041" s="2" t="s">
        <v>74</v>
      </c>
      <c r="H1041" s="2" t="n">
        <v>4</v>
      </c>
      <c r="I1041" s="2" t="n">
        <v>7000</v>
      </c>
      <c r="J1041" s="2" t="n">
        <v>0.1</v>
      </c>
      <c r="K1041" s="2" t="n">
        <v>4800</v>
      </c>
    </row>
    <row r="1042" customFormat="false" ht="15" hidden="false" customHeight="false" outlineLevel="0" collapsed="false">
      <c r="A1042" s="2" t="s">
        <v>1528</v>
      </c>
      <c r="B1042" s="2" t="s">
        <v>1525</v>
      </c>
      <c r="C1042" s="10" t="n">
        <v>45799</v>
      </c>
      <c r="D1042" s="2" t="s">
        <v>81</v>
      </c>
      <c r="E1042" s="2" t="s">
        <v>92</v>
      </c>
      <c r="F1042" s="2" t="s">
        <v>73</v>
      </c>
      <c r="G1042" s="2" t="s">
        <v>87</v>
      </c>
      <c r="H1042" s="2" t="n">
        <v>8</v>
      </c>
      <c r="I1042" s="2" t="n">
        <v>9000</v>
      </c>
      <c r="J1042" s="2" t="n">
        <v>0</v>
      </c>
      <c r="K1042" s="2" t="n">
        <v>6200</v>
      </c>
    </row>
    <row r="1043" customFormat="false" ht="15" hidden="false" customHeight="false" outlineLevel="0" collapsed="false">
      <c r="A1043" s="2" t="s">
        <v>1529</v>
      </c>
      <c r="B1043" s="2" t="s">
        <v>1525</v>
      </c>
      <c r="C1043" s="10" t="n">
        <v>45936</v>
      </c>
      <c r="D1043" s="2" t="s">
        <v>81</v>
      </c>
      <c r="E1043" s="2" t="s">
        <v>92</v>
      </c>
      <c r="F1043" s="2" t="s">
        <v>73</v>
      </c>
      <c r="G1043" s="2" t="s">
        <v>87</v>
      </c>
      <c r="H1043" s="2" t="n">
        <v>8</v>
      </c>
      <c r="I1043" s="2" t="n">
        <v>9000</v>
      </c>
      <c r="J1043" s="2" t="n">
        <v>0.1</v>
      </c>
      <c r="K1043" s="2" t="n">
        <v>6200</v>
      </c>
    </row>
    <row r="1044" customFormat="false" ht="15" hidden="false" customHeight="false" outlineLevel="0" collapsed="false">
      <c r="A1044" s="2" t="s">
        <v>1530</v>
      </c>
      <c r="B1044" s="2" t="s">
        <v>1531</v>
      </c>
      <c r="C1044" s="10" t="n">
        <v>45866</v>
      </c>
      <c r="D1044" s="2" t="s">
        <v>81</v>
      </c>
      <c r="E1044" s="2" t="s">
        <v>69</v>
      </c>
      <c r="F1044" s="2" t="s">
        <v>73</v>
      </c>
      <c r="G1044" s="2" t="s">
        <v>74</v>
      </c>
      <c r="H1044" s="2" t="n">
        <v>5</v>
      </c>
      <c r="I1044" s="2" t="n">
        <v>7000</v>
      </c>
      <c r="J1044" s="2" t="n">
        <v>0</v>
      </c>
      <c r="K1044" s="2" t="n">
        <v>4800</v>
      </c>
    </row>
    <row r="1045" customFormat="false" ht="15" hidden="false" customHeight="false" outlineLevel="0" collapsed="false">
      <c r="A1045" s="2" t="s">
        <v>1532</v>
      </c>
      <c r="B1045" s="2" t="s">
        <v>1531</v>
      </c>
      <c r="C1045" s="10" t="n">
        <v>45658</v>
      </c>
      <c r="D1045" s="2" t="s">
        <v>81</v>
      </c>
      <c r="E1045" s="2" t="s">
        <v>69</v>
      </c>
      <c r="F1045" s="2" t="s">
        <v>70</v>
      </c>
      <c r="G1045" s="2" t="s">
        <v>122</v>
      </c>
      <c r="H1045" s="2" t="n">
        <v>1</v>
      </c>
      <c r="I1045" s="2" t="n">
        <v>1500</v>
      </c>
      <c r="J1045" s="2" t="n">
        <v>0.1</v>
      </c>
      <c r="K1045" s="2" t="n">
        <v>900</v>
      </c>
    </row>
    <row r="1046" customFormat="false" ht="15" hidden="false" customHeight="false" outlineLevel="0" collapsed="false">
      <c r="A1046" s="2" t="s">
        <v>1533</v>
      </c>
      <c r="B1046" s="2" t="s">
        <v>1534</v>
      </c>
      <c r="C1046" s="10" t="n">
        <v>45979</v>
      </c>
      <c r="D1046" s="2" t="s">
        <v>81</v>
      </c>
      <c r="E1046" s="2" t="s">
        <v>64</v>
      </c>
      <c r="F1046" s="2" t="s">
        <v>65</v>
      </c>
      <c r="G1046" s="2" t="s">
        <v>82</v>
      </c>
      <c r="H1046" s="2" t="n">
        <v>6</v>
      </c>
      <c r="I1046" s="2" t="n">
        <v>250</v>
      </c>
      <c r="J1046" s="2" t="n">
        <v>0.05</v>
      </c>
      <c r="K1046" s="2" t="n">
        <v>100</v>
      </c>
    </row>
    <row r="1047" customFormat="false" ht="15" hidden="false" customHeight="false" outlineLevel="0" collapsed="false">
      <c r="A1047" s="2" t="s">
        <v>1535</v>
      </c>
      <c r="B1047" s="2" t="s">
        <v>1534</v>
      </c>
      <c r="C1047" s="10" t="n">
        <v>45773</v>
      </c>
      <c r="D1047" s="2" t="s">
        <v>81</v>
      </c>
      <c r="E1047" s="2" t="s">
        <v>64</v>
      </c>
      <c r="F1047" s="2" t="s">
        <v>65</v>
      </c>
      <c r="G1047" s="2" t="s">
        <v>82</v>
      </c>
      <c r="H1047" s="2" t="n">
        <v>3</v>
      </c>
      <c r="I1047" s="2" t="n">
        <v>250</v>
      </c>
      <c r="J1047" s="2" t="n">
        <v>0.05</v>
      </c>
      <c r="K1047" s="2" t="n">
        <v>100</v>
      </c>
    </row>
    <row r="1048" customFormat="false" ht="15" hidden="false" customHeight="false" outlineLevel="0" collapsed="false">
      <c r="A1048" s="2" t="s">
        <v>1536</v>
      </c>
      <c r="B1048" s="2" t="s">
        <v>1534</v>
      </c>
      <c r="C1048" s="10" t="n">
        <v>45797</v>
      </c>
      <c r="D1048" s="2" t="s">
        <v>81</v>
      </c>
      <c r="E1048" s="2" t="s">
        <v>64</v>
      </c>
      <c r="F1048" s="2" t="s">
        <v>73</v>
      </c>
      <c r="G1048" s="2" t="s">
        <v>74</v>
      </c>
      <c r="H1048" s="2" t="n">
        <v>2</v>
      </c>
      <c r="I1048" s="2" t="n">
        <v>7000</v>
      </c>
      <c r="J1048" s="2" t="n">
        <v>0</v>
      </c>
      <c r="K1048" s="2" t="n">
        <v>4800</v>
      </c>
    </row>
    <row r="1049" customFormat="false" ht="15" hidden="false" customHeight="false" outlineLevel="0" collapsed="false">
      <c r="A1049" s="2" t="s">
        <v>1537</v>
      </c>
      <c r="B1049" s="2" t="s">
        <v>1538</v>
      </c>
      <c r="C1049" s="10" t="n">
        <v>45829</v>
      </c>
      <c r="D1049" s="2" t="s">
        <v>77</v>
      </c>
      <c r="E1049" s="2" t="s">
        <v>64</v>
      </c>
      <c r="F1049" s="2" t="s">
        <v>70</v>
      </c>
      <c r="G1049" s="2" t="s">
        <v>122</v>
      </c>
      <c r="H1049" s="2" t="n">
        <v>1</v>
      </c>
      <c r="I1049" s="2" t="n">
        <v>1500</v>
      </c>
      <c r="J1049" s="2" t="n">
        <v>0.1</v>
      </c>
      <c r="K1049" s="2" t="n">
        <v>900</v>
      </c>
    </row>
    <row r="1050" customFormat="false" ht="15" hidden="false" customHeight="false" outlineLevel="0" collapsed="false">
      <c r="A1050" s="2" t="s">
        <v>1539</v>
      </c>
      <c r="B1050" s="2" t="s">
        <v>1538</v>
      </c>
      <c r="C1050" s="10" t="n">
        <v>45834</v>
      </c>
      <c r="D1050" s="2" t="s">
        <v>77</v>
      </c>
      <c r="E1050" s="2" t="s">
        <v>64</v>
      </c>
      <c r="F1050" s="2" t="s">
        <v>70</v>
      </c>
      <c r="G1050" s="2" t="s">
        <v>97</v>
      </c>
      <c r="H1050" s="2" t="n">
        <v>1</v>
      </c>
      <c r="I1050" s="2" t="n">
        <v>3000</v>
      </c>
      <c r="J1050" s="2" t="n">
        <v>0</v>
      </c>
      <c r="K1050" s="2" t="n">
        <v>2000</v>
      </c>
    </row>
    <row r="1051" customFormat="false" ht="15" hidden="false" customHeight="false" outlineLevel="0" collapsed="false">
      <c r="A1051" s="2" t="s">
        <v>1540</v>
      </c>
      <c r="B1051" s="2" t="s">
        <v>1538</v>
      </c>
      <c r="C1051" s="10" t="n">
        <v>45918</v>
      </c>
      <c r="D1051" s="2" t="s">
        <v>77</v>
      </c>
      <c r="E1051" s="2" t="s">
        <v>64</v>
      </c>
      <c r="F1051" s="2" t="s">
        <v>65</v>
      </c>
      <c r="G1051" s="2" t="s">
        <v>66</v>
      </c>
      <c r="H1051" s="2" t="n">
        <v>7</v>
      </c>
      <c r="I1051" s="2" t="n">
        <v>600</v>
      </c>
      <c r="J1051" s="2" t="n">
        <v>0</v>
      </c>
      <c r="K1051" s="2" t="n">
        <v>300</v>
      </c>
    </row>
    <row r="1052" customFormat="false" ht="15" hidden="false" customHeight="false" outlineLevel="0" collapsed="false">
      <c r="A1052" s="2" t="s">
        <v>1541</v>
      </c>
      <c r="B1052" s="2" t="s">
        <v>1542</v>
      </c>
      <c r="C1052" s="10" t="n">
        <v>45969</v>
      </c>
      <c r="D1052" s="2" t="s">
        <v>91</v>
      </c>
      <c r="E1052" s="2" t="s">
        <v>64</v>
      </c>
      <c r="F1052" s="2" t="s">
        <v>70</v>
      </c>
      <c r="G1052" s="2" t="s">
        <v>122</v>
      </c>
      <c r="H1052" s="2" t="n">
        <v>1</v>
      </c>
      <c r="I1052" s="2" t="n">
        <v>1500</v>
      </c>
      <c r="J1052" s="2" t="n">
        <v>0.05</v>
      </c>
      <c r="K1052" s="2" t="n">
        <v>900</v>
      </c>
    </row>
    <row r="1053" customFormat="false" ht="15" hidden="false" customHeight="false" outlineLevel="0" collapsed="false">
      <c r="A1053" s="2" t="s">
        <v>1543</v>
      </c>
      <c r="B1053" s="2" t="s">
        <v>1542</v>
      </c>
      <c r="C1053" s="10" t="n">
        <v>46015</v>
      </c>
      <c r="D1053" s="2" t="s">
        <v>91</v>
      </c>
      <c r="E1053" s="2" t="s">
        <v>64</v>
      </c>
      <c r="F1053" s="2" t="s">
        <v>65</v>
      </c>
      <c r="G1053" s="2" t="s">
        <v>82</v>
      </c>
      <c r="H1053" s="2" t="n">
        <v>8</v>
      </c>
      <c r="I1053" s="2" t="n">
        <v>250</v>
      </c>
      <c r="J1053" s="2" t="n">
        <v>0.05</v>
      </c>
      <c r="K1053" s="2" t="n">
        <v>100</v>
      </c>
    </row>
    <row r="1054" customFormat="false" ht="15" hidden="false" customHeight="false" outlineLevel="0" collapsed="false">
      <c r="A1054" s="2" t="s">
        <v>1544</v>
      </c>
      <c r="B1054" s="2" t="s">
        <v>1542</v>
      </c>
      <c r="C1054" s="10" t="n">
        <v>45674</v>
      </c>
      <c r="D1054" s="2" t="s">
        <v>91</v>
      </c>
      <c r="E1054" s="2" t="s">
        <v>64</v>
      </c>
      <c r="F1054" s="2" t="s">
        <v>65</v>
      </c>
      <c r="G1054" s="2" t="s">
        <v>107</v>
      </c>
      <c r="H1054" s="2" t="n">
        <v>7</v>
      </c>
      <c r="I1054" s="2" t="n">
        <v>500</v>
      </c>
      <c r="J1054" s="2" t="n">
        <v>0.05</v>
      </c>
      <c r="K1054" s="2" t="n">
        <v>250</v>
      </c>
    </row>
    <row r="1055" customFormat="false" ht="15" hidden="false" customHeight="false" outlineLevel="0" collapsed="false">
      <c r="A1055" s="2" t="s">
        <v>1545</v>
      </c>
      <c r="B1055" s="2" t="s">
        <v>1546</v>
      </c>
      <c r="C1055" s="10" t="n">
        <v>45897</v>
      </c>
      <c r="D1055" s="2" t="s">
        <v>77</v>
      </c>
      <c r="E1055" s="2" t="s">
        <v>92</v>
      </c>
      <c r="F1055" s="2" t="s">
        <v>73</v>
      </c>
      <c r="G1055" s="2" t="s">
        <v>74</v>
      </c>
      <c r="H1055" s="2" t="n">
        <v>5</v>
      </c>
      <c r="I1055" s="2" t="n">
        <v>7000</v>
      </c>
      <c r="J1055" s="2" t="n">
        <v>0</v>
      </c>
      <c r="K1055" s="2" t="n">
        <v>4800</v>
      </c>
    </row>
    <row r="1056" customFormat="false" ht="15" hidden="false" customHeight="false" outlineLevel="0" collapsed="false">
      <c r="A1056" s="2" t="s">
        <v>1547</v>
      </c>
      <c r="B1056" s="2" t="s">
        <v>1546</v>
      </c>
      <c r="C1056" s="10" t="n">
        <v>45884</v>
      </c>
      <c r="D1056" s="2" t="s">
        <v>77</v>
      </c>
      <c r="E1056" s="2" t="s">
        <v>92</v>
      </c>
      <c r="F1056" s="2" t="s">
        <v>73</v>
      </c>
      <c r="G1056" s="2" t="s">
        <v>74</v>
      </c>
      <c r="H1056" s="2" t="n">
        <v>3</v>
      </c>
      <c r="I1056" s="2" t="n">
        <v>7000</v>
      </c>
      <c r="J1056" s="2" t="n">
        <v>0.1</v>
      </c>
      <c r="K1056" s="2" t="n">
        <v>4800</v>
      </c>
    </row>
    <row r="1057" customFormat="false" ht="15" hidden="false" customHeight="false" outlineLevel="0" collapsed="false">
      <c r="A1057" s="2" t="s">
        <v>1548</v>
      </c>
      <c r="B1057" s="2" t="s">
        <v>1546</v>
      </c>
      <c r="C1057" s="10" t="n">
        <v>46005</v>
      </c>
      <c r="D1057" s="2" t="s">
        <v>77</v>
      </c>
      <c r="E1057" s="2" t="s">
        <v>92</v>
      </c>
      <c r="F1057" s="2" t="s">
        <v>73</v>
      </c>
      <c r="G1057" s="2" t="s">
        <v>87</v>
      </c>
      <c r="H1057" s="2" t="n">
        <v>6</v>
      </c>
      <c r="I1057" s="2" t="n">
        <v>9000</v>
      </c>
      <c r="J1057" s="2" t="n">
        <v>0.15</v>
      </c>
      <c r="K1057" s="2" t="n">
        <v>6200</v>
      </c>
    </row>
    <row r="1058" customFormat="false" ht="15" hidden="false" customHeight="false" outlineLevel="0" collapsed="false">
      <c r="A1058" s="2" t="s">
        <v>1549</v>
      </c>
      <c r="B1058" s="2" t="s">
        <v>1546</v>
      </c>
      <c r="C1058" s="10" t="n">
        <v>45850</v>
      </c>
      <c r="D1058" s="2" t="s">
        <v>77</v>
      </c>
      <c r="E1058" s="2" t="s">
        <v>92</v>
      </c>
      <c r="F1058" s="2" t="s">
        <v>73</v>
      </c>
      <c r="G1058" s="2" t="s">
        <v>87</v>
      </c>
      <c r="H1058" s="2" t="n">
        <v>3</v>
      </c>
      <c r="I1058" s="2" t="n">
        <v>9000</v>
      </c>
      <c r="J1058" s="2" t="n">
        <v>0.15</v>
      </c>
      <c r="K1058" s="2" t="n">
        <v>6200</v>
      </c>
    </row>
    <row r="1059" customFormat="false" ht="15" hidden="false" customHeight="false" outlineLevel="0" collapsed="false">
      <c r="A1059" s="2" t="s">
        <v>1550</v>
      </c>
      <c r="B1059" s="2" t="s">
        <v>1551</v>
      </c>
      <c r="C1059" s="10" t="n">
        <v>45792</v>
      </c>
      <c r="D1059" s="2" t="s">
        <v>77</v>
      </c>
      <c r="E1059" s="2" t="s">
        <v>64</v>
      </c>
      <c r="F1059" s="2" t="s">
        <v>73</v>
      </c>
      <c r="G1059" s="2" t="s">
        <v>85</v>
      </c>
      <c r="H1059" s="2" t="n">
        <v>2</v>
      </c>
      <c r="I1059" s="2" t="n">
        <v>1200</v>
      </c>
      <c r="J1059" s="2" t="n">
        <v>0</v>
      </c>
      <c r="K1059" s="2" t="n">
        <v>600</v>
      </c>
    </row>
    <row r="1060" customFormat="false" ht="15" hidden="false" customHeight="false" outlineLevel="0" collapsed="false">
      <c r="A1060" s="2" t="s">
        <v>1552</v>
      </c>
      <c r="B1060" s="2" t="s">
        <v>1553</v>
      </c>
      <c r="C1060" s="10" t="n">
        <v>45904</v>
      </c>
      <c r="D1060" s="2" t="s">
        <v>91</v>
      </c>
      <c r="E1060" s="2" t="s">
        <v>92</v>
      </c>
      <c r="F1060" s="2" t="s">
        <v>70</v>
      </c>
      <c r="G1060" s="2" t="s">
        <v>71</v>
      </c>
      <c r="H1060" s="2" t="n">
        <v>6</v>
      </c>
      <c r="I1060" s="2" t="n">
        <v>2500</v>
      </c>
      <c r="J1060" s="2" t="n">
        <v>0.1</v>
      </c>
      <c r="K1060" s="2" t="n">
        <v>1600</v>
      </c>
    </row>
    <row r="1061" customFormat="false" ht="15" hidden="false" customHeight="false" outlineLevel="0" collapsed="false">
      <c r="A1061" s="2" t="s">
        <v>1554</v>
      </c>
      <c r="B1061" s="2" t="s">
        <v>1553</v>
      </c>
      <c r="C1061" s="10" t="n">
        <v>45863</v>
      </c>
      <c r="D1061" s="2" t="s">
        <v>91</v>
      </c>
      <c r="E1061" s="2" t="s">
        <v>92</v>
      </c>
      <c r="F1061" s="2" t="s">
        <v>73</v>
      </c>
      <c r="G1061" s="2" t="s">
        <v>104</v>
      </c>
      <c r="H1061" s="2" t="n">
        <v>5</v>
      </c>
      <c r="I1061" s="2" t="n">
        <v>5500</v>
      </c>
      <c r="J1061" s="2" t="n">
        <v>0.15</v>
      </c>
      <c r="K1061" s="2" t="n">
        <v>3600</v>
      </c>
    </row>
    <row r="1062" customFormat="false" ht="15" hidden="false" customHeight="false" outlineLevel="0" collapsed="false">
      <c r="A1062" s="2" t="s">
        <v>1555</v>
      </c>
      <c r="B1062" s="2" t="s">
        <v>1553</v>
      </c>
      <c r="C1062" s="10" t="n">
        <v>45977</v>
      </c>
      <c r="D1062" s="2" t="s">
        <v>91</v>
      </c>
      <c r="E1062" s="2" t="s">
        <v>92</v>
      </c>
      <c r="F1062" s="2" t="s">
        <v>73</v>
      </c>
      <c r="G1062" s="2" t="s">
        <v>85</v>
      </c>
      <c r="H1062" s="2" t="n">
        <v>5</v>
      </c>
      <c r="I1062" s="2" t="n">
        <v>1200</v>
      </c>
      <c r="J1062" s="2" t="n">
        <v>0.1</v>
      </c>
      <c r="K1062" s="2" t="n">
        <v>600</v>
      </c>
    </row>
    <row r="1063" customFormat="false" ht="15" hidden="false" customHeight="false" outlineLevel="0" collapsed="false">
      <c r="A1063" s="2" t="s">
        <v>1556</v>
      </c>
      <c r="B1063" s="2" t="s">
        <v>1553</v>
      </c>
      <c r="C1063" s="10" t="n">
        <v>45789</v>
      </c>
      <c r="D1063" s="2" t="s">
        <v>91</v>
      </c>
      <c r="E1063" s="2" t="s">
        <v>92</v>
      </c>
      <c r="F1063" s="2" t="s">
        <v>70</v>
      </c>
      <c r="G1063" s="2" t="s">
        <v>126</v>
      </c>
      <c r="H1063" s="2" t="n">
        <v>3</v>
      </c>
      <c r="I1063" s="2" t="n">
        <v>4500</v>
      </c>
      <c r="J1063" s="2" t="n">
        <v>0</v>
      </c>
      <c r="K1063" s="2" t="n">
        <v>3300</v>
      </c>
    </row>
    <row r="1064" customFormat="false" ht="15" hidden="false" customHeight="false" outlineLevel="0" collapsed="false">
      <c r="A1064" s="2" t="s">
        <v>1557</v>
      </c>
      <c r="B1064" s="2" t="s">
        <v>1553</v>
      </c>
      <c r="C1064" s="10" t="n">
        <v>45771</v>
      </c>
      <c r="D1064" s="2" t="s">
        <v>91</v>
      </c>
      <c r="E1064" s="2" t="s">
        <v>92</v>
      </c>
      <c r="F1064" s="2" t="s">
        <v>73</v>
      </c>
      <c r="G1064" s="2" t="s">
        <v>85</v>
      </c>
      <c r="H1064" s="2"/>
      <c r="I1064" s="2" t="n">
        <v>1200</v>
      </c>
      <c r="J1064" s="2" t="n">
        <v>0.1</v>
      </c>
      <c r="K1064" s="2" t="n">
        <v>600</v>
      </c>
    </row>
    <row r="1065" customFormat="false" ht="15" hidden="false" customHeight="false" outlineLevel="0" collapsed="false">
      <c r="A1065" s="2" t="s">
        <v>1558</v>
      </c>
      <c r="B1065" s="2" t="s">
        <v>1559</v>
      </c>
      <c r="C1065" s="10" t="n">
        <v>45768</v>
      </c>
      <c r="D1065" s="2" t="s">
        <v>77</v>
      </c>
      <c r="E1065" s="2" t="s">
        <v>69</v>
      </c>
      <c r="F1065" s="2" t="s">
        <v>70</v>
      </c>
      <c r="G1065" s="2" t="s">
        <v>97</v>
      </c>
      <c r="H1065" s="2" t="n">
        <v>3</v>
      </c>
      <c r="I1065" s="2" t="n">
        <v>3000</v>
      </c>
      <c r="J1065" s="2" t="n">
        <v>0.05</v>
      </c>
      <c r="K1065" s="2" t="n">
        <v>2000</v>
      </c>
    </row>
    <row r="1066" customFormat="false" ht="15" hidden="false" customHeight="false" outlineLevel="0" collapsed="false">
      <c r="A1066" s="2" t="s">
        <v>1560</v>
      </c>
      <c r="B1066" s="2" t="s">
        <v>1561</v>
      </c>
      <c r="C1066" s="10" t="n">
        <v>45932</v>
      </c>
      <c r="D1066" s="2" t="s">
        <v>77</v>
      </c>
      <c r="E1066" s="2" t="s">
        <v>64</v>
      </c>
      <c r="F1066" s="2" t="s">
        <v>70</v>
      </c>
      <c r="G1066" s="2" t="s">
        <v>126</v>
      </c>
      <c r="H1066" s="2" t="n">
        <v>2</v>
      </c>
      <c r="I1066" s="2" t="n">
        <v>4500</v>
      </c>
      <c r="J1066" s="2" t="n">
        <v>0.05</v>
      </c>
      <c r="K1066" s="2" t="n">
        <v>3300</v>
      </c>
    </row>
    <row r="1067" customFormat="false" ht="15" hidden="false" customHeight="false" outlineLevel="0" collapsed="false">
      <c r="A1067" s="2" t="s">
        <v>1562</v>
      </c>
      <c r="B1067" s="2" t="s">
        <v>1563</v>
      </c>
      <c r="C1067" s="10" t="n">
        <v>45822</v>
      </c>
      <c r="D1067" s="2" t="s">
        <v>81</v>
      </c>
      <c r="E1067" s="2" t="s">
        <v>64</v>
      </c>
      <c r="F1067" s="2" t="s">
        <v>70</v>
      </c>
      <c r="G1067" s="2" t="s">
        <v>97</v>
      </c>
      <c r="H1067" s="2" t="n">
        <v>2</v>
      </c>
      <c r="I1067" s="2" t="n">
        <v>3000</v>
      </c>
      <c r="J1067" s="2" t="n">
        <v>0.05</v>
      </c>
      <c r="K1067" s="2" t="n">
        <v>2000</v>
      </c>
    </row>
    <row r="1068" customFormat="false" ht="15" hidden="false" customHeight="false" outlineLevel="0" collapsed="false">
      <c r="A1068" s="2" t="s">
        <v>1564</v>
      </c>
      <c r="B1068" s="2" t="s">
        <v>1563</v>
      </c>
      <c r="C1068" s="10" t="n">
        <v>46012</v>
      </c>
      <c r="D1068" s="2" t="s">
        <v>81</v>
      </c>
      <c r="E1068" s="2" t="s">
        <v>64</v>
      </c>
      <c r="F1068" s="2" t="s">
        <v>65</v>
      </c>
      <c r="G1068" s="2" t="s">
        <v>66</v>
      </c>
      <c r="H1068" s="2" t="n">
        <v>3</v>
      </c>
      <c r="I1068" s="2" t="n">
        <v>600</v>
      </c>
      <c r="J1068" s="2" t="n">
        <v>0.05</v>
      </c>
      <c r="K1068" s="2" t="n">
        <v>300</v>
      </c>
    </row>
    <row r="1069" customFormat="false" ht="15" hidden="false" customHeight="false" outlineLevel="0" collapsed="false">
      <c r="A1069" s="2" t="s">
        <v>1565</v>
      </c>
      <c r="B1069" s="2" t="s">
        <v>1563</v>
      </c>
      <c r="C1069" s="10" t="n">
        <v>45676</v>
      </c>
      <c r="D1069" s="2" t="s">
        <v>81</v>
      </c>
      <c r="E1069" s="2" t="s">
        <v>64</v>
      </c>
      <c r="F1069" s="2" t="s">
        <v>73</v>
      </c>
      <c r="G1069" s="2" t="s">
        <v>104</v>
      </c>
      <c r="H1069" s="2" t="n">
        <v>3</v>
      </c>
      <c r="I1069" s="2" t="n">
        <v>5500</v>
      </c>
      <c r="J1069" s="2" t="n">
        <v>0</v>
      </c>
      <c r="K1069" s="2" t="n">
        <v>3600</v>
      </c>
    </row>
    <row r="1070" customFormat="false" ht="15" hidden="false" customHeight="false" outlineLevel="0" collapsed="false">
      <c r="A1070" s="2" t="s">
        <v>1566</v>
      </c>
      <c r="B1070" s="2" t="s">
        <v>1567</v>
      </c>
      <c r="C1070" s="10" t="n">
        <v>45790</v>
      </c>
      <c r="D1070" s="2" t="s">
        <v>81</v>
      </c>
      <c r="E1070" s="2" t="s">
        <v>64</v>
      </c>
      <c r="F1070" s="2" t="s">
        <v>70</v>
      </c>
      <c r="G1070" s="2" t="s">
        <v>126</v>
      </c>
      <c r="H1070" s="2" t="n">
        <v>2</v>
      </c>
      <c r="I1070" s="2" t="n">
        <v>4500</v>
      </c>
      <c r="J1070" s="2" t="n">
        <v>0.1</v>
      </c>
      <c r="K1070" s="2" t="n">
        <v>3300</v>
      </c>
    </row>
    <row r="1071" customFormat="false" ht="15" hidden="false" customHeight="false" outlineLevel="0" collapsed="false">
      <c r="A1071" s="2" t="s">
        <v>1568</v>
      </c>
      <c r="B1071" s="2" t="s">
        <v>1567</v>
      </c>
      <c r="C1071" s="10" t="n">
        <v>45828</v>
      </c>
      <c r="D1071" s="2" t="s">
        <v>81</v>
      </c>
      <c r="E1071" s="2" t="s">
        <v>64</v>
      </c>
      <c r="F1071" s="2" t="s">
        <v>65</v>
      </c>
      <c r="G1071" s="2" t="s">
        <v>82</v>
      </c>
      <c r="H1071" s="2" t="n">
        <v>4</v>
      </c>
      <c r="I1071" s="2" t="n">
        <v>250</v>
      </c>
      <c r="J1071" s="2" t="n">
        <v>0</v>
      </c>
      <c r="K1071" s="2" t="n">
        <v>100</v>
      </c>
    </row>
    <row r="1072" customFormat="false" ht="15" hidden="false" customHeight="false" outlineLevel="0" collapsed="false">
      <c r="A1072" s="2" t="s">
        <v>1569</v>
      </c>
      <c r="B1072" s="2" t="s">
        <v>1567</v>
      </c>
      <c r="C1072" s="10" t="n">
        <v>45789</v>
      </c>
      <c r="D1072" s="2" t="s">
        <v>81</v>
      </c>
      <c r="E1072" s="2" t="s">
        <v>64</v>
      </c>
      <c r="F1072" s="2" t="s">
        <v>70</v>
      </c>
      <c r="G1072" s="2" t="s">
        <v>122</v>
      </c>
      <c r="H1072" s="2" t="n">
        <v>2</v>
      </c>
      <c r="I1072" s="2" t="n">
        <v>1500</v>
      </c>
      <c r="J1072" s="2" t="n">
        <v>0</v>
      </c>
      <c r="K1072" s="2" t="n">
        <v>900</v>
      </c>
    </row>
    <row r="1073" customFormat="false" ht="15" hidden="false" customHeight="false" outlineLevel="0" collapsed="false">
      <c r="A1073" s="2" t="s">
        <v>1570</v>
      </c>
      <c r="B1073" s="2" t="s">
        <v>1567</v>
      </c>
      <c r="C1073" s="10" t="n">
        <v>45842</v>
      </c>
      <c r="D1073" s="2" t="s">
        <v>81</v>
      </c>
      <c r="E1073" s="2" t="s">
        <v>64</v>
      </c>
      <c r="F1073" s="2" t="s">
        <v>65</v>
      </c>
      <c r="G1073" s="2" t="s">
        <v>78</v>
      </c>
      <c r="H1073" s="2" t="n">
        <v>4</v>
      </c>
      <c r="I1073" s="2" t="n">
        <v>400</v>
      </c>
      <c r="J1073" s="2" t="n">
        <v>0.05</v>
      </c>
      <c r="K1073" s="2" t="n">
        <v>200</v>
      </c>
    </row>
    <row r="1074" customFormat="false" ht="15" hidden="false" customHeight="false" outlineLevel="0" collapsed="false">
      <c r="A1074" s="2" t="s">
        <v>1571</v>
      </c>
      <c r="B1074" s="2" t="s">
        <v>1567</v>
      </c>
      <c r="C1074" s="10" t="n">
        <v>45919</v>
      </c>
      <c r="D1074" s="2" t="s">
        <v>81</v>
      </c>
      <c r="E1074" s="2" t="s">
        <v>64</v>
      </c>
      <c r="F1074" s="2" t="s">
        <v>70</v>
      </c>
      <c r="G1074" s="2" t="s">
        <v>122</v>
      </c>
      <c r="H1074" s="2" t="n">
        <v>2</v>
      </c>
      <c r="I1074" s="2" t="n">
        <v>1500</v>
      </c>
      <c r="J1074" s="2" t="n">
        <v>0.1</v>
      </c>
      <c r="K1074" s="2" t="n">
        <v>900</v>
      </c>
    </row>
    <row r="1075" customFormat="false" ht="15" hidden="false" customHeight="false" outlineLevel="0" collapsed="false">
      <c r="A1075" s="2" t="s">
        <v>1572</v>
      </c>
      <c r="B1075" s="2" t="s">
        <v>1573</v>
      </c>
      <c r="C1075" s="10" t="n">
        <v>45719</v>
      </c>
      <c r="D1075" s="2" t="s">
        <v>77</v>
      </c>
      <c r="E1075" s="2" t="s">
        <v>69</v>
      </c>
      <c r="F1075" s="2" t="s">
        <v>73</v>
      </c>
      <c r="G1075" s="2" t="s">
        <v>104</v>
      </c>
      <c r="H1075" s="2" t="n">
        <v>3</v>
      </c>
      <c r="I1075" s="2" t="n">
        <v>5500</v>
      </c>
      <c r="J1075" s="2" t="n">
        <v>0.05</v>
      </c>
      <c r="K1075" s="2" t="n">
        <v>3600</v>
      </c>
    </row>
    <row r="1076" customFormat="false" ht="15" hidden="false" customHeight="false" outlineLevel="0" collapsed="false">
      <c r="A1076" s="2" t="s">
        <v>1574</v>
      </c>
      <c r="B1076" s="2" t="s">
        <v>1573</v>
      </c>
      <c r="C1076" s="10" t="n">
        <v>45972</v>
      </c>
      <c r="D1076" s="2" t="s">
        <v>77</v>
      </c>
      <c r="E1076" s="2" t="s">
        <v>69</v>
      </c>
      <c r="F1076" s="2" t="s">
        <v>70</v>
      </c>
      <c r="G1076" s="2" t="s">
        <v>122</v>
      </c>
      <c r="H1076" s="2" t="n">
        <v>5</v>
      </c>
      <c r="I1076" s="2" t="n">
        <v>1500</v>
      </c>
      <c r="J1076" s="2" t="n">
        <v>0.05</v>
      </c>
      <c r="K1076" s="2" t="n">
        <v>900</v>
      </c>
    </row>
    <row r="1077" customFormat="false" ht="15" hidden="false" customHeight="false" outlineLevel="0" collapsed="false">
      <c r="A1077" s="2" t="s">
        <v>1575</v>
      </c>
      <c r="B1077" s="2" t="s">
        <v>1576</v>
      </c>
      <c r="C1077" s="10" t="n">
        <v>45992</v>
      </c>
      <c r="D1077" s="2" t="s">
        <v>63</v>
      </c>
      <c r="E1077" s="2" t="s">
        <v>92</v>
      </c>
      <c r="F1077" s="2" t="s">
        <v>73</v>
      </c>
      <c r="G1077" s="2" t="s">
        <v>104</v>
      </c>
      <c r="H1077" s="2" t="n">
        <v>7</v>
      </c>
      <c r="I1077" s="2" t="n">
        <v>5500</v>
      </c>
      <c r="J1077" s="2" t="n">
        <v>0.15</v>
      </c>
      <c r="K1077" s="2" t="n">
        <v>3600</v>
      </c>
    </row>
    <row r="1078" customFormat="false" ht="15" hidden="false" customHeight="false" outlineLevel="0" collapsed="false">
      <c r="A1078" s="2" t="s">
        <v>1577</v>
      </c>
      <c r="B1078" s="2" t="s">
        <v>1576</v>
      </c>
      <c r="C1078" s="10" t="n">
        <v>45843</v>
      </c>
      <c r="D1078" s="2" t="s">
        <v>63</v>
      </c>
      <c r="E1078" s="2" t="s">
        <v>92</v>
      </c>
      <c r="F1078" s="2" t="s">
        <v>73</v>
      </c>
      <c r="G1078" s="2" t="s">
        <v>74</v>
      </c>
      <c r="H1078" s="2" t="n">
        <v>2</v>
      </c>
      <c r="I1078" s="2" t="n">
        <v>7000</v>
      </c>
      <c r="J1078" s="2" t="n">
        <v>0.05</v>
      </c>
      <c r="K1078" s="2" t="n">
        <v>4800</v>
      </c>
    </row>
    <row r="1079" customFormat="false" ht="15" hidden="false" customHeight="false" outlineLevel="0" collapsed="false">
      <c r="A1079" s="2" t="s">
        <v>1578</v>
      </c>
      <c r="B1079" s="2" t="s">
        <v>1579</v>
      </c>
      <c r="C1079" s="10" t="n">
        <v>45970</v>
      </c>
      <c r="D1079" s="2" t="s">
        <v>77</v>
      </c>
      <c r="E1079" s="2" t="s">
        <v>92</v>
      </c>
      <c r="F1079" s="2" t="s">
        <v>70</v>
      </c>
      <c r="G1079" s="2" t="s">
        <v>122</v>
      </c>
      <c r="H1079" s="2" t="n">
        <v>2</v>
      </c>
      <c r="I1079" s="2" t="n">
        <v>1500</v>
      </c>
      <c r="J1079" s="2" t="n">
        <v>0.15</v>
      </c>
      <c r="K1079" s="2" t="n">
        <v>900</v>
      </c>
    </row>
    <row r="1080" customFormat="false" ht="15" hidden="false" customHeight="false" outlineLevel="0" collapsed="false">
      <c r="A1080" s="2" t="s">
        <v>1580</v>
      </c>
      <c r="B1080" s="2" t="s">
        <v>1579</v>
      </c>
      <c r="C1080" s="10" t="n">
        <v>45955</v>
      </c>
      <c r="D1080" s="2" t="s">
        <v>77</v>
      </c>
      <c r="E1080" s="2" t="s">
        <v>92</v>
      </c>
      <c r="F1080" s="2" t="s">
        <v>73</v>
      </c>
      <c r="G1080" s="2" t="s">
        <v>74</v>
      </c>
      <c r="H1080" s="2" t="n">
        <v>3</v>
      </c>
      <c r="I1080" s="2" t="n">
        <v>7000</v>
      </c>
      <c r="J1080" s="2" t="n">
        <v>0.05</v>
      </c>
      <c r="K1080" s="2" t="n">
        <v>4800</v>
      </c>
    </row>
    <row r="1081" customFormat="false" ht="15" hidden="false" customHeight="false" outlineLevel="0" collapsed="false">
      <c r="A1081" s="2" t="s">
        <v>1581</v>
      </c>
      <c r="B1081" s="2" t="s">
        <v>1579</v>
      </c>
      <c r="C1081" s="10" t="n">
        <v>45989</v>
      </c>
      <c r="D1081" s="2" t="s">
        <v>77</v>
      </c>
      <c r="E1081" s="2" t="s">
        <v>92</v>
      </c>
      <c r="F1081" s="2" t="s">
        <v>70</v>
      </c>
      <c r="G1081" s="2" t="s">
        <v>126</v>
      </c>
      <c r="H1081" s="2" t="n">
        <v>2</v>
      </c>
      <c r="I1081" s="2" t="n">
        <v>4500</v>
      </c>
      <c r="J1081" s="2" t="n">
        <v>0.15</v>
      </c>
      <c r="K1081" s="2" t="n">
        <v>3300</v>
      </c>
    </row>
    <row r="1082" customFormat="false" ht="15" hidden="false" customHeight="false" outlineLevel="0" collapsed="false">
      <c r="A1082" s="2" t="s">
        <v>1582</v>
      </c>
      <c r="B1082" s="2" t="s">
        <v>1579</v>
      </c>
      <c r="C1082" s="10" t="n">
        <v>45950</v>
      </c>
      <c r="D1082" s="2" t="s">
        <v>77</v>
      </c>
      <c r="E1082" s="2" t="s">
        <v>92</v>
      </c>
      <c r="F1082" s="2" t="s">
        <v>73</v>
      </c>
      <c r="G1082" s="2" t="s">
        <v>85</v>
      </c>
      <c r="H1082" s="2" t="n">
        <v>7</v>
      </c>
      <c r="I1082" s="2" t="n">
        <v>1200</v>
      </c>
      <c r="J1082" s="2" t="n">
        <v>0.1</v>
      </c>
      <c r="K1082" s="2" t="n">
        <v>600</v>
      </c>
    </row>
    <row r="1083" customFormat="false" ht="15" hidden="false" customHeight="false" outlineLevel="0" collapsed="false">
      <c r="A1083" s="2" t="s">
        <v>1583</v>
      </c>
      <c r="B1083" s="2" t="s">
        <v>1579</v>
      </c>
      <c r="C1083" s="10" t="n">
        <v>45967</v>
      </c>
      <c r="D1083" s="2" t="s">
        <v>77</v>
      </c>
      <c r="E1083" s="2" t="s">
        <v>92</v>
      </c>
      <c r="F1083" s="2" t="s">
        <v>70</v>
      </c>
      <c r="G1083" s="2" t="s">
        <v>126</v>
      </c>
      <c r="H1083" s="2" t="n">
        <v>2</v>
      </c>
      <c r="I1083" s="2" t="n">
        <v>4500</v>
      </c>
      <c r="J1083" s="2" t="n">
        <v>0.05</v>
      </c>
      <c r="K1083" s="2" t="n">
        <v>3300</v>
      </c>
    </row>
    <row r="1084" customFormat="false" ht="15" hidden="false" customHeight="false" outlineLevel="0" collapsed="false">
      <c r="A1084" s="2" t="s">
        <v>1584</v>
      </c>
      <c r="B1084" s="2" t="s">
        <v>1579</v>
      </c>
      <c r="C1084" s="10" t="n">
        <v>45751</v>
      </c>
      <c r="D1084" s="2" t="s">
        <v>77</v>
      </c>
      <c r="E1084" s="2" t="s">
        <v>92</v>
      </c>
      <c r="F1084" s="2" t="s">
        <v>73</v>
      </c>
      <c r="G1084" s="2" t="s">
        <v>74</v>
      </c>
      <c r="H1084" s="2" t="n">
        <v>4</v>
      </c>
      <c r="I1084" s="2" t="n">
        <v>7000</v>
      </c>
      <c r="J1084" s="2" t="n">
        <v>0.05</v>
      </c>
      <c r="K1084" s="2" t="n">
        <v>4800</v>
      </c>
    </row>
    <row r="1085" customFormat="false" ht="15" hidden="false" customHeight="false" outlineLevel="0" collapsed="false">
      <c r="A1085" s="2" t="s">
        <v>1585</v>
      </c>
      <c r="B1085" s="2" t="s">
        <v>1586</v>
      </c>
      <c r="C1085" s="10" t="n">
        <v>45736</v>
      </c>
      <c r="D1085" s="2" t="s">
        <v>77</v>
      </c>
      <c r="E1085" s="2" t="s">
        <v>64</v>
      </c>
      <c r="F1085" s="2" t="s">
        <v>70</v>
      </c>
      <c r="G1085" s="2" t="s">
        <v>97</v>
      </c>
      <c r="H1085" s="2" t="n">
        <v>1</v>
      </c>
      <c r="I1085" s="2" t="n">
        <v>3000</v>
      </c>
      <c r="J1085" s="2" t="n">
        <v>0</v>
      </c>
      <c r="K1085" s="2" t="n">
        <v>2000</v>
      </c>
    </row>
    <row r="1086" customFormat="false" ht="15" hidden="false" customHeight="false" outlineLevel="0" collapsed="false">
      <c r="A1086" s="2" t="s">
        <v>1587</v>
      </c>
      <c r="B1086" s="2" t="s">
        <v>1586</v>
      </c>
      <c r="C1086" s="10" t="n">
        <v>46019</v>
      </c>
      <c r="D1086" s="2" t="s">
        <v>77</v>
      </c>
      <c r="E1086" s="2" t="s">
        <v>64</v>
      </c>
      <c r="F1086" s="2" t="s">
        <v>70</v>
      </c>
      <c r="G1086" s="2" t="s">
        <v>122</v>
      </c>
      <c r="H1086" s="2" t="n">
        <v>3</v>
      </c>
      <c r="I1086" s="2" t="n">
        <v>1500</v>
      </c>
      <c r="J1086" s="2" t="n">
        <v>0.05</v>
      </c>
      <c r="K1086" s="2" t="n">
        <v>900</v>
      </c>
    </row>
    <row r="1087" customFormat="false" ht="15" hidden="false" customHeight="false" outlineLevel="0" collapsed="false">
      <c r="A1087" s="2" t="s">
        <v>1588</v>
      </c>
      <c r="B1087" s="2" t="s">
        <v>1586</v>
      </c>
      <c r="C1087" s="10" t="n">
        <v>45703</v>
      </c>
      <c r="D1087" s="2" t="s">
        <v>77</v>
      </c>
      <c r="E1087" s="2" t="s">
        <v>64</v>
      </c>
      <c r="F1087" s="2" t="s">
        <v>73</v>
      </c>
      <c r="G1087" s="2" t="s">
        <v>85</v>
      </c>
      <c r="H1087" s="2" t="n">
        <v>2</v>
      </c>
      <c r="I1087" s="2" t="n">
        <v>1200</v>
      </c>
      <c r="J1087" s="2" t="n">
        <v>0</v>
      </c>
      <c r="K1087" s="2" t="n">
        <v>600</v>
      </c>
    </row>
    <row r="1088" customFormat="false" ht="15" hidden="false" customHeight="false" outlineLevel="0" collapsed="false">
      <c r="A1088" s="2" t="s">
        <v>1589</v>
      </c>
      <c r="B1088" s="2" t="s">
        <v>1586</v>
      </c>
      <c r="C1088" s="10" t="n">
        <v>45875</v>
      </c>
      <c r="D1088" s="2" t="s">
        <v>77</v>
      </c>
      <c r="E1088" s="2" t="s">
        <v>64</v>
      </c>
      <c r="F1088" s="2" t="s">
        <v>65</v>
      </c>
      <c r="G1088" s="2" t="s">
        <v>82</v>
      </c>
      <c r="H1088" s="2" t="n">
        <v>5</v>
      </c>
      <c r="I1088" s="2" t="n">
        <v>250</v>
      </c>
      <c r="J1088" s="2" t="n">
        <v>0</v>
      </c>
      <c r="K1088" s="2" t="n">
        <v>100</v>
      </c>
    </row>
    <row r="1089" customFormat="false" ht="15" hidden="false" customHeight="false" outlineLevel="0" collapsed="false">
      <c r="A1089" s="2" t="s">
        <v>1590</v>
      </c>
      <c r="B1089" s="2" t="s">
        <v>1586</v>
      </c>
      <c r="C1089" s="10" t="n">
        <v>45823</v>
      </c>
      <c r="D1089" s="2" t="s">
        <v>77</v>
      </c>
      <c r="E1089" s="2" t="s">
        <v>64</v>
      </c>
      <c r="F1089" s="2" t="s">
        <v>65</v>
      </c>
      <c r="G1089" s="2" t="s">
        <v>82</v>
      </c>
      <c r="H1089" s="2" t="n">
        <v>3</v>
      </c>
      <c r="I1089" s="2" t="n">
        <v>250</v>
      </c>
      <c r="J1089" s="2" t="n">
        <v>0</v>
      </c>
      <c r="K1089" s="2" t="n">
        <v>100</v>
      </c>
    </row>
    <row r="1090" customFormat="false" ht="15" hidden="false" customHeight="false" outlineLevel="0" collapsed="false">
      <c r="A1090" s="2" t="s">
        <v>1591</v>
      </c>
      <c r="B1090" s="2" t="s">
        <v>1586</v>
      </c>
      <c r="C1090" s="10" t="n">
        <v>45748</v>
      </c>
      <c r="D1090" s="2" t="s">
        <v>77</v>
      </c>
      <c r="E1090" s="2" t="s">
        <v>64</v>
      </c>
      <c r="F1090" s="2" t="s">
        <v>73</v>
      </c>
      <c r="G1090" s="2" t="s">
        <v>74</v>
      </c>
      <c r="H1090" s="2" t="n">
        <v>2</v>
      </c>
      <c r="I1090" s="2" t="n">
        <v>7000</v>
      </c>
      <c r="J1090" s="2" t="n">
        <v>0.1</v>
      </c>
      <c r="K1090" s="2" t="n">
        <v>4800</v>
      </c>
    </row>
    <row r="1091" customFormat="false" ht="15" hidden="false" customHeight="false" outlineLevel="0" collapsed="false">
      <c r="A1091" s="2" t="s">
        <v>1592</v>
      </c>
      <c r="B1091" s="2" t="s">
        <v>1586</v>
      </c>
      <c r="C1091" s="10" t="n">
        <v>45830</v>
      </c>
      <c r="D1091" s="2" t="s">
        <v>77</v>
      </c>
      <c r="E1091" s="2" t="s">
        <v>64</v>
      </c>
      <c r="F1091" s="2" t="s">
        <v>73</v>
      </c>
      <c r="G1091" s="2" t="s">
        <v>85</v>
      </c>
      <c r="H1091" s="2" t="n">
        <v>2</v>
      </c>
      <c r="I1091" s="2" t="n">
        <v>1200</v>
      </c>
      <c r="J1091" s="2" t="n">
        <v>0</v>
      </c>
      <c r="K1091" s="2" t="n">
        <v>600</v>
      </c>
    </row>
    <row r="1092" customFormat="false" ht="15" hidden="false" customHeight="false" outlineLevel="0" collapsed="false">
      <c r="A1092" s="2" t="s">
        <v>1593</v>
      </c>
      <c r="B1092" s="2" t="s">
        <v>1586</v>
      </c>
      <c r="C1092" s="10" t="n">
        <v>45987</v>
      </c>
      <c r="D1092" s="2" t="s">
        <v>77</v>
      </c>
      <c r="E1092" s="2" t="s">
        <v>64</v>
      </c>
      <c r="F1092" s="2" t="s">
        <v>65</v>
      </c>
      <c r="G1092" s="2" t="s">
        <v>107</v>
      </c>
      <c r="H1092" s="2" t="n">
        <v>6</v>
      </c>
      <c r="I1092" s="2" t="n">
        <v>500</v>
      </c>
      <c r="J1092" s="2" t="n">
        <v>0.05</v>
      </c>
      <c r="K1092" s="2" t="n">
        <v>250</v>
      </c>
    </row>
    <row r="1093" customFormat="false" ht="15" hidden="false" customHeight="false" outlineLevel="0" collapsed="false">
      <c r="A1093" s="2" t="s">
        <v>1594</v>
      </c>
      <c r="B1093" s="2" t="s">
        <v>1595</v>
      </c>
      <c r="C1093" s="10" t="n">
        <v>45694</v>
      </c>
      <c r="D1093" s="2" t="s">
        <v>81</v>
      </c>
      <c r="E1093" s="2" t="s">
        <v>64</v>
      </c>
      <c r="F1093" s="2" t="s">
        <v>73</v>
      </c>
      <c r="G1093" s="2" t="s">
        <v>87</v>
      </c>
      <c r="H1093" s="2" t="n">
        <v>2</v>
      </c>
      <c r="I1093" s="2" t="n">
        <v>9000</v>
      </c>
      <c r="J1093" s="2" t="n">
        <v>0.05</v>
      </c>
      <c r="K1093" s="2" t="n">
        <v>6200</v>
      </c>
    </row>
    <row r="1094" customFormat="false" ht="15" hidden="false" customHeight="false" outlineLevel="0" collapsed="false">
      <c r="A1094" s="2" t="s">
        <v>1596</v>
      </c>
      <c r="B1094" s="2" t="s">
        <v>1595</v>
      </c>
      <c r="C1094" s="10" t="n">
        <v>45671</v>
      </c>
      <c r="D1094" s="2" t="s">
        <v>81</v>
      </c>
      <c r="E1094" s="2" t="s">
        <v>64</v>
      </c>
      <c r="F1094" s="2" t="s">
        <v>65</v>
      </c>
      <c r="G1094" s="2" t="s">
        <v>78</v>
      </c>
      <c r="H1094" s="2" t="n">
        <v>6</v>
      </c>
      <c r="I1094" s="2" t="n">
        <v>400</v>
      </c>
      <c r="J1094" s="2" t="n">
        <v>0</v>
      </c>
      <c r="K1094" s="2" t="n">
        <v>200</v>
      </c>
    </row>
    <row r="1095" customFormat="false" ht="15" hidden="false" customHeight="false" outlineLevel="0" collapsed="false">
      <c r="A1095" s="2" t="s">
        <v>1597</v>
      </c>
      <c r="B1095" s="2" t="s">
        <v>1598</v>
      </c>
      <c r="C1095" s="10" t="n">
        <v>45880</v>
      </c>
      <c r="D1095" s="2" t="s">
        <v>77</v>
      </c>
      <c r="E1095" s="2" t="s">
        <v>64</v>
      </c>
      <c r="F1095" s="2" t="s">
        <v>65</v>
      </c>
      <c r="G1095" s="2" t="s">
        <v>82</v>
      </c>
      <c r="H1095" s="2" t="n">
        <v>6</v>
      </c>
      <c r="I1095" s="2" t="n">
        <v>250</v>
      </c>
      <c r="J1095" s="2" t="n">
        <v>0.05</v>
      </c>
      <c r="K1095" s="2" t="n">
        <v>100</v>
      </c>
    </row>
    <row r="1096" customFormat="false" ht="15" hidden="false" customHeight="false" outlineLevel="0" collapsed="false">
      <c r="A1096" s="2" t="s">
        <v>1599</v>
      </c>
      <c r="B1096" s="2" t="s">
        <v>1600</v>
      </c>
      <c r="C1096" s="10" t="n">
        <v>45760</v>
      </c>
      <c r="D1096" s="2" t="s">
        <v>91</v>
      </c>
      <c r="E1096" s="2" t="s">
        <v>64</v>
      </c>
      <c r="F1096" s="2" t="s">
        <v>73</v>
      </c>
      <c r="G1096" s="2" t="s">
        <v>85</v>
      </c>
      <c r="H1096" s="2" t="n">
        <v>3</v>
      </c>
      <c r="I1096" s="2" t="n">
        <v>1200</v>
      </c>
      <c r="J1096" s="2" t="n">
        <v>0</v>
      </c>
      <c r="K1096" s="2" t="n">
        <v>600</v>
      </c>
    </row>
    <row r="1097" customFormat="false" ht="15" hidden="false" customHeight="false" outlineLevel="0" collapsed="false">
      <c r="A1097" s="2" t="s">
        <v>1601</v>
      </c>
      <c r="B1097" s="2" t="s">
        <v>1602</v>
      </c>
      <c r="C1097" s="10" t="n">
        <v>45957</v>
      </c>
      <c r="D1097" s="2" t="s">
        <v>81</v>
      </c>
      <c r="E1097" s="2" t="s">
        <v>69</v>
      </c>
      <c r="F1097" s="2" t="s">
        <v>65</v>
      </c>
      <c r="G1097" s="2" t="s">
        <v>82</v>
      </c>
      <c r="H1097" s="2" t="n">
        <v>11</v>
      </c>
      <c r="I1097" s="2" t="n">
        <v>250</v>
      </c>
      <c r="J1097" s="2" t="n">
        <v>0.15</v>
      </c>
      <c r="K1097" s="2" t="n">
        <v>100</v>
      </c>
    </row>
    <row r="1098" customFormat="false" ht="15" hidden="false" customHeight="false" outlineLevel="0" collapsed="false">
      <c r="A1098" s="2" t="s">
        <v>1603</v>
      </c>
      <c r="B1098" s="2" t="s">
        <v>1602</v>
      </c>
      <c r="C1098" s="10" t="n">
        <v>45970</v>
      </c>
      <c r="D1098" s="2" t="s">
        <v>81</v>
      </c>
      <c r="E1098" s="2" t="s">
        <v>69</v>
      </c>
      <c r="F1098" s="2" t="s">
        <v>65</v>
      </c>
      <c r="G1098" s="2" t="s">
        <v>78</v>
      </c>
      <c r="H1098" s="2" t="n">
        <v>15</v>
      </c>
      <c r="I1098" s="2" t="n">
        <v>400</v>
      </c>
      <c r="J1098" s="2" t="n">
        <v>0.15</v>
      </c>
      <c r="K1098" s="2" t="n">
        <v>200</v>
      </c>
    </row>
    <row r="1099" customFormat="false" ht="15" hidden="false" customHeight="false" outlineLevel="0" collapsed="false">
      <c r="A1099" s="2" t="s">
        <v>1604</v>
      </c>
      <c r="B1099" s="2" t="s">
        <v>1605</v>
      </c>
      <c r="C1099" s="10" t="n">
        <v>45977</v>
      </c>
      <c r="D1099" s="2" t="s">
        <v>91</v>
      </c>
      <c r="E1099" s="2" t="s">
        <v>64</v>
      </c>
      <c r="F1099" s="2" t="s">
        <v>70</v>
      </c>
      <c r="G1099" s="2" t="s">
        <v>122</v>
      </c>
      <c r="H1099" s="2" t="n">
        <v>1</v>
      </c>
      <c r="I1099" s="2" t="n">
        <v>1500</v>
      </c>
      <c r="J1099" s="2" t="n">
        <v>0.15</v>
      </c>
      <c r="K1099" s="2" t="n">
        <v>900</v>
      </c>
    </row>
    <row r="1100" customFormat="false" ht="15" hidden="false" customHeight="false" outlineLevel="0" collapsed="false">
      <c r="A1100" s="2" t="s">
        <v>1606</v>
      </c>
      <c r="B1100" s="2" t="s">
        <v>1607</v>
      </c>
      <c r="C1100" s="10" t="n">
        <v>45662</v>
      </c>
      <c r="D1100" s="2" t="s">
        <v>81</v>
      </c>
      <c r="E1100" s="2" t="s">
        <v>69</v>
      </c>
      <c r="F1100" s="2" t="s">
        <v>73</v>
      </c>
      <c r="G1100" s="2" t="s">
        <v>104</v>
      </c>
      <c r="H1100" s="2" t="n">
        <v>4</v>
      </c>
      <c r="I1100" s="2" t="n">
        <v>5500</v>
      </c>
      <c r="J1100" s="2" t="n">
        <v>0</v>
      </c>
      <c r="K1100" s="2" t="n">
        <v>3600</v>
      </c>
    </row>
    <row r="1101" customFormat="false" ht="15" hidden="false" customHeight="false" outlineLevel="0" collapsed="false">
      <c r="A1101" s="2" t="s">
        <v>1608</v>
      </c>
      <c r="B1101" s="2" t="s">
        <v>1609</v>
      </c>
      <c r="C1101" s="10" t="n">
        <v>45949</v>
      </c>
      <c r="D1101" s="2" t="s">
        <v>81</v>
      </c>
      <c r="E1101" s="2" t="s">
        <v>92</v>
      </c>
      <c r="F1101" s="2" t="s">
        <v>73</v>
      </c>
      <c r="G1101" s="2" t="s">
        <v>85</v>
      </c>
      <c r="H1101" s="2" t="n">
        <v>5</v>
      </c>
      <c r="I1101" s="2" t="n">
        <v>1200</v>
      </c>
      <c r="J1101" s="2" t="n">
        <v>0.15</v>
      </c>
      <c r="K1101" s="2" t="n">
        <v>600</v>
      </c>
    </row>
    <row r="1102" customFormat="false" ht="15" hidden="false" customHeight="false" outlineLevel="0" collapsed="false">
      <c r="A1102" s="2" t="s">
        <v>1610</v>
      </c>
      <c r="B1102" s="2" t="s">
        <v>1609</v>
      </c>
      <c r="C1102" s="10" t="n">
        <v>45781</v>
      </c>
      <c r="D1102" s="2" t="s">
        <v>81</v>
      </c>
      <c r="E1102" s="2" t="s">
        <v>92</v>
      </c>
      <c r="F1102" s="2" t="s">
        <v>73</v>
      </c>
      <c r="G1102" s="2" t="s">
        <v>85</v>
      </c>
      <c r="H1102" s="2" t="n">
        <v>2</v>
      </c>
      <c r="I1102" s="2" t="n">
        <v>1200</v>
      </c>
      <c r="J1102" s="2" t="n">
        <v>0.05</v>
      </c>
      <c r="K1102" s="2" t="n">
        <v>600</v>
      </c>
    </row>
    <row r="1103" customFormat="false" ht="15" hidden="false" customHeight="false" outlineLevel="0" collapsed="false">
      <c r="A1103" s="2" t="s">
        <v>1611</v>
      </c>
      <c r="B1103" s="2" t="s">
        <v>1609</v>
      </c>
      <c r="C1103" s="10" t="n">
        <v>45976</v>
      </c>
      <c r="D1103" s="2" t="s">
        <v>81</v>
      </c>
      <c r="E1103" s="2" t="s">
        <v>92</v>
      </c>
      <c r="F1103" s="2" t="s">
        <v>70</v>
      </c>
      <c r="G1103" s="2" t="s">
        <v>97</v>
      </c>
      <c r="H1103" s="2" t="n">
        <v>6</v>
      </c>
      <c r="I1103" s="2" t="n">
        <v>3000</v>
      </c>
      <c r="J1103" s="2" t="n">
        <v>0.15</v>
      </c>
      <c r="K1103" s="2" t="n">
        <v>2000</v>
      </c>
    </row>
    <row r="1104" customFormat="false" ht="15" hidden="false" customHeight="false" outlineLevel="0" collapsed="false">
      <c r="A1104" s="2" t="s">
        <v>1612</v>
      </c>
      <c r="B1104" s="2" t="s">
        <v>1609</v>
      </c>
      <c r="C1104" s="10" t="n">
        <v>45751</v>
      </c>
      <c r="D1104" s="2" t="s">
        <v>81</v>
      </c>
      <c r="E1104" s="2" t="s">
        <v>92</v>
      </c>
      <c r="F1104" s="2" t="s">
        <v>65</v>
      </c>
      <c r="G1104" s="2" t="s">
        <v>66</v>
      </c>
      <c r="H1104" s="2" t="n">
        <v>30</v>
      </c>
      <c r="I1104" s="2" t="n">
        <v>600</v>
      </c>
      <c r="J1104" s="2" t="n">
        <v>0.1</v>
      </c>
      <c r="K1104" s="2" t="n">
        <v>300</v>
      </c>
    </row>
    <row r="1105" customFormat="false" ht="15" hidden="false" customHeight="false" outlineLevel="0" collapsed="false">
      <c r="A1105" s="2" t="s">
        <v>1613</v>
      </c>
      <c r="B1105" s="2" t="s">
        <v>1609</v>
      </c>
      <c r="C1105" s="10" t="n">
        <v>45829</v>
      </c>
      <c r="D1105" s="2" t="s">
        <v>81</v>
      </c>
      <c r="E1105" s="2" t="s">
        <v>92</v>
      </c>
      <c r="F1105" s="2" t="s">
        <v>70</v>
      </c>
      <c r="G1105" s="2" t="s">
        <v>71</v>
      </c>
      <c r="H1105" s="2" t="n">
        <v>3</v>
      </c>
      <c r="I1105" s="2" t="n">
        <v>2500</v>
      </c>
      <c r="J1105" s="2" t="n">
        <v>0</v>
      </c>
      <c r="K1105" s="2" t="n">
        <v>1600</v>
      </c>
    </row>
    <row r="1106" customFormat="false" ht="15" hidden="false" customHeight="false" outlineLevel="0" collapsed="false">
      <c r="A1106" s="2" t="s">
        <v>1614</v>
      </c>
      <c r="B1106" s="2" t="s">
        <v>1609</v>
      </c>
      <c r="C1106" s="10" t="n">
        <v>46016</v>
      </c>
      <c r="D1106" s="2" t="s">
        <v>81</v>
      </c>
      <c r="E1106" s="2" t="s">
        <v>92</v>
      </c>
      <c r="F1106" s="2" t="s">
        <v>73</v>
      </c>
      <c r="G1106" s="2" t="s">
        <v>104</v>
      </c>
      <c r="H1106" s="2" t="n">
        <v>3</v>
      </c>
      <c r="I1106" s="2" t="n">
        <v>5500</v>
      </c>
      <c r="J1106" s="2" t="n">
        <v>0.15</v>
      </c>
      <c r="K1106" s="2" t="n">
        <v>3600</v>
      </c>
    </row>
    <row r="1107" customFormat="false" ht="15" hidden="false" customHeight="false" outlineLevel="0" collapsed="false">
      <c r="A1107" s="2" t="s">
        <v>1615</v>
      </c>
      <c r="B1107" s="2" t="s">
        <v>1609</v>
      </c>
      <c r="C1107" s="10" t="n">
        <v>45934</v>
      </c>
      <c r="D1107" s="2" t="s">
        <v>81</v>
      </c>
      <c r="E1107" s="2" t="s">
        <v>92</v>
      </c>
      <c r="F1107" s="2" t="s">
        <v>73</v>
      </c>
      <c r="G1107" s="2" t="s">
        <v>104</v>
      </c>
      <c r="H1107" s="2" t="n">
        <v>5</v>
      </c>
      <c r="I1107" s="2" t="n">
        <v>5500</v>
      </c>
      <c r="J1107" s="2" t="n">
        <v>0.15</v>
      </c>
      <c r="K1107" s="2" t="n">
        <v>3600</v>
      </c>
    </row>
    <row r="1108" customFormat="false" ht="15" hidden="false" customHeight="false" outlineLevel="0" collapsed="false">
      <c r="A1108" s="2" t="s">
        <v>1616</v>
      </c>
      <c r="B1108" s="2" t="s">
        <v>1609</v>
      </c>
      <c r="C1108" s="10" t="n">
        <v>45690</v>
      </c>
      <c r="D1108" s="2" t="s">
        <v>81</v>
      </c>
      <c r="E1108" s="2" t="s">
        <v>92</v>
      </c>
      <c r="F1108" s="2" t="s">
        <v>70</v>
      </c>
      <c r="G1108" s="2" t="s">
        <v>71</v>
      </c>
      <c r="H1108" s="2" t="n">
        <v>8</v>
      </c>
      <c r="I1108" s="2" t="n">
        <v>2500</v>
      </c>
      <c r="J1108" s="2" t="n">
        <v>0.1</v>
      </c>
      <c r="K1108" s="2" t="n">
        <v>1600</v>
      </c>
    </row>
    <row r="1109" customFormat="false" ht="15" hidden="false" customHeight="false" outlineLevel="0" collapsed="false">
      <c r="A1109" s="2" t="s">
        <v>1617</v>
      </c>
      <c r="B1109" s="2" t="s">
        <v>1609</v>
      </c>
      <c r="C1109" s="10" t="n">
        <v>45939</v>
      </c>
      <c r="D1109" s="2" t="s">
        <v>81</v>
      </c>
      <c r="E1109" s="2" t="s">
        <v>92</v>
      </c>
      <c r="F1109" s="2" t="s">
        <v>70</v>
      </c>
      <c r="G1109" s="2" t="s">
        <v>126</v>
      </c>
      <c r="H1109" s="2" t="n">
        <v>8</v>
      </c>
      <c r="I1109" s="2" t="n">
        <v>4500</v>
      </c>
      <c r="J1109" s="2" t="n">
        <v>0.1</v>
      </c>
      <c r="K1109" s="2" t="n">
        <v>3300</v>
      </c>
    </row>
    <row r="1110" customFormat="false" ht="15" hidden="false" customHeight="false" outlineLevel="0" collapsed="false">
      <c r="A1110" s="2" t="s">
        <v>1618</v>
      </c>
      <c r="B1110" s="2" t="s">
        <v>1609</v>
      </c>
      <c r="C1110" s="10" t="n">
        <v>45903</v>
      </c>
      <c r="D1110" s="2" t="s">
        <v>81</v>
      </c>
      <c r="E1110" s="2" t="s">
        <v>92</v>
      </c>
      <c r="F1110" s="2" t="s">
        <v>70</v>
      </c>
      <c r="G1110" s="2" t="s">
        <v>71</v>
      </c>
      <c r="H1110" s="2" t="n">
        <v>2</v>
      </c>
      <c r="I1110" s="2" t="n">
        <v>2500</v>
      </c>
      <c r="J1110" s="2" t="n">
        <v>0</v>
      </c>
      <c r="K1110" s="2" t="n">
        <v>1600</v>
      </c>
    </row>
    <row r="1111" customFormat="false" ht="15" hidden="false" customHeight="false" outlineLevel="0" collapsed="false">
      <c r="A1111" s="2" t="s">
        <v>1619</v>
      </c>
      <c r="B1111" s="2" t="s">
        <v>1609</v>
      </c>
      <c r="C1111" s="10" t="n">
        <v>45680</v>
      </c>
      <c r="D1111" s="2" t="s">
        <v>81</v>
      </c>
      <c r="E1111" s="2" t="s">
        <v>92</v>
      </c>
      <c r="F1111" s="2" t="s">
        <v>73</v>
      </c>
      <c r="G1111" s="2" t="s">
        <v>74</v>
      </c>
      <c r="H1111" s="2" t="n">
        <v>6</v>
      </c>
      <c r="I1111" s="2" t="n">
        <v>7000</v>
      </c>
      <c r="J1111" s="2" t="n">
        <v>0.15</v>
      </c>
      <c r="K1111" s="2" t="n">
        <v>4800</v>
      </c>
    </row>
    <row r="1112" customFormat="false" ht="15" hidden="false" customHeight="false" outlineLevel="0" collapsed="false">
      <c r="A1112" s="2" t="s">
        <v>1620</v>
      </c>
      <c r="B1112" s="2" t="s">
        <v>1621</v>
      </c>
      <c r="C1112" s="10" t="n">
        <v>45721</v>
      </c>
      <c r="D1112" s="2" t="s">
        <v>77</v>
      </c>
      <c r="E1112" s="2" t="s">
        <v>92</v>
      </c>
      <c r="F1112" s="2" t="s">
        <v>73</v>
      </c>
      <c r="G1112" s="2" t="s">
        <v>74</v>
      </c>
      <c r="H1112" s="2" t="n">
        <v>4</v>
      </c>
      <c r="I1112" s="2" t="n">
        <v>7000</v>
      </c>
      <c r="J1112" s="2" t="n">
        <v>0.05</v>
      </c>
      <c r="K1112" s="2" t="n">
        <v>4800</v>
      </c>
    </row>
    <row r="1113" customFormat="false" ht="15" hidden="false" customHeight="false" outlineLevel="0" collapsed="false">
      <c r="A1113" s="2" t="s">
        <v>1622</v>
      </c>
      <c r="B1113" s="2" t="s">
        <v>1621</v>
      </c>
      <c r="C1113" s="10" t="n">
        <v>45911</v>
      </c>
      <c r="D1113" s="2" t="s">
        <v>77</v>
      </c>
      <c r="E1113" s="2" t="s">
        <v>92</v>
      </c>
      <c r="F1113" s="2" t="s">
        <v>73</v>
      </c>
      <c r="G1113" s="2" t="s">
        <v>74</v>
      </c>
      <c r="H1113" s="2" t="n">
        <v>8</v>
      </c>
      <c r="I1113" s="2" t="n">
        <v>7000</v>
      </c>
      <c r="J1113" s="2" t="n">
        <v>0.1</v>
      </c>
      <c r="K1113" s="2" t="n">
        <v>4800</v>
      </c>
    </row>
    <row r="1114" customFormat="false" ht="15" hidden="false" customHeight="false" outlineLevel="0" collapsed="false">
      <c r="A1114" s="2" t="s">
        <v>1623</v>
      </c>
      <c r="B1114" s="2" t="s">
        <v>1621</v>
      </c>
      <c r="C1114" s="10" t="n">
        <v>45939</v>
      </c>
      <c r="D1114" s="2" t="s">
        <v>77</v>
      </c>
      <c r="E1114" s="2" t="s">
        <v>92</v>
      </c>
      <c r="F1114" s="2" t="s">
        <v>70</v>
      </c>
      <c r="G1114" s="2" t="s">
        <v>126</v>
      </c>
      <c r="H1114" s="2" t="n">
        <v>5</v>
      </c>
      <c r="I1114" s="2" t="n">
        <v>4500</v>
      </c>
      <c r="J1114" s="2" t="n">
        <v>0.1</v>
      </c>
      <c r="K1114" s="2" t="n">
        <v>3300</v>
      </c>
    </row>
    <row r="1115" customFormat="false" ht="15" hidden="false" customHeight="false" outlineLevel="0" collapsed="false">
      <c r="A1115" s="2" t="s">
        <v>1624</v>
      </c>
      <c r="B1115" s="2" t="s">
        <v>1621</v>
      </c>
      <c r="C1115" s="10" t="n">
        <v>45682</v>
      </c>
      <c r="D1115" s="2" t="s">
        <v>77</v>
      </c>
      <c r="E1115" s="2" t="s">
        <v>92</v>
      </c>
      <c r="F1115" s="2" t="s">
        <v>73</v>
      </c>
      <c r="G1115" s="2" t="s">
        <v>104</v>
      </c>
      <c r="H1115" s="2" t="n">
        <v>3</v>
      </c>
      <c r="I1115" s="2" t="n">
        <v>5500</v>
      </c>
      <c r="J1115" s="2" t="n">
        <v>0.1</v>
      </c>
      <c r="K1115" s="2" t="n">
        <v>3600</v>
      </c>
    </row>
    <row r="1116" customFormat="false" ht="15" hidden="false" customHeight="false" outlineLevel="0" collapsed="false">
      <c r="A1116" s="2" t="s">
        <v>1625</v>
      </c>
      <c r="B1116" s="2" t="s">
        <v>1621</v>
      </c>
      <c r="C1116" s="10" t="n">
        <v>45784</v>
      </c>
      <c r="D1116" s="2" t="s">
        <v>77</v>
      </c>
      <c r="E1116" s="2" t="s">
        <v>92</v>
      </c>
      <c r="F1116" s="2" t="s">
        <v>73</v>
      </c>
      <c r="G1116" s="2" t="s">
        <v>74</v>
      </c>
      <c r="H1116" s="2" t="n">
        <v>6</v>
      </c>
      <c r="I1116" s="2" t="n">
        <v>7000</v>
      </c>
      <c r="J1116" s="2" t="n">
        <v>0.15</v>
      </c>
      <c r="K1116" s="2" t="n">
        <v>4800</v>
      </c>
    </row>
    <row r="1117" customFormat="false" ht="15" hidden="false" customHeight="false" outlineLevel="0" collapsed="false">
      <c r="A1117" s="2" t="s">
        <v>1626</v>
      </c>
      <c r="B1117" s="2" t="s">
        <v>1627</v>
      </c>
      <c r="C1117" s="10" t="n">
        <v>45891</v>
      </c>
      <c r="D1117" s="2" t="s">
        <v>91</v>
      </c>
      <c r="E1117" s="2" t="s">
        <v>92</v>
      </c>
      <c r="F1117" s="2" t="s">
        <v>65</v>
      </c>
      <c r="G1117" s="2" t="s">
        <v>78</v>
      </c>
      <c r="H1117" s="2" t="n">
        <v>35</v>
      </c>
      <c r="I1117" s="2" t="n">
        <v>400</v>
      </c>
      <c r="J1117" s="2" t="n">
        <v>0.1</v>
      </c>
      <c r="K1117" s="2" t="n">
        <v>200</v>
      </c>
    </row>
    <row r="1118" customFormat="false" ht="15" hidden="false" customHeight="false" outlineLevel="0" collapsed="false">
      <c r="A1118" s="2" t="s">
        <v>1628</v>
      </c>
      <c r="B1118" s="2" t="s">
        <v>1627</v>
      </c>
      <c r="C1118" s="10" t="n">
        <v>45673</v>
      </c>
      <c r="D1118" s="2" t="s">
        <v>91</v>
      </c>
      <c r="E1118" s="2" t="s">
        <v>92</v>
      </c>
      <c r="F1118" s="2" t="s">
        <v>73</v>
      </c>
      <c r="G1118" s="2" t="s">
        <v>74</v>
      </c>
      <c r="H1118" s="2" t="n">
        <v>3</v>
      </c>
      <c r="I1118" s="2" t="n">
        <v>7000</v>
      </c>
      <c r="J1118" s="2" t="n">
        <v>0.15</v>
      </c>
      <c r="K1118" s="2" t="n">
        <v>4800</v>
      </c>
    </row>
    <row r="1119" customFormat="false" ht="15" hidden="false" customHeight="false" outlineLevel="0" collapsed="false">
      <c r="A1119" s="2" t="s">
        <v>1629</v>
      </c>
      <c r="B1119" s="2" t="s">
        <v>1627</v>
      </c>
      <c r="C1119" s="10" t="n">
        <v>45918</v>
      </c>
      <c r="D1119" s="2" t="s">
        <v>91</v>
      </c>
      <c r="E1119" s="2" t="s">
        <v>92</v>
      </c>
      <c r="F1119" s="2" t="s">
        <v>73</v>
      </c>
      <c r="G1119" s="2" t="s">
        <v>87</v>
      </c>
      <c r="H1119" s="2" t="n">
        <v>6</v>
      </c>
      <c r="I1119" s="2" t="n">
        <v>9000</v>
      </c>
      <c r="J1119" s="2" t="n">
        <v>0</v>
      </c>
      <c r="K1119" s="2" t="n">
        <v>6200</v>
      </c>
    </row>
    <row r="1120" customFormat="false" ht="15" hidden="false" customHeight="false" outlineLevel="0" collapsed="false">
      <c r="A1120" s="2" t="s">
        <v>1630</v>
      </c>
      <c r="B1120" s="2" t="s">
        <v>1627</v>
      </c>
      <c r="C1120" s="10" t="n">
        <v>45763</v>
      </c>
      <c r="D1120" s="2" t="s">
        <v>91</v>
      </c>
      <c r="E1120" s="2" t="s">
        <v>92</v>
      </c>
      <c r="F1120" s="2" t="s">
        <v>70</v>
      </c>
      <c r="G1120" s="2" t="s">
        <v>122</v>
      </c>
      <c r="H1120" s="2" t="n">
        <v>3</v>
      </c>
      <c r="I1120" s="2" t="n">
        <v>1500</v>
      </c>
      <c r="J1120" s="2" t="n">
        <v>0.15</v>
      </c>
      <c r="K1120" s="2" t="n">
        <v>900</v>
      </c>
    </row>
    <row r="1121" customFormat="false" ht="15" hidden="false" customHeight="false" outlineLevel="0" collapsed="false">
      <c r="A1121" s="2" t="s">
        <v>1631</v>
      </c>
      <c r="B1121" s="2" t="s">
        <v>1627</v>
      </c>
      <c r="C1121" s="10" t="n">
        <v>45675</v>
      </c>
      <c r="D1121" s="2" t="s">
        <v>91</v>
      </c>
      <c r="E1121" s="2" t="s">
        <v>92</v>
      </c>
      <c r="F1121" s="2" t="s">
        <v>73</v>
      </c>
      <c r="G1121" s="2" t="s">
        <v>85</v>
      </c>
      <c r="H1121" s="2" t="n">
        <v>4</v>
      </c>
      <c r="I1121" s="2" t="n">
        <v>1200</v>
      </c>
      <c r="J1121" s="2" t="n">
        <v>0</v>
      </c>
      <c r="K1121" s="2" t="n">
        <v>600</v>
      </c>
    </row>
    <row r="1122" customFormat="false" ht="15" hidden="false" customHeight="false" outlineLevel="0" collapsed="false">
      <c r="A1122" s="2" t="s">
        <v>1632</v>
      </c>
      <c r="B1122" s="2" t="s">
        <v>1633</v>
      </c>
      <c r="C1122" s="10" t="n">
        <v>45781</v>
      </c>
      <c r="D1122" s="2" t="s">
        <v>63</v>
      </c>
      <c r="E1122" s="2" t="s">
        <v>92</v>
      </c>
      <c r="F1122" s="2" t="s">
        <v>70</v>
      </c>
      <c r="G1122" s="2" t="s">
        <v>97</v>
      </c>
      <c r="H1122" s="2" t="n">
        <v>3</v>
      </c>
      <c r="I1122" s="2" t="n">
        <v>3000</v>
      </c>
      <c r="J1122" s="2" t="n">
        <v>0.1</v>
      </c>
      <c r="K1122" s="2" t="n">
        <v>2000</v>
      </c>
    </row>
    <row r="1123" customFormat="false" ht="15" hidden="false" customHeight="false" outlineLevel="0" collapsed="false">
      <c r="A1123" s="2" t="s">
        <v>1634</v>
      </c>
      <c r="B1123" s="2" t="s">
        <v>1633</v>
      </c>
      <c r="C1123" s="10" t="n">
        <v>45980</v>
      </c>
      <c r="D1123" s="2" t="s">
        <v>63</v>
      </c>
      <c r="E1123" s="2" t="s">
        <v>92</v>
      </c>
      <c r="F1123" s="2" t="s">
        <v>70</v>
      </c>
      <c r="G1123" s="2" t="s">
        <v>122</v>
      </c>
      <c r="H1123" s="2" t="n">
        <v>3</v>
      </c>
      <c r="I1123" s="2" t="n">
        <v>1500</v>
      </c>
      <c r="J1123" s="2" t="n">
        <v>0.15</v>
      </c>
      <c r="K1123" s="2" t="n">
        <v>900</v>
      </c>
    </row>
    <row r="1124" customFormat="false" ht="15" hidden="false" customHeight="false" outlineLevel="0" collapsed="false">
      <c r="A1124" s="2" t="s">
        <v>1635</v>
      </c>
      <c r="B1124" s="2" t="s">
        <v>1633</v>
      </c>
      <c r="C1124" s="10" t="n">
        <v>45911</v>
      </c>
      <c r="D1124" s="2" t="s">
        <v>63</v>
      </c>
      <c r="E1124" s="2" t="s">
        <v>92</v>
      </c>
      <c r="F1124" s="2" t="s">
        <v>73</v>
      </c>
      <c r="G1124" s="2" t="s">
        <v>104</v>
      </c>
      <c r="H1124" s="2" t="n">
        <v>6</v>
      </c>
      <c r="I1124" s="2" t="n">
        <v>5500</v>
      </c>
      <c r="J1124" s="2" t="n">
        <v>0.05</v>
      </c>
      <c r="K1124" s="2" t="n">
        <v>3600</v>
      </c>
    </row>
    <row r="1125" customFormat="false" ht="15" hidden="false" customHeight="false" outlineLevel="0" collapsed="false">
      <c r="A1125" s="2" t="s">
        <v>1636</v>
      </c>
      <c r="B1125" s="2" t="s">
        <v>1633</v>
      </c>
      <c r="C1125" s="10" t="n">
        <v>45879</v>
      </c>
      <c r="D1125" s="2" t="s">
        <v>63</v>
      </c>
      <c r="E1125" s="2" t="s">
        <v>92</v>
      </c>
      <c r="F1125" s="2" t="s">
        <v>73</v>
      </c>
      <c r="G1125" s="2" t="s">
        <v>74</v>
      </c>
      <c r="H1125" s="2" t="n">
        <v>5</v>
      </c>
      <c r="I1125" s="2" t="n">
        <v>7000</v>
      </c>
      <c r="J1125" s="2" t="n">
        <v>0</v>
      </c>
      <c r="K1125" s="2" t="n">
        <v>4800</v>
      </c>
    </row>
    <row r="1126" customFormat="false" ht="15" hidden="false" customHeight="false" outlineLevel="0" collapsed="false">
      <c r="A1126" s="2" t="s">
        <v>1637</v>
      </c>
      <c r="B1126" s="2" t="s">
        <v>1638</v>
      </c>
      <c r="C1126" s="10" t="n">
        <v>45673</v>
      </c>
      <c r="D1126" s="2" t="s">
        <v>81</v>
      </c>
      <c r="E1126" s="2" t="s">
        <v>92</v>
      </c>
      <c r="F1126" s="2" t="s">
        <v>73</v>
      </c>
      <c r="G1126" s="2" t="s">
        <v>85</v>
      </c>
      <c r="H1126" s="2" t="n">
        <v>6</v>
      </c>
      <c r="I1126" s="2" t="n">
        <v>1200</v>
      </c>
      <c r="J1126" s="2" t="n">
        <v>0.1</v>
      </c>
      <c r="K1126" s="2" t="n">
        <v>600</v>
      </c>
    </row>
    <row r="1127" customFormat="false" ht="15" hidden="false" customHeight="false" outlineLevel="0" collapsed="false">
      <c r="A1127" s="2" t="s">
        <v>1639</v>
      </c>
      <c r="B1127" s="2" t="s">
        <v>1638</v>
      </c>
      <c r="C1127" s="10" t="n">
        <v>45767</v>
      </c>
      <c r="D1127" s="2" t="s">
        <v>81</v>
      </c>
      <c r="E1127" s="2" t="s">
        <v>92</v>
      </c>
      <c r="F1127" s="2" t="s">
        <v>70</v>
      </c>
      <c r="G1127" s="2" t="s">
        <v>126</v>
      </c>
      <c r="H1127" s="2" t="n">
        <v>4</v>
      </c>
      <c r="I1127" s="2" t="n">
        <v>4500</v>
      </c>
      <c r="J1127" s="2" t="n">
        <v>0.05</v>
      </c>
      <c r="K1127" s="2" t="n">
        <v>3300</v>
      </c>
    </row>
    <row r="1128" customFormat="false" ht="15" hidden="false" customHeight="false" outlineLevel="0" collapsed="false">
      <c r="A1128" s="2" t="s">
        <v>1640</v>
      </c>
      <c r="B1128" s="2" t="s">
        <v>1641</v>
      </c>
      <c r="C1128" s="10" t="n">
        <v>45953</v>
      </c>
      <c r="D1128" s="2" t="s">
        <v>81</v>
      </c>
      <c r="E1128" s="2" t="s">
        <v>64</v>
      </c>
      <c r="F1128" s="2" t="s">
        <v>70</v>
      </c>
      <c r="G1128" s="2" t="s">
        <v>126</v>
      </c>
      <c r="H1128" s="2" t="n">
        <v>2</v>
      </c>
      <c r="I1128" s="2" t="n">
        <v>4500</v>
      </c>
      <c r="J1128" s="2" t="n">
        <v>0.05</v>
      </c>
      <c r="K1128" s="2" t="n">
        <v>3300</v>
      </c>
    </row>
    <row r="1129" customFormat="false" ht="15" hidden="false" customHeight="false" outlineLevel="0" collapsed="false">
      <c r="A1129" s="2" t="s">
        <v>1642</v>
      </c>
      <c r="B1129" s="2" t="s">
        <v>1643</v>
      </c>
      <c r="C1129" s="10" t="n">
        <v>45664</v>
      </c>
      <c r="D1129" s="2" t="s">
        <v>81</v>
      </c>
      <c r="E1129" s="2" t="s">
        <v>92</v>
      </c>
      <c r="F1129" s="2" t="s">
        <v>73</v>
      </c>
      <c r="G1129" s="2" t="s">
        <v>74</v>
      </c>
      <c r="H1129" s="2" t="n">
        <v>3</v>
      </c>
      <c r="I1129" s="2" t="n">
        <v>7000</v>
      </c>
      <c r="J1129" s="2" t="n">
        <v>0</v>
      </c>
      <c r="K1129" s="2" t="n">
        <v>4800</v>
      </c>
    </row>
    <row r="1130" customFormat="false" ht="15" hidden="false" customHeight="false" outlineLevel="0" collapsed="false">
      <c r="A1130" s="2" t="s">
        <v>1644</v>
      </c>
      <c r="B1130" s="2" t="s">
        <v>1643</v>
      </c>
      <c r="C1130" s="10" t="n">
        <v>45738</v>
      </c>
      <c r="D1130" s="2" t="s">
        <v>81</v>
      </c>
      <c r="E1130" s="2" t="s">
        <v>92</v>
      </c>
      <c r="F1130" s="2" t="s">
        <v>65</v>
      </c>
      <c r="G1130" s="2" t="s">
        <v>78</v>
      </c>
      <c r="H1130" s="2" t="n">
        <v>31</v>
      </c>
      <c r="I1130" s="2" t="n">
        <v>400</v>
      </c>
      <c r="J1130" s="2" t="n">
        <v>0</v>
      </c>
      <c r="K1130" s="2" t="n">
        <v>200</v>
      </c>
    </row>
    <row r="1131" customFormat="false" ht="15" hidden="false" customHeight="false" outlineLevel="0" collapsed="false">
      <c r="A1131" s="2" t="s">
        <v>1645</v>
      </c>
      <c r="B1131" s="2"/>
      <c r="C1131" s="10" t="n">
        <v>45970</v>
      </c>
      <c r="D1131" s="2" t="s">
        <v>81</v>
      </c>
      <c r="E1131" s="2" t="s">
        <v>92</v>
      </c>
      <c r="F1131" s="2" t="s">
        <v>70</v>
      </c>
      <c r="G1131" s="2" t="s">
        <v>122</v>
      </c>
      <c r="H1131" s="2" t="n">
        <v>7</v>
      </c>
      <c r="I1131" s="2" t="n">
        <v>1500</v>
      </c>
      <c r="J1131" s="2" t="n">
        <v>0.05</v>
      </c>
      <c r="K1131" s="2" t="n">
        <v>900</v>
      </c>
    </row>
    <row r="1132" customFormat="false" ht="15" hidden="false" customHeight="false" outlineLevel="0" collapsed="false">
      <c r="A1132" s="2" t="s">
        <v>1646</v>
      </c>
      <c r="B1132" s="2" t="s">
        <v>1647</v>
      </c>
      <c r="C1132" s="10" t="n">
        <v>45980</v>
      </c>
      <c r="D1132" s="2" t="s">
        <v>63</v>
      </c>
      <c r="E1132" s="2" t="s">
        <v>64</v>
      </c>
      <c r="F1132" s="2" t="s">
        <v>73</v>
      </c>
      <c r="G1132" s="2" t="s">
        <v>74</v>
      </c>
      <c r="H1132" s="2" t="n">
        <v>2</v>
      </c>
      <c r="I1132" s="2" t="n">
        <v>7000</v>
      </c>
      <c r="J1132" s="2" t="n">
        <v>0.05</v>
      </c>
      <c r="K1132" s="2" t="n">
        <v>4800</v>
      </c>
    </row>
    <row r="1133" customFormat="false" ht="15" hidden="false" customHeight="false" outlineLevel="0" collapsed="false">
      <c r="A1133" s="2" t="s">
        <v>1648</v>
      </c>
      <c r="B1133" s="2" t="s">
        <v>1647</v>
      </c>
      <c r="C1133" s="10" t="n">
        <v>45826</v>
      </c>
      <c r="D1133" s="2" t="s">
        <v>63</v>
      </c>
      <c r="E1133" s="2" t="s">
        <v>64</v>
      </c>
      <c r="F1133" s="2" t="s">
        <v>73</v>
      </c>
      <c r="G1133" s="2" t="s">
        <v>74</v>
      </c>
      <c r="H1133" s="2" t="n">
        <v>3</v>
      </c>
      <c r="I1133" s="2" t="n">
        <v>7000</v>
      </c>
      <c r="J1133" s="2" t="n">
        <v>0.1</v>
      </c>
      <c r="K1133" s="2" t="n">
        <v>4800</v>
      </c>
    </row>
    <row r="1134" customFormat="false" ht="15" hidden="false" customHeight="false" outlineLevel="0" collapsed="false">
      <c r="A1134" s="2" t="s">
        <v>1649</v>
      </c>
      <c r="B1134" s="2" t="s">
        <v>1647</v>
      </c>
      <c r="C1134" s="10" t="n">
        <v>45934</v>
      </c>
      <c r="D1134" s="2" t="s">
        <v>63</v>
      </c>
      <c r="E1134" s="2" t="s">
        <v>64</v>
      </c>
      <c r="F1134" s="2" t="s">
        <v>65</v>
      </c>
      <c r="G1134" s="2" t="s">
        <v>82</v>
      </c>
      <c r="H1134" s="2" t="n">
        <v>2</v>
      </c>
      <c r="I1134" s="2" t="n">
        <v>250</v>
      </c>
      <c r="J1134" s="2" t="n">
        <v>0.05</v>
      </c>
      <c r="K1134" s="2" t="n">
        <v>100</v>
      </c>
    </row>
    <row r="1135" customFormat="false" ht="15" hidden="false" customHeight="false" outlineLevel="0" collapsed="false">
      <c r="A1135" s="2" t="s">
        <v>1650</v>
      </c>
      <c r="B1135" s="2" t="s">
        <v>1651</v>
      </c>
      <c r="C1135" s="10" t="n">
        <v>45758</v>
      </c>
      <c r="D1135" s="2" t="s">
        <v>77</v>
      </c>
      <c r="E1135" s="2" t="s">
        <v>64</v>
      </c>
      <c r="F1135" s="2" t="s">
        <v>65</v>
      </c>
      <c r="G1135" s="2" t="s">
        <v>82</v>
      </c>
      <c r="H1135" s="2" t="n">
        <v>2</v>
      </c>
      <c r="I1135" s="2" t="n">
        <v>250</v>
      </c>
      <c r="J1135" s="2" t="n">
        <v>0.1</v>
      </c>
      <c r="K1135" s="2" t="n">
        <v>100</v>
      </c>
    </row>
    <row r="1136" customFormat="false" ht="15" hidden="false" customHeight="false" outlineLevel="0" collapsed="false">
      <c r="A1136" s="2" t="s">
        <v>1652</v>
      </c>
      <c r="B1136" s="2" t="s">
        <v>1651</v>
      </c>
      <c r="C1136" s="10" t="n">
        <v>45988</v>
      </c>
      <c r="D1136" s="2" t="s">
        <v>77</v>
      </c>
      <c r="E1136" s="2" t="s">
        <v>64</v>
      </c>
      <c r="F1136" s="2" t="s">
        <v>65</v>
      </c>
      <c r="G1136" s="2" t="s">
        <v>107</v>
      </c>
      <c r="H1136" s="2" t="n">
        <v>5</v>
      </c>
      <c r="I1136" s="2" t="n">
        <v>500</v>
      </c>
      <c r="J1136" s="2" t="n">
        <v>0.15</v>
      </c>
      <c r="K1136" s="2" t="n">
        <v>250</v>
      </c>
    </row>
    <row r="1137" customFormat="false" ht="15" hidden="false" customHeight="false" outlineLevel="0" collapsed="false">
      <c r="A1137" s="2" t="s">
        <v>1653</v>
      </c>
      <c r="B1137" s="2" t="s">
        <v>1651</v>
      </c>
      <c r="C1137" s="10" t="n">
        <v>45914</v>
      </c>
      <c r="D1137" s="2" t="s">
        <v>77</v>
      </c>
      <c r="E1137" s="2" t="s">
        <v>64</v>
      </c>
      <c r="F1137" s="2" t="s">
        <v>65</v>
      </c>
      <c r="G1137" s="2" t="s">
        <v>107</v>
      </c>
      <c r="H1137" s="2" t="n">
        <v>2</v>
      </c>
      <c r="I1137" s="2" t="n">
        <v>500</v>
      </c>
      <c r="J1137" s="2" t="n">
        <v>0</v>
      </c>
      <c r="K1137" s="2" t="n">
        <v>250</v>
      </c>
    </row>
    <row r="1138" customFormat="false" ht="15" hidden="false" customHeight="false" outlineLevel="0" collapsed="false">
      <c r="A1138" s="2" t="s">
        <v>1654</v>
      </c>
      <c r="B1138" s="2" t="s">
        <v>1655</v>
      </c>
      <c r="C1138" s="10" t="n">
        <v>45902</v>
      </c>
      <c r="D1138" s="2" t="s">
        <v>91</v>
      </c>
      <c r="E1138" s="2" t="s">
        <v>64</v>
      </c>
      <c r="F1138" s="2" t="s">
        <v>65</v>
      </c>
      <c r="G1138" s="2" t="s">
        <v>66</v>
      </c>
      <c r="H1138" s="2" t="n">
        <v>8</v>
      </c>
      <c r="I1138" s="2" t="n">
        <v>600</v>
      </c>
      <c r="J1138" s="2" t="n">
        <v>0</v>
      </c>
      <c r="K1138" s="2" t="n">
        <v>300</v>
      </c>
    </row>
    <row r="1139" customFormat="false" ht="15" hidden="false" customHeight="false" outlineLevel="0" collapsed="false">
      <c r="A1139" s="2" t="s">
        <v>1656</v>
      </c>
      <c r="B1139" s="2" t="s">
        <v>1655</v>
      </c>
      <c r="C1139" s="10" t="n">
        <v>45740</v>
      </c>
      <c r="D1139" s="2" t="s">
        <v>91</v>
      </c>
      <c r="E1139" s="2" t="s">
        <v>64</v>
      </c>
      <c r="F1139" s="2" t="s">
        <v>65</v>
      </c>
      <c r="G1139" s="2" t="s">
        <v>107</v>
      </c>
      <c r="H1139" s="2" t="n">
        <v>6</v>
      </c>
      <c r="I1139" s="2" t="n">
        <v>500</v>
      </c>
      <c r="J1139" s="2" t="n">
        <v>0</v>
      </c>
      <c r="K1139" s="2" t="n">
        <v>250</v>
      </c>
    </row>
    <row r="1140" customFormat="false" ht="15" hidden="false" customHeight="false" outlineLevel="0" collapsed="false">
      <c r="A1140" s="2" t="s">
        <v>1657</v>
      </c>
      <c r="B1140" s="2" t="s">
        <v>1655</v>
      </c>
      <c r="C1140" s="10" t="n">
        <v>45666</v>
      </c>
      <c r="D1140" s="2" t="s">
        <v>91</v>
      </c>
      <c r="E1140" s="2" t="s">
        <v>64</v>
      </c>
      <c r="F1140" s="2" t="s">
        <v>73</v>
      </c>
      <c r="G1140" s="2" t="s">
        <v>104</v>
      </c>
      <c r="H1140" s="2" t="n">
        <v>3</v>
      </c>
      <c r="I1140" s="2" t="n">
        <v>5500</v>
      </c>
      <c r="J1140" s="2" t="n">
        <v>0</v>
      </c>
      <c r="K1140" s="2" t="n">
        <v>3600</v>
      </c>
    </row>
    <row r="1141" customFormat="false" ht="15" hidden="false" customHeight="false" outlineLevel="0" collapsed="false">
      <c r="A1141" s="2" t="s">
        <v>1658</v>
      </c>
      <c r="B1141" s="2" t="s">
        <v>1655</v>
      </c>
      <c r="C1141" s="10" t="n">
        <v>45873</v>
      </c>
      <c r="D1141" s="2" t="s">
        <v>91</v>
      </c>
      <c r="E1141" s="2" t="s">
        <v>64</v>
      </c>
      <c r="F1141" s="2" t="s">
        <v>65</v>
      </c>
      <c r="G1141" s="2" t="s">
        <v>82</v>
      </c>
      <c r="H1141" s="2" t="n">
        <v>3</v>
      </c>
      <c r="I1141" s="2" t="n">
        <v>250</v>
      </c>
      <c r="J1141" s="2" t="n">
        <v>0</v>
      </c>
      <c r="K1141" s="2" t="n">
        <v>100</v>
      </c>
    </row>
    <row r="1142" customFormat="false" ht="15" hidden="false" customHeight="false" outlineLevel="0" collapsed="false">
      <c r="A1142" s="2" t="s">
        <v>1659</v>
      </c>
      <c r="B1142" s="2" t="s">
        <v>1655</v>
      </c>
      <c r="C1142" s="10" t="n">
        <v>45949</v>
      </c>
      <c r="D1142" s="2" t="s">
        <v>91</v>
      </c>
      <c r="E1142" s="2" t="s">
        <v>64</v>
      </c>
      <c r="F1142" s="2" t="s">
        <v>65</v>
      </c>
      <c r="G1142" s="2" t="s">
        <v>78</v>
      </c>
      <c r="H1142" s="2" t="n">
        <v>3</v>
      </c>
      <c r="I1142" s="2" t="n">
        <v>400</v>
      </c>
      <c r="J1142" s="2" t="n">
        <v>0.15</v>
      </c>
      <c r="K1142" s="2" t="n">
        <v>200</v>
      </c>
    </row>
    <row r="1143" customFormat="false" ht="15" hidden="false" customHeight="false" outlineLevel="0" collapsed="false">
      <c r="A1143" s="2" t="s">
        <v>1660</v>
      </c>
      <c r="B1143" s="2" t="s">
        <v>1655</v>
      </c>
      <c r="C1143" s="10" t="n">
        <v>45706</v>
      </c>
      <c r="D1143" s="2" t="s">
        <v>91</v>
      </c>
      <c r="E1143" s="2" t="s">
        <v>64</v>
      </c>
      <c r="F1143" s="2" t="s">
        <v>70</v>
      </c>
      <c r="G1143" s="2" t="s">
        <v>71</v>
      </c>
      <c r="H1143" s="2" t="n">
        <v>3</v>
      </c>
      <c r="I1143" s="2" t="n">
        <v>2500</v>
      </c>
      <c r="J1143" s="2" t="n">
        <v>0.05</v>
      </c>
      <c r="K1143" s="2" t="n">
        <v>1600</v>
      </c>
    </row>
    <row r="1144" customFormat="false" ht="15" hidden="false" customHeight="false" outlineLevel="0" collapsed="false">
      <c r="A1144" s="2" t="s">
        <v>1661</v>
      </c>
      <c r="B1144" s="2" t="s">
        <v>1655</v>
      </c>
      <c r="C1144" s="10" t="n">
        <v>45996</v>
      </c>
      <c r="D1144" s="2" t="s">
        <v>91</v>
      </c>
      <c r="E1144" s="2" t="s">
        <v>64</v>
      </c>
      <c r="F1144" s="2" t="s">
        <v>70</v>
      </c>
      <c r="G1144" s="2" t="s">
        <v>71</v>
      </c>
      <c r="H1144" s="2" t="n">
        <v>3</v>
      </c>
      <c r="I1144" s="2" t="n">
        <v>2500</v>
      </c>
      <c r="J1144" s="2" t="n">
        <v>0.1</v>
      </c>
      <c r="K1144" s="2" t="n">
        <v>1600</v>
      </c>
    </row>
    <row r="1145" customFormat="false" ht="15" hidden="false" customHeight="false" outlineLevel="0" collapsed="false">
      <c r="A1145" s="2" t="s">
        <v>1662</v>
      </c>
      <c r="B1145" s="2" t="s">
        <v>1655</v>
      </c>
      <c r="C1145" s="10" t="n">
        <v>45785</v>
      </c>
      <c r="D1145" s="2" t="s">
        <v>91</v>
      </c>
      <c r="E1145" s="2" t="s">
        <v>64</v>
      </c>
      <c r="F1145" s="2" t="s">
        <v>73</v>
      </c>
      <c r="G1145" s="2" t="s">
        <v>87</v>
      </c>
      <c r="H1145" s="2" t="n">
        <v>1</v>
      </c>
      <c r="I1145" s="2" t="n">
        <v>9000</v>
      </c>
      <c r="J1145" s="2" t="n">
        <v>0</v>
      </c>
      <c r="K1145" s="2" t="n">
        <v>6200</v>
      </c>
    </row>
    <row r="1146" customFormat="false" ht="15" hidden="false" customHeight="false" outlineLevel="0" collapsed="false">
      <c r="A1146" s="2" t="s">
        <v>1663</v>
      </c>
      <c r="B1146" s="2" t="s">
        <v>1664</v>
      </c>
      <c r="C1146" s="10" t="n">
        <v>45788</v>
      </c>
      <c r="D1146" s="2" t="s">
        <v>81</v>
      </c>
      <c r="E1146" s="2" t="s">
        <v>92</v>
      </c>
      <c r="F1146" s="2" t="s">
        <v>73</v>
      </c>
      <c r="G1146" s="2" t="s">
        <v>74</v>
      </c>
      <c r="H1146" s="2" t="n">
        <v>5</v>
      </c>
      <c r="I1146" s="2" t="n">
        <v>7000</v>
      </c>
      <c r="J1146" s="2" t="n">
        <v>0.15</v>
      </c>
      <c r="K1146" s="2" t="n">
        <v>4800</v>
      </c>
    </row>
    <row r="1147" customFormat="false" ht="15" hidden="false" customHeight="false" outlineLevel="0" collapsed="false">
      <c r="A1147" s="2" t="s">
        <v>1665</v>
      </c>
      <c r="B1147" s="2" t="s">
        <v>1664</v>
      </c>
      <c r="C1147" s="10" t="n">
        <v>45672</v>
      </c>
      <c r="D1147" s="2" t="s">
        <v>81</v>
      </c>
      <c r="E1147" s="2" t="s">
        <v>92</v>
      </c>
      <c r="F1147" s="2" t="s">
        <v>73</v>
      </c>
      <c r="G1147" s="2" t="s">
        <v>85</v>
      </c>
      <c r="H1147" s="2" t="n">
        <v>7</v>
      </c>
      <c r="I1147" s="2" t="n">
        <v>1200</v>
      </c>
      <c r="J1147" s="2" t="n">
        <v>0</v>
      </c>
      <c r="K1147" s="2" t="n">
        <v>600</v>
      </c>
    </row>
    <row r="1148" customFormat="false" ht="15" hidden="false" customHeight="false" outlineLevel="0" collapsed="false">
      <c r="A1148" s="2" t="s">
        <v>1666</v>
      </c>
      <c r="B1148" s="2" t="s">
        <v>1664</v>
      </c>
      <c r="C1148" s="10" t="n">
        <v>45660</v>
      </c>
      <c r="D1148" s="2" t="s">
        <v>81</v>
      </c>
      <c r="E1148" s="2" t="s">
        <v>92</v>
      </c>
      <c r="F1148" s="2" t="s">
        <v>73</v>
      </c>
      <c r="G1148" s="2" t="s">
        <v>87</v>
      </c>
      <c r="H1148" s="2" t="n">
        <v>3</v>
      </c>
      <c r="I1148" s="2" t="n">
        <v>9000</v>
      </c>
      <c r="J1148" s="2" t="n">
        <v>0.05</v>
      </c>
      <c r="K1148" s="2" t="n">
        <v>6200</v>
      </c>
    </row>
    <row r="1149" customFormat="false" ht="15" hidden="false" customHeight="false" outlineLevel="0" collapsed="false">
      <c r="A1149" s="2" t="s">
        <v>1667</v>
      </c>
      <c r="B1149" s="2" t="s">
        <v>1664</v>
      </c>
      <c r="C1149" s="10" t="n">
        <v>45911</v>
      </c>
      <c r="D1149" s="2" t="s">
        <v>81</v>
      </c>
      <c r="E1149" s="2" t="s">
        <v>92</v>
      </c>
      <c r="F1149" s="2" t="s">
        <v>73</v>
      </c>
      <c r="G1149" s="2" t="s">
        <v>104</v>
      </c>
      <c r="H1149" s="2" t="n">
        <v>8</v>
      </c>
      <c r="I1149" s="2" t="n">
        <v>5500</v>
      </c>
      <c r="J1149" s="2" t="n">
        <v>0</v>
      </c>
      <c r="K1149" s="2" t="n">
        <v>3600</v>
      </c>
    </row>
    <row r="1150" customFormat="false" ht="15" hidden="false" customHeight="false" outlineLevel="0" collapsed="false">
      <c r="A1150" s="2" t="s">
        <v>1668</v>
      </c>
      <c r="B1150" s="2" t="s">
        <v>1664</v>
      </c>
      <c r="C1150" s="10" t="n">
        <v>45938</v>
      </c>
      <c r="D1150" s="2" t="s">
        <v>81</v>
      </c>
      <c r="E1150" s="2" t="s">
        <v>92</v>
      </c>
      <c r="F1150" s="2" t="s">
        <v>73</v>
      </c>
      <c r="G1150" s="2" t="s">
        <v>74</v>
      </c>
      <c r="H1150" s="2" t="n">
        <v>2</v>
      </c>
      <c r="I1150" s="2" t="n">
        <v>7000</v>
      </c>
      <c r="J1150" s="2" t="n">
        <v>0.15</v>
      </c>
      <c r="K1150" s="2" t="n">
        <v>4800</v>
      </c>
    </row>
    <row r="1151" customFormat="false" ht="15" hidden="false" customHeight="false" outlineLevel="0" collapsed="false">
      <c r="A1151" s="2" t="s">
        <v>1669</v>
      </c>
      <c r="B1151" s="2" t="s">
        <v>1664</v>
      </c>
      <c r="C1151" s="10" t="n">
        <v>45873</v>
      </c>
      <c r="D1151" s="2" t="s">
        <v>81</v>
      </c>
      <c r="E1151" s="2" t="s">
        <v>92</v>
      </c>
      <c r="F1151" s="2" t="s">
        <v>65</v>
      </c>
      <c r="G1151" s="2" t="s">
        <v>82</v>
      </c>
      <c r="H1151" s="2" t="n">
        <v>23</v>
      </c>
      <c r="I1151" s="2" t="n">
        <v>250</v>
      </c>
      <c r="J1151" s="2" t="n">
        <v>0.1</v>
      </c>
      <c r="K1151" s="2" t="n">
        <v>100</v>
      </c>
    </row>
    <row r="1152" customFormat="false" ht="15" hidden="false" customHeight="false" outlineLevel="0" collapsed="false">
      <c r="A1152" s="2" t="s">
        <v>1670</v>
      </c>
      <c r="B1152" s="2" t="s">
        <v>1664</v>
      </c>
      <c r="C1152" s="10" t="n">
        <v>45904</v>
      </c>
      <c r="D1152" s="2" t="s">
        <v>81</v>
      </c>
      <c r="E1152" s="2" t="s">
        <v>92</v>
      </c>
      <c r="F1152" s="2" t="s">
        <v>73</v>
      </c>
      <c r="G1152" s="2" t="s">
        <v>85</v>
      </c>
      <c r="H1152" s="2" t="n">
        <v>2</v>
      </c>
      <c r="I1152" s="2" t="n">
        <v>1200</v>
      </c>
      <c r="J1152" s="2" t="n">
        <v>0.15</v>
      </c>
      <c r="K1152" s="2" t="n">
        <v>600</v>
      </c>
    </row>
    <row r="1153" customFormat="false" ht="15" hidden="false" customHeight="false" outlineLevel="0" collapsed="false">
      <c r="A1153" s="2" t="s">
        <v>1671</v>
      </c>
      <c r="B1153" s="2" t="s">
        <v>1664</v>
      </c>
      <c r="C1153" s="10" t="n">
        <v>45788</v>
      </c>
      <c r="D1153" s="2" t="s">
        <v>81</v>
      </c>
      <c r="E1153" s="2" t="s">
        <v>92</v>
      </c>
      <c r="F1153" s="2" t="s">
        <v>65</v>
      </c>
      <c r="G1153" s="2" t="s">
        <v>82</v>
      </c>
      <c r="H1153" s="2" t="n">
        <v>19</v>
      </c>
      <c r="I1153" s="2" t="n">
        <v>250</v>
      </c>
      <c r="J1153" s="2" t="n">
        <v>0</v>
      </c>
      <c r="K1153" s="2" t="n">
        <v>100</v>
      </c>
    </row>
    <row r="1154" customFormat="false" ht="15" hidden="false" customHeight="false" outlineLevel="0" collapsed="false">
      <c r="A1154" s="2" t="s">
        <v>1672</v>
      </c>
      <c r="B1154" s="2" t="s">
        <v>1664</v>
      </c>
      <c r="C1154" s="10" t="n">
        <v>45705</v>
      </c>
      <c r="D1154" s="2" t="s">
        <v>81</v>
      </c>
      <c r="E1154" s="2" t="s">
        <v>92</v>
      </c>
      <c r="F1154" s="2" t="s">
        <v>70</v>
      </c>
      <c r="G1154" s="2" t="s">
        <v>71</v>
      </c>
      <c r="H1154" s="2" t="n">
        <v>7</v>
      </c>
      <c r="I1154" s="2" t="n">
        <v>2500</v>
      </c>
      <c r="J1154" s="2" t="n">
        <v>0.05</v>
      </c>
      <c r="K1154" s="2" t="n">
        <v>1600</v>
      </c>
    </row>
    <row r="1155" customFormat="false" ht="15" hidden="false" customHeight="false" outlineLevel="0" collapsed="false">
      <c r="A1155" s="2" t="s">
        <v>1673</v>
      </c>
      <c r="B1155" s="2" t="s">
        <v>1664</v>
      </c>
      <c r="C1155" s="10" t="n">
        <v>45702</v>
      </c>
      <c r="D1155" s="2" t="s">
        <v>81</v>
      </c>
      <c r="E1155" s="2" t="s">
        <v>92</v>
      </c>
      <c r="F1155" s="2" t="s">
        <v>70</v>
      </c>
      <c r="G1155" s="2" t="s">
        <v>97</v>
      </c>
      <c r="H1155" s="2" t="n">
        <v>7</v>
      </c>
      <c r="I1155" s="2" t="n">
        <v>3000</v>
      </c>
      <c r="J1155" s="2" t="n">
        <v>0.05</v>
      </c>
      <c r="K1155" s="2" t="n">
        <v>2000</v>
      </c>
    </row>
    <row r="1156" customFormat="false" ht="15" hidden="false" customHeight="false" outlineLevel="0" collapsed="false">
      <c r="A1156" s="2" t="s">
        <v>1674</v>
      </c>
      <c r="B1156" s="2" t="s">
        <v>1664</v>
      </c>
      <c r="C1156" s="10" t="n">
        <v>45853</v>
      </c>
      <c r="D1156" s="2" t="s">
        <v>81</v>
      </c>
      <c r="E1156" s="2" t="s">
        <v>92</v>
      </c>
      <c r="F1156" s="2" t="s">
        <v>73</v>
      </c>
      <c r="G1156" s="2" t="s">
        <v>104</v>
      </c>
      <c r="H1156" s="2" t="n">
        <v>2</v>
      </c>
      <c r="I1156" s="2" t="n">
        <v>5500</v>
      </c>
      <c r="J1156" s="2" t="n">
        <v>0.05</v>
      </c>
      <c r="K1156" s="2" t="n">
        <v>3600</v>
      </c>
    </row>
    <row r="1157" customFormat="false" ht="15" hidden="false" customHeight="false" outlineLevel="0" collapsed="false">
      <c r="A1157" s="2" t="s">
        <v>1675</v>
      </c>
      <c r="B1157" s="2" t="s">
        <v>1664</v>
      </c>
      <c r="C1157" s="10" t="n">
        <v>45904</v>
      </c>
      <c r="D1157" s="2" t="s">
        <v>81</v>
      </c>
      <c r="E1157" s="2" t="s">
        <v>92</v>
      </c>
      <c r="F1157" s="2" t="s">
        <v>73</v>
      </c>
      <c r="G1157" s="2" t="s">
        <v>74</v>
      </c>
      <c r="H1157" s="2" t="n">
        <v>7</v>
      </c>
      <c r="I1157" s="2" t="n">
        <v>7000</v>
      </c>
      <c r="J1157" s="2" t="n">
        <v>0.15</v>
      </c>
      <c r="K1157" s="2" t="n">
        <v>4800</v>
      </c>
    </row>
    <row r="1158" customFormat="false" ht="15" hidden="false" customHeight="false" outlineLevel="0" collapsed="false">
      <c r="A1158" s="2" t="s">
        <v>1676</v>
      </c>
      <c r="B1158" s="2" t="s">
        <v>1664</v>
      </c>
      <c r="C1158" s="10" t="n">
        <v>45669</v>
      </c>
      <c r="D1158" s="2" t="s">
        <v>81</v>
      </c>
      <c r="E1158" s="2" t="s">
        <v>92</v>
      </c>
      <c r="F1158" s="2" t="s">
        <v>70</v>
      </c>
      <c r="G1158" s="2" t="s">
        <v>126</v>
      </c>
      <c r="H1158" s="2" t="n">
        <v>6</v>
      </c>
      <c r="I1158" s="2" t="n">
        <v>4500</v>
      </c>
      <c r="J1158" s="2" t="n">
        <v>0.1</v>
      </c>
      <c r="K1158" s="2" t="n">
        <v>3300</v>
      </c>
    </row>
    <row r="1159" customFormat="false" ht="15" hidden="false" customHeight="false" outlineLevel="0" collapsed="false">
      <c r="A1159" s="2" t="s">
        <v>1677</v>
      </c>
      <c r="B1159" s="2" t="s">
        <v>1678</v>
      </c>
      <c r="C1159" s="10" t="n">
        <v>45908</v>
      </c>
      <c r="D1159" s="2" t="s">
        <v>63</v>
      </c>
      <c r="E1159" s="2" t="s">
        <v>69</v>
      </c>
      <c r="F1159" s="2" t="s">
        <v>70</v>
      </c>
      <c r="G1159" s="2" t="s">
        <v>122</v>
      </c>
      <c r="H1159" s="2" t="n">
        <v>3</v>
      </c>
      <c r="I1159" s="2" t="n">
        <v>1500</v>
      </c>
      <c r="J1159" s="2" t="n">
        <v>0</v>
      </c>
      <c r="K1159" s="2" t="n">
        <v>900</v>
      </c>
    </row>
    <row r="1160" customFormat="false" ht="15" hidden="false" customHeight="false" outlineLevel="0" collapsed="false">
      <c r="A1160" s="2" t="s">
        <v>1679</v>
      </c>
      <c r="B1160" s="2" t="s">
        <v>1680</v>
      </c>
      <c r="C1160" s="10" t="n">
        <v>45691</v>
      </c>
      <c r="D1160" s="2" t="s">
        <v>77</v>
      </c>
      <c r="E1160" s="2" t="s">
        <v>64</v>
      </c>
      <c r="F1160" s="2" t="s">
        <v>65</v>
      </c>
      <c r="G1160" s="2" t="s">
        <v>78</v>
      </c>
      <c r="H1160" s="2" t="n">
        <v>5</v>
      </c>
      <c r="I1160" s="2" t="n">
        <v>400</v>
      </c>
      <c r="J1160" s="2" t="n">
        <v>0.05</v>
      </c>
      <c r="K1160" s="2" t="n">
        <v>200</v>
      </c>
    </row>
    <row r="1161" customFormat="false" ht="15" hidden="false" customHeight="false" outlineLevel="0" collapsed="false">
      <c r="A1161" s="2" t="s">
        <v>1681</v>
      </c>
      <c r="B1161" s="2" t="s">
        <v>1682</v>
      </c>
      <c r="C1161" s="10" t="n">
        <v>45815</v>
      </c>
      <c r="D1161" s="2" t="s">
        <v>91</v>
      </c>
      <c r="E1161" s="2" t="s">
        <v>64</v>
      </c>
      <c r="F1161" s="2" t="s">
        <v>65</v>
      </c>
      <c r="G1161" s="2" t="s">
        <v>82</v>
      </c>
      <c r="H1161" s="2" t="n">
        <v>2</v>
      </c>
      <c r="I1161" s="2" t="n">
        <v>250</v>
      </c>
      <c r="J1161" s="2" t="n">
        <v>0.1</v>
      </c>
      <c r="K1161" s="2" t="n">
        <v>100</v>
      </c>
    </row>
    <row r="1162" customFormat="false" ht="15" hidden="false" customHeight="false" outlineLevel="0" collapsed="false">
      <c r="A1162" s="2" t="s">
        <v>1683</v>
      </c>
      <c r="B1162" s="2" t="s">
        <v>1682</v>
      </c>
      <c r="C1162" s="10" t="n">
        <v>45830</v>
      </c>
      <c r="D1162" s="2" t="s">
        <v>91</v>
      </c>
      <c r="E1162" s="2" t="s">
        <v>64</v>
      </c>
      <c r="F1162" s="2" t="s">
        <v>73</v>
      </c>
      <c r="G1162" s="2" t="s">
        <v>104</v>
      </c>
      <c r="H1162" s="2" t="n">
        <v>3</v>
      </c>
      <c r="I1162" s="2" t="n">
        <v>5500</v>
      </c>
      <c r="J1162" s="2" t="n">
        <v>0.1</v>
      </c>
      <c r="K1162" s="2" t="n">
        <v>3600</v>
      </c>
    </row>
    <row r="1163" customFormat="false" ht="15" hidden="false" customHeight="false" outlineLevel="0" collapsed="false">
      <c r="A1163" s="2" t="s">
        <v>1684</v>
      </c>
      <c r="B1163" s="2" t="s">
        <v>1682</v>
      </c>
      <c r="C1163" s="10" t="n">
        <v>45980</v>
      </c>
      <c r="D1163" s="2" t="s">
        <v>91</v>
      </c>
      <c r="E1163" s="2" t="s">
        <v>64</v>
      </c>
      <c r="F1163" s="2" t="s">
        <v>65</v>
      </c>
      <c r="G1163" s="2" t="s">
        <v>107</v>
      </c>
      <c r="H1163" s="2" t="n">
        <v>4</v>
      </c>
      <c r="I1163" s="2" t="n">
        <v>500</v>
      </c>
      <c r="J1163" s="2" t="n">
        <v>0.1</v>
      </c>
      <c r="K1163" s="2" t="n">
        <v>250</v>
      </c>
    </row>
    <row r="1164" customFormat="false" ht="15" hidden="false" customHeight="false" outlineLevel="0" collapsed="false">
      <c r="A1164" s="2" t="s">
        <v>1685</v>
      </c>
      <c r="B1164" s="2" t="s">
        <v>1686</v>
      </c>
      <c r="C1164" s="10" t="n">
        <v>45874</v>
      </c>
      <c r="D1164" s="2" t="s">
        <v>91</v>
      </c>
      <c r="E1164" s="2" t="s">
        <v>92</v>
      </c>
      <c r="F1164" s="2" t="s">
        <v>70</v>
      </c>
      <c r="G1164" s="2" t="s">
        <v>97</v>
      </c>
      <c r="H1164" s="2" t="n">
        <v>6</v>
      </c>
      <c r="I1164" s="2" t="n">
        <v>3000</v>
      </c>
      <c r="J1164" s="2" t="n">
        <v>0.15</v>
      </c>
      <c r="K1164" s="2" t="n">
        <v>2000</v>
      </c>
    </row>
    <row r="1165" customFormat="false" ht="15" hidden="false" customHeight="false" outlineLevel="0" collapsed="false">
      <c r="A1165" s="2" t="s">
        <v>1687</v>
      </c>
      <c r="B1165" s="2" t="s">
        <v>1686</v>
      </c>
      <c r="C1165" s="10" t="n">
        <v>45769</v>
      </c>
      <c r="D1165" s="2" t="s">
        <v>91</v>
      </c>
      <c r="E1165" s="2" t="s">
        <v>92</v>
      </c>
      <c r="F1165" s="2" t="s">
        <v>70</v>
      </c>
      <c r="G1165" s="2" t="s">
        <v>126</v>
      </c>
      <c r="H1165" s="2" t="n">
        <v>5</v>
      </c>
      <c r="I1165" s="2" t="n">
        <v>4500</v>
      </c>
      <c r="J1165" s="2" t="n">
        <v>0.05</v>
      </c>
      <c r="K1165" s="2" t="n">
        <v>3300</v>
      </c>
    </row>
    <row r="1166" customFormat="false" ht="15" hidden="false" customHeight="false" outlineLevel="0" collapsed="false">
      <c r="A1166" s="2" t="s">
        <v>1688</v>
      </c>
      <c r="B1166" s="2" t="s">
        <v>1686</v>
      </c>
      <c r="C1166" s="10" t="n">
        <v>45895</v>
      </c>
      <c r="D1166" s="2" t="s">
        <v>91</v>
      </c>
      <c r="E1166" s="2" t="s">
        <v>92</v>
      </c>
      <c r="F1166" s="2" t="s">
        <v>70</v>
      </c>
      <c r="G1166" s="2" t="s">
        <v>71</v>
      </c>
      <c r="H1166" s="2" t="n">
        <v>6</v>
      </c>
      <c r="I1166" s="2" t="n">
        <v>2500</v>
      </c>
      <c r="J1166" s="2" t="n">
        <v>0</v>
      </c>
      <c r="K1166" s="2" t="n">
        <v>1600</v>
      </c>
    </row>
    <row r="1167" customFormat="false" ht="15" hidden="false" customHeight="false" outlineLevel="0" collapsed="false">
      <c r="A1167" s="2" t="s">
        <v>1689</v>
      </c>
      <c r="B1167" s="2" t="s">
        <v>1686</v>
      </c>
      <c r="C1167" s="10" t="n">
        <v>45755</v>
      </c>
      <c r="D1167" s="2" t="s">
        <v>91</v>
      </c>
      <c r="E1167" s="2" t="s">
        <v>92</v>
      </c>
      <c r="F1167" s="2" t="s">
        <v>73</v>
      </c>
      <c r="G1167" s="2" t="s">
        <v>74</v>
      </c>
      <c r="H1167" s="2" t="n">
        <v>3</v>
      </c>
      <c r="I1167" s="2" t="n">
        <v>7000</v>
      </c>
      <c r="J1167" s="2" t="n">
        <v>0</v>
      </c>
      <c r="K1167" s="2" t="n">
        <v>4800</v>
      </c>
    </row>
    <row r="1168" customFormat="false" ht="15" hidden="false" customHeight="false" outlineLevel="0" collapsed="false">
      <c r="A1168" s="2" t="s">
        <v>1690</v>
      </c>
      <c r="B1168" s="2" t="s">
        <v>1691</v>
      </c>
      <c r="C1168" s="10" t="n">
        <v>45671</v>
      </c>
      <c r="D1168" s="2" t="s">
        <v>77</v>
      </c>
      <c r="E1168" s="2" t="s">
        <v>69</v>
      </c>
      <c r="F1168" s="2" t="s">
        <v>73</v>
      </c>
      <c r="G1168" s="2" t="s">
        <v>104</v>
      </c>
      <c r="H1168" s="2" t="n">
        <v>2</v>
      </c>
      <c r="I1168" s="2" t="n">
        <v>5500</v>
      </c>
      <c r="J1168" s="2" t="n">
        <v>0</v>
      </c>
      <c r="K1168" s="2" t="n">
        <v>3600</v>
      </c>
    </row>
    <row r="1169" customFormat="false" ht="15" hidden="false" customHeight="false" outlineLevel="0" collapsed="false">
      <c r="A1169" s="2" t="s">
        <v>1692</v>
      </c>
      <c r="B1169" s="2" t="s">
        <v>1691</v>
      </c>
      <c r="C1169" s="10" t="n">
        <v>45809</v>
      </c>
      <c r="D1169" s="2" t="s">
        <v>77</v>
      </c>
      <c r="E1169" s="2" t="s">
        <v>69</v>
      </c>
      <c r="F1169" s="2" t="s">
        <v>73</v>
      </c>
      <c r="G1169" s="2" t="s">
        <v>104</v>
      </c>
      <c r="H1169" s="2" t="n">
        <v>4</v>
      </c>
      <c r="I1169" s="2" t="n">
        <v>5500</v>
      </c>
      <c r="J1169" s="2" t="n">
        <v>0</v>
      </c>
      <c r="K1169" s="2" t="n">
        <v>3600</v>
      </c>
    </row>
    <row r="1170" customFormat="false" ht="15" hidden="false" customHeight="false" outlineLevel="0" collapsed="false">
      <c r="A1170" s="2" t="s">
        <v>1693</v>
      </c>
      <c r="B1170" s="2" t="s">
        <v>1691</v>
      </c>
      <c r="C1170" s="10" t="n">
        <v>45744</v>
      </c>
      <c r="D1170" s="2" t="s">
        <v>77</v>
      </c>
      <c r="E1170" s="2" t="s">
        <v>69</v>
      </c>
      <c r="F1170" s="2" t="s">
        <v>70</v>
      </c>
      <c r="G1170" s="2" t="s">
        <v>126</v>
      </c>
      <c r="H1170" s="2" t="n">
        <v>5</v>
      </c>
      <c r="I1170" s="2" t="n">
        <v>4500</v>
      </c>
      <c r="J1170" s="2" t="n">
        <v>0.05</v>
      </c>
      <c r="K1170" s="2" t="n">
        <v>3300</v>
      </c>
    </row>
    <row r="1171" customFormat="false" ht="15" hidden="false" customHeight="false" outlineLevel="0" collapsed="false">
      <c r="A1171" s="2" t="s">
        <v>1694</v>
      </c>
      <c r="B1171" s="2" t="s">
        <v>1691</v>
      </c>
      <c r="C1171" s="10" t="n">
        <v>46014</v>
      </c>
      <c r="D1171" s="2" t="s">
        <v>77</v>
      </c>
      <c r="E1171" s="2" t="s">
        <v>69</v>
      </c>
      <c r="F1171" s="2" t="s">
        <v>65</v>
      </c>
      <c r="G1171" s="2" t="s">
        <v>82</v>
      </c>
      <c r="H1171" s="2" t="n">
        <v>9</v>
      </c>
      <c r="I1171" s="2" t="n">
        <v>250</v>
      </c>
      <c r="J1171" s="2" t="n">
        <v>0.05</v>
      </c>
      <c r="K1171" s="2" t="n">
        <v>100</v>
      </c>
    </row>
    <row r="1172" customFormat="false" ht="15" hidden="false" customHeight="false" outlineLevel="0" collapsed="false">
      <c r="A1172" s="2" t="s">
        <v>1695</v>
      </c>
      <c r="B1172" s="2" t="s">
        <v>1691</v>
      </c>
      <c r="C1172" s="10" t="n">
        <v>45689</v>
      </c>
      <c r="D1172" s="2" t="s">
        <v>77</v>
      </c>
      <c r="E1172" s="2" t="s">
        <v>69</v>
      </c>
      <c r="F1172" s="2" t="s">
        <v>73</v>
      </c>
      <c r="G1172" s="2" t="s">
        <v>74</v>
      </c>
      <c r="H1172" s="2" t="n">
        <v>4</v>
      </c>
      <c r="I1172" s="2" t="n">
        <v>7000</v>
      </c>
      <c r="J1172" s="2" t="n">
        <v>0</v>
      </c>
      <c r="K1172" s="2" t="n">
        <v>4800</v>
      </c>
    </row>
    <row r="1173" customFormat="false" ht="15" hidden="false" customHeight="false" outlineLevel="0" collapsed="false">
      <c r="A1173" s="2" t="s">
        <v>1696</v>
      </c>
      <c r="B1173" s="2" t="s">
        <v>1691</v>
      </c>
      <c r="C1173" s="10" t="n">
        <v>45766</v>
      </c>
      <c r="D1173" s="2" t="s">
        <v>77</v>
      </c>
      <c r="E1173" s="2" t="s">
        <v>69</v>
      </c>
      <c r="F1173" s="2" t="s">
        <v>65</v>
      </c>
      <c r="G1173" s="2" t="s">
        <v>82</v>
      </c>
      <c r="H1173" s="2" t="n">
        <v>16</v>
      </c>
      <c r="I1173" s="2" t="n">
        <v>250</v>
      </c>
      <c r="J1173" s="2" t="n">
        <v>0</v>
      </c>
      <c r="K1173" s="2" t="n">
        <v>100</v>
      </c>
    </row>
    <row r="1174" customFormat="false" ht="15" hidden="false" customHeight="false" outlineLevel="0" collapsed="false">
      <c r="A1174" s="2" t="s">
        <v>1697</v>
      </c>
      <c r="B1174" s="2" t="s">
        <v>1698</v>
      </c>
      <c r="C1174" s="10" t="n">
        <v>45884</v>
      </c>
      <c r="D1174" s="2" t="s">
        <v>63</v>
      </c>
      <c r="E1174" s="2" t="s">
        <v>64</v>
      </c>
      <c r="F1174" s="2" t="s">
        <v>73</v>
      </c>
      <c r="G1174" s="2" t="s">
        <v>104</v>
      </c>
      <c r="H1174" s="2" t="n">
        <v>3</v>
      </c>
      <c r="I1174" s="2" t="n">
        <v>5500</v>
      </c>
      <c r="J1174" s="2" t="n">
        <v>0.1</v>
      </c>
      <c r="K1174" s="2" t="n">
        <v>3600</v>
      </c>
    </row>
    <row r="1175" customFormat="false" ht="15" hidden="false" customHeight="false" outlineLevel="0" collapsed="false">
      <c r="A1175" s="2" t="s">
        <v>1699</v>
      </c>
      <c r="B1175" s="2" t="s">
        <v>1698</v>
      </c>
      <c r="C1175" s="10" t="n">
        <v>45966</v>
      </c>
      <c r="D1175" s="2" t="s">
        <v>63</v>
      </c>
      <c r="E1175" s="2" t="s">
        <v>64</v>
      </c>
      <c r="F1175" s="2" t="s">
        <v>65</v>
      </c>
      <c r="G1175" s="2" t="s">
        <v>82</v>
      </c>
      <c r="H1175" s="2" t="n">
        <v>4</v>
      </c>
      <c r="I1175" s="2" t="n">
        <v>250</v>
      </c>
      <c r="J1175" s="2" t="n">
        <v>0.05</v>
      </c>
      <c r="K1175" s="2" t="n">
        <v>100</v>
      </c>
    </row>
    <row r="1176" customFormat="false" ht="15" hidden="false" customHeight="false" outlineLevel="0" collapsed="false">
      <c r="A1176" s="2" t="s">
        <v>1700</v>
      </c>
      <c r="B1176" s="2" t="s">
        <v>1701</v>
      </c>
      <c r="C1176" s="10" t="n">
        <v>45922</v>
      </c>
      <c r="D1176" s="2" t="s">
        <v>63</v>
      </c>
      <c r="E1176" s="2" t="s">
        <v>64</v>
      </c>
      <c r="F1176" s="2" t="s">
        <v>65</v>
      </c>
      <c r="G1176" s="2" t="s">
        <v>66</v>
      </c>
      <c r="H1176" s="2" t="n">
        <v>4</v>
      </c>
      <c r="I1176" s="2" t="n">
        <v>600</v>
      </c>
      <c r="J1176" s="2" t="n">
        <v>0</v>
      </c>
      <c r="K1176" s="2" t="n">
        <v>300</v>
      </c>
    </row>
    <row r="1177" customFormat="false" ht="15" hidden="false" customHeight="false" outlineLevel="0" collapsed="false">
      <c r="A1177" s="2" t="s">
        <v>1702</v>
      </c>
      <c r="B1177" s="2" t="s">
        <v>1703</v>
      </c>
      <c r="C1177" s="10" t="n">
        <v>45679</v>
      </c>
      <c r="D1177" s="2" t="s">
        <v>63</v>
      </c>
      <c r="E1177" s="2" t="s">
        <v>64</v>
      </c>
      <c r="F1177" s="2" t="s">
        <v>65</v>
      </c>
      <c r="G1177" s="2" t="s">
        <v>82</v>
      </c>
      <c r="H1177" s="2" t="n">
        <v>6</v>
      </c>
      <c r="I1177" s="2" t="n">
        <v>250</v>
      </c>
      <c r="J1177" s="2" t="n">
        <v>0.05</v>
      </c>
      <c r="K1177" s="2" t="n">
        <v>100</v>
      </c>
    </row>
    <row r="1178" customFormat="false" ht="15" hidden="false" customHeight="false" outlineLevel="0" collapsed="false">
      <c r="A1178" s="2" t="s">
        <v>1704</v>
      </c>
      <c r="B1178" s="2" t="s">
        <v>1705</v>
      </c>
      <c r="C1178" s="10" t="n">
        <v>45842</v>
      </c>
      <c r="D1178" s="2" t="s">
        <v>651</v>
      </c>
      <c r="E1178" s="2" t="s">
        <v>64</v>
      </c>
      <c r="F1178" s="2" t="s">
        <v>73</v>
      </c>
      <c r="G1178" s="2" t="s">
        <v>87</v>
      </c>
      <c r="H1178" s="2" t="n">
        <v>1</v>
      </c>
      <c r="I1178" s="2" t="n">
        <v>9000</v>
      </c>
      <c r="J1178" s="2" t="n">
        <v>0</v>
      </c>
      <c r="K1178" s="2" t="n">
        <v>6200</v>
      </c>
    </row>
    <row r="1179" customFormat="false" ht="15" hidden="false" customHeight="false" outlineLevel="0" collapsed="false">
      <c r="A1179" s="2" t="s">
        <v>1706</v>
      </c>
      <c r="B1179" s="2" t="s">
        <v>1707</v>
      </c>
      <c r="C1179" s="10" t="n">
        <v>45999</v>
      </c>
      <c r="D1179" s="2" t="s">
        <v>63</v>
      </c>
      <c r="E1179" s="2" t="s">
        <v>64</v>
      </c>
      <c r="F1179" s="2" t="s">
        <v>65</v>
      </c>
      <c r="G1179" s="2" t="s">
        <v>107</v>
      </c>
      <c r="H1179" s="2" t="n">
        <v>8</v>
      </c>
      <c r="I1179" s="2" t="n">
        <v>500</v>
      </c>
      <c r="J1179" s="2" t="n">
        <v>0.1</v>
      </c>
      <c r="K1179" s="2" t="n">
        <v>250</v>
      </c>
    </row>
    <row r="1180" customFormat="false" ht="15" hidden="false" customHeight="false" outlineLevel="0" collapsed="false">
      <c r="A1180" s="2" t="s">
        <v>1708</v>
      </c>
      <c r="B1180" s="2" t="s">
        <v>1707</v>
      </c>
      <c r="C1180" s="10" t="n">
        <v>45988</v>
      </c>
      <c r="D1180" s="2" t="s">
        <v>63</v>
      </c>
      <c r="E1180" s="2" t="s">
        <v>64</v>
      </c>
      <c r="F1180" s="2" t="s">
        <v>73</v>
      </c>
      <c r="G1180" s="2" t="s">
        <v>85</v>
      </c>
      <c r="H1180" s="2" t="n">
        <v>3</v>
      </c>
      <c r="I1180" s="2" t="n">
        <v>1200</v>
      </c>
      <c r="J1180" s="2" t="n">
        <v>0.1</v>
      </c>
      <c r="K1180" s="2" t="n">
        <v>600</v>
      </c>
    </row>
    <row r="1181" customFormat="false" ht="15" hidden="false" customHeight="false" outlineLevel="0" collapsed="false">
      <c r="A1181" s="2" t="s">
        <v>1709</v>
      </c>
      <c r="B1181" s="2" t="s">
        <v>1710</v>
      </c>
      <c r="C1181" s="10" t="n">
        <v>45801</v>
      </c>
      <c r="D1181" s="2" t="s">
        <v>81</v>
      </c>
      <c r="E1181" s="2" t="s">
        <v>64</v>
      </c>
      <c r="F1181" s="2" t="s">
        <v>73</v>
      </c>
      <c r="G1181" s="2" t="s">
        <v>74</v>
      </c>
      <c r="H1181" s="2" t="n">
        <v>2</v>
      </c>
      <c r="I1181" s="2" t="n">
        <v>7000</v>
      </c>
      <c r="J1181" s="2" t="n">
        <v>0</v>
      </c>
      <c r="K1181" s="2" t="n">
        <v>4800</v>
      </c>
    </row>
    <row r="1182" customFormat="false" ht="15" hidden="false" customHeight="false" outlineLevel="0" collapsed="false">
      <c r="A1182" s="2" t="s">
        <v>1711</v>
      </c>
      <c r="B1182" s="2" t="s">
        <v>1712</v>
      </c>
      <c r="C1182" s="10" t="n">
        <v>45903</v>
      </c>
      <c r="D1182" s="2" t="s">
        <v>81</v>
      </c>
      <c r="E1182" s="2" t="s">
        <v>64</v>
      </c>
      <c r="F1182" s="2" t="s">
        <v>70</v>
      </c>
      <c r="G1182" s="2" t="s">
        <v>97</v>
      </c>
      <c r="H1182" s="2" t="n">
        <v>2</v>
      </c>
      <c r="I1182" s="2" t="n">
        <v>3000</v>
      </c>
      <c r="J1182" s="2" t="n">
        <v>0</v>
      </c>
      <c r="K1182" s="2" t="n">
        <v>2000</v>
      </c>
    </row>
    <row r="1183" customFormat="false" ht="15" hidden="false" customHeight="false" outlineLevel="0" collapsed="false">
      <c r="A1183" s="2" t="s">
        <v>1713</v>
      </c>
      <c r="B1183" s="2" t="s">
        <v>1712</v>
      </c>
      <c r="C1183" s="10" t="n">
        <v>45956</v>
      </c>
      <c r="D1183" s="2" t="s">
        <v>81</v>
      </c>
      <c r="E1183" s="2" t="s">
        <v>64</v>
      </c>
      <c r="F1183" s="2" t="s">
        <v>65</v>
      </c>
      <c r="G1183" s="2" t="s">
        <v>66</v>
      </c>
      <c r="H1183" s="2" t="n">
        <v>7</v>
      </c>
      <c r="I1183" s="2" t="n">
        <v>600</v>
      </c>
      <c r="J1183" s="2" t="n">
        <v>0.05</v>
      </c>
      <c r="K1183" s="2" t="n">
        <v>300</v>
      </c>
    </row>
    <row r="1184" customFormat="false" ht="15" hidden="false" customHeight="false" outlineLevel="0" collapsed="false">
      <c r="A1184" s="2" t="s">
        <v>1714</v>
      </c>
      <c r="B1184" s="2" t="s">
        <v>1712</v>
      </c>
      <c r="C1184" s="10" t="n">
        <v>45680</v>
      </c>
      <c r="D1184" s="2" t="s">
        <v>81</v>
      </c>
      <c r="E1184" s="2" t="s">
        <v>64</v>
      </c>
      <c r="F1184" s="2" t="s">
        <v>70</v>
      </c>
      <c r="G1184" s="2" t="s">
        <v>97</v>
      </c>
      <c r="H1184" s="2" t="n">
        <v>3</v>
      </c>
      <c r="I1184" s="2" t="n">
        <v>3000</v>
      </c>
      <c r="J1184" s="2" t="n">
        <v>0</v>
      </c>
      <c r="K1184" s="2" t="n">
        <v>2000</v>
      </c>
    </row>
    <row r="1185" customFormat="false" ht="15" hidden="false" customHeight="false" outlineLevel="0" collapsed="false">
      <c r="A1185" s="2" t="s">
        <v>1715</v>
      </c>
      <c r="B1185" s="2" t="s">
        <v>1712</v>
      </c>
      <c r="C1185" s="10" t="n">
        <v>45973</v>
      </c>
      <c r="D1185" s="2" t="s">
        <v>81</v>
      </c>
      <c r="E1185" s="2" t="s">
        <v>64</v>
      </c>
      <c r="F1185" s="2" t="s">
        <v>70</v>
      </c>
      <c r="G1185" s="2" t="s">
        <v>71</v>
      </c>
      <c r="H1185" s="2" t="n">
        <v>2</v>
      </c>
      <c r="I1185" s="2" t="n">
        <v>2500</v>
      </c>
      <c r="J1185" s="2" t="n">
        <v>0.05</v>
      </c>
      <c r="K1185" s="2" t="n">
        <v>1600</v>
      </c>
    </row>
    <row r="1186" customFormat="false" ht="15" hidden="false" customHeight="false" outlineLevel="0" collapsed="false">
      <c r="A1186" s="2" t="s">
        <v>1716</v>
      </c>
      <c r="B1186" s="2" t="s">
        <v>1712</v>
      </c>
      <c r="C1186" s="10" t="n">
        <v>45769</v>
      </c>
      <c r="D1186" s="2" t="s">
        <v>81</v>
      </c>
      <c r="E1186" s="2" t="s">
        <v>64</v>
      </c>
      <c r="F1186" s="2" t="s">
        <v>73</v>
      </c>
      <c r="G1186" s="2" t="s">
        <v>85</v>
      </c>
      <c r="H1186" s="2" t="n">
        <v>1</v>
      </c>
      <c r="I1186" s="2" t="n">
        <v>1200</v>
      </c>
      <c r="J1186" s="2" t="n">
        <v>0.1</v>
      </c>
      <c r="K1186" s="2" t="n">
        <v>600</v>
      </c>
    </row>
    <row r="1187" customFormat="false" ht="15" hidden="false" customHeight="false" outlineLevel="0" collapsed="false">
      <c r="A1187" s="2" t="s">
        <v>1717</v>
      </c>
      <c r="B1187" s="2" t="s">
        <v>1712</v>
      </c>
      <c r="C1187" s="10" t="n">
        <v>45885</v>
      </c>
      <c r="D1187" s="2" t="s">
        <v>81</v>
      </c>
      <c r="E1187" s="2" t="s">
        <v>64</v>
      </c>
      <c r="F1187" s="2" t="s">
        <v>65</v>
      </c>
      <c r="G1187" s="2" t="s">
        <v>66</v>
      </c>
      <c r="H1187" s="2" t="n">
        <v>8</v>
      </c>
      <c r="I1187" s="2" t="n">
        <v>600</v>
      </c>
      <c r="J1187" s="2" t="n">
        <v>0</v>
      </c>
      <c r="K1187" s="2" t="n">
        <v>300</v>
      </c>
    </row>
    <row r="1188" customFormat="false" ht="15" hidden="false" customHeight="false" outlineLevel="0" collapsed="false">
      <c r="A1188" s="2" t="s">
        <v>1718</v>
      </c>
      <c r="B1188" s="2" t="s">
        <v>1712</v>
      </c>
      <c r="C1188" s="10" t="n">
        <v>45700</v>
      </c>
      <c r="D1188" s="2" t="s">
        <v>81</v>
      </c>
      <c r="E1188" s="2" t="s">
        <v>64</v>
      </c>
      <c r="F1188" s="2" t="s">
        <v>73</v>
      </c>
      <c r="G1188" s="2" t="s">
        <v>74</v>
      </c>
      <c r="H1188" s="2" t="n">
        <v>3</v>
      </c>
      <c r="I1188" s="2" t="n">
        <v>7000</v>
      </c>
      <c r="J1188" s="2" t="n">
        <v>0</v>
      </c>
      <c r="K1188" s="2" t="n">
        <v>4800</v>
      </c>
    </row>
    <row r="1189" customFormat="false" ht="15" hidden="false" customHeight="false" outlineLevel="0" collapsed="false">
      <c r="A1189" s="2" t="s">
        <v>1719</v>
      </c>
      <c r="B1189" s="2" t="s">
        <v>1712</v>
      </c>
      <c r="C1189" s="10" t="n">
        <v>45941</v>
      </c>
      <c r="D1189" s="2" t="s">
        <v>81</v>
      </c>
      <c r="E1189" s="2" t="s">
        <v>64</v>
      </c>
      <c r="F1189" s="2" t="s">
        <v>65</v>
      </c>
      <c r="G1189" s="2" t="s">
        <v>82</v>
      </c>
      <c r="H1189" s="2" t="n">
        <v>4</v>
      </c>
      <c r="I1189" s="2" t="n">
        <v>250</v>
      </c>
      <c r="J1189" s="2" t="n">
        <v>0.05</v>
      </c>
      <c r="K1189" s="2" t="n">
        <v>100</v>
      </c>
    </row>
    <row r="1190" customFormat="false" ht="15" hidden="false" customHeight="false" outlineLevel="0" collapsed="false">
      <c r="A1190" s="2" t="s">
        <v>1720</v>
      </c>
      <c r="B1190" s="2" t="s">
        <v>1712</v>
      </c>
      <c r="C1190" s="10" t="n">
        <v>45843</v>
      </c>
      <c r="D1190" s="2" t="s">
        <v>81</v>
      </c>
      <c r="E1190" s="2" t="s">
        <v>64</v>
      </c>
      <c r="F1190" s="2" t="s">
        <v>65</v>
      </c>
      <c r="G1190" s="2" t="s">
        <v>107</v>
      </c>
      <c r="H1190" s="2" t="n">
        <v>8</v>
      </c>
      <c r="I1190" s="2" t="n">
        <v>500</v>
      </c>
      <c r="J1190" s="2" t="n">
        <v>0.05</v>
      </c>
      <c r="K1190" s="2" t="n">
        <v>250</v>
      </c>
    </row>
    <row r="1191" customFormat="false" ht="15" hidden="false" customHeight="false" outlineLevel="0" collapsed="false">
      <c r="A1191" s="2" t="s">
        <v>1721</v>
      </c>
      <c r="B1191" s="2" t="s">
        <v>1712</v>
      </c>
      <c r="C1191" s="10" t="n">
        <v>45700</v>
      </c>
      <c r="D1191" s="2" t="s">
        <v>81</v>
      </c>
      <c r="E1191" s="2" t="s">
        <v>64</v>
      </c>
      <c r="F1191" s="2" t="s">
        <v>65</v>
      </c>
      <c r="G1191" s="2" t="s">
        <v>66</v>
      </c>
      <c r="H1191" s="2" t="n">
        <v>3</v>
      </c>
      <c r="I1191" s="2" t="n">
        <v>600</v>
      </c>
      <c r="J1191" s="2" t="n">
        <v>0</v>
      </c>
      <c r="K1191" s="2" t="n">
        <v>300</v>
      </c>
    </row>
    <row r="1192" customFormat="false" ht="15" hidden="false" customHeight="false" outlineLevel="0" collapsed="false">
      <c r="A1192" s="2" t="s">
        <v>1722</v>
      </c>
      <c r="B1192" s="2" t="s">
        <v>1723</v>
      </c>
      <c r="C1192" s="10" t="n">
        <v>45958</v>
      </c>
      <c r="D1192" s="2" t="s">
        <v>77</v>
      </c>
      <c r="E1192" s="2" t="s">
        <v>92</v>
      </c>
      <c r="F1192" s="2" t="s">
        <v>73</v>
      </c>
      <c r="G1192" s="2" t="s">
        <v>104</v>
      </c>
      <c r="H1192" s="2" t="n">
        <v>4</v>
      </c>
      <c r="I1192" s="2" t="n">
        <v>5500</v>
      </c>
      <c r="J1192" s="2" t="n">
        <v>0.05</v>
      </c>
      <c r="K1192" s="2" t="n">
        <v>3600</v>
      </c>
    </row>
    <row r="1193" customFormat="false" ht="15" hidden="false" customHeight="false" outlineLevel="0" collapsed="false">
      <c r="A1193" s="2" t="s">
        <v>1724</v>
      </c>
      <c r="B1193" s="2" t="s">
        <v>1723</v>
      </c>
      <c r="C1193" s="10" t="n">
        <v>45966</v>
      </c>
      <c r="D1193" s="2" t="s">
        <v>77</v>
      </c>
      <c r="E1193" s="2" t="s">
        <v>92</v>
      </c>
      <c r="F1193" s="2" t="s">
        <v>73</v>
      </c>
      <c r="G1193" s="2" t="s">
        <v>87</v>
      </c>
      <c r="H1193" s="2" t="n">
        <v>5</v>
      </c>
      <c r="I1193" s="2" t="n">
        <v>9000</v>
      </c>
      <c r="J1193" s="2" t="n">
        <v>0.1</v>
      </c>
      <c r="K1193" s="2" t="n">
        <v>6200</v>
      </c>
    </row>
    <row r="1194" customFormat="false" ht="15" hidden="false" customHeight="false" outlineLevel="0" collapsed="false">
      <c r="A1194" s="2" t="s">
        <v>1725</v>
      </c>
      <c r="B1194" s="2" t="s">
        <v>1723</v>
      </c>
      <c r="C1194" s="10" t="n">
        <v>45731</v>
      </c>
      <c r="D1194" s="2" t="s">
        <v>77</v>
      </c>
      <c r="E1194" s="2" t="s">
        <v>92</v>
      </c>
      <c r="F1194" s="2" t="s">
        <v>70</v>
      </c>
      <c r="G1194" s="2" t="s">
        <v>122</v>
      </c>
      <c r="H1194" s="2" t="n">
        <v>2</v>
      </c>
      <c r="I1194" s="2" t="n">
        <v>1500</v>
      </c>
      <c r="J1194" s="2" t="n">
        <v>0.1</v>
      </c>
      <c r="K1194" s="2" t="n">
        <v>900</v>
      </c>
    </row>
    <row r="1195" customFormat="false" ht="15" hidden="false" customHeight="false" outlineLevel="0" collapsed="false">
      <c r="A1195" s="2" t="s">
        <v>1726</v>
      </c>
      <c r="B1195" s="2" t="s">
        <v>1723</v>
      </c>
      <c r="C1195" s="10" t="n">
        <v>45790</v>
      </c>
      <c r="D1195" s="2" t="s">
        <v>77</v>
      </c>
      <c r="E1195" s="2" t="s">
        <v>92</v>
      </c>
      <c r="F1195" s="2" t="s">
        <v>65</v>
      </c>
      <c r="G1195" s="2" t="s">
        <v>107</v>
      </c>
      <c r="H1195" s="2" t="n">
        <v>10</v>
      </c>
      <c r="I1195" s="2" t="n">
        <v>500</v>
      </c>
      <c r="J1195" s="2" t="n">
        <v>0.15</v>
      </c>
      <c r="K1195" s="2" t="n">
        <v>250</v>
      </c>
    </row>
    <row r="1196" customFormat="false" ht="15" hidden="false" customHeight="false" outlineLevel="0" collapsed="false">
      <c r="A1196" s="2" t="s">
        <v>1727</v>
      </c>
      <c r="B1196" s="2" t="s">
        <v>1723</v>
      </c>
      <c r="C1196" s="10" t="n">
        <v>45873</v>
      </c>
      <c r="D1196" s="2"/>
      <c r="E1196" s="2" t="s">
        <v>92</v>
      </c>
      <c r="F1196" s="2" t="s">
        <v>73</v>
      </c>
      <c r="G1196" s="2" t="s">
        <v>87</v>
      </c>
      <c r="H1196" s="2" t="n">
        <v>7</v>
      </c>
      <c r="I1196" s="2" t="n">
        <v>9000</v>
      </c>
      <c r="J1196" s="2" t="n">
        <v>0.1</v>
      </c>
      <c r="K1196" s="2" t="n">
        <v>6200</v>
      </c>
    </row>
    <row r="1197" customFormat="false" ht="15" hidden="false" customHeight="false" outlineLevel="0" collapsed="false">
      <c r="A1197" s="2" t="s">
        <v>1728</v>
      </c>
      <c r="B1197" s="2" t="s">
        <v>1729</v>
      </c>
      <c r="C1197" s="10" t="n">
        <v>46011</v>
      </c>
      <c r="D1197" s="2" t="s">
        <v>91</v>
      </c>
      <c r="E1197" s="2" t="s">
        <v>69</v>
      </c>
      <c r="F1197" s="2" t="s">
        <v>70</v>
      </c>
      <c r="G1197" s="2" t="s">
        <v>122</v>
      </c>
      <c r="H1197" s="2" t="n">
        <v>2</v>
      </c>
      <c r="I1197" s="2" t="n">
        <v>1500</v>
      </c>
      <c r="J1197" s="2" t="n">
        <v>0.05</v>
      </c>
      <c r="K1197" s="2" t="n">
        <v>900</v>
      </c>
    </row>
    <row r="1198" customFormat="false" ht="15" hidden="false" customHeight="false" outlineLevel="0" collapsed="false">
      <c r="A1198" s="2" t="s">
        <v>1730</v>
      </c>
      <c r="B1198" s="2" t="s">
        <v>1729</v>
      </c>
      <c r="C1198" s="10" t="n">
        <v>45677</v>
      </c>
      <c r="D1198" s="2" t="s">
        <v>91</v>
      </c>
      <c r="E1198" s="2" t="s">
        <v>69</v>
      </c>
      <c r="F1198" s="2" t="s">
        <v>65</v>
      </c>
      <c r="G1198" s="2" t="s">
        <v>82</v>
      </c>
      <c r="H1198" s="2" t="n">
        <v>5</v>
      </c>
      <c r="I1198" s="2" t="n">
        <v>250</v>
      </c>
      <c r="J1198" s="2" t="n">
        <v>0.1</v>
      </c>
      <c r="K1198" s="2" t="n">
        <v>100</v>
      </c>
    </row>
    <row r="1199" customFormat="false" ht="15" hidden="false" customHeight="false" outlineLevel="0" collapsed="false">
      <c r="A1199" s="2" t="s">
        <v>1731</v>
      </c>
      <c r="B1199" s="2" t="s">
        <v>1729</v>
      </c>
      <c r="C1199" s="10" t="n">
        <v>45969</v>
      </c>
      <c r="D1199" s="2" t="s">
        <v>91</v>
      </c>
      <c r="E1199" s="2" t="s">
        <v>69</v>
      </c>
      <c r="F1199" s="2" t="s">
        <v>70</v>
      </c>
      <c r="G1199" s="2" t="s">
        <v>126</v>
      </c>
      <c r="H1199" s="2" t="n">
        <v>1</v>
      </c>
      <c r="I1199" s="2" t="n">
        <v>4500</v>
      </c>
      <c r="J1199" s="2" t="n">
        <v>0.05</v>
      </c>
      <c r="K1199" s="2" t="n">
        <v>3300</v>
      </c>
    </row>
    <row r="1200" customFormat="false" ht="15" hidden="false" customHeight="false" outlineLevel="0" collapsed="false">
      <c r="A1200" s="2" t="s">
        <v>1732</v>
      </c>
      <c r="B1200" s="2" t="s">
        <v>1729</v>
      </c>
      <c r="C1200" s="10" t="n">
        <v>45902</v>
      </c>
      <c r="D1200" s="2" t="s">
        <v>91</v>
      </c>
      <c r="E1200" s="2" t="s">
        <v>69</v>
      </c>
      <c r="F1200" s="2" t="s">
        <v>70</v>
      </c>
      <c r="G1200" s="2" t="s">
        <v>97</v>
      </c>
      <c r="H1200" s="2" t="n">
        <v>5</v>
      </c>
      <c r="I1200" s="2" t="n">
        <v>3000</v>
      </c>
      <c r="J1200" s="2" t="n">
        <v>0</v>
      </c>
      <c r="K1200" s="2" t="n">
        <v>2000</v>
      </c>
    </row>
    <row r="1201" customFormat="false" ht="15" hidden="false" customHeight="false" outlineLevel="0" collapsed="false">
      <c r="A1201" s="2" t="s">
        <v>1733</v>
      </c>
      <c r="B1201" s="2" t="s">
        <v>1734</v>
      </c>
      <c r="C1201" s="10" t="n">
        <v>45762</v>
      </c>
      <c r="D1201" s="2" t="s">
        <v>63</v>
      </c>
      <c r="E1201" s="2" t="s">
        <v>64</v>
      </c>
      <c r="F1201" s="2" t="s">
        <v>70</v>
      </c>
      <c r="G1201" s="2" t="s">
        <v>122</v>
      </c>
      <c r="H1201" s="2" t="n">
        <v>3</v>
      </c>
      <c r="I1201" s="2" t="n">
        <v>1500</v>
      </c>
      <c r="J1201" s="2" t="n">
        <v>0.1</v>
      </c>
      <c r="K1201" s="2" t="n">
        <v>900</v>
      </c>
    </row>
    <row r="1202" customFormat="false" ht="15" hidden="false" customHeight="false" outlineLevel="0" collapsed="false">
      <c r="A1202" s="2" t="s">
        <v>1735</v>
      </c>
      <c r="B1202" s="2" t="s">
        <v>1734</v>
      </c>
      <c r="C1202" s="10" t="n">
        <v>45791</v>
      </c>
      <c r="D1202" s="2" t="s">
        <v>63</v>
      </c>
      <c r="E1202" s="2" t="s">
        <v>64</v>
      </c>
      <c r="F1202" s="2" t="s">
        <v>65</v>
      </c>
      <c r="G1202" s="2" t="s">
        <v>78</v>
      </c>
      <c r="H1202" s="2" t="n">
        <v>3</v>
      </c>
      <c r="I1202" s="2" t="n">
        <v>400</v>
      </c>
      <c r="J1202" s="2" t="n">
        <v>0</v>
      </c>
      <c r="K1202" s="2" t="n">
        <v>200</v>
      </c>
    </row>
    <row r="1203" customFormat="false" ht="15" hidden="false" customHeight="false" outlineLevel="0" collapsed="false">
      <c r="A1203" s="2" t="s">
        <v>1736</v>
      </c>
      <c r="B1203" s="2" t="s">
        <v>1734</v>
      </c>
      <c r="C1203" s="10" t="n">
        <v>45913</v>
      </c>
      <c r="D1203" s="2" t="s">
        <v>63</v>
      </c>
      <c r="E1203" s="2" t="s">
        <v>64</v>
      </c>
      <c r="F1203" s="2" t="s">
        <v>65</v>
      </c>
      <c r="G1203" s="2" t="s">
        <v>66</v>
      </c>
      <c r="H1203" s="2" t="n">
        <v>2</v>
      </c>
      <c r="I1203" s="2" t="n">
        <v>600</v>
      </c>
      <c r="J1203" s="2" t="n">
        <v>0</v>
      </c>
      <c r="K1203" s="2" t="n">
        <v>300</v>
      </c>
    </row>
    <row r="1204" customFormat="false" ht="15" hidden="false" customHeight="false" outlineLevel="0" collapsed="false">
      <c r="A1204" s="2" t="s">
        <v>1737</v>
      </c>
      <c r="B1204" s="2" t="s">
        <v>1734</v>
      </c>
      <c r="C1204" s="10" t="n">
        <v>45949</v>
      </c>
      <c r="D1204" s="2" t="s">
        <v>63</v>
      </c>
      <c r="E1204" s="2" t="s">
        <v>64</v>
      </c>
      <c r="F1204" s="2" t="s">
        <v>65</v>
      </c>
      <c r="G1204" s="2" t="s">
        <v>82</v>
      </c>
      <c r="H1204" s="2" t="n">
        <v>7</v>
      </c>
      <c r="I1204" s="2" t="n">
        <v>250</v>
      </c>
      <c r="J1204" s="2" t="n">
        <v>0.05</v>
      </c>
      <c r="K1204" s="2" t="n">
        <v>100</v>
      </c>
    </row>
    <row r="1205" customFormat="false" ht="15" hidden="false" customHeight="false" outlineLevel="0" collapsed="false">
      <c r="A1205" s="2" t="s">
        <v>1738</v>
      </c>
      <c r="B1205" s="2" t="s">
        <v>1734</v>
      </c>
      <c r="C1205" s="10" t="n">
        <v>45864</v>
      </c>
      <c r="D1205" s="2" t="s">
        <v>63</v>
      </c>
      <c r="E1205" s="2" t="s">
        <v>64</v>
      </c>
      <c r="F1205" s="2" t="s">
        <v>73</v>
      </c>
      <c r="G1205" s="2" t="s">
        <v>87</v>
      </c>
      <c r="H1205" s="2" t="n">
        <v>2</v>
      </c>
      <c r="I1205" s="2" t="n">
        <v>9000</v>
      </c>
      <c r="J1205" s="2" t="n">
        <v>0.1</v>
      </c>
      <c r="K1205" s="2" t="n">
        <v>6200</v>
      </c>
    </row>
    <row r="1206" customFormat="false" ht="15" hidden="false" customHeight="false" outlineLevel="0" collapsed="false">
      <c r="A1206" s="2" t="s">
        <v>1739</v>
      </c>
      <c r="B1206" s="2" t="s">
        <v>1734</v>
      </c>
      <c r="C1206" s="10" t="n">
        <v>45976</v>
      </c>
      <c r="D1206" s="2" t="s">
        <v>63</v>
      </c>
      <c r="E1206" s="2" t="s">
        <v>64</v>
      </c>
      <c r="F1206" s="2" t="s">
        <v>70</v>
      </c>
      <c r="G1206" s="2" t="s">
        <v>122</v>
      </c>
      <c r="H1206" s="2" t="n">
        <v>2</v>
      </c>
      <c r="I1206" s="2" t="n">
        <v>1500</v>
      </c>
      <c r="J1206" s="2" t="n">
        <v>0.1</v>
      </c>
      <c r="K1206" s="2" t="n">
        <v>900</v>
      </c>
    </row>
    <row r="1207" customFormat="false" ht="15" hidden="false" customHeight="false" outlineLevel="0" collapsed="false">
      <c r="A1207" s="2" t="s">
        <v>1740</v>
      </c>
      <c r="B1207" s="2" t="s">
        <v>1741</v>
      </c>
      <c r="C1207" s="10" t="n">
        <v>45858</v>
      </c>
      <c r="D1207" s="2" t="s">
        <v>63</v>
      </c>
      <c r="E1207" s="2" t="s">
        <v>64</v>
      </c>
      <c r="F1207" s="2" t="s">
        <v>73</v>
      </c>
      <c r="G1207" s="2" t="s">
        <v>74</v>
      </c>
      <c r="H1207" s="2" t="n">
        <v>1</v>
      </c>
      <c r="I1207" s="2" t="n">
        <v>7000</v>
      </c>
      <c r="J1207" s="2" t="n">
        <v>0</v>
      </c>
      <c r="K1207" s="2" t="n">
        <v>4800</v>
      </c>
    </row>
    <row r="1208" customFormat="false" ht="15" hidden="false" customHeight="false" outlineLevel="0" collapsed="false">
      <c r="A1208" s="2" t="s">
        <v>1742</v>
      </c>
      <c r="B1208" s="2" t="s">
        <v>1741</v>
      </c>
      <c r="C1208" s="10" t="n">
        <v>45967</v>
      </c>
      <c r="D1208" s="2" t="s">
        <v>63</v>
      </c>
      <c r="E1208" s="2" t="s">
        <v>64</v>
      </c>
      <c r="F1208" s="2" t="s">
        <v>65</v>
      </c>
      <c r="G1208" s="2" t="s">
        <v>82</v>
      </c>
      <c r="H1208" s="2" t="n">
        <v>8</v>
      </c>
      <c r="I1208" s="2" t="n">
        <v>250</v>
      </c>
      <c r="J1208" s="2" t="n">
        <v>0.1</v>
      </c>
      <c r="K1208" s="2" t="n">
        <v>100</v>
      </c>
    </row>
    <row r="1209" customFormat="false" ht="15" hidden="false" customHeight="false" outlineLevel="0" collapsed="false">
      <c r="A1209" s="2" t="s">
        <v>1743</v>
      </c>
      <c r="B1209" s="2" t="s">
        <v>1741</v>
      </c>
      <c r="C1209" s="10" t="n">
        <v>45762</v>
      </c>
      <c r="D1209" s="2" t="s">
        <v>63</v>
      </c>
      <c r="E1209" s="2" t="s">
        <v>64</v>
      </c>
      <c r="F1209" s="2" t="s">
        <v>73</v>
      </c>
      <c r="G1209" s="2" t="s">
        <v>74</v>
      </c>
      <c r="H1209" s="2" t="n">
        <v>2</v>
      </c>
      <c r="I1209" s="2" t="n">
        <v>7000</v>
      </c>
      <c r="J1209" s="2" t="n">
        <v>0</v>
      </c>
      <c r="K1209" s="2" t="n">
        <v>4800</v>
      </c>
    </row>
    <row r="1210" customFormat="false" ht="15" hidden="false" customHeight="false" outlineLevel="0" collapsed="false">
      <c r="A1210" s="2" t="s">
        <v>1744</v>
      </c>
      <c r="B1210" s="2" t="s">
        <v>1745</v>
      </c>
      <c r="C1210" s="10" t="n">
        <v>45719</v>
      </c>
      <c r="D1210" s="2" t="s">
        <v>81</v>
      </c>
      <c r="E1210" s="2" t="s">
        <v>64</v>
      </c>
      <c r="F1210" s="2" t="s">
        <v>70</v>
      </c>
      <c r="G1210" s="2" t="s">
        <v>126</v>
      </c>
      <c r="H1210" s="2" t="n">
        <v>3</v>
      </c>
      <c r="I1210" s="2" t="n">
        <v>4500</v>
      </c>
      <c r="J1210" s="2" t="n">
        <v>0</v>
      </c>
      <c r="K1210" s="2" t="n">
        <v>3300</v>
      </c>
    </row>
    <row r="1211" customFormat="false" ht="15" hidden="false" customHeight="false" outlineLevel="0" collapsed="false">
      <c r="A1211" s="2" t="s">
        <v>1746</v>
      </c>
      <c r="B1211" s="2" t="s">
        <v>1745</v>
      </c>
      <c r="C1211" s="10" t="n">
        <v>45764</v>
      </c>
      <c r="D1211" s="2" t="s">
        <v>81</v>
      </c>
      <c r="E1211" s="2" t="s">
        <v>64</v>
      </c>
      <c r="F1211" s="2" t="s">
        <v>65</v>
      </c>
      <c r="G1211" s="2" t="s">
        <v>82</v>
      </c>
      <c r="H1211" s="2" t="n">
        <v>4</v>
      </c>
      <c r="I1211" s="2" t="n">
        <v>250</v>
      </c>
      <c r="J1211" s="2" t="n">
        <v>0.05</v>
      </c>
      <c r="K1211" s="2" t="n">
        <v>100</v>
      </c>
    </row>
    <row r="1212" customFormat="false" ht="15" hidden="false" customHeight="false" outlineLevel="0" collapsed="false">
      <c r="A1212" s="2" t="s">
        <v>1747</v>
      </c>
      <c r="B1212" s="2" t="s">
        <v>1745</v>
      </c>
      <c r="C1212" s="10" t="n">
        <v>45984</v>
      </c>
      <c r="D1212" s="2" t="s">
        <v>81</v>
      </c>
      <c r="E1212" s="2" t="s">
        <v>64</v>
      </c>
      <c r="F1212" s="2" t="s">
        <v>73</v>
      </c>
      <c r="G1212" s="2" t="s">
        <v>85</v>
      </c>
      <c r="H1212" s="2" t="n">
        <v>2</v>
      </c>
      <c r="I1212" s="2" t="n">
        <v>1200</v>
      </c>
      <c r="J1212" s="2" t="n">
        <v>0.05</v>
      </c>
      <c r="K1212" s="2" t="n">
        <v>600</v>
      </c>
    </row>
    <row r="1213" customFormat="false" ht="15" hidden="false" customHeight="false" outlineLevel="0" collapsed="false">
      <c r="A1213" s="2" t="s">
        <v>1748</v>
      </c>
      <c r="B1213" s="2" t="s">
        <v>1745</v>
      </c>
      <c r="C1213" s="10" t="n">
        <v>45904</v>
      </c>
      <c r="D1213" s="2" t="s">
        <v>81</v>
      </c>
      <c r="E1213" s="2" t="s">
        <v>64</v>
      </c>
      <c r="F1213" s="2" t="s">
        <v>73</v>
      </c>
      <c r="G1213" s="2" t="s">
        <v>87</v>
      </c>
      <c r="H1213" s="2" t="n">
        <v>1</v>
      </c>
      <c r="I1213" s="2" t="n">
        <v>9000</v>
      </c>
      <c r="J1213" s="2" t="n">
        <v>0.05</v>
      </c>
      <c r="K1213" s="2" t="n">
        <v>6200</v>
      </c>
    </row>
    <row r="1214" customFormat="false" ht="15" hidden="false" customHeight="false" outlineLevel="0" collapsed="false">
      <c r="A1214" s="2" t="s">
        <v>1749</v>
      </c>
      <c r="B1214" s="2" t="s">
        <v>1745</v>
      </c>
      <c r="C1214" s="10" t="n">
        <v>45973</v>
      </c>
      <c r="D1214" s="2" t="s">
        <v>81</v>
      </c>
      <c r="E1214" s="2" t="s">
        <v>64</v>
      </c>
      <c r="F1214" s="2" t="s">
        <v>65</v>
      </c>
      <c r="G1214" s="2" t="s">
        <v>66</v>
      </c>
      <c r="H1214" s="2" t="n">
        <v>4</v>
      </c>
      <c r="I1214" s="2" t="n">
        <v>600</v>
      </c>
      <c r="J1214" s="2" t="n">
        <v>0.1</v>
      </c>
      <c r="K1214" s="2" t="n">
        <v>300</v>
      </c>
    </row>
    <row r="1215" customFormat="false" ht="15" hidden="false" customHeight="false" outlineLevel="0" collapsed="false">
      <c r="A1215" s="2" t="s">
        <v>1750</v>
      </c>
      <c r="B1215" s="2" t="s">
        <v>1751</v>
      </c>
      <c r="C1215" s="10" t="n">
        <v>45697</v>
      </c>
      <c r="D1215" s="2" t="s">
        <v>77</v>
      </c>
      <c r="E1215" s="2" t="s">
        <v>69</v>
      </c>
      <c r="F1215" s="2" t="s">
        <v>73</v>
      </c>
      <c r="G1215" s="2" t="s">
        <v>104</v>
      </c>
      <c r="H1215" s="2" t="n">
        <v>5</v>
      </c>
      <c r="I1215" s="2" t="n">
        <v>5500</v>
      </c>
      <c r="J1215" s="2" t="n">
        <v>0.1</v>
      </c>
      <c r="K1215" s="2" t="n">
        <v>3600</v>
      </c>
    </row>
    <row r="1216" customFormat="false" ht="15" hidden="false" customHeight="false" outlineLevel="0" collapsed="false">
      <c r="A1216" s="2" t="s">
        <v>1752</v>
      </c>
      <c r="B1216" s="2" t="s">
        <v>1751</v>
      </c>
      <c r="C1216" s="10" t="n">
        <v>46018</v>
      </c>
      <c r="D1216" s="2" t="s">
        <v>77</v>
      </c>
      <c r="E1216" s="2" t="s">
        <v>69</v>
      </c>
      <c r="F1216" s="2" t="s">
        <v>65</v>
      </c>
      <c r="G1216" s="2" t="s">
        <v>66</v>
      </c>
      <c r="H1216" s="2" t="n">
        <v>7</v>
      </c>
      <c r="I1216" s="2" t="n">
        <v>600</v>
      </c>
      <c r="J1216" s="2" t="n">
        <v>0.05</v>
      </c>
      <c r="K1216" s="2" t="n">
        <v>300</v>
      </c>
    </row>
    <row r="1217" customFormat="false" ht="15" hidden="false" customHeight="false" outlineLevel="0" collapsed="false">
      <c r="A1217" s="2" t="s">
        <v>1753</v>
      </c>
      <c r="B1217" s="2" t="s">
        <v>1751</v>
      </c>
      <c r="C1217" s="10" t="n">
        <v>45996</v>
      </c>
      <c r="D1217" s="2" t="s">
        <v>77</v>
      </c>
      <c r="E1217" s="2" t="s">
        <v>69</v>
      </c>
      <c r="F1217" s="2" t="s">
        <v>73</v>
      </c>
      <c r="G1217" s="2" t="s">
        <v>74</v>
      </c>
      <c r="H1217" s="2" t="n">
        <v>5</v>
      </c>
      <c r="I1217" s="2" t="n">
        <v>7000</v>
      </c>
      <c r="J1217" s="2" t="n">
        <v>0.05</v>
      </c>
      <c r="K1217" s="2" t="n">
        <v>4800</v>
      </c>
    </row>
    <row r="1218" customFormat="false" ht="15" hidden="false" customHeight="false" outlineLevel="0" collapsed="false">
      <c r="A1218" s="2" t="s">
        <v>1754</v>
      </c>
      <c r="B1218" s="2" t="s">
        <v>1755</v>
      </c>
      <c r="C1218" s="10" t="n">
        <v>45671</v>
      </c>
      <c r="D1218" s="2" t="s">
        <v>63</v>
      </c>
      <c r="E1218" s="2" t="s">
        <v>64</v>
      </c>
      <c r="F1218" s="2" t="s">
        <v>65</v>
      </c>
      <c r="G1218" s="2" t="s">
        <v>66</v>
      </c>
      <c r="H1218" s="2" t="n">
        <v>7</v>
      </c>
      <c r="I1218" s="2" t="n">
        <v>600</v>
      </c>
      <c r="J1218" s="2" t="n">
        <v>0</v>
      </c>
      <c r="K1218" s="2" t="n">
        <v>300</v>
      </c>
    </row>
    <row r="1219" customFormat="false" ht="15" hidden="false" customHeight="false" outlineLevel="0" collapsed="false">
      <c r="A1219" s="2" t="s">
        <v>1756</v>
      </c>
      <c r="B1219" s="2" t="s">
        <v>1755</v>
      </c>
      <c r="C1219" s="10" t="n">
        <v>45783</v>
      </c>
      <c r="D1219" s="2" t="s">
        <v>63</v>
      </c>
      <c r="E1219" s="2" t="s">
        <v>64</v>
      </c>
      <c r="F1219" s="2" t="s">
        <v>65</v>
      </c>
      <c r="G1219" s="2" t="s">
        <v>78</v>
      </c>
      <c r="H1219" s="2" t="n">
        <v>4</v>
      </c>
      <c r="I1219" s="2" t="n">
        <v>400</v>
      </c>
      <c r="J1219" s="2" t="n">
        <v>0</v>
      </c>
      <c r="K1219" s="2" t="n">
        <v>200</v>
      </c>
    </row>
    <row r="1220" customFormat="false" ht="15" hidden="false" customHeight="false" outlineLevel="0" collapsed="false">
      <c r="A1220" s="2" t="s">
        <v>1757</v>
      </c>
      <c r="B1220" s="2" t="s">
        <v>1758</v>
      </c>
      <c r="C1220" s="10" t="n">
        <v>45913</v>
      </c>
      <c r="D1220" s="2" t="s">
        <v>91</v>
      </c>
      <c r="E1220" s="2" t="s">
        <v>64</v>
      </c>
      <c r="F1220" s="2" t="s">
        <v>73</v>
      </c>
      <c r="G1220" s="2" t="s">
        <v>87</v>
      </c>
      <c r="H1220" s="2" t="n">
        <v>3</v>
      </c>
      <c r="I1220" s="2" t="n">
        <v>9000</v>
      </c>
      <c r="J1220" s="2" t="n">
        <v>0</v>
      </c>
      <c r="K1220" s="2" t="n">
        <v>6200</v>
      </c>
    </row>
    <row r="1221" customFormat="false" ht="15" hidden="false" customHeight="false" outlineLevel="0" collapsed="false">
      <c r="A1221" s="2" t="s">
        <v>1759</v>
      </c>
      <c r="B1221" s="2" t="s">
        <v>1760</v>
      </c>
      <c r="C1221" s="10" t="n">
        <v>45814</v>
      </c>
      <c r="D1221" s="2" t="s">
        <v>81</v>
      </c>
      <c r="E1221" s="2" t="s">
        <v>64</v>
      </c>
      <c r="F1221" s="2" t="s">
        <v>73</v>
      </c>
      <c r="G1221" s="2" t="s">
        <v>104</v>
      </c>
      <c r="H1221" s="2" t="n">
        <v>1</v>
      </c>
      <c r="I1221" s="2" t="n">
        <v>5500</v>
      </c>
      <c r="J1221" s="2" t="n">
        <v>0.05</v>
      </c>
      <c r="K1221" s="2" t="n">
        <v>3600</v>
      </c>
    </row>
    <row r="1222" customFormat="false" ht="15" hidden="false" customHeight="false" outlineLevel="0" collapsed="false">
      <c r="A1222" s="2" t="s">
        <v>1761</v>
      </c>
      <c r="B1222" s="2" t="s">
        <v>1760</v>
      </c>
      <c r="C1222" s="10" t="n">
        <v>45755</v>
      </c>
      <c r="D1222" s="2" t="s">
        <v>81</v>
      </c>
      <c r="E1222" s="2" t="s">
        <v>64</v>
      </c>
      <c r="F1222" s="2" t="s">
        <v>73</v>
      </c>
      <c r="G1222" s="2" t="s">
        <v>104</v>
      </c>
      <c r="H1222" s="2" t="n">
        <v>3</v>
      </c>
      <c r="I1222" s="2" t="n">
        <v>5500</v>
      </c>
      <c r="J1222" s="2" t="n">
        <v>0.05</v>
      </c>
      <c r="K1222" s="2" t="n">
        <v>3600</v>
      </c>
    </row>
    <row r="1223" customFormat="false" ht="15" hidden="false" customHeight="false" outlineLevel="0" collapsed="false">
      <c r="A1223" s="2" t="s">
        <v>1762</v>
      </c>
      <c r="B1223" s="2" t="s">
        <v>1763</v>
      </c>
      <c r="C1223" s="10" t="n">
        <v>45732</v>
      </c>
      <c r="D1223" s="2" t="s">
        <v>81</v>
      </c>
      <c r="E1223" s="2" t="s">
        <v>64</v>
      </c>
      <c r="F1223" s="2" t="s">
        <v>70</v>
      </c>
      <c r="G1223" s="2" t="s">
        <v>122</v>
      </c>
      <c r="H1223" s="2" t="n">
        <v>3</v>
      </c>
      <c r="I1223" s="2" t="n">
        <v>1500</v>
      </c>
      <c r="J1223" s="2" t="n">
        <v>0</v>
      </c>
      <c r="K1223" s="2" t="n">
        <v>900</v>
      </c>
    </row>
    <row r="1224" customFormat="false" ht="15" hidden="false" customHeight="false" outlineLevel="0" collapsed="false">
      <c r="A1224" s="2" t="s">
        <v>1764</v>
      </c>
      <c r="B1224" s="2" t="s">
        <v>1763</v>
      </c>
      <c r="C1224" s="10" t="n">
        <v>45660</v>
      </c>
      <c r="D1224" s="2" t="s">
        <v>81</v>
      </c>
      <c r="E1224" s="2" t="s">
        <v>64</v>
      </c>
      <c r="F1224" s="2" t="s">
        <v>65</v>
      </c>
      <c r="G1224" s="2" t="s">
        <v>107</v>
      </c>
      <c r="H1224" s="2" t="n">
        <v>8</v>
      </c>
      <c r="I1224" s="2" t="n">
        <v>500</v>
      </c>
      <c r="J1224" s="2" t="n">
        <v>0</v>
      </c>
      <c r="K1224" s="2" t="n">
        <v>250</v>
      </c>
    </row>
    <row r="1225" customFormat="false" ht="15" hidden="false" customHeight="false" outlineLevel="0" collapsed="false">
      <c r="A1225" s="2" t="s">
        <v>1765</v>
      </c>
      <c r="B1225" s="2" t="s">
        <v>1766</v>
      </c>
      <c r="C1225" s="10" t="n">
        <v>45996</v>
      </c>
      <c r="D1225" s="2" t="s">
        <v>77</v>
      </c>
      <c r="E1225" s="2" t="s">
        <v>69</v>
      </c>
      <c r="F1225" s="2" t="s">
        <v>70</v>
      </c>
      <c r="G1225" s="2" t="s">
        <v>126</v>
      </c>
      <c r="H1225" s="2" t="n">
        <v>2</v>
      </c>
      <c r="I1225" s="2" t="n">
        <v>4500</v>
      </c>
      <c r="J1225" s="2" t="n">
        <v>0.15</v>
      </c>
      <c r="K1225" s="2" t="n">
        <v>3300</v>
      </c>
    </row>
    <row r="1226" customFormat="false" ht="15" hidden="false" customHeight="false" outlineLevel="0" collapsed="false">
      <c r="A1226" s="2" t="s">
        <v>1767</v>
      </c>
      <c r="B1226" s="2" t="s">
        <v>1766</v>
      </c>
      <c r="C1226" s="10" t="n">
        <v>45856</v>
      </c>
      <c r="D1226" s="2" t="s">
        <v>77</v>
      </c>
      <c r="E1226" s="2" t="s">
        <v>69</v>
      </c>
      <c r="F1226" s="2" t="s">
        <v>65</v>
      </c>
      <c r="G1226" s="2" t="s">
        <v>82</v>
      </c>
      <c r="H1226" s="2" t="n">
        <v>15</v>
      </c>
      <c r="I1226" s="2" t="n">
        <v>250</v>
      </c>
      <c r="J1226" s="2" t="n">
        <v>0.1</v>
      </c>
      <c r="K1226" s="2" t="n">
        <v>100</v>
      </c>
    </row>
    <row r="1227" customFormat="false" ht="15" hidden="false" customHeight="false" outlineLevel="0" collapsed="false">
      <c r="A1227" s="2" t="s">
        <v>1768</v>
      </c>
      <c r="B1227" s="2" t="s">
        <v>1766</v>
      </c>
      <c r="C1227" s="10" t="n">
        <v>45934</v>
      </c>
      <c r="D1227" s="2" t="s">
        <v>77</v>
      </c>
      <c r="E1227" s="2" t="s">
        <v>69</v>
      </c>
      <c r="F1227" s="2" t="s">
        <v>70</v>
      </c>
      <c r="G1227" s="2" t="s">
        <v>126</v>
      </c>
      <c r="H1227" s="2" t="n">
        <v>4</v>
      </c>
      <c r="I1227" s="2" t="n">
        <v>4500</v>
      </c>
      <c r="J1227" s="2" t="n">
        <v>0.15</v>
      </c>
      <c r="K1227" s="2" t="n">
        <v>3300</v>
      </c>
    </row>
    <row r="1228" customFormat="false" ht="15" hidden="false" customHeight="false" outlineLevel="0" collapsed="false">
      <c r="A1228" s="2" t="s">
        <v>1769</v>
      </c>
      <c r="B1228" s="2" t="s">
        <v>1770</v>
      </c>
      <c r="C1228" s="10" t="n">
        <v>45765</v>
      </c>
      <c r="D1228" s="2" t="s">
        <v>81</v>
      </c>
      <c r="E1228" s="2" t="s">
        <v>69</v>
      </c>
      <c r="F1228" s="2" t="s">
        <v>65</v>
      </c>
      <c r="G1228" s="2" t="s">
        <v>82</v>
      </c>
      <c r="H1228" s="2" t="n">
        <v>14</v>
      </c>
      <c r="I1228" s="2" t="n">
        <v>250</v>
      </c>
      <c r="J1228" s="2" t="n">
        <v>0</v>
      </c>
      <c r="K1228" s="2" t="n">
        <v>100</v>
      </c>
    </row>
    <row r="1229" customFormat="false" ht="15" hidden="false" customHeight="false" outlineLevel="0" collapsed="false">
      <c r="A1229" s="2" t="s">
        <v>1771</v>
      </c>
      <c r="B1229" s="2" t="s">
        <v>1770</v>
      </c>
      <c r="C1229" s="10" t="n">
        <v>45766</v>
      </c>
      <c r="D1229" s="2" t="s">
        <v>81</v>
      </c>
      <c r="E1229" s="2" t="s">
        <v>69</v>
      </c>
      <c r="F1229" s="2" t="s">
        <v>65</v>
      </c>
      <c r="G1229" s="2" t="s">
        <v>82</v>
      </c>
      <c r="H1229" s="2" t="n">
        <v>19</v>
      </c>
      <c r="I1229" s="2" t="n">
        <v>250</v>
      </c>
      <c r="J1229" s="2" t="n">
        <v>0</v>
      </c>
      <c r="K1229" s="2" t="n">
        <v>100</v>
      </c>
    </row>
    <row r="1230" customFormat="false" ht="15" hidden="false" customHeight="false" outlineLevel="0" collapsed="false">
      <c r="A1230" s="2" t="s">
        <v>1772</v>
      </c>
      <c r="B1230" s="2" t="s">
        <v>1770</v>
      </c>
      <c r="C1230" s="10" t="n">
        <v>45722</v>
      </c>
      <c r="D1230" s="2" t="s">
        <v>81</v>
      </c>
      <c r="E1230" s="2" t="s">
        <v>69</v>
      </c>
      <c r="F1230" s="2" t="s">
        <v>70</v>
      </c>
      <c r="G1230" s="2" t="s">
        <v>126</v>
      </c>
      <c r="H1230" s="2" t="n">
        <v>4</v>
      </c>
      <c r="I1230" s="2" t="n">
        <v>4500</v>
      </c>
      <c r="J1230" s="2" t="n">
        <v>0.1</v>
      </c>
      <c r="K1230" s="2" t="n">
        <v>3300</v>
      </c>
    </row>
    <row r="1231" customFormat="false" ht="15" hidden="false" customHeight="false" outlineLevel="0" collapsed="false">
      <c r="A1231" s="2" t="s">
        <v>1773</v>
      </c>
      <c r="B1231" s="2" t="s">
        <v>1770</v>
      </c>
      <c r="C1231" s="10" t="n">
        <v>45736</v>
      </c>
      <c r="D1231" s="2" t="s">
        <v>81</v>
      </c>
      <c r="E1231" s="2" t="s">
        <v>69</v>
      </c>
      <c r="F1231" s="2" t="s">
        <v>65</v>
      </c>
      <c r="G1231" s="2" t="s">
        <v>78</v>
      </c>
      <c r="H1231" s="2" t="n">
        <v>8</v>
      </c>
      <c r="I1231" s="2" t="n">
        <v>400</v>
      </c>
      <c r="J1231" s="2" t="n">
        <v>0.1</v>
      </c>
      <c r="K1231" s="2" t="n">
        <v>200</v>
      </c>
    </row>
    <row r="1232" customFormat="false" ht="15" hidden="false" customHeight="false" outlineLevel="0" collapsed="false">
      <c r="A1232" s="2" t="s">
        <v>1774</v>
      </c>
      <c r="B1232" s="2" t="s">
        <v>1770</v>
      </c>
      <c r="C1232" s="10" t="n">
        <v>45756</v>
      </c>
      <c r="D1232" s="2" t="s">
        <v>81</v>
      </c>
      <c r="E1232" s="2" t="s">
        <v>69</v>
      </c>
      <c r="F1232" s="2" t="s">
        <v>73</v>
      </c>
      <c r="G1232" s="2" t="s">
        <v>74</v>
      </c>
      <c r="H1232" s="2" t="n">
        <v>5</v>
      </c>
      <c r="I1232" s="2" t="n">
        <v>7000</v>
      </c>
      <c r="J1232" s="2" t="n">
        <v>0</v>
      </c>
      <c r="K1232" s="2" t="n">
        <v>4800</v>
      </c>
    </row>
    <row r="1233" customFormat="false" ht="15" hidden="false" customHeight="false" outlineLevel="0" collapsed="false">
      <c r="A1233" s="2" t="s">
        <v>1775</v>
      </c>
      <c r="B1233" s="2" t="s">
        <v>1776</v>
      </c>
      <c r="C1233" s="10" t="n">
        <v>45999</v>
      </c>
      <c r="D1233" s="2" t="s">
        <v>63</v>
      </c>
      <c r="E1233" s="2" t="s">
        <v>64</v>
      </c>
      <c r="F1233" s="2" t="s">
        <v>65</v>
      </c>
      <c r="G1233" s="2" t="s">
        <v>78</v>
      </c>
      <c r="H1233" s="2" t="n">
        <v>3</v>
      </c>
      <c r="I1233" s="2" t="n">
        <v>400</v>
      </c>
      <c r="J1233" s="2" t="n">
        <v>0.15</v>
      </c>
      <c r="K1233" s="2" t="n">
        <v>200</v>
      </c>
    </row>
    <row r="1234" customFormat="false" ht="15" hidden="false" customHeight="false" outlineLevel="0" collapsed="false">
      <c r="A1234" s="2" t="s">
        <v>1777</v>
      </c>
      <c r="B1234" s="2" t="s">
        <v>1776</v>
      </c>
      <c r="C1234" s="10" t="n">
        <v>45866</v>
      </c>
      <c r="D1234" s="2" t="s">
        <v>63</v>
      </c>
      <c r="E1234" s="2" t="s">
        <v>64</v>
      </c>
      <c r="F1234" s="2" t="s">
        <v>65</v>
      </c>
      <c r="G1234" s="2" t="s">
        <v>107</v>
      </c>
      <c r="H1234" s="2" t="n">
        <v>2</v>
      </c>
      <c r="I1234" s="2" t="n">
        <v>500</v>
      </c>
      <c r="J1234" s="2" t="n">
        <v>0</v>
      </c>
      <c r="K1234" s="2" t="n">
        <v>250</v>
      </c>
    </row>
    <row r="1235" customFormat="false" ht="15" hidden="false" customHeight="false" outlineLevel="0" collapsed="false">
      <c r="A1235" s="2" t="s">
        <v>1778</v>
      </c>
      <c r="B1235" s="2" t="s">
        <v>1779</v>
      </c>
      <c r="C1235" s="10" t="n">
        <v>45889</v>
      </c>
      <c r="D1235" s="2" t="s">
        <v>77</v>
      </c>
      <c r="E1235" s="2" t="s">
        <v>69</v>
      </c>
      <c r="F1235" s="2" t="s">
        <v>70</v>
      </c>
      <c r="G1235" s="2" t="s">
        <v>126</v>
      </c>
      <c r="H1235" s="2" t="n">
        <v>3</v>
      </c>
      <c r="I1235" s="2" t="n">
        <v>4500</v>
      </c>
      <c r="J1235" s="2" t="n">
        <v>0</v>
      </c>
      <c r="K1235" s="2" t="n">
        <v>3300</v>
      </c>
    </row>
    <row r="1236" customFormat="false" ht="15" hidden="false" customHeight="false" outlineLevel="0" collapsed="false">
      <c r="A1236" s="2" t="s">
        <v>1780</v>
      </c>
      <c r="B1236" s="2" t="s">
        <v>1781</v>
      </c>
      <c r="C1236" s="10" t="n">
        <v>45872</v>
      </c>
      <c r="D1236" s="2" t="s">
        <v>81</v>
      </c>
      <c r="E1236" s="2" t="s">
        <v>64</v>
      </c>
      <c r="F1236" s="2" t="s">
        <v>65</v>
      </c>
      <c r="G1236" s="2" t="s">
        <v>78</v>
      </c>
      <c r="H1236" s="2" t="n">
        <v>3</v>
      </c>
      <c r="I1236" s="2" t="n">
        <v>400</v>
      </c>
      <c r="J1236" s="2" t="n">
        <v>0</v>
      </c>
      <c r="K1236" s="2" t="n">
        <v>200</v>
      </c>
    </row>
    <row r="1237" customFormat="false" ht="15" hidden="false" customHeight="false" outlineLevel="0" collapsed="false">
      <c r="A1237" s="2" t="s">
        <v>1782</v>
      </c>
      <c r="B1237" s="2" t="s">
        <v>1783</v>
      </c>
      <c r="C1237" s="10" t="n">
        <v>45984</v>
      </c>
      <c r="D1237" s="2" t="s">
        <v>77</v>
      </c>
      <c r="E1237" s="2" t="s">
        <v>64</v>
      </c>
      <c r="F1237" s="2" t="s">
        <v>73</v>
      </c>
      <c r="G1237" s="2" t="s">
        <v>74</v>
      </c>
      <c r="H1237" s="2" t="n">
        <v>3</v>
      </c>
      <c r="I1237" s="2" t="n">
        <v>7000</v>
      </c>
      <c r="J1237" s="2" t="n">
        <v>0.05</v>
      </c>
      <c r="K1237" s="2" t="n">
        <v>4800</v>
      </c>
    </row>
    <row r="1238" customFormat="false" ht="15" hidden="false" customHeight="false" outlineLevel="0" collapsed="false">
      <c r="A1238" s="2" t="s">
        <v>1784</v>
      </c>
      <c r="B1238" s="2" t="s">
        <v>1783</v>
      </c>
      <c r="C1238" s="10" t="n">
        <v>45836</v>
      </c>
      <c r="D1238" s="2" t="s">
        <v>77</v>
      </c>
      <c r="E1238" s="2" t="s">
        <v>64</v>
      </c>
      <c r="F1238" s="2" t="s">
        <v>65</v>
      </c>
      <c r="G1238" s="2" t="s">
        <v>66</v>
      </c>
      <c r="H1238" s="2" t="n">
        <v>7</v>
      </c>
      <c r="I1238" s="2" t="n">
        <v>600</v>
      </c>
      <c r="J1238" s="2" t="n">
        <v>0</v>
      </c>
      <c r="K1238" s="2" t="n">
        <v>300</v>
      </c>
    </row>
    <row r="1239" customFormat="false" ht="15" hidden="false" customHeight="false" outlineLevel="0" collapsed="false">
      <c r="A1239" s="2" t="s">
        <v>1785</v>
      </c>
      <c r="B1239" s="2" t="s">
        <v>1783</v>
      </c>
      <c r="C1239" s="10" t="n">
        <v>45742</v>
      </c>
      <c r="D1239" s="2" t="s">
        <v>77</v>
      </c>
      <c r="E1239" s="2" t="s">
        <v>64</v>
      </c>
      <c r="F1239" s="2" t="s">
        <v>65</v>
      </c>
      <c r="G1239" s="2" t="s">
        <v>82</v>
      </c>
      <c r="H1239" s="2" t="n">
        <v>5</v>
      </c>
      <c r="I1239" s="2" t="n">
        <v>250</v>
      </c>
      <c r="J1239" s="2" t="n">
        <v>0</v>
      </c>
      <c r="K1239" s="2" t="n">
        <v>100</v>
      </c>
    </row>
    <row r="1240" customFormat="false" ht="15" hidden="false" customHeight="false" outlineLevel="0" collapsed="false">
      <c r="A1240" s="2" t="s">
        <v>1786</v>
      </c>
      <c r="B1240" s="2" t="s">
        <v>1783</v>
      </c>
      <c r="C1240" s="10" t="n">
        <v>45994</v>
      </c>
      <c r="D1240" s="2" t="s">
        <v>77</v>
      </c>
      <c r="E1240" s="2" t="s">
        <v>64</v>
      </c>
      <c r="F1240" s="2" t="s">
        <v>65</v>
      </c>
      <c r="G1240" s="2" t="s">
        <v>78</v>
      </c>
      <c r="H1240" s="2" t="n">
        <v>7</v>
      </c>
      <c r="I1240" s="2" t="n">
        <v>400</v>
      </c>
      <c r="J1240" s="2" t="n">
        <v>0.05</v>
      </c>
      <c r="K1240" s="2" t="n">
        <v>200</v>
      </c>
    </row>
    <row r="1241" customFormat="false" ht="15" hidden="false" customHeight="false" outlineLevel="0" collapsed="false">
      <c r="A1241" s="2" t="s">
        <v>1787</v>
      </c>
      <c r="B1241" s="2" t="s">
        <v>1783</v>
      </c>
      <c r="C1241" s="10" t="n">
        <v>45790</v>
      </c>
      <c r="D1241" s="2" t="s">
        <v>77</v>
      </c>
      <c r="E1241" s="2" t="s">
        <v>64</v>
      </c>
      <c r="F1241" s="2" t="s">
        <v>70</v>
      </c>
      <c r="G1241" s="2" t="s">
        <v>97</v>
      </c>
      <c r="H1241" s="2" t="n">
        <v>3</v>
      </c>
      <c r="I1241" s="2" t="n">
        <v>3000</v>
      </c>
      <c r="J1241" s="2" t="n">
        <v>0</v>
      </c>
      <c r="K1241" s="2" t="n">
        <v>2000</v>
      </c>
    </row>
    <row r="1242" customFormat="false" ht="15" hidden="false" customHeight="false" outlineLevel="0" collapsed="false">
      <c r="A1242" s="2" t="s">
        <v>1788</v>
      </c>
      <c r="B1242" s="2" t="s">
        <v>1789</v>
      </c>
      <c r="C1242" s="10" t="n">
        <v>45999</v>
      </c>
      <c r="D1242" s="2" t="s">
        <v>77</v>
      </c>
      <c r="E1242" s="2" t="s">
        <v>64</v>
      </c>
      <c r="F1242" s="2" t="s">
        <v>65</v>
      </c>
      <c r="G1242" s="2" t="s">
        <v>107</v>
      </c>
      <c r="H1242" s="2" t="n">
        <v>5</v>
      </c>
      <c r="I1242" s="2" t="n">
        <v>500</v>
      </c>
      <c r="J1242" s="2" t="n">
        <v>0.05</v>
      </c>
      <c r="K1242" s="2" t="n">
        <v>250</v>
      </c>
    </row>
    <row r="1243" customFormat="false" ht="15" hidden="false" customHeight="false" outlineLevel="0" collapsed="false">
      <c r="A1243" s="2" t="s">
        <v>1790</v>
      </c>
      <c r="B1243" s="2" t="s">
        <v>1789</v>
      </c>
      <c r="C1243" s="10" t="n">
        <v>45739</v>
      </c>
      <c r="D1243" s="2" t="s">
        <v>77</v>
      </c>
      <c r="E1243" s="2" t="s">
        <v>64</v>
      </c>
      <c r="F1243" s="2" t="s">
        <v>70</v>
      </c>
      <c r="G1243" s="2" t="s">
        <v>122</v>
      </c>
      <c r="H1243" s="2" t="n">
        <v>2</v>
      </c>
      <c r="I1243" s="2" t="n">
        <v>1500</v>
      </c>
      <c r="J1243" s="2" t="n">
        <v>0</v>
      </c>
      <c r="K1243" s="2" t="n">
        <v>900</v>
      </c>
    </row>
    <row r="1244" customFormat="false" ht="15" hidden="false" customHeight="false" outlineLevel="0" collapsed="false">
      <c r="A1244" s="2" t="s">
        <v>1791</v>
      </c>
      <c r="B1244" s="2" t="s">
        <v>1789</v>
      </c>
      <c r="C1244" s="10" t="n">
        <v>45723</v>
      </c>
      <c r="D1244" s="2" t="s">
        <v>77</v>
      </c>
      <c r="E1244" s="2" t="s">
        <v>64</v>
      </c>
      <c r="F1244" s="2" t="s">
        <v>65</v>
      </c>
      <c r="G1244" s="2" t="s">
        <v>66</v>
      </c>
      <c r="H1244" s="2" t="n">
        <v>5</v>
      </c>
      <c r="I1244" s="2" t="n">
        <v>600</v>
      </c>
      <c r="J1244" s="2" t="n">
        <v>0</v>
      </c>
      <c r="K1244" s="2" t="n">
        <v>300</v>
      </c>
    </row>
    <row r="1245" customFormat="false" ht="15" hidden="false" customHeight="false" outlineLevel="0" collapsed="false">
      <c r="A1245" s="2" t="s">
        <v>1792</v>
      </c>
      <c r="B1245" s="2"/>
      <c r="C1245" s="10" t="n">
        <v>45700</v>
      </c>
      <c r="D1245" s="2" t="s">
        <v>77</v>
      </c>
      <c r="E1245" s="2" t="s">
        <v>64</v>
      </c>
      <c r="F1245" s="2" t="s">
        <v>65</v>
      </c>
      <c r="G1245" s="2" t="s">
        <v>107</v>
      </c>
      <c r="H1245" s="2" t="n">
        <v>8</v>
      </c>
      <c r="I1245" s="2" t="n">
        <v>500</v>
      </c>
      <c r="J1245" s="2" t="n">
        <v>0.1</v>
      </c>
      <c r="K1245" s="2" t="n">
        <v>250</v>
      </c>
    </row>
    <row r="1246" customFormat="false" ht="15" hidden="false" customHeight="false" outlineLevel="0" collapsed="false">
      <c r="A1246" s="2" t="s">
        <v>1793</v>
      </c>
      <c r="B1246" s="2" t="s">
        <v>1789</v>
      </c>
      <c r="C1246" s="10" t="n">
        <v>46004</v>
      </c>
      <c r="D1246" s="2" t="s">
        <v>77</v>
      </c>
      <c r="E1246" s="2" t="s">
        <v>64</v>
      </c>
      <c r="F1246" s="2" t="s">
        <v>70</v>
      </c>
      <c r="G1246" s="2" t="s">
        <v>97</v>
      </c>
      <c r="H1246" s="2" t="n">
        <v>1</v>
      </c>
      <c r="I1246" s="2" t="n">
        <v>3000</v>
      </c>
      <c r="J1246" s="2" t="n">
        <v>0.05</v>
      </c>
      <c r="K1246" s="2" t="n">
        <v>2000</v>
      </c>
    </row>
    <row r="1247" customFormat="false" ht="15" hidden="false" customHeight="false" outlineLevel="0" collapsed="false">
      <c r="A1247" s="2" t="s">
        <v>1794</v>
      </c>
      <c r="B1247" s="2" t="s">
        <v>1795</v>
      </c>
      <c r="C1247" s="10" t="n">
        <v>45722</v>
      </c>
      <c r="D1247" s="2" t="s">
        <v>63</v>
      </c>
      <c r="E1247" s="2" t="s">
        <v>64</v>
      </c>
      <c r="F1247" s="2" t="s">
        <v>70</v>
      </c>
      <c r="G1247" s="2" t="s">
        <v>126</v>
      </c>
      <c r="H1247" s="2" t="n">
        <v>1</v>
      </c>
      <c r="I1247" s="2" t="n">
        <v>4500</v>
      </c>
      <c r="J1247" s="2" t="n">
        <v>0.05</v>
      </c>
      <c r="K1247" s="2" t="n">
        <v>3300</v>
      </c>
    </row>
    <row r="1248" customFormat="false" ht="15" hidden="false" customHeight="false" outlineLevel="0" collapsed="false">
      <c r="A1248" s="2" t="s">
        <v>1796</v>
      </c>
      <c r="B1248" s="2" t="s">
        <v>1797</v>
      </c>
      <c r="C1248" s="10" t="n">
        <v>45864</v>
      </c>
      <c r="D1248" s="2" t="s">
        <v>77</v>
      </c>
      <c r="E1248" s="2" t="s">
        <v>92</v>
      </c>
      <c r="F1248" s="2" t="s">
        <v>73</v>
      </c>
      <c r="G1248" s="2" t="s">
        <v>87</v>
      </c>
      <c r="H1248" s="2" t="n">
        <v>5</v>
      </c>
      <c r="I1248" s="2" t="n">
        <v>9000</v>
      </c>
      <c r="J1248" s="2" t="n">
        <v>0.05</v>
      </c>
      <c r="K1248" s="2" t="n">
        <v>6200</v>
      </c>
    </row>
    <row r="1249" customFormat="false" ht="15" hidden="false" customHeight="false" outlineLevel="0" collapsed="false">
      <c r="A1249" s="2" t="s">
        <v>1798</v>
      </c>
      <c r="B1249" s="2" t="s">
        <v>1797</v>
      </c>
      <c r="C1249" s="10" t="n">
        <v>45909</v>
      </c>
      <c r="D1249" s="2" t="s">
        <v>77</v>
      </c>
      <c r="E1249" s="2" t="s">
        <v>92</v>
      </c>
      <c r="F1249" s="2" t="s">
        <v>73</v>
      </c>
      <c r="G1249" s="2" t="s">
        <v>87</v>
      </c>
      <c r="H1249" s="2" t="n">
        <v>4</v>
      </c>
      <c r="I1249" s="2" t="n">
        <v>9000</v>
      </c>
      <c r="J1249" s="2" t="n">
        <v>0</v>
      </c>
      <c r="K1249" s="2" t="n">
        <v>6200</v>
      </c>
    </row>
    <row r="1250" customFormat="false" ht="15" hidden="false" customHeight="false" outlineLevel="0" collapsed="false">
      <c r="A1250" s="2" t="s">
        <v>1799</v>
      </c>
      <c r="B1250" s="2" t="s">
        <v>1797</v>
      </c>
      <c r="C1250" s="10" t="n">
        <v>45943</v>
      </c>
      <c r="D1250" s="2" t="s">
        <v>77</v>
      </c>
      <c r="E1250" s="2" t="s">
        <v>92</v>
      </c>
      <c r="F1250" s="2" t="s">
        <v>70</v>
      </c>
      <c r="G1250" s="2" t="s">
        <v>122</v>
      </c>
      <c r="H1250" s="2" t="n">
        <v>5</v>
      </c>
      <c r="I1250" s="2" t="n">
        <v>1500</v>
      </c>
      <c r="J1250" s="2" t="n">
        <v>0.15</v>
      </c>
      <c r="K1250" s="2" t="n">
        <v>900</v>
      </c>
    </row>
    <row r="1251" customFormat="false" ht="15" hidden="false" customHeight="false" outlineLevel="0" collapsed="false">
      <c r="A1251" s="2" t="s">
        <v>1800</v>
      </c>
      <c r="B1251" s="2" t="s">
        <v>1801</v>
      </c>
      <c r="C1251" s="10" t="n">
        <v>45805</v>
      </c>
      <c r="D1251" s="2" t="s">
        <v>91</v>
      </c>
      <c r="E1251" s="2" t="s">
        <v>69</v>
      </c>
      <c r="F1251" s="2" t="s">
        <v>73</v>
      </c>
      <c r="G1251" s="2" t="s">
        <v>87</v>
      </c>
      <c r="H1251" s="2" t="n">
        <v>4</v>
      </c>
      <c r="I1251" s="2" t="n">
        <v>9000</v>
      </c>
      <c r="J1251" s="2" t="n">
        <v>0</v>
      </c>
      <c r="K1251" s="2" t="n">
        <v>6200</v>
      </c>
    </row>
    <row r="1252" customFormat="false" ht="15" hidden="false" customHeight="false" outlineLevel="0" collapsed="false">
      <c r="A1252" s="2" t="s">
        <v>1802</v>
      </c>
      <c r="B1252" s="2" t="s">
        <v>1803</v>
      </c>
      <c r="C1252" s="10" t="n">
        <v>45797</v>
      </c>
      <c r="D1252" s="2" t="s">
        <v>91</v>
      </c>
      <c r="E1252" s="2" t="s">
        <v>69</v>
      </c>
      <c r="F1252" s="2" t="s">
        <v>65</v>
      </c>
      <c r="G1252" s="2" t="s">
        <v>66</v>
      </c>
      <c r="H1252" s="2" t="n">
        <v>9</v>
      </c>
      <c r="I1252" s="2" t="n">
        <v>600</v>
      </c>
      <c r="J1252" s="2" t="n">
        <v>0.1</v>
      </c>
      <c r="K1252" s="2" t="n">
        <v>300</v>
      </c>
    </row>
    <row r="1253" customFormat="false" ht="15" hidden="false" customHeight="false" outlineLevel="0" collapsed="false">
      <c r="A1253" s="2" t="s">
        <v>1804</v>
      </c>
      <c r="B1253" s="2" t="s">
        <v>1805</v>
      </c>
      <c r="C1253" s="10" t="n">
        <v>46017</v>
      </c>
      <c r="D1253" s="2" t="s">
        <v>91</v>
      </c>
      <c r="E1253" s="2" t="s">
        <v>64</v>
      </c>
      <c r="F1253" s="2" t="s">
        <v>73</v>
      </c>
      <c r="G1253" s="2" t="s">
        <v>87</v>
      </c>
      <c r="H1253" s="2" t="n">
        <v>3</v>
      </c>
      <c r="I1253" s="2" t="n">
        <v>9000</v>
      </c>
      <c r="J1253" s="2" t="n">
        <v>0.05</v>
      </c>
      <c r="K1253" s="2" t="n">
        <v>6200</v>
      </c>
    </row>
    <row r="1254" customFormat="false" ht="15" hidden="false" customHeight="false" outlineLevel="0" collapsed="false">
      <c r="A1254" s="2" t="s">
        <v>1806</v>
      </c>
      <c r="B1254" s="2" t="s">
        <v>1805</v>
      </c>
      <c r="C1254" s="10" t="n">
        <v>45876</v>
      </c>
      <c r="D1254" s="2" t="s">
        <v>91</v>
      </c>
      <c r="E1254" s="2" t="s">
        <v>64</v>
      </c>
      <c r="F1254" s="2" t="s">
        <v>73</v>
      </c>
      <c r="G1254" s="2" t="s">
        <v>85</v>
      </c>
      <c r="H1254" s="2" t="n">
        <v>2</v>
      </c>
      <c r="I1254" s="2" t="n">
        <v>1200</v>
      </c>
      <c r="J1254" s="2" t="n">
        <v>0.05</v>
      </c>
      <c r="K1254" s="2" t="n">
        <v>600</v>
      </c>
    </row>
    <row r="1255" customFormat="false" ht="15" hidden="false" customHeight="false" outlineLevel="0" collapsed="false">
      <c r="A1255" s="2" t="s">
        <v>1807</v>
      </c>
      <c r="B1255" s="2" t="s">
        <v>1805</v>
      </c>
      <c r="C1255" s="10" t="n">
        <v>45966</v>
      </c>
      <c r="D1255" s="2" t="s">
        <v>91</v>
      </c>
      <c r="E1255" s="2" t="s">
        <v>64</v>
      </c>
      <c r="F1255" s="2" t="s">
        <v>73</v>
      </c>
      <c r="G1255" s="2" t="s">
        <v>74</v>
      </c>
      <c r="H1255" s="2" t="n">
        <v>1</v>
      </c>
      <c r="I1255" s="2" t="n">
        <v>7000</v>
      </c>
      <c r="J1255" s="2" t="n">
        <v>0.15</v>
      </c>
      <c r="K1255" s="2" t="n">
        <v>4800</v>
      </c>
    </row>
    <row r="1256" customFormat="false" ht="15" hidden="false" customHeight="false" outlineLevel="0" collapsed="false">
      <c r="A1256" s="2" t="s">
        <v>1808</v>
      </c>
      <c r="B1256" s="2" t="s">
        <v>1805</v>
      </c>
      <c r="C1256" s="10" t="n">
        <v>45752</v>
      </c>
      <c r="D1256" s="2" t="s">
        <v>91</v>
      </c>
      <c r="E1256" s="2" t="s">
        <v>64</v>
      </c>
      <c r="F1256" s="2" t="s">
        <v>70</v>
      </c>
      <c r="G1256" s="2" t="s">
        <v>122</v>
      </c>
      <c r="H1256" s="2" t="n">
        <v>1</v>
      </c>
      <c r="I1256" s="2" t="n">
        <v>1500</v>
      </c>
      <c r="J1256" s="2" t="n">
        <v>0</v>
      </c>
      <c r="K1256" s="2" t="n">
        <v>900</v>
      </c>
    </row>
    <row r="1257" customFormat="false" ht="15" hidden="false" customHeight="false" outlineLevel="0" collapsed="false">
      <c r="A1257" s="2" t="s">
        <v>1809</v>
      </c>
      <c r="B1257" s="2" t="s">
        <v>1805</v>
      </c>
      <c r="C1257" s="10" t="n">
        <v>45722</v>
      </c>
      <c r="D1257" s="2" t="s">
        <v>91</v>
      </c>
      <c r="E1257" s="2" t="s">
        <v>64</v>
      </c>
      <c r="F1257" s="2" t="s">
        <v>73</v>
      </c>
      <c r="G1257" s="2" t="s">
        <v>74</v>
      </c>
      <c r="H1257" s="2" t="n">
        <v>1</v>
      </c>
      <c r="I1257" s="2" t="n">
        <v>7000</v>
      </c>
      <c r="J1257" s="2" t="n">
        <v>0</v>
      </c>
      <c r="K1257" s="2" t="n">
        <v>4800</v>
      </c>
    </row>
    <row r="1258" customFormat="false" ht="15" hidden="false" customHeight="false" outlineLevel="0" collapsed="false">
      <c r="A1258" s="2" t="s">
        <v>1810</v>
      </c>
      <c r="B1258" s="2" t="s">
        <v>1811</v>
      </c>
      <c r="C1258" s="10" t="n">
        <v>45709</v>
      </c>
      <c r="D1258" s="2" t="s">
        <v>63</v>
      </c>
      <c r="E1258" s="2" t="s">
        <v>64</v>
      </c>
      <c r="F1258" s="2" t="s">
        <v>70</v>
      </c>
      <c r="G1258" s="2" t="s">
        <v>97</v>
      </c>
      <c r="H1258" s="2" t="n">
        <v>3</v>
      </c>
      <c r="I1258" s="2" t="n">
        <v>3000</v>
      </c>
      <c r="J1258" s="2" t="n">
        <v>0.05</v>
      </c>
      <c r="K1258" s="2" t="n">
        <v>2000</v>
      </c>
    </row>
    <row r="1259" customFormat="false" ht="15" hidden="false" customHeight="false" outlineLevel="0" collapsed="false">
      <c r="A1259" s="2" t="s">
        <v>1812</v>
      </c>
      <c r="B1259" s="2" t="s">
        <v>1813</v>
      </c>
      <c r="C1259" s="10" t="n">
        <v>45884</v>
      </c>
      <c r="D1259" s="2" t="s">
        <v>63</v>
      </c>
      <c r="E1259" s="2" t="s">
        <v>64</v>
      </c>
      <c r="F1259" s="2" t="s">
        <v>70</v>
      </c>
      <c r="G1259" s="2" t="s">
        <v>97</v>
      </c>
      <c r="H1259" s="2" t="n">
        <v>1</v>
      </c>
      <c r="I1259" s="2" t="n">
        <v>3000</v>
      </c>
      <c r="J1259" s="2" t="n">
        <v>0</v>
      </c>
      <c r="K1259" s="2" t="n">
        <v>2000</v>
      </c>
    </row>
    <row r="1260" customFormat="false" ht="15" hidden="false" customHeight="false" outlineLevel="0" collapsed="false">
      <c r="A1260" s="2" t="s">
        <v>1814</v>
      </c>
      <c r="B1260" s="2" t="s">
        <v>1813</v>
      </c>
      <c r="C1260" s="10" t="n">
        <v>45664</v>
      </c>
      <c r="D1260" s="2" t="s">
        <v>63</v>
      </c>
      <c r="E1260" s="2" t="s">
        <v>64</v>
      </c>
      <c r="F1260" s="2" t="s">
        <v>65</v>
      </c>
      <c r="G1260" s="2" t="s">
        <v>78</v>
      </c>
      <c r="H1260" s="2" t="n">
        <v>8</v>
      </c>
      <c r="I1260" s="2" t="n">
        <v>400</v>
      </c>
      <c r="J1260" s="2" t="n">
        <v>0.05</v>
      </c>
      <c r="K1260" s="2" t="n">
        <v>200</v>
      </c>
    </row>
    <row r="1261" customFormat="false" ht="15" hidden="false" customHeight="false" outlineLevel="0" collapsed="false">
      <c r="A1261" s="2" t="s">
        <v>1815</v>
      </c>
      <c r="B1261" s="2" t="s">
        <v>1816</v>
      </c>
      <c r="C1261" s="10" t="n">
        <v>45967</v>
      </c>
      <c r="D1261" s="2" t="s">
        <v>63</v>
      </c>
      <c r="E1261" s="2" t="s">
        <v>64</v>
      </c>
      <c r="F1261" s="2" t="s">
        <v>65</v>
      </c>
      <c r="G1261" s="2" t="s">
        <v>66</v>
      </c>
      <c r="H1261" s="2" t="n">
        <v>7</v>
      </c>
      <c r="I1261" s="2" t="n">
        <v>600</v>
      </c>
      <c r="J1261" s="2" t="n">
        <v>0.15</v>
      </c>
      <c r="K1261" s="2" t="n">
        <v>300</v>
      </c>
    </row>
    <row r="1262" customFormat="false" ht="15" hidden="false" customHeight="false" outlineLevel="0" collapsed="false">
      <c r="A1262" s="2" t="s">
        <v>1817</v>
      </c>
      <c r="B1262" s="2" t="s">
        <v>1816</v>
      </c>
      <c r="C1262" s="10" t="n">
        <v>45737</v>
      </c>
      <c r="D1262" s="2" t="s">
        <v>63</v>
      </c>
      <c r="E1262" s="2" t="s">
        <v>64</v>
      </c>
      <c r="F1262" s="2" t="s">
        <v>70</v>
      </c>
      <c r="G1262" s="2" t="s">
        <v>122</v>
      </c>
      <c r="H1262" s="2" t="n">
        <v>2</v>
      </c>
      <c r="I1262" s="2" t="n">
        <v>1500</v>
      </c>
      <c r="J1262" s="2" t="n">
        <v>0</v>
      </c>
      <c r="K1262" s="2" t="n">
        <v>900</v>
      </c>
    </row>
    <row r="1263" customFormat="false" ht="15" hidden="false" customHeight="false" outlineLevel="0" collapsed="false">
      <c r="A1263" s="2" t="s">
        <v>1818</v>
      </c>
      <c r="B1263" s="2" t="s">
        <v>1816</v>
      </c>
      <c r="C1263" s="10" t="n">
        <v>45706</v>
      </c>
      <c r="D1263" s="2" t="s">
        <v>63</v>
      </c>
      <c r="E1263" s="2" t="s">
        <v>64</v>
      </c>
      <c r="F1263" s="2" t="s">
        <v>70</v>
      </c>
      <c r="G1263" s="2" t="s">
        <v>126</v>
      </c>
      <c r="H1263" s="2" t="n">
        <v>3</v>
      </c>
      <c r="I1263" s="2" t="n">
        <v>4500</v>
      </c>
      <c r="J1263" s="2" t="n">
        <v>0</v>
      </c>
      <c r="K1263" s="2" t="n">
        <v>3300</v>
      </c>
    </row>
    <row r="1264" customFormat="false" ht="15" hidden="false" customHeight="false" outlineLevel="0" collapsed="false">
      <c r="A1264" s="2" t="s">
        <v>1819</v>
      </c>
      <c r="B1264" s="2" t="s">
        <v>1816</v>
      </c>
      <c r="C1264" s="10" t="n">
        <v>45845</v>
      </c>
      <c r="D1264" s="2" t="s">
        <v>63</v>
      </c>
      <c r="E1264" s="2" t="s">
        <v>64</v>
      </c>
      <c r="F1264" s="2" t="s">
        <v>65</v>
      </c>
      <c r="G1264" s="2" t="s">
        <v>78</v>
      </c>
      <c r="H1264" s="2" t="n">
        <v>2</v>
      </c>
      <c r="I1264" s="2" t="n">
        <v>400</v>
      </c>
      <c r="J1264" s="2" t="n">
        <v>0</v>
      </c>
      <c r="K1264" s="2" t="n">
        <v>200</v>
      </c>
    </row>
    <row r="1265" customFormat="false" ht="15" hidden="false" customHeight="false" outlineLevel="0" collapsed="false">
      <c r="A1265" s="2" t="s">
        <v>1820</v>
      </c>
      <c r="B1265" s="2" t="s">
        <v>1821</v>
      </c>
      <c r="C1265" s="10" t="n">
        <v>45786</v>
      </c>
      <c r="D1265" s="2" t="s">
        <v>91</v>
      </c>
      <c r="E1265" s="2" t="s">
        <v>64</v>
      </c>
      <c r="F1265" s="2" t="s">
        <v>70</v>
      </c>
      <c r="G1265" s="2" t="s">
        <v>71</v>
      </c>
      <c r="H1265" s="2" t="n">
        <v>2</v>
      </c>
      <c r="I1265" s="2" t="n">
        <v>2500</v>
      </c>
      <c r="J1265" s="2" t="n">
        <v>0</v>
      </c>
      <c r="K1265" s="2" t="n">
        <v>1600</v>
      </c>
    </row>
    <row r="1266" customFormat="false" ht="15" hidden="false" customHeight="false" outlineLevel="0" collapsed="false">
      <c r="A1266" s="2" t="s">
        <v>1822</v>
      </c>
      <c r="B1266" s="2" t="s">
        <v>1823</v>
      </c>
      <c r="C1266" s="10" t="n">
        <v>45672</v>
      </c>
      <c r="D1266" s="2" t="s">
        <v>63</v>
      </c>
      <c r="E1266" s="2" t="s">
        <v>64</v>
      </c>
      <c r="F1266" s="2" t="s">
        <v>73</v>
      </c>
      <c r="G1266" s="2" t="s">
        <v>85</v>
      </c>
      <c r="H1266" s="2" t="n">
        <v>1</v>
      </c>
      <c r="I1266" s="2" t="n">
        <v>1200</v>
      </c>
      <c r="J1266" s="2" t="n">
        <v>0</v>
      </c>
      <c r="K1266" s="2" t="n">
        <v>600</v>
      </c>
    </row>
    <row r="1267" customFormat="false" ht="15" hidden="false" customHeight="false" outlineLevel="0" collapsed="false">
      <c r="A1267" s="2" t="s">
        <v>1824</v>
      </c>
      <c r="B1267" s="2" t="s">
        <v>1823</v>
      </c>
      <c r="C1267" s="10" t="n">
        <v>45965</v>
      </c>
      <c r="D1267" s="2" t="s">
        <v>63</v>
      </c>
      <c r="E1267" s="2" t="s">
        <v>64</v>
      </c>
      <c r="F1267" s="2" t="s">
        <v>65</v>
      </c>
      <c r="G1267" s="2" t="s">
        <v>82</v>
      </c>
      <c r="H1267" s="2" t="n">
        <v>4</v>
      </c>
      <c r="I1267" s="2" t="n">
        <v>250</v>
      </c>
      <c r="J1267" s="2" t="n">
        <v>0.1</v>
      </c>
      <c r="K1267" s="2" t="n">
        <v>100</v>
      </c>
    </row>
    <row r="1268" customFormat="false" ht="15" hidden="false" customHeight="false" outlineLevel="0" collapsed="false">
      <c r="A1268" s="2" t="s">
        <v>1825</v>
      </c>
      <c r="B1268" s="2" t="s">
        <v>1826</v>
      </c>
      <c r="C1268" s="10" t="n">
        <v>45893</v>
      </c>
      <c r="D1268" s="2" t="s">
        <v>63</v>
      </c>
      <c r="E1268" s="2" t="s">
        <v>64</v>
      </c>
      <c r="F1268" s="2" t="s">
        <v>65</v>
      </c>
      <c r="G1268" s="2" t="s">
        <v>82</v>
      </c>
      <c r="H1268" s="2" t="n">
        <v>8</v>
      </c>
      <c r="I1268" s="2" t="n">
        <v>250</v>
      </c>
      <c r="J1268" s="2" t="n">
        <v>0</v>
      </c>
      <c r="K1268" s="2" t="n">
        <v>100</v>
      </c>
    </row>
    <row r="1269" customFormat="false" ht="15" hidden="false" customHeight="false" outlineLevel="0" collapsed="false">
      <c r="A1269" s="2" t="s">
        <v>1827</v>
      </c>
      <c r="B1269" s="2" t="s">
        <v>1826</v>
      </c>
      <c r="C1269" s="10" t="n">
        <v>45969</v>
      </c>
      <c r="D1269" s="2" t="s">
        <v>63</v>
      </c>
      <c r="E1269" s="2" t="s">
        <v>64</v>
      </c>
      <c r="F1269" s="2" t="s">
        <v>65</v>
      </c>
      <c r="G1269" s="2" t="s">
        <v>78</v>
      </c>
      <c r="H1269" s="2" t="n">
        <v>5</v>
      </c>
      <c r="I1269" s="2" t="n">
        <v>400</v>
      </c>
      <c r="J1269" s="2" t="n">
        <v>0.05</v>
      </c>
      <c r="K1269" s="2" t="n">
        <v>200</v>
      </c>
    </row>
    <row r="1270" customFormat="false" ht="15" hidden="false" customHeight="false" outlineLevel="0" collapsed="false">
      <c r="A1270" s="2" t="s">
        <v>1828</v>
      </c>
      <c r="B1270" s="2" t="s">
        <v>1829</v>
      </c>
      <c r="C1270" s="10" t="n">
        <v>45730</v>
      </c>
      <c r="D1270" s="2" t="s">
        <v>77</v>
      </c>
      <c r="E1270" s="2" t="s">
        <v>69</v>
      </c>
      <c r="F1270" s="2" t="s">
        <v>70</v>
      </c>
      <c r="G1270" s="2" t="s">
        <v>126</v>
      </c>
      <c r="H1270" s="2" t="n">
        <v>1</v>
      </c>
      <c r="I1270" s="2" t="n">
        <v>4500</v>
      </c>
      <c r="J1270" s="2" t="n">
        <v>0.05</v>
      </c>
      <c r="K1270" s="2" t="n">
        <v>3300</v>
      </c>
    </row>
    <row r="1271" customFormat="false" ht="15" hidden="false" customHeight="false" outlineLevel="0" collapsed="false">
      <c r="A1271" s="2" t="s">
        <v>1830</v>
      </c>
      <c r="B1271" s="2" t="s">
        <v>1831</v>
      </c>
      <c r="C1271" s="10" t="n">
        <v>45767</v>
      </c>
      <c r="D1271" s="2" t="s">
        <v>81</v>
      </c>
      <c r="E1271" s="2" t="s">
        <v>69</v>
      </c>
      <c r="F1271" s="2" t="s">
        <v>73</v>
      </c>
      <c r="G1271" s="2" t="s">
        <v>85</v>
      </c>
      <c r="H1271" s="2" t="n">
        <v>3</v>
      </c>
      <c r="I1271" s="2" t="n">
        <v>1200</v>
      </c>
      <c r="J1271" s="2" t="n">
        <v>0</v>
      </c>
      <c r="K1271" s="2" t="n">
        <v>600</v>
      </c>
    </row>
    <row r="1272" customFormat="false" ht="15" hidden="false" customHeight="false" outlineLevel="0" collapsed="false">
      <c r="A1272" s="2" t="s">
        <v>1832</v>
      </c>
      <c r="B1272" s="2" t="s">
        <v>1833</v>
      </c>
      <c r="C1272" s="10" t="n">
        <v>45896</v>
      </c>
      <c r="D1272" s="2" t="s">
        <v>77</v>
      </c>
      <c r="E1272" s="2" t="s">
        <v>69</v>
      </c>
      <c r="F1272" s="2" t="s">
        <v>65</v>
      </c>
      <c r="G1272" s="2" t="s">
        <v>107</v>
      </c>
      <c r="H1272" s="2" t="n">
        <v>18</v>
      </c>
      <c r="I1272" s="2" t="n">
        <v>500</v>
      </c>
      <c r="J1272" s="2" t="n">
        <v>0.1</v>
      </c>
      <c r="K1272" s="2" t="n">
        <v>250</v>
      </c>
    </row>
    <row r="1273" customFormat="false" ht="15" hidden="false" customHeight="false" outlineLevel="0" collapsed="false">
      <c r="A1273" s="2" t="s">
        <v>1834</v>
      </c>
      <c r="B1273" s="2" t="s">
        <v>1835</v>
      </c>
      <c r="C1273" s="10" t="n">
        <v>45774</v>
      </c>
      <c r="D1273" s="2" t="s">
        <v>91</v>
      </c>
      <c r="E1273" s="2" t="s">
        <v>64</v>
      </c>
      <c r="F1273" s="2" t="s">
        <v>65</v>
      </c>
      <c r="G1273" s="2" t="s">
        <v>107</v>
      </c>
      <c r="H1273" s="2" t="n">
        <v>4</v>
      </c>
      <c r="I1273" s="2" t="n">
        <v>500</v>
      </c>
      <c r="J1273" s="2" t="n">
        <v>0.05</v>
      </c>
      <c r="K1273" s="2" t="n">
        <v>250</v>
      </c>
    </row>
    <row r="1274" customFormat="false" ht="15" hidden="false" customHeight="false" outlineLevel="0" collapsed="false">
      <c r="A1274" s="2" t="s">
        <v>1836</v>
      </c>
      <c r="B1274" s="2" t="s">
        <v>1837</v>
      </c>
      <c r="C1274" s="10" t="n">
        <v>45976</v>
      </c>
      <c r="D1274" s="2" t="s">
        <v>63</v>
      </c>
      <c r="E1274" s="2" t="s">
        <v>64</v>
      </c>
      <c r="F1274" s="2" t="s">
        <v>70</v>
      </c>
      <c r="G1274" s="2" t="s">
        <v>97</v>
      </c>
      <c r="H1274" s="2" t="n">
        <v>1</v>
      </c>
      <c r="I1274" s="2" t="n">
        <v>3000</v>
      </c>
      <c r="J1274" s="2" t="n">
        <v>0.05</v>
      </c>
      <c r="K1274" s="2" t="n">
        <v>2000</v>
      </c>
    </row>
    <row r="1275" customFormat="false" ht="15" hidden="false" customHeight="false" outlineLevel="0" collapsed="false">
      <c r="A1275" s="2" t="s">
        <v>1838</v>
      </c>
      <c r="B1275" s="2" t="s">
        <v>1839</v>
      </c>
      <c r="C1275" s="10" t="n">
        <v>45883</v>
      </c>
      <c r="D1275" s="2" t="s">
        <v>63</v>
      </c>
      <c r="E1275" s="2" t="s">
        <v>64</v>
      </c>
      <c r="F1275" s="2" t="s">
        <v>65</v>
      </c>
      <c r="G1275" s="2" t="s">
        <v>82</v>
      </c>
      <c r="H1275" s="2" t="n">
        <v>6</v>
      </c>
      <c r="I1275" s="2" t="n">
        <v>250</v>
      </c>
      <c r="J1275" s="2" t="n">
        <v>0</v>
      </c>
      <c r="K1275" s="2" t="n">
        <v>100</v>
      </c>
    </row>
    <row r="1276" customFormat="false" ht="15" hidden="false" customHeight="false" outlineLevel="0" collapsed="false">
      <c r="A1276" s="2" t="s">
        <v>1840</v>
      </c>
      <c r="B1276" s="2" t="s">
        <v>1841</v>
      </c>
      <c r="C1276" s="10" t="n">
        <v>45829</v>
      </c>
      <c r="D1276" s="2" t="s">
        <v>91</v>
      </c>
      <c r="E1276" s="2" t="s">
        <v>64</v>
      </c>
      <c r="F1276" s="2" t="s">
        <v>65</v>
      </c>
      <c r="G1276" s="2" t="s">
        <v>78</v>
      </c>
      <c r="H1276" s="2" t="n">
        <v>2</v>
      </c>
      <c r="I1276" s="2" t="n">
        <v>400</v>
      </c>
      <c r="J1276" s="2" t="n">
        <v>0.05</v>
      </c>
      <c r="K1276" s="2" t="n">
        <v>200</v>
      </c>
    </row>
    <row r="1277" customFormat="false" ht="15" hidden="false" customHeight="false" outlineLevel="0" collapsed="false">
      <c r="A1277" s="2" t="s">
        <v>1842</v>
      </c>
      <c r="B1277" s="2" t="s">
        <v>1843</v>
      </c>
      <c r="C1277" s="10" t="n">
        <v>46019</v>
      </c>
      <c r="D1277" s="2" t="s">
        <v>63</v>
      </c>
      <c r="E1277" s="2" t="s">
        <v>64</v>
      </c>
      <c r="F1277" s="2" t="s">
        <v>70</v>
      </c>
      <c r="G1277" s="2" t="s">
        <v>126</v>
      </c>
      <c r="H1277" s="2" t="n">
        <v>1</v>
      </c>
      <c r="I1277" s="2" t="n">
        <v>4500</v>
      </c>
      <c r="J1277" s="2" t="n">
        <v>0.05</v>
      </c>
      <c r="K1277" s="2" t="n">
        <v>3300</v>
      </c>
    </row>
    <row r="1278" customFormat="false" ht="15" hidden="false" customHeight="false" outlineLevel="0" collapsed="false">
      <c r="A1278" s="2" t="s">
        <v>1844</v>
      </c>
      <c r="B1278" s="2" t="s">
        <v>1843</v>
      </c>
      <c r="C1278" s="10" t="n">
        <v>45922</v>
      </c>
      <c r="D1278" s="2" t="s">
        <v>63</v>
      </c>
      <c r="E1278" s="2" t="s">
        <v>64</v>
      </c>
      <c r="F1278" s="2" t="s">
        <v>70</v>
      </c>
      <c r="G1278" s="2" t="s">
        <v>122</v>
      </c>
      <c r="H1278" s="2" t="n">
        <v>2</v>
      </c>
      <c r="I1278" s="2" t="n">
        <v>1500</v>
      </c>
      <c r="J1278" s="2" t="n">
        <v>0.05</v>
      </c>
      <c r="K1278" s="2" t="n">
        <v>900</v>
      </c>
    </row>
    <row r="1279" customFormat="false" ht="15" hidden="false" customHeight="false" outlineLevel="0" collapsed="false">
      <c r="A1279" s="2" t="s">
        <v>1845</v>
      </c>
      <c r="B1279" s="2" t="s">
        <v>1843</v>
      </c>
      <c r="C1279" s="10" t="n">
        <v>45703</v>
      </c>
      <c r="D1279" s="2" t="s">
        <v>63</v>
      </c>
      <c r="E1279" s="2" t="s">
        <v>64</v>
      </c>
      <c r="F1279" s="2" t="s">
        <v>73</v>
      </c>
      <c r="G1279" s="2" t="s">
        <v>74</v>
      </c>
      <c r="H1279" s="2" t="n">
        <v>3</v>
      </c>
      <c r="I1279" s="2" t="n">
        <v>7000</v>
      </c>
      <c r="J1279" s="2" t="n">
        <v>0.05</v>
      </c>
      <c r="K1279" s="2" t="n">
        <v>4800</v>
      </c>
    </row>
    <row r="1280" customFormat="false" ht="15" hidden="false" customHeight="false" outlineLevel="0" collapsed="false">
      <c r="A1280" s="2" t="s">
        <v>1846</v>
      </c>
      <c r="B1280" s="2" t="s">
        <v>1843</v>
      </c>
      <c r="C1280" s="10" t="n">
        <v>45996</v>
      </c>
      <c r="D1280" s="2" t="s">
        <v>63</v>
      </c>
      <c r="E1280" s="2" t="s">
        <v>64</v>
      </c>
      <c r="F1280" s="2" t="s">
        <v>65</v>
      </c>
      <c r="G1280" s="2" t="s">
        <v>66</v>
      </c>
      <c r="H1280" s="2" t="n">
        <v>6</v>
      </c>
      <c r="I1280" s="2" t="n">
        <v>600</v>
      </c>
      <c r="J1280" s="2" t="n">
        <v>0.05</v>
      </c>
      <c r="K1280" s="2" t="n">
        <v>300</v>
      </c>
    </row>
    <row r="1281" customFormat="false" ht="15" hidden="false" customHeight="false" outlineLevel="0" collapsed="false">
      <c r="A1281" s="2" t="s">
        <v>1847</v>
      </c>
      <c r="B1281" s="2" t="s">
        <v>1843</v>
      </c>
      <c r="C1281" s="10" t="n">
        <v>45803</v>
      </c>
      <c r="D1281" s="2" t="s">
        <v>63</v>
      </c>
      <c r="E1281" s="2" t="s">
        <v>64</v>
      </c>
      <c r="F1281" s="2" t="s">
        <v>70</v>
      </c>
      <c r="G1281" s="2" t="s">
        <v>71</v>
      </c>
      <c r="H1281" s="2" t="n">
        <v>3</v>
      </c>
      <c r="I1281" s="2" t="n">
        <v>2500</v>
      </c>
      <c r="J1281" s="2" t="n">
        <v>0</v>
      </c>
      <c r="K1281" s="2" t="n">
        <v>1600</v>
      </c>
    </row>
    <row r="1282" customFormat="false" ht="15" hidden="false" customHeight="false" outlineLevel="0" collapsed="false">
      <c r="A1282" s="2" t="s">
        <v>1848</v>
      </c>
      <c r="B1282" s="2" t="s">
        <v>1843</v>
      </c>
      <c r="C1282" s="10" t="n">
        <v>45893</v>
      </c>
      <c r="D1282" s="2" t="s">
        <v>63</v>
      </c>
      <c r="E1282" s="2" t="s">
        <v>64</v>
      </c>
      <c r="F1282" s="2" t="s">
        <v>65</v>
      </c>
      <c r="G1282" s="2" t="s">
        <v>66</v>
      </c>
      <c r="H1282" s="2" t="n">
        <v>4</v>
      </c>
      <c r="I1282" s="2" t="n">
        <v>600</v>
      </c>
      <c r="J1282" s="2" t="n">
        <v>0</v>
      </c>
      <c r="K1282" s="2" t="n">
        <v>300</v>
      </c>
    </row>
    <row r="1283" customFormat="false" ht="15" hidden="false" customHeight="false" outlineLevel="0" collapsed="false">
      <c r="A1283" s="2" t="s">
        <v>1849</v>
      </c>
      <c r="B1283" s="2" t="s">
        <v>1843</v>
      </c>
      <c r="C1283" s="10" t="n">
        <v>45953</v>
      </c>
      <c r="D1283" s="2" t="s">
        <v>63</v>
      </c>
      <c r="E1283" s="2" t="s">
        <v>64</v>
      </c>
      <c r="F1283" s="2" t="s">
        <v>73</v>
      </c>
      <c r="G1283" s="2" t="s">
        <v>74</v>
      </c>
      <c r="H1283" s="2" t="n">
        <v>2</v>
      </c>
      <c r="I1283" s="2" t="n">
        <v>7000</v>
      </c>
      <c r="J1283" s="2" t="n">
        <v>0.05</v>
      </c>
      <c r="K1283" s="2" t="n">
        <v>4800</v>
      </c>
    </row>
    <row r="1284" customFormat="false" ht="15" hidden="false" customHeight="false" outlineLevel="0" collapsed="false">
      <c r="A1284" s="2" t="s">
        <v>1850</v>
      </c>
      <c r="B1284" s="2" t="s">
        <v>1843</v>
      </c>
      <c r="C1284" s="10" t="n">
        <v>45985</v>
      </c>
      <c r="D1284" s="2" t="s">
        <v>63</v>
      </c>
      <c r="E1284" s="2" t="s">
        <v>64</v>
      </c>
      <c r="F1284" s="2" t="s">
        <v>65</v>
      </c>
      <c r="G1284" s="2" t="s">
        <v>82</v>
      </c>
      <c r="H1284" s="2" t="n">
        <v>6</v>
      </c>
      <c r="I1284" s="2" t="n">
        <v>250</v>
      </c>
      <c r="J1284" s="2" t="n">
        <v>0.15</v>
      </c>
      <c r="K1284" s="2" t="n">
        <v>100</v>
      </c>
    </row>
    <row r="1285" customFormat="false" ht="15" hidden="false" customHeight="false" outlineLevel="0" collapsed="false">
      <c r="A1285" s="2" t="s">
        <v>1851</v>
      </c>
      <c r="B1285" s="2" t="s">
        <v>1843</v>
      </c>
      <c r="C1285" s="10" t="n">
        <v>45940</v>
      </c>
      <c r="D1285" s="2" t="s">
        <v>63</v>
      </c>
      <c r="E1285" s="2" t="s">
        <v>64</v>
      </c>
      <c r="F1285" s="2" t="s">
        <v>70</v>
      </c>
      <c r="G1285" s="2" t="s">
        <v>97</v>
      </c>
      <c r="H1285" s="2" t="n">
        <v>1</v>
      </c>
      <c r="I1285" s="2" t="n">
        <v>3000</v>
      </c>
      <c r="J1285" s="2" t="n">
        <v>0.1</v>
      </c>
      <c r="K1285" s="2" t="n">
        <v>2000</v>
      </c>
    </row>
    <row r="1286" customFormat="false" ht="15" hidden="false" customHeight="false" outlineLevel="0" collapsed="false">
      <c r="A1286" s="2" t="s">
        <v>1852</v>
      </c>
      <c r="B1286" s="2" t="s">
        <v>1843</v>
      </c>
      <c r="C1286" s="10" t="n">
        <v>45724</v>
      </c>
      <c r="D1286" s="2" t="s">
        <v>63</v>
      </c>
      <c r="E1286" s="2" t="s">
        <v>64</v>
      </c>
      <c r="F1286" s="2" t="s">
        <v>65</v>
      </c>
      <c r="G1286" s="2" t="s">
        <v>107</v>
      </c>
      <c r="H1286" s="2" t="n">
        <v>5</v>
      </c>
      <c r="I1286" s="2" t="n">
        <v>500</v>
      </c>
      <c r="J1286" s="2" t="n">
        <v>0.05</v>
      </c>
      <c r="K1286" s="2" t="n">
        <v>250</v>
      </c>
    </row>
    <row r="1287" customFormat="false" ht="15" hidden="false" customHeight="false" outlineLevel="0" collapsed="false">
      <c r="A1287" s="2" t="s">
        <v>1853</v>
      </c>
      <c r="B1287" s="2" t="s">
        <v>1843</v>
      </c>
      <c r="C1287" s="10" t="n">
        <v>45821</v>
      </c>
      <c r="D1287" s="2" t="s">
        <v>63</v>
      </c>
      <c r="E1287" s="2" t="s">
        <v>64</v>
      </c>
      <c r="F1287" s="2" t="s">
        <v>70</v>
      </c>
      <c r="G1287" s="2" t="s">
        <v>97</v>
      </c>
      <c r="H1287" s="2" t="n">
        <v>1</v>
      </c>
      <c r="I1287" s="2" t="n">
        <v>3000</v>
      </c>
      <c r="J1287" s="2" t="n">
        <v>0.05</v>
      </c>
      <c r="K1287" s="2" t="n">
        <v>2000</v>
      </c>
    </row>
    <row r="1288" customFormat="false" ht="15" hidden="false" customHeight="false" outlineLevel="0" collapsed="false">
      <c r="A1288" s="2" t="s">
        <v>1854</v>
      </c>
      <c r="B1288" s="2" t="s">
        <v>1843</v>
      </c>
      <c r="C1288" s="10" t="n">
        <v>45768</v>
      </c>
      <c r="D1288" s="2" t="s">
        <v>63</v>
      </c>
      <c r="E1288" s="2" t="s">
        <v>64</v>
      </c>
      <c r="F1288" s="2" t="s">
        <v>65</v>
      </c>
      <c r="G1288" s="2" t="s">
        <v>66</v>
      </c>
      <c r="H1288" s="2" t="n">
        <v>8</v>
      </c>
      <c r="I1288" s="2" t="n">
        <v>600</v>
      </c>
      <c r="J1288" s="2" t="n">
        <v>0</v>
      </c>
      <c r="K1288" s="2" t="n">
        <v>300</v>
      </c>
    </row>
    <row r="1289" customFormat="false" ht="15" hidden="false" customHeight="false" outlineLevel="0" collapsed="false">
      <c r="A1289" s="2" t="s">
        <v>1855</v>
      </c>
      <c r="B1289" s="2" t="s">
        <v>1856</v>
      </c>
      <c r="C1289" s="10" t="n">
        <v>45913</v>
      </c>
      <c r="D1289" s="2" t="s">
        <v>81</v>
      </c>
      <c r="E1289" s="2" t="s">
        <v>92</v>
      </c>
      <c r="F1289" s="2" t="s">
        <v>73</v>
      </c>
      <c r="G1289" s="2" t="s">
        <v>85</v>
      </c>
      <c r="H1289" s="2" t="n">
        <v>3</v>
      </c>
      <c r="I1289" s="2" t="n">
        <v>1200</v>
      </c>
      <c r="J1289" s="2" t="n">
        <v>0.15</v>
      </c>
      <c r="K1289" s="2" t="n">
        <v>600</v>
      </c>
    </row>
    <row r="1290" customFormat="false" ht="15" hidden="false" customHeight="false" outlineLevel="0" collapsed="false">
      <c r="A1290" s="2" t="s">
        <v>1857</v>
      </c>
      <c r="B1290" s="2" t="s">
        <v>1856</v>
      </c>
      <c r="C1290" s="10" t="n">
        <v>45761</v>
      </c>
      <c r="D1290" s="2" t="s">
        <v>81</v>
      </c>
      <c r="E1290" s="2" t="s">
        <v>92</v>
      </c>
      <c r="F1290" s="2" t="s">
        <v>73</v>
      </c>
      <c r="G1290" s="2" t="s">
        <v>104</v>
      </c>
      <c r="H1290" s="2" t="n">
        <v>6</v>
      </c>
      <c r="I1290" s="2" t="n">
        <v>5500</v>
      </c>
      <c r="J1290" s="2" t="n">
        <v>0.05</v>
      </c>
      <c r="K1290" s="2" t="n">
        <v>3600</v>
      </c>
    </row>
    <row r="1291" customFormat="false" ht="15" hidden="false" customHeight="false" outlineLevel="0" collapsed="false">
      <c r="A1291" s="2" t="s">
        <v>1858</v>
      </c>
      <c r="B1291" s="2" t="s">
        <v>1856</v>
      </c>
      <c r="C1291" s="10" t="n">
        <v>45975</v>
      </c>
      <c r="D1291" s="2" t="s">
        <v>81</v>
      </c>
      <c r="E1291" s="2" t="s">
        <v>92</v>
      </c>
      <c r="F1291" s="2" t="s">
        <v>73</v>
      </c>
      <c r="G1291" s="2" t="s">
        <v>87</v>
      </c>
      <c r="H1291" s="2" t="n">
        <v>2</v>
      </c>
      <c r="I1291" s="2" t="n">
        <v>9000</v>
      </c>
      <c r="J1291" s="2" t="n">
        <v>0.05</v>
      </c>
      <c r="K1291" s="2" t="n">
        <v>6200</v>
      </c>
    </row>
    <row r="1292" customFormat="false" ht="15" hidden="false" customHeight="false" outlineLevel="0" collapsed="false">
      <c r="A1292" s="2" t="s">
        <v>1859</v>
      </c>
      <c r="B1292" s="2" t="s">
        <v>1856</v>
      </c>
      <c r="C1292" s="10" t="n">
        <v>45676</v>
      </c>
      <c r="D1292" s="2" t="s">
        <v>81</v>
      </c>
      <c r="E1292" s="2" t="s">
        <v>92</v>
      </c>
      <c r="F1292" s="2" t="s">
        <v>70</v>
      </c>
      <c r="G1292" s="2" t="s">
        <v>71</v>
      </c>
      <c r="H1292" s="2" t="n">
        <v>5</v>
      </c>
      <c r="I1292" s="2" t="n">
        <v>2500</v>
      </c>
      <c r="J1292" s="2" t="n">
        <v>0.1</v>
      </c>
      <c r="K1292" s="2" t="n">
        <v>1600</v>
      </c>
    </row>
    <row r="1293" customFormat="false" ht="15" hidden="false" customHeight="false" outlineLevel="0" collapsed="false">
      <c r="A1293" s="2" t="s">
        <v>1860</v>
      </c>
      <c r="B1293" s="2" t="s">
        <v>1861</v>
      </c>
      <c r="C1293" s="10" t="n">
        <v>45701</v>
      </c>
      <c r="D1293" s="2" t="s">
        <v>81</v>
      </c>
      <c r="E1293" s="2" t="s">
        <v>92</v>
      </c>
      <c r="F1293" s="2" t="s">
        <v>73</v>
      </c>
      <c r="G1293" s="2" t="s">
        <v>85</v>
      </c>
      <c r="H1293" s="2" t="n">
        <v>2</v>
      </c>
      <c r="I1293" s="2" t="n">
        <v>1200</v>
      </c>
      <c r="J1293" s="2" t="n">
        <v>0</v>
      </c>
      <c r="K1293" s="2" t="n">
        <v>600</v>
      </c>
    </row>
    <row r="1294" customFormat="false" ht="15" hidden="false" customHeight="false" outlineLevel="0" collapsed="false">
      <c r="A1294" s="2" t="s">
        <v>1862</v>
      </c>
      <c r="B1294" s="2" t="s">
        <v>1861</v>
      </c>
      <c r="C1294" s="10" t="n">
        <v>46003</v>
      </c>
      <c r="D1294" s="2" t="s">
        <v>81</v>
      </c>
      <c r="E1294" s="2" t="s">
        <v>92</v>
      </c>
      <c r="F1294" s="2" t="s">
        <v>70</v>
      </c>
      <c r="G1294" s="2" t="s">
        <v>122</v>
      </c>
      <c r="H1294" s="2" t="n">
        <v>8</v>
      </c>
      <c r="I1294" s="2" t="n">
        <v>1500</v>
      </c>
      <c r="J1294" s="2" t="n">
        <v>0.15</v>
      </c>
      <c r="K1294" s="2" t="n">
        <v>900</v>
      </c>
    </row>
    <row r="1295" customFormat="false" ht="15" hidden="false" customHeight="false" outlineLevel="0" collapsed="false">
      <c r="A1295" s="2" t="s">
        <v>1863</v>
      </c>
      <c r="B1295" s="2" t="s">
        <v>1861</v>
      </c>
      <c r="C1295" s="10" t="n">
        <v>45905</v>
      </c>
      <c r="D1295" s="2" t="s">
        <v>81</v>
      </c>
      <c r="E1295" s="2" t="s">
        <v>92</v>
      </c>
      <c r="F1295" s="2" t="s">
        <v>70</v>
      </c>
      <c r="G1295" s="2" t="s">
        <v>126</v>
      </c>
      <c r="H1295" s="2" t="n">
        <v>2</v>
      </c>
      <c r="I1295" s="2" t="n">
        <v>4500</v>
      </c>
      <c r="J1295" s="2" t="n">
        <v>0</v>
      </c>
      <c r="K1295" s="2" t="n">
        <v>3300</v>
      </c>
    </row>
    <row r="1296" customFormat="false" ht="15" hidden="false" customHeight="false" outlineLevel="0" collapsed="false">
      <c r="A1296" s="2" t="s">
        <v>1864</v>
      </c>
      <c r="B1296" s="2" t="s">
        <v>1861</v>
      </c>
      <c r="C1296" s="10" t="n">
        <v>46009</v>
      </c>
      <c r="D1296" s="2" t="s">
        <v>81</v>
      </c>
      <c r="E1296" s="2" t="s">
        <v>92</v>
      </c>
      <c r="F1296" s="2" t="s">
        <v>73</v>
      </c>
      <c r="G1296" s="2" t="s">
        <v>87</v>
      </c>
      <c r="H1296" s="2" t="n">
        <v>8</v>
      </c>
      <c r="I1296" s="2" t="n">
        <v>9000</v>
      </c>
      <c r="J1296" s="2" t="n">
        <v>0.05</v>
      </c>
      <c r="K1296" s="2" t="n">
        <v>6200</v>
      </c>
    </row>
    <row r="1297" customFormat="false" ht="15" hidden="false" customHeight="false" outlineLevel="0" collapsed="false">
      <c r="A1297" s="2" t="s">
        <v>1865</v>
      </c>
      <c r="B1297" s="2" t="s">
        <v>1861</v>
      </c>
      <c r="C1297" s="10" t="n">
        <v>45971</v>
      </c>
      <c r="D1297" s="2" t="s">
        <v>81</v>
      </c>
      <c r="E1297" s="2" t="s">
        <v>92</v>
      </c>
      <c r="F1297" s="2" t="s">
        <v>70</v>
      </c>
      <c r="G1297" s="2" t="s">
        <v>126</v>
      </c>
      <c r="H1297" s="2" t="n">
        <v>2</v>
      </c>
      <c r="I1297" s="2" t="n">
        <v>4500</v>
      </c>
      <c r="J1297" s="2" t="n">
        <v>0.1</v>
      </c>
      <c r="K1297" s="2" t="n">
        <v>3300</v>
      </c>
    </row>
    <row r="1298" customFormat="false" ht="15" hidden="false" customHeight="false" outlineLevel="0" collapsed="false">
      <c r="A1298" s="2" t="s">
        <v>1866</v>
      </c>
      <c r="B1298" s="2" t="s">
        <v>1861</v>
      </c>
      <c r="C1298" s="10" t="n">
        <v>45699</v>
      </c>
      <c r="D1298" s="2" t="s">
        <v>81</v>
      </c>
      <c r="E1298" s="2" t="s">
        <v>92</v>
      </c>
      <c r="F1298" s="2" t="s">
        <v>65</v>
      </c>
      <c r="G1298" s="2" t="s">
        <v>107</v>
      </c>
      <c r="H1298" s="2" t="n">
        <v>28</v>
      </c>
      <c r="I1298" s="2" t="n">
        <v>500</v>
      </c>
      <c r="J1298" s="2" t="n">
        <v>0.05</v>
      </c>
      <c r="K1298" s="2" t="n">
        <v>250</v>
      </c>
    </row>
    <row r="1299" customFormat="false" ht="15" hidden="false" customHeight="false" outlineLevel="0" collapsed="false">
      <c r="A1299" s="2" t="s">
        <v>1867</v>
      </c>
      <c r="B1299" s="2" t="s">
        <v>1861</v>
      </c>
      <c r="C1299" s="10" t="n">
        <v>45757</v>
      </c>
      <c r="D1299" s="2" t="s">
        <v>81</v>
      </c>
      <c r="E1299" s="2" t="s">
        <v>92</v>
      </c>
      <c r="F1299" s="2" t="s">
        <v>70</v>
      </c>
      <c r="G1299" s="2" t="s">
        <v>71</v>
      </c>
      <c r="H1299" s="2" t="n">
        <v>6</v>
      </c>
      <c r="I1299" s="2" t="n">
        <v>2500</v>
      </c>
      <c r="J1299" s="2" t="n">
        <v>0.15</v>
      </c>
      <c r="K1299" s="2" t="n">
        <v>1600</v>
      </c>
    </row>
    <row r="1300" customFormat="false" ht="15" hidden="false" customHeight="false" outlineLevel="0" collapsed="false">
      <c r="A1300" s="2" t="s">
        <v>1868</v>
      </c>
      <c r="B1300" s="2" t="s">
        <v>1861</v>
      </c>
      <c r="C1300" s="10" t="n">
        <v>45735</v>
      </c>
      <c r="D1300" s="2" t="s">
        <v>81</v>
      </c>
      <c r="E1300" s="2" t="s">
        <v>92</v>
      </c>
      <c r="F1300" s="2" t="s">
        <v>73</v>
      </c>
      <c r="G1300" s="2" t="s">
        <v>74</v>
      </c>
      <c r="H1300" s="2" t="n">
        <v>5</v>
      </c>
      <c r="I1300" s="2" t="n">
        <v>7000</v>
      </c>
      <c r="J1300" s="2" t="n">
        <v>0</v>
      </c>
      <c r="K1300" s="2" t="n">
        <v>4800</v>
      </c>
    </row>
    <row r="1301" customFormat="false" ht="15" hidden="false" customHeight="false" outlineLevel="0" collapsed="false">
      <c r="A1301" s="2" t="s">
        <v>1869</v>
      </c>
      <c r="B1301" s="2" t="s">
        <v>1870</v>
      </c>
      <c r="C1301" s="10" t="n">
        <v>45940</v>
      </c>
      <c r="D1301" s="2" t="s">
        <v>63</v>
      </c>
      <c r="E1301" s="2" t="s">
        <v>64</v>
      </c>
      <c r="F1301" s="2" t="s">
        <v>65</v>
      </c>
      <c r="G1301" s="2" t="s">
        <v>82</v>
      </c>
      <c r="H1301" s="2" t="n">
        <v>6</v>
      </c>
      <c r="I1301" s="2" t="n">
        <v>250</v>
      </c>
      <c r="J1301" s="2" t="n">
        <v>0.1</v>
      </c>
      <c r="K1301" s="2" t="n">
        <v>100</v>
      </c>
    </row>
    <row r="1302" customFormat="false" ht="15" hidden="false" customHeight="false" outlineLevel="0" collapsed="false">
      <c r="A1302" s="2" t="s">
        <v>1871</v>
      </c>
      <c r="B1302" s="2" t="s">
        <v>1870</v>
      </c>
      <c r="C1302" s="10" t="n">
        <v>45853</v>
      </c>
      <c r="D1302" s="2" t="s">
        <v>63</v>
      </c>
      <c r="E1302" s="2" t="s">
        <v>64</v>
      </c>
      <c r="F1302" s="2" t="s">
        <v>70</v>
      </c>
      <c r="G1302" s="2" t="s">
        <v>126</v>
      </c>
      <c r="H1302" s="2"/>
      <c r="I1302" s="2" t="n">
        <v>4500</v>
      </c>
      <c r="J1302" s="2" t="n">
        <v>0</v>
      </c>
      <c r="K1302" s="2" t="n">
        <v>3300</v>
      </c>
    </row>
    <row r="1303" customFormat="false" ht="15" hidden="false" customHeight="false" outlineLevel="0" collapsed="false">
      <c r="A1303" s="2" t="s">
        <v>1872</v>
      </c>
      <c r="B1303" s="2" t="s">
        <v>1870</v>
      </c>
      <c r="C1303" s="10" t="n">
        <v>45964</v>
      </c>
      <c r="D1303" s="2" t="s">
        <v>63</v>
      </c>
      <c r="E1303" s="2" t="s">
        <v>64</v>
      </c>
      <c r="F1303" s="2" t="s">
        <v>65</v>
      </c>
      <c r="G1303" s="2" t="s">
        <v>66</v>
      </c>
      <c r="H1303" s="2"/>
      <c r="I1303" s="2" t="n">
        <v>600</v>
      </c>
      <c r="J1303" s="2" t="n">
        <v>0.15</v>
      </c>
      <c r="K1303" s="2" t="n">
        <v>300</v>
      </c>
    </row>
    <row r="1304" customFormat="false" ht="15" hidden="false" customHeight="false" outlineLevel="0" collapsed="false">
      <c r="A1304" s="2" t="s">
        <v>1873</v>
      </c>
      <c r="B1304" s="2" t="s">
        <v>1870</v>
      </c>
      <c r="C1304" s="10" t="n">
        <v>45700</v>
      </c>
      <c r="D1304" s="2" t="s">
        <v>63</v>
      </c>
      <c r="E1304" s="2" t="s">
        <v>64</v>
      </c>
      <c r="F1304" s="2" t="s">
        <v>70</v>
      </c>
      <c r="G1304" s="2" t="s">
        <v>71</v>
      </c>
      <c r="H1304" s="2" t="n">
        <v>3</v>
      </c>
      <c r="I1304" s="2" t="n">
        <v>2500</v>
      </c>
      <c r="J1304" s="2" t="n">
        <v>0</v>
      </c>
      <c r="K1304" s="2" t="n">
        <v>1600</v>
      </c>
    </row>
    <row r="1305" customFormat="false" ht="15" hidden="false" customHeight="false" outlineLevel="0" collapsed="false">
      <c r="A1305" s="2" t="s">
        <v>1874</v>
      </c>
      <c r="B1305" s="2" t="s">
        <v>1870</v>
      </c>
      <c r="C1305" s="10" t="n">
        <v>45848</v>
      </c>
      <c r="D1305" s="2" t="s">
        <v>63</v>
      </c>
      <c r="E1305" s="2" t="s">
        <v>64</v>
      </c>
      <c r="F1305" s="2" t="s">
        <v>70</v>
      </c>
      <c r="G1305" s="2" t="s">
        <v>71</v>
      </c>
      <c r="H1305" s="2" t="n">
        <v>2</v>
      </c>
      <c r="I1305" s="2" t="n">
        <v>2500</v>
      </c>
      <c r="J1305" s="2" t="n">
        <v>0.1</v>
      </c>
      <c r="K1305" s="2" t="n">
        <v>1600</v>
      </c>
    </row>
    <row r="1306" customFormat="false" ht="15" hidden="false" customHeight="false" outlineLevel="0" collapsed="false">
      <c r="A1306" s="2" t="s">
        <v>1875</v>
      </c>
      <c r="B1306" s="2" t="s">
        <v>1870</v>
      </c>
      <c r="C1306" s="10" t="n">
        <v>45970</v>
      </c>
      <c r="D1306" s="2" t="s">
        <v>63</v>
      </c>
      <c r="E1306" s="2" t="s">
        <v>64</v>
      </c>
      <c r="F1306" s="2" t="s">
        <v>73</v>
      </c>
      <c r="G1306" s="2" t="s">
        <v>104</v>
      </c>
      <c r="H1306" s="2" t="n">
        <v>2</v>
      </c>
      <c r="I1306" s="2" t="n">
        <v>5500</v>
      </c>
      <c r="J1306" s="2" t="n">
        <v>0.15</v>
      </c>
      <c r="K1306" s="2" t="n">
        <v>3600</v>
      </c>
    </row>
    <row r="1307" customFormat="false" ht="15" hidden="false" customHeight="false" outlineLevel="0" collapsed="false">
      <c r="A1307" s="2" t="s">
        <v>1876</v>
      </c>
      <c r="B1307" s="2" t="s">
        <v>1877</v>
      </c>
      <c r="C1307" s="10" t="n">
        <v>45834</v>
      </c>
      <c r="D1307" s="2" t="s">
        <v>77</v>
      </c>
      <c r="E1307" s="2" t="s">
        <v>64</v>
      </c>
      <c r="F1307" s="2" t="s">
        <v>73</v>
      </c>
      <c r="G1307" s="2" t="s">
        <v>87</v>
      </c>
      <c r="H1307" s="2" t="n">
        <v>2</v>
      </c>
      <c r="I1307" s="2" t="n">
        <v>9000</v>
      </c>
      <c r="J1307" s="2" t="n">
        <v>0.1</v>
      </c>
      <c r="K1307" s="2" t="n">
        <v>6200</v>
      </c>
    </row>
    <row r="1308" customFormat="false" ht="15" hidden="false" customHeight="false" outlineLevel="0" collapsed="false">
      <c r="A1308" s="2" t="s">
        <v>1878</v>
      </c>
      <c r="B1308" s="2" t="s">
        <v>1879</v>
      </c>
      <c r="C1308" s="10" t="n">
        <v>45926</v>
      </c>
      <c r="D1308" s="2" t="s">
        <v>81</v>
      </c>
      <c r="E1308" s="2" t="s">
        <v>92</v>
      </c>
      <c r="F1308" s="2" t="s">
        <v>70</v>
      </c>
      <c r="G1308" s="2" t="s">
        <v>126</v>
      </c>
      <c r="H1308" s="2" t="n">
        <v>7</v>
      </c>
      <c r="I1308" s="2" t="n">
        <v>4500</v>
      </c>
      <c r="J1308" s="2" t="n">
        <v>0.05</v>
      </c>
      <c r="K1308" s="2" t="n">
        <v>3300</v>
      </c>
    </row>
    <row r="1309" customFormat="false" ht="15" hidden="false" customHeight="false" outlineLevel="0" collapsed="false">
      <c r="A1309" s="2" t="s">
        <v>1880</v>
      </c>
      <c r="B1309" s="2" t="s">
        <v>1879</v>
      </c>
      <c r="C1309" s="10" t="n">
        <v>45850</v>
      </c>
      <c r="D1309" s="2" t="s">
        <v>81</v>
      </c>
      <c r="E1309" s="2" t="s">
        <v>92</v>
      </c>
      <c r="F1309" s="2" t="s">
        <v>73</v>
      </c>
      <c r="G1309" s="2" t="s">
        <v>74</v>
      </c>
      <c r="H1309" s="2" t="n">
        <v>8</v>
      </c>
      <c r="I1309" s="2" t="n">
        <v>7000</v>
      </c>
      <c r="J1309" s="2" t="n">
        <v>0.05</v>
      </c>
      <c r="K1309" s="2" t="n">
        <v>4800</v>
      </c>
    </row>
    <row r="1310" customFormat="false" ht="15" hidden="false" customHeight="false" outlineLevel="0" collapsed="false">
      <c r="A1310" s="2" t="s">
        <v>1881</v>
      </c>
      <c r="B1310" s="2" t="s">
        <v>1879</v>
      </c>
      <c r="C1310" s="10" t="n">
        <v>45976</v>
      </c>
      <c r="D1310" s="2" t="s">
        <v>81</v>
      </c>
      <c r="E1310" s="2" t="s">
        <v>92</v>
      </c>
      <c r="F1310" s="2" t="s">
        <v>73</v>
      </c>
      <c r="G1310" s="2" t="s">
        <v>104</v>
      </c>
      <c r="H1310" s="2" t="n">
        <v>3</v>
      </c>
      <c r="I1310" s="2" t="n">
        <v>5500</v>
      </c>
      <c r="J1310" s="2" t="n">
        <v>0.15</v>
      </c>
      <c r="K1310" s="2" t="n">
        <v>3600</v>
      </c>
    </row>
    <row r="1311" customFormat="false" ht="15" hidden="false" customHeight="false" outlineLevel="0" collapsed="false">
      <c r="A1311" s="2" t="s">
        <v>1882</v>
      </c>
      <c r="B1311" s="2" t="s">
        <v>1883</v>
      </c>
      <c r="C1311" s="10" t="n">
        <v>45753</v>
      </c>
      <c r="D1311" s="2" t="s">
        <v>63</v>
      </c>
      <c r="E1311" s="2" t="s">
        <v>64</v>
      </c>
      <c r="F1311" s="2" t="s">
        <v>70</v>
      </c>
      <c r="G1311" s="2" t="s">
        <v>126</v>
      </c>
      <c r="H1311" s="2" t="n">
        <v>3</v>
      </c>
      <c r="I1311" s="2" t="n">
        <v>4500</v>
      </c>
      <c r="J1311" s="2" t="n">
        <v>0</v>
      </c>
      <c r="K1311" s="2" t="n">
        <v>3300</v>
      </c>
    </row>
    <row r="1312" customFormat="false" ht="15" hidden="false" customHeight="false" outlineLevel="0" collapsed="false">
      <c r="A1312" s="2" t="s">
        <v>1884</v>
      </c>
      <c r="B1312" s="2" t="s">
        <v>1883</v>
      </c>
      <c r="C1312" s="10" t="n">
        <v>45779</v>
      </c>
      <c r="D1312" s="2" t="s">
        <v>63</v>
      </c>
      <c r="E1312" s="2" t="s">
        <v>64</v>
      </c>
      <c r="F1312" s="2" t="s">
        <v>73</v>
      </c>
      <c r="G1312" s="2" t="s">
        <v>85</v>
      </c>
      <c r="H1312" s="2" t="n">
        <v>3</v>
      </c>
      <c r="I1312" s="2" t="n">
        <v>1200</v>
      </c>
      <c r="J1312" s="2" t="n">
        <v>0.05</v>
      </c>
      <c r="K1312" s="2" t="n">
        <v>600</v>
      </c>
    </row>
    <row r="1313" customFormat="false" ht="15" hidden="false" customHeight="false" outlineLevel="0" collapsed="false">
      <c r="A1313" s="2" t="s">
        <v>1885</v>
      </c>
      <c r="B1313" s="2" t="s">
        <v>1883</v>
      </c>
      <c r="C1313" s="10" t="n">
        <v>45968</v>
      </c>
      <c r="D1313" s="2" t="s">
        <v>63</v>
      </c>
      <c r="E1313" s="2" t="s">
        <v>64</v>
      </c>
      <c r="F1313" s="2" t="s">
        <v>65</v>
      </c>
      <c r="G1313" s="2" t="s">
        <v>82</v>
      </c>
      <c r="H1313" s="2" t="n">
        <v>5</v>
      </c>
      <c r="I1313" s="2" t="n">
        <v>250</v>
      </c>
      <c r="J1313" s="2" t="n">
        <v>0.1</v>
      </c>
      <c r="K1313" s="2" t="n">
        <v>100</v>
      </c>
    </row>
    <row r="1314" customFormat="false" ht="15" hidden="false" customHeight="false" outlineLevel="0" collapsed="false">
      <c r="A1314" s="2" t="s">
        <v>1886</v>
      </c>
      <c r="B1314" s="2" t="s">
        <v>1883</v>
      </c>
      <c r="C1314" s="10" t="n">
        <v>45729</v>
      </c>
      <c r="D1314" s="2" t="s">
        <v>63</v>
      </c>
      <c r="E1314" s="2" t="s">
        <v>64</v>
      </c>
      <c r="F1314" s="2" t="s">
        <v>65</v>
      </c>
      <c r="G1314" s="2" t="s">
        <v>66</v>
      </c>
      <c r="H1314" s="2" t="n">
        <v>7</v>
      </c>
      <c r="I1314" s="2" t="n">
        <v>600</v>
      </c>
      <c r="J1314" s="2" t="n">
        <v>0.1</v>
      </c>
      <c r="K1314" s="2" t="n">
        <v>300</v>
      </c>
    </row>
    <row r="1315" customFormat="false" ht="15" hidden="false" customHeight="false" outlineLevel="0" collapsed="false">
      <c r="A1315" s="2" t="s">
        <v>1887</v>
      </c>
      <c r="B1315" s="2" t="s">
        <v>1883</v>
      </c>
      <c r="C1315" s="10" t="n">
        <v>46016</v>
      </c>
      <c r="D1315" s="2" t="s">
        <v>63</v>
      </c>
      <c r="E1315" s="2" t="s">
        <v>64</v>
      </c>
      <c r="F1315" s="2" t="s">
        <v>70</v>
      </c>
      <c r="G1315" s="2" t="s">
        <v>97</v>
      </c>
      <c r="H1315" s="2" t="n">
        <v>1</v>
      </c>
      <c r="I1315" s="2" t="n">
        <v>3000</v>
      </c>
      <c r="J1315" s="2" t="n">
        <v>0.15</v>
      </c>
      <c r="K1315" s="2" t="n">
        <v>2000</v>
      </c>
    </row>
    <row r="1316" customFormat="false" ht="15" hidden="false" customHeight="false" outlineLevel="0" collapsed="false">
      <c r="A1316" s="2" t="s">
        <v>1888</v>
      </c>
      <c r="B1316" s="2" t="s">
        <v>1883</v>
      </c>
      <c r="C1316" s="10" t="n">
        <v>45755</v>
      </c>
      <c r="D1316" s="2" t="s">
        <v>63</v>
      </c>
      <c r="E1316" s="2" t="s">
        <v>64</v>
      </c>
      <c r="F1316" s="2" t="s">
        <v>70</v>
      </c>
      <c r="G1316" s="2" t="s">
        <v>122</v>
      </c>
      <c r="H1316" s="2" t="n">
        <v>3</v>
      </c>
      <c r="I1316" s="2" t="n">
        <v>1500</v>
      </c>
      <c r="J1316" s="2" t="n">
        <v>0</v>
      </c>
      <c r="K1316" s="2" t="n">
        <v>900</v>
      </c>
    </row>
    <row r="1317" customFormat="false" ht="15" hidden="false" customHeight="false" outlineLevel="0" collapsed="false">
      <c r="A1317" s="2" t="s">
        <v>1889</v>
      </c>
      <c r="B1317" s="2" t="s">
        <v>1883</v>
      </c>
      <c r="C1317" s="10" t="n">
        <v>45987</v>
      </c>
      <c r="D1317" s="2" t="s">
        <v>63</v>
      </c>
      <c r="E1317" s="2" t="s">
        <v>64</v>
      </c>
      <c r="F1317" s="2" t="s">
        <v>65</v>
      </c>
      <c r="G1317" s="2" t="s">
        <v>78</v>
      </c>
      <c r="H1317" s="2" t="n">
        <v>7</v>
      </c>
      <c r="I1317" s="2" t="n">
        <v>400</v>
      </c>
      <c r="J1317" s="2" t="n">
        <v>0.05</v>
      </c>
      <c r="K1317" s="2" t="n">
        <v>200</v>
      </c>
    </row>
    <row r="1318" customFormat="false" ht="15" hidden="false" customHeight="false" outlineLevel="0" collapsed="false">
      <c r="A1318" s="2" t="s">
        <v>1890</v>
      </c>
      <c r="B1318" s="2" t="s">
        <v>1883</v>
      </c>
      <c r="C1318" s="10" t="n">
        <v>45797</v>
      </c>
      <c r="D1318" s="2" t="s">
        <v>63</v>
      </c>
      <c r="E1318" s="2" t="s">
        <v>64</v>
      </c>
      <c r="F1318" s="2" t="s">
        <v>70</v>
      </c>
      <c r="G1318" s="2" t="s">
        <v>122</v>
      </c>
      <c r="H1318" s="2" t="n">
        <v>2</v>
      </c>
      <c r="I1318" s="2" t="n">
        <v>1500</v>
      </c>
      <c r="J1318" s="2" t="n">
        <v>0</v>
      </c>
      <c r="K1318" s="2" t="n">
        <v>900</v>
      </c>
    </row>
    <row r="1319" customFormat="false" ht="15" hidden="false" customHeight="false" outlineLevel="0" collapsed="false">
      <c r="A1319" s="2" t="s">
        <v>1891</v>
      </c>
      <c r="B1319" s="2"/>
      <c r="C1319" s="10" t="n">
        <v>45967</v>
      </c>
      <c r="D1319" s="2" t="s">
        <v>63</v>
      </c>
      <c r="E1319" s="2" t="s">
        <v>64</v>
      </c>
      <c r="F1319" s="2" t="s">
        <v>73</v>
      </c>
      <c r="G1319" s="2" t="s">
        <v>104</v>
      </c>
      <c r="H1319" s="2" t="n">
        <v>1</v>
      </c>
      <c r="I1319" s="2" t="n">
        <v>5500</v>
      </c>
      <c r="J1319" s="2" t="n">
        <v>0.05</v>
      </c>
      <c r="K1319" s="2" t="n">
        <v>3600</v>
      </c>
    </row>
    <row r="1320" customFormat="false" ht="15" hidden="false" customHeight="false" outlineLevel="0" collapsed="false">
      <c r="A1320" s="2" t="s">
        <v>1892</v>
      </c>
      <c r="B1320" s="2" t="s">
        <v>1883</v>
      </c>
      <c r="C1320" s="10" t="n">
        <v>45897</v>
      </c>
      <c r="D1320" s="2" t="s">
        <v>63</v>
      </c>
      <c r="E1320" s="2" t="s">
        <v>64</v>
      </c>
      <c r="F1320" s="2" t="s">
        <v>65</v>
      </c>
      <c r="G1320" s="2" t="s">
        <v>78</v>
      </c>
      <c r="H1320" s="2" t="n">
        <v>3</v>
      </c>
      <c r="I1320" s="2" t="n">
        <v>400</v>
      </c>
      <c r="J1320" s="2" t="n">
        <v>0</v>
      </c>
      <c r="K1320" s="2" t="n">
        <v>200</v>
      </c>
    </row>
    <row r="1321" customFormat="false" ht="15" hidden="false" customHeight="false" outlineLevel="0" collapsed="false">
      <c r="A1321" s="2" t="s">
        <v>1893</v>
      </c>
      <c r="B1321" s="2" t="s">
        <v>1894</v>
      </c>
      <c r="C1321" s="10" t="n">
        <v>45969</v>
      </c>
      <c r="D1321" s="2" t="s">
        <v>91</v>
      </c>
      <c r="E1321" s="2" t="s">
        <v>64</v>
      </c>
      <c r="F1321" s="2" t="s">
        <v>65</v>
      </c>
      <c r="G1321" s="2" t="s">
        <v>78</v>
      </c>
      <c r="H1321" s="2"/>
      <c r="I1321" s="2" t="n">
        <v>400</v>
      </c>
      <c r="J1321" s="2" t="n">
        <v>0.15</v>
      </c>
      <c r="K1321" s="2" t="n">
        <v>200</v>
      </c>
    </row>
    <row r="1322" customFormat="false" ht="15" hidden="false" customHeight="false" outlineLevel="0" collapsed="false">
      <c r="A1322" s="2" t="s">
        <v>1895</v>
      </c>
      <c r="B1322" s="2" t="s">
        <v>1894</v>
      </c>
      <c r="C1322" s="10" t="n">
        <v>45784</v>
      </c>
      <c r="D1322" s="2" t="s">
        <v>91</v>
      </c>
      <c r="E1322" s="2" t="s">
        <v>64</v>
      </c>
      <c r="F1322" s="2" t="s">
        <v>70</v>
      </c>
      <c r="G1322" s="2" t="s">
        <v>122</v>
      </c>
      <c r="H1322" s="2" t="n">
        <v>2</v>
      </c>
      <c r="I1322" s="2" t="n">
        <v>1500</v>
      </c>
      <c r="J1322" s="2" t="n">
        <v>0</v>
      </c>
      <c r="K1322" s="2" t="n">
        <v>900</v>
      </c>
    </row>
    <row r="1323" customFormat="false" ht="15" hidden="false" customHeight="false" outlineLevel="0" collapsed="false">
      <c r="A1323" s="2" t="s">
        <v>1896</v>
      </c>
      <c r="B1323" s="2" t="s">
        <v>1897</v>
      </c>
      <c r="C1323" s="10" t="n">
        <v>45792</v>
      </c>
      <c r="D1323" s="2" t="s">
        <v>63</v>
      </c>
      <c r="E1323" s="2" t="s">
        <v>64</v>
      </c>
      <c r="F1323" s="2" t="s">
        <v>73</v>
      </c>
      <c r="G1323" s="2" t="s">
        <v>85</v>
      </c>
      <c r="H1323" s="2" t="n">
        <v>1</v>
      </c>
      <c r="I1323" s="2" t="n">
        <v>1200</v>
      </c>
      <c r="J1323" s="2" t="n">
        <v>0.05</v>
      </c>
      <c r="K1323" s="2" t="n">
        <v>600</v>
      </c>
    </row>
    <row r="1324" customFormat="false" ht="15" hidden="false" customHeight="false" outlineLevel="0" collapsed="false">
      <c r="A1324" s="2" t="s">
        <v>1898</v>
      </c>
      <c r="B1324" s="2" t="s">
        <v>1897</v>
      </c>
      <c r="C1324" s="10" t="n">
        <v>45692</v>
      </c>
      <c r="D1324" s="2" t="s">
        <v>63</v>
      </c>
      <c r="E1324" s="2" t="s">
        <v>64</v>
      </c>
      <c r="F1324" s="2" t="s">
        <v>70</v>
      </c>
      <c r="G1324" s="2" t="s">
        <v>71</v>
      </c>
      <c r="H1324" s="2" t="n">
        <v>2</v>
      </c>
      <c r="I1324" s="2" t="n">
        <v>2500</v>
      </c>
      <c r="J1324" s="2" t="n">
        <v>0</v>
      </c>
      <c r="K1324" s="2" t="n">
        <v>1600</v>
      </c>
    </row>
    <row r="1325" customFormat="false" ht="15" hidden="false" customHeight="false" outlineLevel="0" collapsed="false">
      <c r="A1325" s="2" t="s">
        <v>1899</v>
      </c>
      <c r="B1325" s="2" t="s">
        <v>1897</v>
      </c>
      <c r="C1325" s="10" t="n">
        <v>45735</v>
      </c>
      <c r="D1325" s="2" t="s">
        <v>63</v>
      </c>
      <c r="E1325" s="2" t="s">
        <v>64</v>
      </c>
      <c r="F1325" s="2" t="s">
        <v>65</v>
      </c>
      <c r="G1325" s="2" t="s">
        <v>82</v>
      </c>
      <c r="H1325" s="2" t="n">
        <v>5</v>
      </c>
      <c r="I1325" s="2" t="n">
        <v>250</v>
      </c>
      <c r="J1325" s="2" t="n">
        <v>0</v>
      </c>
      <c r="K1325" s="2" t="n">
        <v>100</v>
      </c>
    </row>
    <row r="1326" customFormat="false" ht="15" hidden="false" customHeight="false" outlineLevel="0" collapsed="false">
      <c r="A1326" s="2" t="s">
        <v>1900</v>
      </c>
      <c r="B1326" s="2" t="s">
        <v>1901</v>
      </c>
      <c r="C1326" s="10" t="n">
        <v>45994</v>
      </c>
      <c r="D1326" s="2" t="s">
        <v>63</v>
      </c>
      <c r="E1326" s="2" t="s">
        <v>64</v>
      </c>
      <c r="F1326" s="2" t="s">
        <v>65</v>
      </c>
      <c r="G1326" s="2" t="s">
        <v>78</v>
      </c>
      <c r="H1326" s="2" t="n">
        <v>5</v>
      </c>
      <c r="I1326" s="2" t="n">
        <v>400</v>
      </c>
      <c r="J1326" s="2" t="n">
        <v>0.15</v>
      </c>
      <c r="K1326" s="2" t="n">
        <v>200</v>
      </c>
    </row>
    <row r="1327" customFormat="false" ht="15" hidden="false" customHeight="false" outlineLevel="0" collapsed="false">
      <c r="A1327" s="2" t="s">
        <v>1902</v>
      </c>
      <c r="B1327" s="2" t="s">
        <v>1901</v>
      </c>
      <c r="C1327" s="10" t="n">
        <v>45820</v>
      </c>
      <c r="D1327" s="2" t="s">
        <v>63</v>
      </c>
      <c r="E1327" s="2" t="s">
        <v>64</v>
      </c>
      <c r="F1327" s="2" t="s">
        <v>65</v>
      </c>
      <c r="G1327" s="2" t="s">
        <v>82</v>
      </c>
      <c r="H1327" s="2" t="n">
        <v>5</v>
      </c>
      <c r="I1327" s="2" t="n">
        <v>250</v>
      </c>
      <c r="J1327" s="2" t="n">
        <v>0</v>
      </c>
      <c r="K1327" s="2" t="n">
        <v>100</v>
      </c>
    </row>
    <row r="1328" customFormat="false" ht="15" hidden="false" customHeight="false" outlineLevel="0" collapsed="false">
      <c r="A1328" s="2" t="s">
        <v>1903</v>
      </c>
      <c r="B1328" s="2" t="s">
        <v>1901</v>
      </c>
      <c r="C1328" s="10" t="n">
        <v>46017</v>
      </c>
      <c r="D1328" s="2" t="s">
        <v>63</v>
      </c>
      <c r="E1328" s="2" t="s">
        <v>64</v>
      </c>
      <c r="F1328" s="2" t="s">
        <v>70</v>
      </c>
      <c r="G1328" s="2" t="s">
        <v>71</v>
      </c>
      <c r="H1328" s="2" t="n">
        <v>1</v>
      </c>
      <c r="I1328" s="2" t="n">
        <v>2500</v>
      </c>
      <c r="J1328" s="2" t="n">
        <v>0.15</v>
      </c>
      <c r="K1328" s="2" t="n">
        <v>1600</v>
      </c>
    </row>
    <row r="1329" customFormat="false" ht="15" hidden="false" customHeight="false" outlineLevel="0" collapsed="false">
      <c r="A1329" s="2" t="s">
        <v>1904</v>
      </c>
      <c r="B1329" s="2" t="s">
        <v>1901</v>
      </c>
      <c r="C1329" s="10" t="n">
        <v>45935</v>
      </c>
      <c r="D1329" s="2" t="s">
        <v>63</v>
      </c>
      <c r="E1329" s="2" t="s">
        <v>64</v>
      </c>
      <c r="F1329" s="2" t="s">
        <v>65</v>
      </c>
      <c r="G1329" s="2" t="s">
        <v>107</v>
      </c>
      <c r="H1329" s="2" t="n">
        <v>6</v>
      </c>
      <c r="I1329" s="2" t="n">
        <v>500</v>
      </c>
      <c r="J1329" s="2" t="n">
        <v>0.1</v>
      </c>
      <c r="K1329" s="2" t="n">
        <v>250</v>
      </c>
    </row>
    <row r="1330" customFormat="false" ht="15" hidden="false" customHeight="false" outlineLevel="0" collapsed="false">
      <c r="A1330" s="2" t="s">
        <v>1905</v>
      </c>
      <c r="B1330" s="2" t="s">
        <v>1901</v>
      </c>
      <c r="C1330" s="10" t="n">
        <v>45723</v>
      </c>
      <c r="D1330" s="2" t="s">
        <v>63</v>
      </c>
      <c r="E1330" s="2" t="s">
        <v>64</v>
      </c>
      <c r="F1330" s="2" t="s">
        <v>73</v>
      </c>
      <c r="G1330" s="2" t="s">
        <v>85</v>
      </c>
      <c r="H1330" s="2" t="n">
        <v>2</v>
      </c>
      <c r="I1330" s="2" t="n">
        <v>1200</v>
      </c>
      <c r="J1330" s="2" t="n">
        <v>0</v>
      </c>
      <c r="K1330" s="2" t="n">
        <v>600</v>
      </c>
    </row>
    <row r="1331" customFormat="false" ht="15" hidden="false" customHeight="false" outlineLevel="0" collapsed="false">
      <c r="A1331" s="2" t="s">
        <v>1906</v>
      </c>
      <c r="B1331" s="2" t="s">
        <v>1907</v>
      </c>
      <c r="C1331" s="10" t="n">
        <v>45797</v>
      </c>
      <c r="D1331" s="2" t="s">
        <v>81</v>
      </c>
      <c r="E1331" s="2" t="s">
        <v>64</v>
      </c>
      <c r="F1331" s="2" t="s">
        <v>73</v>
      </c>
      <c r="G1331" s="2" t="s">
        <v>74</v>
      </c>
      <c r="H1331" s="2" t="n">
        <v>3</v>
      </c>
      <c r="I1331" s="2" t="n">
        <v>7000</v>
      </c>
      <c r="J1331" s="2" t="n">
        <v>0</v>
      </c>
      <c r="K1331" s="2" t="n">
        <v>4800</v>
      </c>
    </row>
    <row r="1332" customFormat="false" ht="15" hidden="false" customHeight="false" outlineLevel="0" collapsed="false">
      <c r="A1332" s="2" t="s">
        <v>1908</v>
      </c>
      <c r="B1332" s="2" t="s">
        <v>1909</v>
      </c>
      <c r="C1332" s="10" t="n">
        <v>45932</v>
      </c>
      <c r="D1332" s="2" t="s">
        <v>63</v>
      </c>
      <c r="E1332" s="2" t="s">
        <v>69</v>
      </c>
      <c r="F1332" s="2" t="s">
        <v>73</v>
      </c>
      <c r="G1332" s="2" t="s">
        <v>85</v>
      </c>
      <c r="H1332" s="2" t="n">
        <v>3</v>
      </c>
      <c r="I1332" s="2" t="n">
        <v>1200</v>
      </c>
      <c r="J1332" s="2" t="n">
        <v>0.05</v>
      </c>
      <c r="K1332" s="2" t="n">
        <v>600</v>
      </c>
    </row>
    <row r="1333" customFormat="false" ht="15" hidden="false" customHeight="false" outlineLevel="0" collapsed="false">
      <c r="A1333" s="2" t="s">
        <v>1910</v>
      </c>
      <c r="B1333" s="2" t="s">
        <v>1909</v>
      </c>
      <c r="C1333" s="10" t="n">
        <v>45909</v>
      </c>
      <c r="D1333" s="2" t="s">
        <v>63</v>
      </c>
      <c r="E1333" s="2" t="s">
        <v>69</v>
      </c>
      <c r="F1333" s="2" t="s">
        <v>65</v>
      </c>
      <c r="G1333" s="2" t="s">
        <v>66</v>
      </c>
      <c r="H1333" s="2" t="n">
        <v>8</v>
      </c>
      <c r="I1333" s="2" t="n">
        <v>600</v>
      </c>
      <c r="J1333" s="2" t="n">
        <v>0</v>
      </c>
      <c r="K1333" s="2" t="n">
        <v>300</v>
      </c>
    </row>
    <row r="1334" customFormat="false" ht="15" hidden="false" customHeight="false" outlineLevel="0" collapsed="false">
      <c r="A1334" s="2" t="s">
        <v>1911</v>
      </c>
      <c r="B1334" s="2" t="s">
        <v>1912</v>
      </c>
      <c r="C1334" s="10" t="n">
        <v>45792</v>
      </c>
      <c r="D1334" s="2" t="s">
        <v>91</v>
      </c>
      <c r="E1334" s="2" t="s">
        <v>64</v>
      </c>
      <c r="F1334" s="2" t="s">
        <v>70</v>
      </c>
      <c r="G1334" s="2" t="s">
        <v>122</v>
      </c>
      <c r="H1334" s="2" t="n">
        <v>3</v>
      </c>
      <c r="I1334" s="2" t="n">
        <v>1500</v>
      </c>
      <c r="J1334" s="2" t="n">
        <v>0.1</v>
      </c>
      <c r="K1334" s="2" t="n">
        <v>900</v>
      </c>
    </row>
    <row r="1335" customFormat="false" ht="15" hidden="false" customHeight="false" outlineLevel="0" collapsed="false">
      <c r="A1335" s="2" t="s">
        <v>1913</v>
      </c>
      <c r="B1335" s="2" t="s">
        <v>1914</v>
      </c>
      <c r="C1335" s="10" t="n">
        <v>45727</v>
      </c>
      <c r="D1335" s="2" t="s">
        <v>77</v>
      </c>
      <c r="E1335" s="2" t="s">
        <v>69</v>
      </c>
      <c r="F1335" s="2" t="s">
        <v>65</v>
      </c>
      <c r="G1335" s="2" t="s">
        <v>107</v>
      </c>
      <c r="H1335" s="2" t="n">
        <v>19</v>
      </c>
      <c r="I1335" s="2" t="n">
        <v>500</v>
      </c>
      <c r="J1335" s="2" t="n">
        <v>0.1</v>
      </c>
      <c r="K1335" s="2" t="n">
        <v>250</v>
      </c>
    </row>
    <row r="1336" customFormat="false" ht="15" hidden="false" customHeight="false" outlineLevel="0" collapsed="false">
      <c r="A1336" s="2" t="s">
        <v>1915</v>
      </c>
      <c r="B1336" s="2" t="s">
        <v>1916</v>
      </c>
      <c r="C1336" s="10" t="n">
        <v>45724</v>
      </c>
      <c r="D1336" s="2" t="s">
        <v>63</v>
      </c>
      <c r="E1336" s="2" t="s">
        <v>64</v>
      </c>
      <c r="F1336" s="2" t="s">
        <v>73</v>
      </c>
      <c r="G1336" s="2" t="s">
        <v>74</v>
      </c>
      <c r="H1336" s="2" t="n">
        <v>3</v>
      </c>
      <c r="I1336" s="2" t="n">
        <v>7000</v>
      </c>
      <c r="J1336" s="2" t="n">
        <v>0</v>
      </c>
      <c r="K1336" s="2" t="n">
        <v>4800</v>
      </c>
    </row>
    <row r="1337" customFormat="false" ht="15" hidden="false" customHeight="false" outlineLevel="0" collapsed="false">
      <c r="A1337" s="2" t="s">
        <v>1917</v>
      </c>
      <c r="B1337" s="2" t="s">
        <v>1918</v>
      </c>
      <c r="C1337" s="10" t="n">
        <v>45891</v>
      </c>
      <c r="D1337" s="2" t="s">
        <v>63</v>
      </c>
      <c r="E1337" s="2" t="s">
        <v>69</v>
      </c>
      <c r="F1337" s="2" t="s">
        <v>65</v>
      </c>
      <c r="G1337" s="2" t="s">
        <v>82</v>
      </c>
      <c r="H1337" s="2" t="n">
        <v>9</v>
      </c>
      <c r="I1337" s="2" t="n">
        <v>250</v>
      </c>
      <c r="J1337" s="2" t="n">
        <v>0.05</v>
      </c>
      <c r="K1337" s="2" t="n">
        <v>100</v>
      </c>
    </row>
    <row r="1338" customFormat="false" ht="15" hidden="false" customHeight="false" outlineLevel="0" collapsed="false">
      <c r="A1338" s="2" t="s">
        <v>1919</v>
      </c>
      <c r="B1338" s="2" t="s">
        <v>1920</v>
      </c>
      <c r="C1338" s="10" t="n">
        <v>46007</v>
      </c>
      <c r="D1338" s="2" t="s">
        <v>77</v>
      </c>
      <c r="E1338" s="2" t="s">
        <v>92</v>
      </c>
      <c r="F1338" s="2" t="s">
        <v>70</v>
      </c>
      <c r="G1338" s="2" t="s">
        <v>122</v>
      </c>
      <c r="H1338" s="2" t="n">
        <v>7</v>
      </c>
      <c r="I1338" s="2" t="n">
        <v>1500</v>
      </c>
      <c r="J1338" s="2" t="n">
        <v>0.15</v>
      </c>
      <c r="K1338" s="2" t="n">
        <v>900</v>
      </c>
    </row>
    <row r="1339" customFormat="false" ht="15" hidden="false" customHeight="false" outlineLevel="0" collapsed="false">
      <c r="A1339" s="2" t="s">
        <v>1921</v>
      </c>
      <c r="B1339" s="2" t="s">
        <v>1920</v>
      </c>
      <c r="C1339" s="10" t="n">
        <v>45967</v>
      </c>
      <c r="D1339" s="2" t="s">
        <v>77</v>
      </c>
      <c r="E1339" s="2" t="s">
        <v>92</v>
      </c>
      <c r="F1339" s="2" t="s">
        <v>70</v>
      </c>
      <c r="G1339" s="2" t="s">
        <v>71</v>
      </c>
      <c r="H1339" s="2" t="n">
        <v>8</v>
      </c>
      <c r="I1339" s="2" t="n">
        <v>2500</v>
      </c>
      <c r="J1339" s="2" t="n">
        <v>0.05</v>
      </c>
      <c r="K1339" s="2" t="n">
        <v>1600</v>
      </c>
    </row>
    <row r="1340" customFormat="false" ht="15" hidden="false" customHeight="false" outlineLevel="0" collapsed="false">
      <c r="A1340" s="2" t="s">
        <v>1922</v>
      </c>
      <c r="B1340" s="2" t="s">
        <v>1920</v>
      </c>
      <c r="C1340" s="10" t="n">
        <v>45658</v>
      </c>
      <c r="D1340" s="2" t="s">
        <v>77</v>
      </c>
      <c r="E1340" s="2" t="s">
        <v>92</v>
      </c>
      <c r="F1340" s="2" t="s">
        <v>73</v>
      </c>
      <c r="G1340" s="2" t="s">
        <v>85</v>
      </c>
      <c r="H1340" s="2" t="n">
        <v>5</v>
      </c>
      <c r="I1340" s="2" t="n">
        <v>1200</v>
      </c>
      <c r="J1340" s="2" t="n">
        <v>0</v>
      </c>
      <c r="K1340" s="2" t="n">
        <v>600</v>
      </c>
    </row>
    <row r="1341" customFormat="false" ht="15" hidden="false" customHeight="false" outlineLevel="0" collapsed="false">
      <c r="A1341" s="2" t="s">
        <v>1923</v>
      </c>
      <c r="B1341" s="2" t="s">
        <v>1924</v>
      </c>
      <c r="C1341" s="10" t="n">
        <v>45852</v>
      </c>
      <c r="D1341" s="2" t="s">
        <v>91</v>
      </c>
      <c r="E1341" s="2" t="s">
        <v>64</v>
      </c>
      <c r="F1341" s="2" t="s">
        <v>65</v>
      </c>
      <c r="G1341" s="2" t="s">
        <v>107</v>
      </c>
      <c r="H1341" s="2" t="n">
        <v>7</v>
      </c>
      <c r="I1341" s="2" t="n">
        <v>500</v>
      </c>
      <c r="J1341" s="2" t="n">
        <v>0</v>
      </c>
      <c r="K1341" s="2" t="n">
        <v>250</v>
      </c>
    </row>
    <row r="1342" customFormat="false" ht="15" hidden="false" customHeight="false" outlineLevel="0" collapsed="false">
      <c r="A1342" s="2" t="s">
        <v>1925</v>
      </c>
      <c r="B1342" s="2" t="s">
        <v>1924</v>
      </c>
      <c r="C1342" s="10" t="n">
        <v>45696</v>
      </c>
      <c r="D1342" s="2" t="s">
        <v>91</v>
      </c>
      <c r="E1342" s="2" t="s">
        <v>64</v>
      </c>
      <c r="F1342" s="2" t="s">
        <v>70</v>
      </c>
      <c r="G1342" s="2" t="s">
        <v>126</v>
      </c>
      <c r="H1342" s="2" t="n">
        <v>1</v>
      </c>
      <c r="I1342" s="2" t="n">
        <v>4500</v>
      </c>
      <c r="J1342" s="2" t="n">
        <v>0.05</v>
      </c>
      <c r="K1342" s="2" t="n">
        <v>3300</v>
      </c>
    </row>
    <row r="1343" customFormat="false" ht="15" hidden="false" customHeight="false" outlineLevel="0" collapsed="false">
      <c r="A1343" s="2" t="s">
        <v>1926</v>
      </c>
      <c r="B1343" s="2" t="s">
        <v>1924</v>
      </c>
      <c r="C1343" s="10" t="n">
        <v>45659</v>
      </c>
      <c r="D1343" s="2" t="s">
        <v>91</v>
      </c>
      <c r="E1343" s="2" t="s">
        <v>64</v>
      </c>
      <c r="F1343" s="2" t="s">
        <v>70</v>
      </c>
      <c r="G1343" s="2" t="s">
        <v>122</v>
      </c>
      <c r="H1343" s="2" t="n">
        <v>2</v>
      </c>
      <c r="I1343" s="2" t="n">
        <v>1500</v>
      </c>
      <c r="J1343" s="2" t="n">
        <v>0.05</v>
      </c>
      <c r="K1343" s="2" t="n">
        <v>900</v>
      </c>
    </row>
    <row r="1344" customFormat="false" ht="15" hidden="false" customHeight="false" outlineLevel="0" collapsed="false">
      <c r="A1344" s="2" t="s">
        <v>1927</v>
      </c>
      <c r="B1344" s="2" t="s">
        <v>1928</v>
      </c>
      <c r="C1344" s="10" t="n">
        <v>45876</v>
      </c>
      <c r="D1344" s="2" t="s">
        <v>77</v>
      </c>
      <c r="E1344" s="2" t="s">
        <v>64</v>
      </c>
      <c r="F1344" s="2" t="s">
        <v>65</v>
      </c>
      <c r="G1344" s="2" t="s">
        <v>78</v>
      </c>
      <c r="H1344" s="2" t="n">
        <v>4</v>
      </c>
      <c r="I1344" s="2" t="n">
        <v>400</v>
      </c>
      <c r="J1344" s="2" t="n">
        <v>0.05</v>
      </c>
      <c r="K1344" s="2" t="n">
        <v>200</v>
      </c>
    </row>
    <row r="1345" customFormat="false" ht="15" hidden="false" customHeight="false" outlineLevel="0" collapsed="false">
      <c r="A1345" s="2" t="s">
        <v>1929</v>
      </c>
      <c r="B1345" s="2" t="s">
        <v>1928</v>
      </c>
      <c r="C1345" s="10" t="n">
        <v>45835</v>
      </c>
      <c r="D1345" s="2" t="s">
        <v>77</v>
      </c>
      <c r="E1345" s="2" t="s">
        <v>64</v>
      </c>
      <c r="F1345" s="2" t="s">
        <v>65</v>
      </c>
      <c r="G1345" s="2" t="s">
        <v>82</v>
      </c>
      <c r="H1345" s="2" t="n">
        <v>4</v>
      </c>
      <c r="I1345" s="2" t="n">
        <v>250</v>
      </c>
      <c r="J1345" s="2" t="n">
        <v>0</v>
      </c>
      <c r="K1345" s="2" t="n">
        <v>100</v>
      </c>
    </row>
    <row r="1346" customFormat="false" ht="15" hidden="false" customHeight="false" outlineLevel="0" collapsed="false">
      <c r="A1346" s="2" t="s">
        <v>1930</v>
      </c>
      <c r="B1346" s="2" t="s">
        <v>1931</v>
      </c>
      <c r="C1346" s="10" t="n">
        <v>45881</v>
      </c>
      <c r="D1346" s="2" t="s">
        <v>77</v>
      </c>
      <c r="E1346" s="2" t="s">
        <v>69</v>
      </c>
      <c r="F1346" s="2" t="s">
        <v>73</v>
      </c>
      <c r="G1346" s="2" t="s">
        <v>74</v>
      </c>
      <c r="H1346" s="2" t="n">
        <v>4</v>
      </c>
      <c r="I1346" s="2" t="n">
        <v>7000</v>
      </c>
      <c r="J1346" s="2" t="n">
        <v>0.05</v>
      </c>
      <c r="K1346" s="2" t="n">
        <v>4800</v>
      </c>
    </row>
    <row r="1347" customFormat="false" ht="15" hidden="false" customHeight="false" outlineLevel="0" collapsed="false">
      <c r="A1347" s="2" t="s">
        <v>1932</v>
      </c>
      <c r="B1347" s="2" t="s">
        <v>1931</v>
      </c>
      <c r="C1347" s="10" t="n">
        <v>45717</v>
      </c>
      <c r="D1347" s="2" t="s">
        <v>77</v>
      </c>
      <c r="E1347" s="2" t="s">
        <v>69</v>
      </c>
      <c r="F1347" s="2" t="s">
        <v>73</v>
      </c>
      <c r="G1347" s="2" t="s">
        <v>74</v>
      </c>
      <c r="H1347" s="2" t="n">
        <v>4</v>
      </c>
      <c r="I1347" s="2" t="n">
        <v>7000</v>
      </c>
      <c r="J1347" s="2" t="n">
        <v>0</v>
      </c>
      <c r="K1347" s="2" t="n">
        <v>4800</v>
      </c>
    </row>
    <row r="1348" customFormat="false" ht="15" hidden="false" customHeight="false" outlineLevel="0" collapsed="false">
      <c r="A1348" s="2" t="s">
        <v>1933</v>
      </c>
      <c r="B1348" s="2" t="s">
        <v>1931</v>
      </c>
      <c r="C1348" s="10" t="n">
        <v>45903</v>
      </c>
      <c r="D1348" s="2" t="s">
        <v>77</v>
      </c>
      <c r="E1348" s="2" t="s">
        <v>69</v>
      </c>
      <c r="F1348" s="2" t="s">
        <v>70</v>
      </c>
      <c r="G1348" s="2" t="s">
        <v>97</v>
      </c>
      <c r="H1348" s="2" t="n">
        <v>3</v>
      </c>
      <c r="I1348" s="2" t="n">
        <v>3000</v>
      </c>
      <c r="J1348" s="2" t="n">
        <v>0.1</v>
      </c>
      <c r="K1348" s="2" t="n">
        <v>2000</v>
      </c>
    </row>
    <row r="1349" customFormat="false" ht="15" hidden="false" customHeight="false" outlineLevel="0" collapsed="false">
      <c r="A1349" s="2" t="s">
        <v>1934</v>
      </c>
      <c r="B1349" s="2" t="s">
        <v>1935</v>
      </c>
      <c r="C1349" s="10" t="n">
        <v>45793</v>
      </c>
      <c r="D1349" s="2" t="s">
        <v>77</v>
      </c>
      <c r="E1349" s="2" t="s">
        <v>64</v>
      </c>
      <c r="F1349" s="2" t="s">
        <v>70</v>
      </c>
      <c r="G1349" s="2" t="s">
        <v>97</v>
      </c>
      <c r="H1349" s="2" t="n">
        <v>3</v>
      </c>
      <c r="I1349" s="2" t="n">
        <v>3000</v>
      </c>
      <c r="J1349" s="2" t="n">
        <v>0</v>
      </c>
      <c r="K1349" s="2" t="n">
        <v>2000</v>
      </c>
    </row>
    <row r="1350" customFormat="false" ht="15" hidden="false" customHeight="false" outlineLevel="0" collapsed="false">
      <c r="A1350" s="2" t="s">
        <v>1936</v>
      </c>
      <c r="B1350" s="2" t="s">
        <v>1937</v>
      </c>
      <c r="C1350" s="10" t="n">
        <v>45773</v>
      </c>
      <c r="D1350" s="2" t="s">
        <v>81</v>
      </c>
      <c r="E1350" s="2" t="s">
        <v>92</v>
      </c>
      <c r="F1350" s="2" t="s">
        <v>70</v>
      </c>
      <c r="G1350" s="2" t="s">
        <v>71</v>
      </c>
      <c r="H1350" s="2" t="n">
        <v>5</v>
      </c>
      <c r="I1350" s="2" t="n">
        <v>2500</v>
      </c>
      <c r="J1350" s="2" t="n">
        <v>0.15</v>
      </c>
      <c r="K1350" s="2" t="n">
        <v>1600</v>
      </c>
    </row>
    <row r="1351" customFormat="false" ht="15" hidden="false" customHeight="false" outlineLevel="0" collapsed="false">
      <c r="A1351" s="2" t="s">
        <v>1938</v>
      </c>
      <c r="B1351" s="2" t="s">
        <v>1937</v>
      </c>
      <c r="C1351" s="10" t="n">
        <v>45871</v>
      </c>
      <c r="D1351" s="2" t="s">
        <v>81</v>
      </c>
      <c r="E1351" s="2" t="s">
        <v>92</v>
      </c>
      <c r="F1351" s="2" t="s">
        <v>73</v>
      </c>
      <c r="G1351" s="2" t="s">
        <v>74</v>
      </c>
      <c r="H1351" s="2" t="n">
        <v>5</v>
      </c>
      <c r="I1351" s="2" t="n">
        <v>7000</v>
      </c>
      <c r="J1351" s="2" t="n">
        <v>0.1</v>
      </c>
      <c r="K1351" s="2" t="n">
        <v>4800</v>
      </c>
    </row>
    <row r="1352" customFormat="false" ht="15" hidden="false" customHeight="false" outlineLevel="0" collapsed="false">
      <c r="A1352" s="2" t="s">
        <v>1939</v>
      </c>
      <c r="B1352" s="2" t="s">
        <v>1940</v>
      </c>
      <c r="C1352" s="10" t="n">
        <v>45865</v>
      </c>
      <c r="D1352" s="2" t="s">
        <v>81</v>
      </c>
      <c r="E1352" s="2" t="s">
        <v>64</v>
      </c>
      <c r="F1352" s="2" t="s">
        <v>65</v>
      </c>
      <c r="G1352" s="2" t="s">
        <v>107</v>
      </c>
      <c r="H1352" s="2" t="n">
        <v>7</v>
      </c>
      <c r="I1352" s="2" t="n">
        <v>500</v>
      </c>
      <c r="J1352" s="2" t="n">
        <v>0</v>
      </c>
      <c r="K1352" s="2" t="n">
        <v>250</v>
      </c>
    </row>
    <row r="1353" customFormat="false" ht="15" hidden="false" customHeight="false" outlineLevel="0" collapsed="false">
      <c r="A1353" s="2" t="s">
        <v>1941</v>
      </c>
      <c r="B1353" s="2" t="s">
        <v>1940</v>
      </c>
      <c r="C1353" s="10" t="n">
        <v>45913</v>
      </c>
      <c r="D1353" s="2" t="s">
        <v>81</v>
      </c>
      <c r="E1353" s="2" t="s">
        <v>64</v>
      </c>
      <c r="F1353" s="2" t="s">
        <v>65</v>
      </c>
      <c r="G1353" s="2" t="s">
        <v>107</v>
      </c>
      <c r="H1353" s="2" t="n">
        <v>3</v>
      </c>
      <c r="I1353" s="2" t="n">
        <v>500</v>
      </c>
      <c r="J1353" s="2" t="n">
        <v>0.05</v>
      </c>
      <c r="K1353" s="2" t="n">
        <v>250</v>
      </c>
    </row>
    <row r="1354" customFormat="false" ht="15" hidden="false" customHeight="false" outlineLevel="0" collapsed="false">
      <c r="A1354" s="2" t="s">
        <v>1942</v>
      </c>
      <c r="B1354" s="2" t="s">
        <v>1943</v>
      </c>
      <c r="C1354" s="10" t="n">
        <v>45918</v>
      </c>
      <c r="D1354" s="2" t="s">
        <v>77</v>
      </c>
      <c r="E1354" s="2" t="s">
        <v>64</v>
      </c>
      <c r="F1354" s="2" t="s">
        <v>65</v>
      </c>
      <c r="G1354" s="2" t="s">
        <v>78</v>
      </c>
      <c r="H1354" s="2" t="n">
        <v>4</v>
      </c>
      <c r="I1354" s="2" t="n">
        <v>400</v>
      </c>
      <c r="J1354" s="2" t="n">
        <v>0</v>
      </c>
      <c r="K1354" s="2" t="n">
        <v>200</v>
      </c>
    </row>
    <row r="1355" customFormat="false" ht="15" hidden="false" customHeight="false" outlineLevel="0" collapsed="false">
      <c r="A1355" s="2" t="s">
        <v>1944</v>
      </c>
      <c r="B1355" s="2" t="s">
        <v>1945</v>
      </c>
      <c r="C1355" s="10" t="n">
        <v>45671</v>
      </c>
      <c r="D1355" s="2" t="s">
        <v>77</v>
      </c>
      <c r="E1355" s="2" t="s">
        <v>92</v>
      </c>
      <c r="F1355" s="2" t="s">
        <v>73</v>
      </c>
      <c r="G1355" s="2" t="s">
        <v>87</v>
      </c>
      <c r="H1355" s="2" t="n">
        <v>6</v>
      </c>
      <c r="I1355" s="2" t="n">
        <v>9000</v>
      </c>
      <c r="J1355" s="2" t="n">
        <v>0</v>
      </c>
      <c r="K1355" s="2" t="n">
        <v>6200</v>
      </c>
    </row>
    <row r="1356" customFormat="false" ht="15" hidden="false" customHeight="false" outlineLevel="0" collapsed="false">
      <c r="A1356" s="2" t="s">
        <v>1946</v>
      </c>
      <c r="B1356" s="2" t="s">
        <v>1945</v>
      </c>
      <c r="C1356" s="10" t="n">
        <v>45726</v>
      </c>
      <c r="D1356" s="2" t="s">
        <v>77</v>
      </c>
      <c r="E1356" s="2" t="s">
        <v>92</v>
      </c>
      <c r="F1356" s="2" t="s">
        <v>70</v>
      </c>
      <c r="G1356" s="2" t="s">
        <v>97</v>
      </c>
      <c r="H1356" s="2" t="n">
        <v>3</v>
      </c>
      <c r="I1356" s="2" t="n">
        <v>3000</v>
      </c>
      <c r="J1356" s="2" t="n">
        <v>0.15</v>
      </c>
      <c r="K1356" s="2" t="n">
        <v>2000</v>
      </c>
    </row>
    <row r="1357" customFormat="false" ht="15" hidden="false" customHeight="false" outlineLevel="0" collapsed="false">
      <c r="A1357" s="2" t="s">
        <v>1947</v>
      </c>
      <c r="B1357" s="2" t="s">
        <v>1945</v>
      </c>
      <c r="C1357" s="10" t="n">
        <v>45782</v>
      </c>
      <c r="D1357" s="2" t="s">
        <v>77</v>
      </c>
      <c r="E1357" s="2" t="s">
        <v>92</v>
      </c>
      <c r="F1357" s="2" t="s">
        <v>73</v>
      </c>
      <c r="G1357" s="2" t="s">
        <v>74</v>
      </c>
      <c r="H1357" s="2" t="n">
        <v>7</v>
      </c>
      <c r="I1357" s="2" t="n">
        <v>7000</v>
      </c>
      <c r="J1357" s="2" t="n">
        <v>0</v>
      </c>
      <c r="K1357" s="2" t="n">
        <v>4800</v>
      </c>
    </row>
    <row r="1358" customFormat="false" ht="15" hidden="false" customHeight="false" outlineLevel="0" collapsed="false">
      <c r="A1358" s="2" t="s">
        <v>1948</v>
      </c>
      <c r="B1358" s="2" t="s">
        <v>1945</v>
      </c>
      <c r="C1358" s="10" t="n">
        <v>45748</v>
      </c>
      <c r="D1358" s="2" t="s">
        <v>77</v>
      </c>
      <c r="E1358" s="2" t="s">
        <v>92</v>
      </c>
      <c r="F1358" s="2" t="s">
        <v>73</v>
      </c>
      <c r="G1358" s="2" t="s">
        <v>104</v>
      </c>
      <c r="H1358" s="2" t="n">
        <v>8</v>
      </c>
      <c r="I1358" s="2" t="n">
        <v>5500</v>
      </c>
      <c r="J1358" s="2" t="n">
        <v>0.05</v>
      </c>
      <c r="K1358" s="2" t="n">
        <v>3600</v>
      </c>
    </row>
    <row r="1359" customFormat="false" ht="15" hidden="false" customHeight="false" outlineLevel="0" collapsed="false">
      <c r="A1359" s="2" t="s">
        <v>1949</v>
      </c>
      <c r="B1359" s="2" t="s">
        <v>1945</v>
      </c>
      <c r="C1359" s="10" t="n">
        <v>45896</v>
      </c>
      <c r="D1359" s="2" t="s">
        <v>77</v>
      </c>
      <c r="E1359" s="2" t="s">
        <v>92</v>
      </c>
      <c r="F1359" s="2" t="s">
        <v>73</v>
      </c>
      <c r="G1359" s="2" t="s">
        <v>87</v>
      </c>
      <c r="H1359" s="2" t="n">
        <v>7</v>
      </c>
      <c r="I1359" s="2" t="n">
        <v>9000</v>
      </c>
      <c r="J1359" s="2" t="n">
        <v>0.15</v>
      </c>
      <c r="K1359" s="2" t="n">
        <v>6200</v>
      </c>
    </row>
    <row r="1360" customFormat="false" ht="15" hidden="false" customHeight="false" outlineLevel="0" collapsed="false">
      <c r="A1360" s="2" t="s">
        <v>1950</v>
      </c>
      <c r="B1360" s="2" t="s">
        <v>1945</v>
      </c>
      <c r="C1360" s="10" t="n">
        <v>45828</v>
      </c>
      <c r="D1360" s="2" t="s">
        <v>77</v>
      </c>
      <c r="E1360" s="2" t="s">
        <v>92</v>
      </c>
      <c r="F1360" s="2" t="s">
        <v>70</v>
      </c>
      <c r="G1360" s="2" t="s">
        <v>126</v>
      </c>
      <c r="H1360" s="2" t="n">
        <v>6</v>
      </c>
      <c r="I1360" s="2" t="n">
        <v>4500</v>
      </c>
      <c r="J1360" s="2" t="n">
        <v>0.1</v>
      </c>
      <c r="K1360" s="2" t="n">
        <v>3300</v>
      </c>
    </row>
    <row r="1361" customFormat="false" ht="15" hidden="false" customHeight="false" outlineLevel="0" collapsed="false">
      <c r="A1361" s="2" t="s">
        <v>1951</v>
      </c>
      <c r="B1361" s="2" t="s">
        <v>1952</v>
      </c>
      <c r="C1361" s="10" t="n">
        <v>45913</v>
      </c>
      <c r="D1361" s="2" t="s">
        <v>91</v>
      </c>
      <c r="E1361" s="2" t="s">
        <v>64</v>
      </c>
      <c r="F1361" s="2" t="s">
        <v>70</v>
      </c>
      <c r="G1361" s="2" t="s">
        <v>126</v>
      </c>
      <c r="H1361" s="2" t="n">
        <v>1</v>
      </c>
      <c r="I1361" s="2" t="n">
        <v>4500</v>
      </c>
      <c r="J1361" s="2" t="n">
        <v>0.1</v>
      </c>
      <c r="K1361" s="2" t="n">
        <v>3300</v>
      </c>
    </row>
    <row r="1362" customFormat="false" ht="15" hidden="false" customHeight="false" outlineLevel="0" collapsed="false">
      <c r="A1362" s="2" t="s">
        <v>1953</v>
      </c>
      <c r="B1362" s="2" t="s">
        <v>1954</v>
      </c>
      <c r="C1362" s="10" t="n">
        <v>45863</v>
      </c>
      <c r="D1362" s="2" t="s">
        <v>91</v>
      </c>
      <c r="E1362" s="2" t="s">
        <v>69</v>
      </c>
      <c r="F1362" s="2" t="s">
        <v>70</v>
      </c>
      <c r="G1362" s="2" t="s">
        <v>122</v>
      </c>
      <c r="H1362" s="2" t="n">
        <v>4</v>
      </c>
      <c r="I1362" s="2" t="n">
        <v>1500</v>
      </c>
      <c r="J1362" s="2" t="n">
        <v>0.1</v>
      </c>
      <c r="K1362" s="2" t="n">
        <v>900</v>
      </c>
    </row>
    <row r="1363" customFormat="false" ht="15" hidden="false" customHeight="false" outlineLevel="0" collapsed="false">
      <c r="A1363" s="2" t="s">
        <v>1955</v>
      </c>
      <c r="B1363" s="2" t="s">
        <v>1956</v>
      </c>
      <c r="C1363" s="10" t="n">
        <v>45864</v>
      </c>
      <c r="D1363" s="2" t="s">
        <v>77</v>
      </c>
      <c r="E1363" s="2" t="s">
        <v>64</v>
      </c>
      <c r="F1363" s="2" t="s">
        <v>70</v>
      </c>
      <c r="G1363" s="2" t="s">
        <v>122</v>
      </c>
      <c r="H1363" s="2" t="n">
        <v>2</v>
      </c>
      <c r="I1363" s="2" t="n">
        <v>1500</v>
      </c>
      <c r="J1363" s="2" t="n">
        <v>0</v>
      </c>
      <c r="K1363" s="2" t="n">
        <v>900</v>
      </c>
    </row>
    <row r="1364" customFormat="false" ht="15" hidden="false" customHeight="false" outlineLevel="0" collapsed="false">
      <c r="A1364" s="2" t="s">
        <v>1957</v>
      </c>
      <c r="B1364" s="2" t="s">
        <v>1956</v>
      </c>
      <c r="C1364" s="10" t="n">
        <v>46004</v>
      </c>
      <c r="D1364" s="2" t="s">
        <v>77</v>
      </c>
      <c r="E1364" s="2" t="s">
        <v>64</v>
      </c>
      <c r="F1364" s="2" t="s">
        <v>73</v>
      </c>
      <c r="G1364" s="2" t="s">
        <v>85</v>
      </c>
      <c r="H1364" s="2" t="n">
        <v>1</v>
      </c>
      <c r="I1364" s="2" t="n">
        <v>1200</v>
      </c>
      <c r="J1364" s="2" t="n">
        <v>0.05</v>
      </c>
      <c r="K1364" s="2" t="n">
        <v>600</v>
      </c>
    </row>
    <row r="1365" customFormat="false" ht="15" hidden="false" customHeight="false" outlineLevel="0" collapsed="false">
      <c r="A1365" s="2" t="s">
        <v>1958</v>
      </c>
      <c r="B1365" s="2" t="s">
        <v>1956</v>
      </c>
      <c r="C1365" s="10" t="n">
        <v>45790</v>
      </c>
      <c r="D1365" s="2" t="s">
        <v>77</v>
      </c>
      <c r="E1365" s="2" t="s">
        <v>64</v>
      </c>
      <c r="F1365" s="2" t="s">
        <v>70</v>
      </c>
      <c r="G1365" s="2" t="s">
        <v>71</v>
      </c>
      <c r="H1365" s="2" t="n">
        <v>2</v>
      </c>
      <c r="I1365" s="2" t="n">
        <v>2500</v>
      </c>
      <c r="J1365" s="2" t="n">
        <v>0</v>
      </c>
      <c r="K1365" s="2" t="n">
        <v>1600</v>
      </c>
    </row>
    <row r="1366" customFormat="false" ht="15" hidden="false" customHeight="false" outlineLevel="0" collapsed="false">
      <c r="A1366" s="2" t="s">
        <v>1959</v>
      </c>
      <c r="B1366" s="2" t="s">
        <v>1960</v>
      </c>
      <c r="C1366" s="10" t="n">
        <v>45928</v>
      </c>
      <c r="D1366" s="2" t="s">
        <v>91</v>
      </c>
      <c r="E1366" s="2" t="s">
        <v>64</v>
      </c>
      <c r="F1366" s="2" t="s">
        <v>65</v>
      </c>
      <c r="G1366" s="2" t="s">
        <v>82</v>
      </c>
      <c r="H1366" s="2" t="n">
        <v>4</v>
      </c>
      <c r="I1366" s="2" t="n">
        <v>250</v>
      </c>
      <c r="J1366" s="2" t="n">
        <v>0</v>
      </c>
      <c r="K1366" s="2" t="n">
        <v>100</v>
      </c>
    </row>
    <row r="1367" customFormat="false" ht="15" hidden="false" customHeight="false" outlineLevel="0" collapsed="false">
      <c r="A1367" s="2" t="s">
        <v>1961</v>
      </c>
      <c r="B1367" s="2" t="s">
        <v>1962</v>
      </c>
      <c r="C1367" s="10" t="n">
        <v>45664</v>
      </c>
      <c r="D1367" s="2" t="s">
        <v>63</v>
      </c>
      <c r="E1367" s="2" t="s">
        <v>64</v>
      </c>
      <c r="F1367" s="2" t="s">
        <v>65</v>
      </c>
      <c r="G1367" s="2" t="s">
        <v>107</v>
      </c>
      <c r="H1367" s="2" t="n">
        <v>6</v>
      </c>
      <c r="I1367" s="2" t="n">
        <v>500</v>
      </c>
      <c r="J1367" s="2" t="n">
        <v>0</v>
      </c>
      <c r="K1367" s="2" t="n">
        <v>250</v>
      </c>
    </row>
    <row r="1368" customFormat="false" ht="15" hidden="false" customHeight="false" outlineLevel="0" collapsed="false">
      <c r="A1368" s="2" t="s">
        <v>1963</v>
      </c>
      <c r="B1368" s="2" t="s">
        <v>1962</v>
      </c>
      <c r="C1368" s="10" t="n">
        <v>45932</v>
      </c>
      <c r="D1368" s="2" t="s">
        <v>63</v>
      </c>
      <c r="E1368" s="2" t="s">
        <v>64</v>
      </c>
      <c r="F1368" s="2" t="s">
        <v>65</v>
      </c>
      <c r="G1368" s="2" t="s">
        <v>82</v>
      </c>
      <c r="H1368" s="2" t="n">
        <v>8</v>
      </c>
      <c r="I1368" s="2" t="n">
        <v>250</v>
      </c>
      <c r="J1368" s="2" t="n">
        <v>0.05</v>
      </c>
      <c r="K1368" s="2" t="n">
        <v>100</v>
      </c>
    </row>
    <row r="1369" customFormat="false" ht="15" hidden="false" customHeight="false" outlineLevel="0" collapsed="false">
      <c r="A1369" s="2" t="s">
        <v>1964</v>
      </c>
      <c r="B1369" s="2" t="s">
        <v>1962</v>
      </c>
      <c r="C1369" s="10" t="n">
        <v>45768</v>
      </c>
      <c r="D1369" s="2" t="s">
        <v>63</v>
      </c>
      <c r="E1369" s="2" t="s">
        <v>64</v>
      </c>
      <c r="F1369" s="2" t="s">
        <v>70</v>
      </c>
      <c r="G1369" s="2" t="s">
        <v>122</v>
      </c>
      <c r="H1369" s="2" t="n">
        <v>1</v>
      </c>
      <c r="I1369" s="2" t="n">
        <v>1500</v>
      </c>
      <c r="J1369" s="2" t="n">
        <v>0.05</v>
      </c>
      <c r="K1369" s="2" t="n">
        <v>900</v>
      </c>
    </row>
    <row r="1370" customFormat="false" ht="15" hidden="false" customHeight="false" outlineLevel="0" collapsed="false">
      <c r="A1370" s="2" t="s">
        <v>1965</v>
      </c>
      <c r="B1370" s="2" t="s">
        <v>1966</v>
      </c>
      <c r="C1370" s="10" t="n">
        <v>45710</v>
      </c>
      <c r="D1370" s="2" t="s">
        <v>91</v>
      </c>
      <c r="E1370" s="2" t="s">
        <v>64</v>
      </c>
      <c r="F1370" s="2" t="s">
        <v>73</v>
      </c>
      <c r="G1370" s="2" t="s">
        <v>104</v>
      </c>
      <c r="H1370" s="2" t="n">
        <v>1</v>
      </c>
      <c r="I1370" s="2" t="n">
        <v>5500</v>
      </c>
      <c r="J1370" s="2" t="n">
        <v>0.05</v>
      </c>
      <c r="K1370" s="2" t="n">
        <v>3600</v>
      </c>
    </row>
    <row r="1371" customFormat="false" ht="15" hidden="false" customHeight="false" outlineLevel="0" collapsed="false">
      <c r="A1371" s="2" t="s">
        <v>1967</v>
      </c>
      <c r="B1371" s="2" t="s">
        <v>1968</v>
      </c>
      <c r="C1371" s="10" t="n">
        <v>46017</v>
      </c>
      <c r="D1371" s="2" t="s">
        <v>91</v>
      </c>
      <c r="E1371" s="2" t="s">
        <v>64</v>
      </c>
      <c r="F1371" s="2" t="s">
        <v>70</v>
      </c>
      <c r="G1371" s="2" t="s">
        <v>126</v>
      </c>
      <c r="H1371" s="2" t="n">
        <v>3</v>
      </c>
      <c r="I1371" s="2" t="n">
        <v>4500</v>
      </c>
      <c r="J1371" s="2" t="n">
        <v>0.05</v>
      </c>
      <c r="K1371" s="2" t="n">
        <v>3300</v>
      </c>
    </row>
    <row r="1372" customFormat="false" ht="15" hidden="false" customHeight="false" outlineLevel="0" collapsed="false">
      <c r="A1372" s="2" t="s">
        <v>1969</v>
      </c>
      <c r="B1372" s="2" t="s">
        <v>1970</v>
      </c>
      <c r="C1372" s="10" t="n">
        <v>45716</v>
      </c>
      <c r="D1372" s="2" t="s">
        <v>77</v>
      </c>
      <c r="E1372" s="2" t="s">
        <v>64</v>
      </c>
      <c r="F1372" s="2" t="s">
        <v>65</v>
      </c>
      <c r="G1372" s="2" t="s">
        <v>66</v>
      </c>
      <c r="H1372" s="2" t="n">
        <v>6</v>
      </c>
      <c r="I1372" s="2" t="n">
        <v>600</v>
      </c>
      <c r="J1372" s="2" t="n">
        <v>0.1</v>
      </c>
      <c r="K1372" s="2" t="n">
        <v>300</v>
      </c>
    </row>
    <row r="1373" customFormat="false" ht="15" hidden="false" customHeight="false" outlineLevel="0" collapsed="false">
      <c r="A1373" s="2" t="s">
        <v>1971</v>
      </c>
      <c r="B1373" s="2" t="s">
        <v>1970</v>
      </c>
      <c r="C1373" s="10" t="n">
        <v>45679</v>
      </c>
      <c r="D1373" s="2" t="s">
        <v>77</v>
      </c>
      <c r="E1373" s="2" t="s">
        <v>64</v>
      </c>
      <c r="F1373" s="2" t="s">
        <v>70</v>
      </c>
      <c r="G1373" s="2" t="s">
        <v>122</v>
      </c>
      <c r="H1373" s="2" t="n">
        <v>1</v>
      </c>
      <c r="I1373" s="2" t="n">
        <v>1500</v>
      </c>
      <c r="J1373" s="2" t="n">
        <v>0</v>
      </c>
      <c r="K1373" s="2" t="n">
        <v>900</v>
      </c>
    </row>
    <row r="1374" customFormat="false" ht="15" hidden="false" customHeight="false" outlineLevel="0" collapsed="false">
      <c r="A1374" s="2" t="s">
        <v>1972</v>
      </c>
      <c r="B1374" s="2" t="s">
        <v>1973</v>
      </c>
      <c r="C1374" s="10" t="n">
        <v>45848</v>
      </c>
      <c r="D1374" s="2" t="s">
        <v>81</v>
      </c>
      <c r="E1374" s="2" t="s">
        <v>64</v>
      </c>
      <c r="F1374" s="2" t="s">
        <v>65</v>
      </c>
      <c r="G1374" s="2" t="s">
        <v>78</v>
      </c>
      <c r="H1374" s="2" t="n">
        <v>3</v>
      </c>
      <c r="I1374" s="2" t="n">
        <v>400</v>
      </c>
      <c r="J1374" s="2" t="n">
        <v>0</v>
      </c>
      <c r="K1374" s="2" t="n">
        <v>200</v>
      </c>
    </row>
    <row r="1375" customFormat="false" ht="15" hidden="false" customHeight="false" outlineLevel="0" collapsed="false">
      <c r="A1375" s="2" t="s">
        <v>1974</v>
      </c>
      <c r="B1375" s="2" t="s">
        <v>1973</v>
      </c>
      <c r="C1375" s="10" t="n">
        <v>45773</v>
      </c>
      <c r="D1375" s="2" t="s">
        <v>81</v>
      </c>
      <c r="E1375" s="2" t="s">
        <v>64</v>
      </c>
      <c r="F1375" s="2" t="s">
        <v>70</v>
      </c>
      <c r="G1375" s="2" t="s">
        <v>122</v>
      </c>
      <c r="H1375" s="2" t="n">
        <v>1</v>
      </c>
      <c r="I1375" s="2" t="n">
        <v>1500</v>
      </c>
      <c r="J1375" s="2" t="n">
        <v>0.05</v>
      </c>
      <c r="K1375" s="2" t="n">
        <v>900</v>
      </c>
    </row>
    <row r="1376" customFormat="false" ht="15" hidden="false" customHeight="false" outlineLevel="0" collapsed="false">
      <c r="A1376" s="2" t="s">
        <v>1975</v>
      </c>
      <c r="B1376" s="2" t="s">
        <v>1976</v>
      </c>
      <c r="C1376" s="10" t="n">
        <v>45974</v>
      </c>
      <c r="D1376" s="2" t="s">
        <v>63</v>
      </c>
      <c r="E1376" s="2" t="s">
        <v>92</v>
      </c>
      <c r="F1376" s="2" t="s">
        <v>65</v>
      </c>
      <c r="G1376" s="2" t="s">
        <v>82</v>
      </c>
      <c r="H1376" s="2" t="n">
        <v>12</v>
      </c>
      <c r="I1376" s="2" t="n">
        <v>250</v>
      </c>
      <c r="J1376" s="2" t="n">
        <v>0.15</v>
      </c>
      <c r="K1376" s="2" t="n">
        <v>100</v>
      </c>
    </row>
    <row r="1377" customFormat="false" ht="15" hidden="false" customHeight="false" outlineLevel="0" collapsed="false">
      <c r="A1377" s="2" t="s">
        <v>1977</v>
      </c>
      <c r="B1377" s="2" t="s">
        <v>1976</v>
      </c>
      <c r="C1377" s="10" t="n">
        <v>45750</v>
      </c>
      <c r="D1377" s="2" t="s">
        <v>63</v>
      </c>
      <c r="E1377" s="2" t="s">
        <v>92</v>
      </c>
      <c r="F1377" s="2" t="s">
        <v>65</v>
      </c>
      <c r="G1377" s="2" t="s">
        <v>82</v>
      </c>
      <c r="H1377" s="2" t="n">
        <v>12</v>
      </c>
      <c r="I1377" s="2" t="n">
        <v>250</v>
      </c>
      <c r="J1377" s="2" t="n">
        <v>0</v>
      </c>
      <c r="K1377" s="2" t="n">
        <v>100</v>
      </c>
    </row>
    <row r="1378" customFormat="false" ht="15" hidden="false" customHeight="false" outlineLevel="0" collapsed="false">
      <c r="A1378" s="2" t="s">
        <v>1978</v>
      </c>
      <c r="B1378" s="2" t="s">
        <v>1976</v>
      </c>
      <c r="C1378" s="10" t="n">
        <v>45799</v>
      </c>
      <c r="D1378" s="2" t="s">
        <v>63</v>
      </c>
      <c r="E1378" s="2" t="s">
        <v>92</v>
      </c>
      <c r="F1378" s="2" t="s">
        <v>70</v>
      </c>
      <c r="G1378" s="2" t="s">
        <v>97</v>
      </c>
      <c r="H1378" s="2" t="n">
        <v>3</v>
      </c>
      <c r="I1378" s="2" t="n">
        <v>3000</v>
      </c>
      <c r="J1378" s="2" t="n">
        <v>0.15</v>
      </c>
      <c r="K1378" s="2" t="n">
        <v>2000</v>
      </c>
    </row>
    <row r="1379" customFormat="false" ht="15" hidden="false" customHeight="false" outlineLevel="0" collapsed="false">
      <c r="A1379" s="2" t="s">
        <v>1979</v>
      </c>
      <c r="B1379" s="2" t="s">
        <v>1976</v>
      </c>
      <c r="C1379" s="10" t="n">
        <v>45670</v>
      </c>
      <c r="D1379" s="2" t="s">
        <v>63</v>
      </c>
      <c r="E1379" s="2" t="s">
        <v>92</v>
      </c>
      <c r="F1379" s="2" t="s">
        <v>73</v>
      </c>
      <c r="G1379" s="2" t="s">
        <v>74</v>
      </c>
      <c r="H1379" s="2" t="n">
        <v>2</v>
      </c>
      <c r="I1379" s="2" t="n">
        <v>7000</v>
      </c>
      <c r="J1379" s="2" t="n">
        <v>0</v>
      </c>
      <c r="K1379" s="2" t="n">
        <v>4800</v>
      </c>
    </row>
    <row r="1380" customFormat="false" ht="15" hidden="false" customHeight="false" outlineLevel="0" collapsed="false">
      <c r="A1380" s="2" t="s">
        <v>1980</v>
      </c>
      <c r="B1380" s="2" t="s">
        <v>1981</v>
      </c>
      <c r="C1380" s="10" t="n">
        <v>45770</v>
      </c>
      <c r="D1380" s="2" t="s">
        <v>91</v>
      </c>
      <c r="E1380" s="2" t="s">
        <v>92</v>
      </c>
      <c r="F1380" s="2" t="s">
        <v>73</v>
      </c>
      <c r="G1380" s="2" t="s">
        <v>104</v>
      </c>
      <c r="H1380" s="2" t="n">
        <v>6</v>
      </c>
      <c r="I1380" s="2" t="n">
        <v>5500</v>
      </c>
      <c r="J1380" s="2" t="n">
        <v>0.15</v>
      </c>
      <c r="K1380" s="2" t="n">
        <v>3600</v>
      </c>
    </row>
    <row r="1381" customFormat="false" ht="15" hidden="false" customHeight="false" outlineLevel="0" collapsed="false">
      <c r="A1381" s="2" t="s">
        <v>1982</v>
      </c>
      <c r="B1381" s="2" t="s">
        <v>1981</v>
      </c>
      <c r="C1381" s="10" t="n">
        <v>45729</v>
      </c>
      <c r="D1381" s="2" t="s">
        <v>91</v>
      </c>
      <c r="E1381" s="2" t="s">
        <v>92</v>
      </c>
      <c r="F1381" s="2" t="s">
        <v>73</v>
      </c>
      <c r="G1381" s="2" t="s">
        <v>104</v>
      </c>
      <c r="H1381" s="2" t="n">
        <v>4</v>
      </c>
      <c r="I1381" s="2" t="n">
        <v>5500</v>
      </c>
      <c r="J1381" s="2" t="n">
        <v>0.05</v>
      </c>
      <c r="K1381" s="2" t="n">
        <v>3600</v>
      </c>
    </row>
    <row r="1382" customFormat="false" ht="15" hidden="false" customHeight="false" outlineLevel="0" collapsed="false">
      <c r="A1382" s="2" t="s">
        <v>1983</v>
      </c>
      <c r="B1382" s="2" t="s">
        <v>1981</v>
      </c>
      <c r="C1382" s="10" t="n">
        <v>45740</v>
      </c>
      <c r="D1382" s="2" t="s">
        <v>91</v>
      </c>
      <c r="E1382" s="2" t="s">
        <v>92</v>
      </c>
      <c r="F1382" s="2" t="s">
        <v>70</v>
      </c>
      <c r="G1382" s="2" t="s">
        <v>71</v>
      </c>
      <c r="H1382" s="2" t="n">
        <v>4</v>
      </c>
      <c r="I1382" s="2" t="n">
        <v>2500</v>
      </c>
      <c r="J1382" s="2" t="n">
        <v>0.1</v>
      </c>
      <c r="K1382" s="2" t="n">
        <v>1600</v>
      </c>
    </row>
    <row r="1383" customFormat="false" ht="15" hidden="false" customHeight="false" outlineLevel="0" collapsed="false">
      <c r="A1383" s="2" t="s">
        <v>1984</v>
      </c>
      <c r="B1383" s="2" t="s">
        <v>1981</v>
      </c>
      <c r="C1383" s="10" t="n">
        <v>45910</v>
      </c>
      <c r="D1383" s="2" t="s">
        <v>91</v>
      </c>
      <c r="E1383" s="2" t="s">
        <v>92</v>
      </c>
      <c r="F1383" s="2" t="s">
        <v>70</v>
      </c>
      <c r="G1383" s="2" t="s">
        <v>71</v>
      </c>
      <c r="H1383" s="2" t="n">
        <v>4</v>
      </c>
      <c r="I1383" s="2" t="n">
        <v>2500</v>
      </c>
      <c r="J1383" s="2" t="n">
        <v>0.15</v>
      </c>
      <c r="K1383" s="2" t="n">
        <v>1600</v>
      </c>
    </row>
    <row r="1384" customFormat="false" ht="15" hidden="false" customHeight="false" outlineLevel="0" collapsed="false">
      <c r="A1384" s="2" t="s">
        <v>1985</v>
      </c>
      <c r="B1384" s="2" t="s">
        <v>1981</v>
      </c>
      <c r="C1384" s="10" t="n">
        <v>46011</v>
      </c>
      <c r="D1384" s="2" t="s">
        <v>91</v>
      </c>
      <c r="E1384" s="2" t="s">
        <v>92</v>
      </c>
      <c r="F1384" s="2" t="s">
        <v>70</v>
      </c>
      <c r="G1384" s="2" t="s">
        <v>126</v>
      </c>
      <c r="H1384" s="2" t="n">
        <v>4</v>
      </c>
      <c r="I1384" s="2" t="n">
        <v>4500</v>
      </c>
      <c r="J1384" s="2" t="n">
        <v>0.15</v>
      </c>
      <c r="K1384" s="2" t="n">
        <v>3300</v>
      </c>
    </row>
    <row r="1385" customFormat="false" ht="15" hidden="false" customHeight="false" outlineLevel="0" collapsed="false">
      <c r="A1385" s="2" t="s">
        <v>1986</v>
      </c>
      <c r="B1385" s="2" t="s">
        <v>1987</v>
      </c>
      <c r="C1385" s="10" t="n">
        <v>45672</v>
      </c>
      <c r="D1385" s="2" t="s">
        <v>81</v>
      </c>
      <c r="E1385" s="2" t="s">
        <v>64</v>
      </c>
      <c r="F1385" s="2" t="s">
        <v>70</v>
      </c>
      <c r="G1385" s="2" t="s">
        <v>71</v>
      </c>
      <c r="H1385" s="2" t="n">
        <v>1</v>
      </c>
      <c r="I1385" s="2" t="n">
        <v>2500</v>
      </c>
      <c r="J1385" s="2" t="n">
        <v>0.1</v>
      </c>
      <c r="K1385" s="2" t="n">
        <v>1600</v>
      </c>
    </row>
    <row r="1386" customFormat="false" ht="15" hidden="false" customHeight="false" outlineLevel="0" collapsed="false">
      <c r="A1386" s="2" t="s">
        <v>1988</v>
      </c>
      <c r="B1386" s="2" t="s">
        <v>1987</v>
      </c>
      <c r="C1386" s="10" t="n">
        <v>45692</v>
      </c>
      <c r="D1386" s="2" t="s">
        <v>81</v>
      </c>
      <c r="E1386" s="2" t="s">
        <v>64</v>
      </c>
      <c r="F1386" s="2" t="s">
        <v>70</v>
      </c>
      <c r="G1386" s="2" t="s">
        <v>97</v>
      </c>
      <c r="H1386" s="2" t="n">
        <v>2</v>
      </c>
      <c r="I1386" s="2" t="n">
        <v>3000</v>
      </c>
      <c r="J1386" s="2" t="n">
        <v>0.05</v>
      </c>
      <c r="K1386" s="2" t="n">
        <v>2000</v>
      </c>
    </row>
    <row r="1387" customFormat="false" ht="15" hidden="false" customHeight="false" outlineLevel="0" collapsed="false">
      <c r="A1387" s="2" t="s">
        <v>1989</v>
      </c>
      <c r="B1387" s="2" t="s">
        <v>1990</v>
      </c>
      <c r="C1387" s="10" t="n">
        <v>45876</v>
      </c>
      <c r="D1387" s="2" t="s">
        <v>77</v>
      </c>
      <c r="E1387" s="2" t="s">
        <v>92</v>
      </c>
      <c r="F1387" s="2" t="s">
        <v>70</v>
      </c>
      <c r="G1387" s="2" t="s">
        <v>126</v>
      </c>
      <c r="H1387" s="2" t="n">
        <v>6</v>
      </c>
      <c r="I1387" s="2" t="n">
        <v>4500</v>
      </c>
      <c r="J1387" s="2" t="n">
        <v>0.15</v>
      </c>
      <c r="K1387" s="2" t="n">
        <v>3300</v>
      </c>
    </row>
    <row r="1388" customFormat="false" ht="15" hidden="false" customHeight="false" outlineLevel="0" collapsed="false">
      <c r="A1388" s="2" t="s">
        <v>1991</v>
      </c>
      <c r="B1388" s="2" t="s">
        <v>1990</v>
      </c>
      <c r="C1388" s="10" t="n">
        <v>45851</v>
      </c>
      <c r="D1388" s="2" t="s">
        <v>77</v>
      </c>
      <c r="E1388" s="2" t="s">
        <v>92</v>
      </c>
      <c r="F1388" s="2" t="s">
        <v>73</v>
      </c>
      <c r="G1388" s="2" t="s">
        <v>74</v>
      </c>
      <c r="H1388" s="2" t="n">
        <v>8</v>
      </c>
      <c r="I1388" s="2" t="n">
        <v>7000</v>
      </c>
      <c r="J1388" s="2" t="n">
        <v>0.1</v>
      </c>
      <c r="K1388" s="2" t="n">
        <v>4800</v>
      </c>
    </row>
    <row r="1389" customFormat="false" ht="15" hidden="false" customHeight="false" outlineLevel="0" collapsed="false">
      <c r="A1389" s="2" t="s">
        <v>1992</v>
      </c>
      <c r="B1389" s="2" t="s">
        <v>1990</v>
      </c>
      <c r="C1389" s="10" t="n">
        <v>45971</v>
      </c>
      <c r="D1389" s="2" t="s">
        <v>77</v>
      </c>
      <c r="E1389" s="2" t="s">
        <v>92</v>
      </c>
      <c r="F1389" s="2" t="s">
        <v>73</v>
      </c>
      <c r="G1389" s="2" t="s">
        <v>74</v>
      </c>
      <c r="H1389" s="2" t="n">
        <v>5</v>
      </c>
      <c r="I1389" s="2" t="n">
        <v>7000</v>
      </c>
      <c r="J1389" s="2" t="n">
        <v>0.1</v>
      </c>
      <c r="K1389" s="2" t="n">
        <v>4800</v>
      </c>
    </row>
    <row r="1390" customFormat="false" ht="15" hidden="false" customHeight="false" outlineLevel="0" collapsed="false">
      <c r="A1390" s="2" t="s">
        <v>1993</v>
      </c>
      <c r="B1390" s="2" t="s">
        <v>1990</v>
      </c>
      <c r="C1390" s="10" t="n">
        <v>45792</v>
      </c>
      <c r="D1390" s="2" t="s">
        <v>77</v>
      </c>
      <c r="E1390" s="2" t="s">
        <v>92</v>
      </c>
      <c r="F1390" s="2" t="s">
        <v>73</v>
      </c>
      <c r="G1390" s="2" t="s">
        <v>85</v>
      </c>
      <c r="H1390" s="2" t="n">
        <v>4</v>
      </c>
      <c r="I1390" s="2" t="n">
        <v>1200</v>
      </c>
      <c r="J1390" s="2" t="n">
        <v>0.1</v>
      </c>
      <c r="K1390" s="2" t="n">
        <v>600</v>
      </c>
    </row>
    <row r="1391" customFormat="false" ht="15" hidden="false" customHeight="false" outlineLevel="0" collapsed="false">
      <c r="A1391" s="2" t="s">
        <v>1994</v>
      </c>
      <c r="B1391" s="2" t="s">
        <v>1995</v>
      </c>
      <c r="C1391" s="10" t="n">
        <v>45981</v>
      </c>
      <c r="D1391" s="2" t="s">
        <v>77</v>
      </c>
      <c r="E1391" s="2" t="s">
        <v>69</v>
      </c>
      <c r="F1391" s="2" t="s">
        <v>73</v>
      </c>
      <c r="G1391" s="2" t="s">
        <v>85</v>
      </c>
      <c r="H1391" s="2" t="n">
        <v>5</v>
      </c>
      <c r="I1391" s="2" t="n">
        <v>1200</v>
      </c>
      <c r="J1391" s="2" t="n">
        <v>0.15</v>
      </c>
      <c r="K1391" s="2" t="n">
        <v>600</v>
      </c>
    </row>
    <row r="1392" customFormat="false" ht="15" hidden="false" customHeight="false" outlineLevel="0" collapsed="false">
      <c r="A1392" s="2" t="s">
        <v>1996</v>
      </c>
      <c r="B1392" s="2" t="s">
        <v>1997</v>
      </c>
      <c r="C1392" s="10" t="n">
        <v>45805</v>
      </c>
      <c r="D1392" s="2" t="s">
        <v>63</v>
      </c>
      <c r="E1392" s="2" t="s">
        <v>64</v>
      </c>
      <c r="F1392" s="2" t="s">
        <v>70</v>
      </c>
      <c r="G1392" s="2" t="s">
        <v>126</v>
      </c>
      <c r="H1392" s="2" t="n">
        <v>1</v>
      </c>
      <c r="I1392" s="2" t="n">
        <v>4500</v>
      </c>
      <c r="J1392" s="2" t="n">
        <v>0.1</v>
      </c>
      <c r="K1392" s="2" t="n">
        <v>3300</v>
      </c>
    </row>
    <row r="1393" customFormat="false" ht="15" hidden="false" customHeight="false" outlineLevel="0" collapsed="false">
      <c r="A1393" s="2" t="s">
        <v>1998</v>
      </c>
      <c r="B1393" s="2" t="s">
        <v>1997</v>
      </c>
      <c r="C1393" s="10" t="n">
        <v>45927</v>
      </c>
      <c r="D1393" s="2" t="s">
        <v>63</v>
      </c>
      <c r="E1393" s="2" t="s">
        <v>64</v>
      </c>
      <c r="F1393" s="2" t="s">
        <v>70</v>
      </c>
      <c r="G1393" s="2" t="s">
        <v>71</v>
      </c>
      <c r="H1393" s="2" t="n">
        <v>2</v>
      </c>
      <c r="I1393" s="2" t="n">
        <v>2500</v>
      </c>
      <c r="J1393" s="2" t="n">
        <v>0.1</v>
      </c>
      <c r="K1393" s="2" t="n">
        <v>1600</v>
      </c>
    </row>
    <row r="1394" customFormat="false" ht="15" hidden="false" customHeight="false" outlineLevel="0" collapsed="false">
      <c r="A1394" s="2" t="s">
        <v>1999</v>
      </c>
      <c r="B1394" s="2" t="s">
        <v>2000</v>
      </c>
      <c r="C1394" s="10" t="n">
        <v>45823</v>
      </c>
      <c r="D1394" s="2" t="s">
        <v>91</v>
      </c>
      <c r="E1394" s="2" t="s">
        <v>64</v>
      </c>
      <c r="F1394" s="2" t="s">
        <v>73</v>
      </c>
      <c r="G1394" s="2" t="s">
        <v>85</v>
      </c>
      <c r="H1394" s="2" t="n">
        <v>2</v>
      </c>
      <c r="I1394" s="2" t="n">
        <v>1200</v>
      </c>
      <c r="J1394" s="2" t="n">
        <v>0</v>
      </c>
      <c r="K1394" s="2" t="n">
        <v>600</v>
      </c>
    </row>
    <row r="1395" customFormat="false" ht="15" hidden="false" customHeight="false" outlineLevel="0" collapsed="false">
      <c r="A1395" s="2" t="s">
        <v>2001</v>
      </c>
      <c r="B1395" s="2" t="s">
        <v>2000</v>
      </c>
      <c r="C1395" s="10" t="n">
        <v>45811</v>
      </c>
      <c r="D1395" s="2" t="s">
        <v>91</v>
      </c>
      <c r="E1395" s="2" t="s">
        <v>64</v>
      </c>
      <c r="F1395" s="2" t="s">
        <v>73</v>
      </c>
      <c r="G1395" s="2" t="s">
        <v>85</v>
      </c>
      <c r="H1395" s="2" t="n">
        <v>3</v>
      </c>
      <c r="I1395" s="2" t="n">
        <v>1200</v>
      </c>
      <c r="J1395" s="2" t="n">
        <v>0</v>
      </c>
      <c r="K1395" s="2" t="n">
        <v>600</v>
      </c>
    </row>
    <row r="1396" customFormat="false" ht="15" hidden="false" customHeight="false" outlineLevel="0" collapsed="false">
      <c r="A1396" s="2" t="s">
        <v>2002</v>
      </c>
      <c r="B1396" s="2" t="s">
        <v>2000</v>
      </c>
      <c r="C1396" s="10" t="n">
        <v>45820</v>
      </c>
      <c r="D1396" s="2" t="s">
        <v>91</v>
      </c>
      <c r="E1396" s="2" t="s">
        <v>64</v>
      </c>
      <c r="F1396" s="2" t="s">
        <v>65</v>
      </c>
      <c r="G1396" s="2" t="s">
        <v>82</v>
      </c>
      <c r="H1396" s="2" t="n">
        <v>4</v>
      </c>
      <c r="I1396" s="2" t="n">
        <v>250</v>
      </c>
      <c r="J1396" s="2" t="n">
        <v>0.05</v>
      </c>
      <c r="K1396" s="2" t="n">
        <v>100</v>
      </c>
    </row>
    <row r="1397" customFormat="false" ht="15" hidden="false" customHeight="false" outlineLevel="0" collapsed="false">
      <c r="A1397" s="2" t="s">
        <v>2003</v>
      </c>
      <c r="B1397" s="2" t="s">
        <v>2000</v>
      </c>
      <c r="C1397" s="10" t="n">
        <v>45995</v>
      </c>
      <c r="D1397" s="2" t="s">
        <v>91</v>
      </c>
      <c r="E1397" s="2" t="s">
        <v>64</v>
      </c>
      <c r="F1397" s="2" t="s">
        <v>73</v>
      </c>
      <c r="G1397" s="2" t="s">
        <v>85</v>
      </c>
      <c r="H1397" s="2" t="n">
        <v>3</v>
      </c>
      <c r="I1397" s="2" t="n">
        <v>1200</v>
      </c>
      <c r="J1397" s="2" t="n">
        <v>0.1</v>
      </c>
      <c r="K1397" s="2" t="n">
        <v>600</v>
      </c>
    </row>
    <row r="1398" customFormat="false" ht="15" hidden="false" customHeight="false" outlineLevel="0" collapsed="false">
      <c r="A1398" s="2" t="s">
        <v>2004</v>
      </c>
      <c r="B1398" s="2" t="s">
        <v>2000</v>
      </c>
      <c r="C1398" s="10" t="n">
        <v>45980</v>
      </c>
      <c r="D1398" s="2" t="s">
        <v>91</v>
      </c>
      <c r="E1398" s="2" t="s">
        <v>64</v>
      </c>
      <c r="F1398" s="2" t="s">
        <v>73</v>
      </c>
      <c r="G1398" s="2" t="s">
        <v>87</v>
      </c>
      <c r="H1398" s="2" t="n">
        <v>1</v>
      </c>
      <c r="I1398" s="2" t="n">
        <v>9000</v>
      </c>
      <c r="J1398" s="2" t="n">
        <v>0.05</v>
      </c>
      <c r="K1398" s="2" t="n">
        <v>6200</v>
      </c>
    </row>
    <row r="1399" customFormat="false" ht="15" hidden="false" customHeight="false" outlineLevel="0" collapsed="false">
      <c r="A1399" s="2" t="s">
        <v>2005</v>
      </c>
      <c r="B1399" s="2" t="s">
        <v>2000</v>
      </c>
      <c r="C1399" s="10" t="n">
        <v>45857</v>
      </c>
      <c r="D1399" s="2" t="s">
        <v>91</v>
      </c>
      <c r="E1399" s="2" t="s">
        <v>64</v>
      </c>
      <c r="F1399" s="2" t="s">
        <v>65</v>
      </c>
      <c r="G1399" s="2" t="s">
        <v>107</v>
      </c>
      <c r="H1399" s="2" t="n">
        <v>8</v>
      </c>
      <c r="I1399" s="2" t="n">
        <v>500</v>
      </c>
      <c r="J1399" s="2" t="n">
        <v>0</v>
      </c>
      <c r="K1399" s="2" t="n">
        <v>250</v>
      </c>
    </row>
    <row r="1400" customFormat="false" ht="15" hidden="false" customHeight="false" outlineLevel="0" collapsed="false">
      <c r="A1400" s="2" t="s">
        <v>2006</v>
      </c>
      <c r="B1400" s="2" t="s">
        <v>2000</v>
      </c>
      <c r="C1400" s="10" t="n">
        <v>45764</v>
      </c>
      <c r="D1400" s="2" t="s">
        <v>91</v>
      </c>
      <c r="E1400" s="2" t="s">
        <v>64</v>
      </c>
      <c r="F1400" s="2" t="s">
        <v>65</v>
      </c>
      <c r="G1400" s="2" t="s">
        <v>107</v>
      </c>
      <c r="H1400" s="2" t="n">
        <v>7</v>
      </c>
      <c r="I1400" s="2" t="n">
        <v>500</v>
      </c>
      <c r="J1400" s="2" t="n">
        <v>0.1</v>
      </c>
      <c r="K1400" s="2" t="n">
        <v>250</v>
      </c>
    </row>
    <row r="1401" customFormat="false" ht="15" hidden="false" customHeight="false" outlineLevel="0" collapsed="false">
      <c r="A1401" s="2" t="s">
        <v>2007</v>
      </c>
      <c r="B1401" s="2" t="s">
        <v>2000</v>
      </c>
      <c r="C1401" s="10" t="n">
        <v>45977</v>
      </c>
      <c r="D1401" s="2" t="s">
        <v>91</v>
      </c>
      <c r="E1401" s="2" t="s">
        <v>64</v>
      </c>
      <c r="F1401" s="2" t="s">
        <v>73</v>
      </c>
      <c r="G1401" s="2" t="s">
        <v>85</v>
      </c>
      <c r="H1401" s="2" t="n">
        <v>2</v>
      </c>
      <c r="I1401" s="2" t="n">
        <v>1200</v>
      </c>
      <c r="J1401" s="2" t="n">
        <v>0.05</v>
      </c>
      <c r="K1401" s="2" t="n">
        <v>600</v>
      </c>
    </row>
    <row r="1402" customFormat="false" ht="15" hidden="false" customHeight="false" outlineLevel="0" collapsed="false">
      <c r="A1402" s="2" t="s">
        <v>2008</v>
      </c>
      <c r="B1402" s="2" t="s">
        <v>2000</v>
      </c>
      <c r="C1402" s="10" t="n">
        <v>45815</v>
      </c>
      <c r="D1402" s="2" t="s">
        <v>91</v>
      </c>
      <c r="E1402" s="2" t="s">
        <v>64</v>
      </c>
      <c r="F1402" s="2" t="s">
        <v>70</v>
      </c>
      <c r="G1402" s="2" t="s">
        <v>97</v>
      </c>
      <c r="H1402" s="2" t="n">
        <v>1</v>
      </c>
      <c r="I1402" s="2" t="n">
        <v>3000</v>
      </c>
      <c r="J1402" s="2" t="n">
        <v>0.1</v>
      </c>
      <c r="K1402" s="2" t="n">
        <v>2000</v>
      </c>
    </row>
    <row r="1403" customFormat="false" ht="15" hidden="false" customHeight="false" outlineLevel="0" collapsed="false">
      <c r="A1403" s="2" t="s">
        <v>2009</v>
      </c>
      <c r="B1403" s="2" t="s">
        <v>2000</v>
      </c>
      <c r="C1403" s="10" t="n">
        <v>46001</v>
      </c>
      <c r="D1403" s="2" t="s">
        <v>91</v>
      </c>
      <c r="E1403" s="2" t="s">
        <v>64</v>
      </c>
      <c r="F1403" s="2" t="s">
        <v>65</v>
      </c>
      <c r="G1403" s="2" t="s">
        <v>78</v>
      </c>
      <c r="H1403" s="2" t="n">
        <v>8</v>
      </c>
      <c r="I1403" s="2" t="n">
        <v>400</v>
      </c>
      <c r="J1403" s="2" t="n">
        <v>0.05</v>
      </c>
      <c r="K1403" s="2" t="n">
        <v>200</v>
      </c>
    </row>
    <row r="1404" customFormat="false" ht="15" hidden="false" customHeight="false" outlineLevel="0" collapsed="false">
      <c r="A1404" s="2" t="s">
        <v>2010</v>
      </c>
      <c r="B1404" s="2" t="s">
        <v>2011</v>
      </c>
      <c r="C1404" s="10" t="n">
        <v>45976</v>
      </c>
      <c r="D1404" s="2" t="s">
        <v>77</v>
      </c>
      <c r="E1404" s="2" t="s">
        <v>69</v>
      </c>
      <c r="F1404" s="2" t="s">
        <v>65</v>
      </c>
      <c r="G1404" s="2" t="s">
        <v>78</v>
      </c>
      <c r="H1404" s="2" t="n">
        <v>12</v>
      </c>
      <c r="I1404" s="2" t="n">
        <v>400</v>
      </c>
      <c r="J1404" s="2" t="n">
        <v>0.05</v>
      </c>
      <c r="K1404" s="2" t="n">
        <v>200</v>
      </c>
    </row>
    <row r="1405" customFormat="false" ht="15" hidden="false" customHeight="false" outlineLevel="0" collapsed="false">
      <c r="A1405" s="2" t="s">
        <v>2012</v>
      </c>
      <c r="B1405" s="2" t="s">
        <v>2013</v>
      </c>
      <c r="C1405" s="10" t="n">
        <v>45967</v>
      </c>
      <c r="D1405" s="2" t="s">
        <v>81</v>
      </c>
      <c r="E1405" s="2" t="s">
        <v>64</v>
      </c>
      <c r="F1405" s="2" t="s">
        <v>70</v>
      </c>
      <c r="G1405" s="2" t="s">
        <v>97</v>
      </c>
      <c r="H1405" s="2" t="n">
        <v>3</v>
      </c>
      <c r="I1405" s="2" t="n">
        <v>3000</v>
      </c>
      <c r="J1405" s="2" t="n">
        <v>0.05</v>
      </c>
      <c r="K1405" s="2" t="n">
        <v>2000</v>
      </c>
    </row>
    <row r="1406" customFormat="false" ht="15" hidden="false" customHeight="false" outlineLevel="0" collapsed="false">
      <c r="A1406" s="2" t="s">
        <v>2014</v>
      </c>
      <c r="B1406" s="2" t="s">
        <v>2013</v>
      </c>
      <c r="C1406" s="10" t="n">
        <v>45705</v>
      </c>
      <c r="D1406" s="2" t="s">
        <v>81</v>
      </c>
      <c r="E1406" s="2" t="s">
        <v>64</v>
      </c>
      <c r="F1406" s="2" t="s">
        <v>70</v>
      </c>
      <c r="G1406" s="2" t="s">
        <v>126</v>
      </c>
      <c r="H1406" s="2" t="n">
        <v>3</v>
      </c>
      <c r="I1406" s="2" t="n">
        <v>4500</v>
      </c>
      <c r="J1406" s="2" t="n">
        <v>0</v>
      </c>
      <c r="K1406" s="2" t="n">
        <v>3300</v>
      </c>
    </row>
    <row r="1407" customFormat="false" ht="15" hidden="false" customHeight="false" outlineLevel="0" collapsed="false">
      <c r="A1407" s="2" t="s">
        <v>2015</v>
      </c>
      <c r="B1407" s="2" t="s">
        <v>2013</v>
      </c>
      <c r="C1407" s="10" t="n">
        <v>45727</v>
      </c>
      <c r="D1407" s="2" t="s">
        <v>81</v>
      </c>
      <c r="E1407" s="2" t="s">
        <v>64</v>
      </c>
      <c r="F1407" s="2" t="s">
        <v>65</v>
      </c>
      <c r="G1407" s="2" t="s">
        <v>66</v>
      </c>
      <c r="H1407" s="2" t="n">
        <v>4</v>
      </c>
      <c r="I1407" s="2" t="n">
        <v>600</v>
      </c>
      <c r="J1407" s="2" t="n">
        <v>0.1</v>
      </c>
      <c r="K1407" s="2" t="n">
        <v>300</v>
      </c>
    </row>
    <row r="1408" customFormat="false" ht="15" hidden="false" customHeight="false" outlineLevel="0" collapsed="false">
      <c r="A1408" s="2" t="s">
        <v>2016</v>
      </c>
      <c r="B1408" s="2" t="s">
        <v>2017</v>
      </c>
      <c r="C1408" s="10" t="n">
        <v>45673</v>
      </c>
      <c r="D1408" s="2" t="s">
        <v>63</v>
      </c>
      <c r="E1408" s="2" t="s">
        <v>64</v>
      </c>
      <c r="F1408" s="2" t="s">
        <v>70</v>
      </c>
      <c r="G1408" s="2" t="s">
        <v>97</v>
      </c>
      <c r="H1408" s="2" t="n">
        <v>1</v>
      </c>
      <c r="I1408" s="2" t="n">
        <v>3000</v>
      </c>
      <c r="J1408" s="2" t="n">
        <v>0</v>
      </c>
      <c r="K1408" s="2" t="n">
        <v>2000</v>
      </c>
    </row>
    <row r="1409" customFormat="false" ht="15" hidden="false" customHeight="false" outlineLevel="0" collapsed="false">
      <c r="A1409" s="2" t="s">
        <v>2018</v>
      </c>
      <c r="B1409" s="2" t="s">
        <v>2019</v>
      </c>
      <c r="C1409" s="10" t="n">
        <v>45973</v>
      </c>
      <c r="D1409" s="2" t="s">
        <v>81</v>
      </c>
      <c r="E1409" s="2" t="s">
        <v>92</v>
      </c>
      <c r="F1409" s="2" t="s">
        <v>73</v>
      </c>
      <c r="G1409" s="2" t="s">
        <v>104</v>
      </c>
      <c r="H1409" s="2" t="n">
        <v>7</v>
      </c>
      <c r="I1409" s="2" t="n">
        <v>5500</v>
      </c>
      <c r="J1409" s="2" t="n">
        <v>0.15</v>
      </c>
      <c r="K1409" s="2" t="n">
        <v>3600</v>
      </c>
    </row>
    <row r="1410" customFormat="false" ht="15" hidden="false" customHeight="false" outlineLevel="0" collapsed="false">
      <c r="A1410" s="2" t="s">
        <v>2020</v>
      </c>
      <c r="B1410" s="2" t="s">
        <v>2019</v>
      </c>
      <c r="C1410" s="10" t="n">
        <v>45844</v>
      </c>
      <c r="D1410" s="2" t="s">
        <v>81</v>
      </c>
      <c r="E1410" s="2" t="s">
        <v>92</v>
      </c>
      <c r="F1410" s="2" t="s">
        <v>70</v>
      </c>
      <c r="G1410" s="2" t="s">
        <v>97</v>
      </c>
      <c r="H1410" s="2" t="n">
        <v>3</v>
      </c>
      <c r="I1410" s="2" t="n">
        <v>3000</v>
      </c>
      <c r="J1410" s="2" t="n">
        <v>0.15</v>
      </c>
      <c r="K1410" s="2" t="n">
        <v>2000</v>
      </c>
    </row>
    <row r="1411" customFormat="false" ht="15" hidden="false" customHeight="false" outlineLevel="0" collapsed="false">
      <c r="A1411" s="2" t="s">
        <v>2021</v>
      </c>
      <c r="B1411" s="2" t="s">
        <v>2019</v>
      </c>
      <c r="C1411" s="10" t="n">
        <v>45736</v>
      </c>
      <c r="D1411" s="2" t="s">
        <v>81</v>
      </c>
      <c r="E1411" s="2" t="s">
        <v>92</v>
      </c>
      <c r="F1411" s="2" t="s">
        <v>73</v>
      </c>
      <c r="G1411" s="2" t="s">
        <v>87</v>
      </c>
      <c r="H1411" s="2" t="n">
        <v>8</v>
      </c>
      <c r="I1411" s="2" t="n">
        <v>9000</v>
      </c>
      <c r="J1411" s="2" t="n">
        <v>0.05</v>
      </c>
      <c r="K1411" s="2" t="n">
        <v>6200</v>
      </c>
    </row>
    <row r="1412" customFormat="false" ht="15" hidden="false" customHeight="false" outlineLevel="0" collapsed="false">
      <c r="A1412" s="2" t="s">
        <v>2022</v>
      </c>
      <c r="B1412" s="2" t="s">
        <v>2023</v>
      </c>
      <c r="C1412" s="10" t="n">
        <v>45912</v>
      </c>
      <c r="D1412" s="2" t="s">
        <v>63</v>
      </c>
      <c r="E1412" s="2" t="s">
        <v>92</v>
      </c>
      <c r="F1412" s="2" t="s">
        <v>70</v>
      </c>
      <c r="G1412" s="2" t="s">
        <v>97</v>
      </c>
      <c r="H1412" s="2" t="n">
        <v>3</v>
      </c>
      <c r="I1412" s="2" t="n">
        <v>3000</v>
      </c>
      <c r="J1412" s="2" t="n">
        <v>0.1</v>
      </c>
      <c r="K1412" s="2" t="n">
        <v>2000</v>
      </c>
    </row>
    <row r="1413" customFormat="false" ht="15" hidden="false" customHeight="false" outlineLevel="0" collapsed="false">
      <c r="A1413" s="2" t="s">
        <v>2024</v>
      </c>
      <c r="B1413" s="2" t="s">
        <v>2023</v>
      </c>
      <c r="C1413" s="10" t="n">
        <v>45675</v>
      </c>
      <c r="D1413" s="2" t="s">
        <v>63</v>
      </c>
      <c r="E1413" s="2" t="s">
        <v>92</v>
      </c>
      <c r="F1413" s="2" t="s">
        <v>70</v>
      </c>
      <c r="G1413" s="2" t="s">
        <v>122</v>
      </c>
      <c r="H1413" s="2" t="n">
        <v>7</v>
      </c>
      <c r="I1413" s="2" t="n">
        <v>1500</v>
      </c>
      <c r="J1413" s="2" t="n">
        <v>0</v>
      </c>
      <c r="K1413" s="2" t="n">
        <v>900</v>
      </c>
    </row>
    <row r="1414" customFormat="false" ht="15" hidden="false" customHeight="false" outlineLevel="0" collapsed="false">
      <c r="A1414" s="2" t="s">
        <v>2025</v>
      </c>
      <c r="B1414" s="2" t="s">
        <v>2023</v>
      </c>
      <c r="C1414" s="10" t="n">
        <v>45931</v>
      </c>
      <c r="D1414" s="2" t="s">
        <v>63</v>
      </c>
      <c r="E1414" s="2" t="s">
        <v>92</v>
      </c>
      <c r="F1414" s="2" t="s">
        <v>73</v>
      </c>
      <c r="G1414" s="2" t="s">
        <v>104</v>
      </c>
      <c r="H1414" s="2" t="n">
        <v>6</v>
      </c>
      <c r="I1414" s="2" t="n">
        <v>5500</v>
      </c>
      <c r="J1414" s="2" t="n">
        <v>0.15</v>
      </c>
      <c r="K1414" s="2" t="n">
        <v>3600</v>
      </c>
    </row>
    <row r="1415" customFormat="false" ht="15" hidden="false" customHeight="false" outlineLevel="0" collapsed="false">
      <c r="A1415" s="2" t="s">
        <v>2026</v>
      </c>
      <c r="B1415" s="2" t="s">
        <v>2023</v>
      </c>
      <c r="C1415" s="10" t="n">
        <v>46001</v>
      </c>
      <c r="D1415" s="2" t="s">
        <v>63</v>
      </c>
      <c r="E1415" s="2" t="s">
        <v>92</v>
      </c>
      <c r="F1415" s="2" t="s">
        <v>70</v>
      </c>
      <c r="G1415" s="2" t="s">
        <v>71</v>
      </c>
      <c r="H1415" s="2" t="n">
        <v>8</v>
      </c>
      <c r="I1415" s="2" t="n">
        <v>2500</v>
      </c>
      <c r="J1415" s="2" t="n">
        <v>0.15</v>
      </c>
      <c r="K1415" s="2" t="n">
        <v>1600</v>
      </c>
    </row>
    <row r="1416" customFormat="false" ht="15" hidden="false" customHeight="false" outlineLevel="0" collapsed="false">
      <c r="A1416" s="2" t="s">
        <v>2027</v>
      </c>
      <c r="B1416" s="2" t="s">
        <v>2028</v>
      </c>
      <c r="C1416" s="10" t="n">
        <v>45971</v>
      </c>
      <c r="D1416" s="2" t="s">
        <v>81</v>
      </c>
      <c r="E1416" s="2" t="s">
        <v>64</v>
      </c>
      <c r="F1416" s="2" t="s">
        <v>73</v>
      </c>
      <c r="G1416" s="2" t="s">
        <v>85</v>
      </c>
      <c r="H1416" s="2" t="n">
        <v>1</v>
      </c>
      <c r="I1416" s="2" t="n">
        <v>1200</v>
      </c>
      <c r="J1416" s="2" t="n">
        <v>0.05</v>
      </c>
      <c r="K1416" s="2" t="n">
        <v>600</v>
      </c>
    </row>
    <row r="1417" customFormat="false" ht="15" hidden="false" customHeight="false" outlineLevel="0" collapsed="false">
      <c r="A1417" s="2" t="s">
        <v>2029</v>
      </c>
      <c r="B1417" s="2" t="s">
        <v>2028</v>
      </c>
      <c r="C1417" s="10" t="n">
        <v>45949</v>
      </c>
      <c r="D1417" s="2" t="s">
        <v>81</v>
      </c>
      <c r="E1417" s="2" t="s">
        <v>64</v>
      </c>
      <c r="F1417" s="2" t="s">
        <v>70</v>
      </c>
      <c r="G1417" s="2" t="s">
        <v>126</v>
      </c>
      <c r="H1417" s="2" t="n">
        <v>3</v>
      </c>
      <c r="I1417" s="2" t="n">
        <v>4500</v>
      </c>
      <c r="J1417" s="2" t="n">
        <v>0.1</v>
      </c>
      <c r="K1417" s="2" t="n">
        <v>3300</v>
      </c>
    </row>
    <row r="1418" customFormat="false" ht="15" hidden="false" customHeight="false" outlineLevel="0" collapsed="false">
      <c r="A1418" s="2" t="s">
        <v>2030</v>
      </c>
      <c r="B1418" s="2" t="s">
        <v>2031</v>
      </c>
      <c r="C1418" s="10" t="n">
        <v>45796</v>
      </c>
      <c r="D1418" s="2" t="s">
        <v>63</v>
      </c>
      <c r="E1418" s="2" t="s">
        <v>69</v>
      </c>
      <c r="F1418" s="2" t="s">
        <v>73</v>
      </c>
      <c r="G1418" s="2" t="s">
        <v>104</v>
      </c>
      <c r="H1418" s="2" t="n">
        <v>4</v>
      </c>
      <c r="I1418" s="2" t="n">
        <v>5500</v>
      </c>
      <c r="J1418" s="2" t="n">
        <v>0</v>
      </c>
      <c r="K1418" s="2" t="n">
        <v>3600</v>
      </c>
    </row>
    <row r="1419" customFormat="false" ht="15" hidden="false" customHeight="false" outlineLevel="0" collapsed="false">
      <c r="A1419" s="2" t="s">
        <v>2032</v>
      </c>
      <c r="B1419" s="2" t="s">
        <v>2031</v>
      </c>
      <c r="C1419" s="10" t="n">
        <v>45977</v>
      </c>
      <c r="D1419" s="2" t="s">
        <v>63</v>
      </c>
      <c r="E1419" s="2" t="s">
        <v>69</v>
      </c>
      <c r="F1419" s="2" t="s">
        <v>65</v>
      </c>
      <c r="G1419" s="2" t="s">
        <v>78</v>
      </c>
      <c r="H1419" s="2" t="n">
        <v>17</v>
      </c>
      <c r="I1419" s="2" t="n">
        <v>400</v>
      </c>
      <c r="J1419" s="2" t="n">
        <v>0.05</v>
      </c>
      <c r="K1419" s="2" t="n">
        <v>200</v>
      </c>
    </row>
    <row r="1420" customFormat="false" ht="15" hidden="false" customHeight="false" outlineLevel="0" collapsed="false">
      <c r="A1420" s="2" t="s">
        <v>2033</v>
      </c>
      <c r="B1420" s="2" t="s">
        <v>2034</v>
      </c>
      <c r="C1420" s="10" t="n">
        <v>45916</v>
      </c>
      <c r="D1420" s="2" t="s">
        <v>63</v>
      </c>
      <c r="E1420" s="2" t="s">
        <v>69</v>
      </c>
      <c r="F1420" s="2" t="s">
        <v>65</v>
      </c>
      <c r="G1420" s="2" t="s">
        <v>82</v>
      </c>
      <c r="H1420" s="2" t="n">
        <v>11</v>
      </c>
      <c r="I1420" s="2" t="n">
        <v>250</v>
      </c>
      <c r="J1420" s="2" t="n">
        <v>0</v>
      </c>
      <c r="K1420" s="2" t="n">
        <v>100</v>
      </c>
    </row>
    <row r="1421" customFormat="false" ht="15" hidden="false" customHeight="false" outlineLevel="0" collapsed="false">
      <c r="A1421" s="2" t="s">
        <v>2035</v>
      </c>
      <c r="B1421" s="2" t="s">
        <v>2034</v>
      </c>
      <c r="C1421" s="10" t="n">
        <v>45984</v>
      </c>
      <c r="D1421" s="2" t="s">
        <v>63</v>
      </c>
      <c r="E1421" s="2" t="s">
        <v>69</v>
      </c>
      <c r="F1421" s="2" t="s">
        <v>73</v>
      </c>
      <c r="G1421" s="2" t="s">
        <v>87</v>
      </c>
      <c r="H1421" s="2" t="n">
        <v>4</v>
      </c>
      <c r="I1421" s="2" t="n">
        <v>9000</v>
      </c>
      <c r="J1421" s="2" t="n">
        <v>0.05</v>
      </c>
      <c r="K1421" s="2" t="n">
        <v>6200</v>
      </c>
    </row>
    <row r="1422" customFormat="false" ht="15" hidden="false" customHeight="false" outlineLevel="0" collapsed="false">
      <c r="A1422" s="2" t="s">
        <v>2036</v>
      </c>
      <c r="B1422" s="2" t="s">
        <v>2034</v>
      </c>
      <c r="C1422" s="10" t="n">
        <v>45773</v>
      </c>
      <c r="D1422" s="2" t="s">
        <v>63</v>
      </c>
      <c r="E1422" s="2" t="s">
        <v>69</v>
      </c>
      <c r="F1422" s="2" t="s">
        <v>70</v>
      </c>
      <c r="G1422" s="2" t="s">
        <v>122</v>
      </c>
      <c r="H1422" s="2" t="n">
        <v>2</v>
      </c>
      <c r="I1422" s="2" t="n">
        <v>1500</v>
      </c>
      <c r="J1422" s="2" t="n">
        <v>0.05</v>
      </c>
      <c r="K1422" s="2" t="n">
        <v>900</v>
      </c>
    </row>
    <row r="1423" customFormat="false" ht="15" hidden="false" customHeight="false" outlineLevel="0" collapsed="false">
      <c r="A1423" s="2" t="s">
        <v>2037</v>
      </c>
      <c r="B1423" s="2" t="s">
        <v>2034</v>
      </c>
      <c r="C1423" s="10" t="n">
        <v>45967</v>
      </c>
      <c r="D1423" s="2" t="s">
        <v>63</v>
      </c>
      <c r="E1423" s="2" t="s">
        <v>69</v>
      </c>
      <c r="F1423" s="2" t="s">
        <v>73</v>
      </c>
      <c r="G1423" s="2" t="s">
        <v>87</v>
      </c>
      <c r="H1423" s="2" t="n">
        <v>5</v>
      </c>
      <c r="I1423" s="2" t="n">
        <v>9000</v>
      </c>
      <c r="J1423" s="2" t="n">
        <v>0.15</v>
      </c>
      <c r="K1423" s="2" t="n">
        <v>6200</v>
      </c>
    </row>
    <row r="1424" customFormat="false" ht="15" hidden="false" customHeight="false" outlineLevel="0" collapsed="false">
      <c r="A1424" s="2" t="s">
        <v>2038</v>
      </c>
      <c r="B1424" s="2" t="s">
        <v>2034</v>
      </c>
      <c r="C1424" s="10" t="n">
        <v>45904</v>
      </c>
      <c r="D1424" s="2" t="s">
        <v>63</v>
      </c>
      <c r="E1424" s="2" t="s">
        <v>69</v>
      </c>
      <c r="F1424" s="2" t="s">
        <v>65</v>
      </c>
      <c r="G1424" s="2" t="s">
        <v>82</v>
      </c>
      <c r="H1424" s="2" t="n">
        <v>17</v>
      </c>
      <c r="I1424" s="2" t="n">
        <v>250</v>
      </c>
      <c r="J1424" s="2" t="n">
        <v>0</v>
      </c>
      <c r="K1424" s="2" t="n">
        <v>100</v>
      </c>
    </row>
    <row r="1425" customFormat="false" ht="15" hidden="false" customHeight="false" outlineLevel="0" collapsed="false">
      <c r="A1425" s="2" t="s">
        <v>2039</v>
      </c>
      <c r="B1425" s="2" t="s">
        <v>2040</v>
      </c>
      <c r="C1425" s="10" t="n">
        <v>45783</v>
      </c>
      <c r="D1425" s="2" t="s">
        <v>63</v>
      </c>
      <c r="E1425" s="2" t="s">
        <v>92</v>
      </c>
      <c r="F1425" s="2" t="s">
        <v>73</v>
      </c>
      <c r="G1425" s="2" t="s">
        <v>104</v>
      </c>
      <c r="H1425" s="2"/>
      <c r="I1425" s="2" t="n">
        <v>5500</v>
      </c>
      <c r="J1425" s="2" t="n">
        <v>0.05</v>
      </c>
      <c r="K1425" s="2" t="n">
        <v>3600</v>
      </c>
    </row>
    <row r="1426" customFormat="false" ht="15" hidden="false" customHeight="false" outlineLevel="0" collapsed="false">
      <c r="A1426" s="2" t="s">
        <v>2041</v>
      </c>
      <c r="B1426" s="2" t="s">
        <v>2040</v>
      </c>
      <c r="C1426" s="10" t="n">
        <v>45741</v>
      </c>
      <c r="D1426" s="2" t="s">
        <v>63</v>
      </c>
      <c r="E1426" s="2" t="s">
        <v>92</v>
      </c>
      <c r="F1426" s="2" t="s">
        <v>70</v>
      </c>
      <c r="G1426" s="2" t="s">
        <v>97</v>
      </c>
      <c r="H1426" s="2" t="n">
        <v>2</v>
      </c>
      <c r="I1426" s="2" t="n">
        <v>3000</v>
      </c>
      <c r="J1426" s="2" t="n">
        <v>0.1</v>
      </c>
      <c r="K1426" s="2" t="n">
        <v>2000</v>
      </c>
    </row>
    <row r="1427" customFormat="false" ht="15" hidden="false" customHeight="false" outlineLevel="0" collapsed="false">
      <c r="A1427" s="2" t="s">
        <v>2042</v>
      </c>
      <c r="B1427" s="2" t="s">
        <v>2040</v>
      </c>
      <c r="C1427" s="10" t="n">
        <v>45847</v>
      </c>
      <c r="D1427" s="2" t="s">
        <v>63</v>
      </c>
      <c r="E1427" s="2" t="s">
        <v>92</v>
      </c>
      <c r="F1427" s="2" t="s">
        <v>65</v>
      </c>
      <c r="G1427" s="2" t="s">
        <v>82</v>
      </c>
      <c r="H1427" s="2" t="n">
        <v>18</v>
      </c>
      <c r="I1427" s="2" t="n">
        <v>250</v>
      </c>
      <c r="J1427" s="2" t="n">
        <v>0.15</v>
      </c>
      <c r="K1427" s="2" t="n">
        <v>100</v>
      </c>
    </row>
    <row r="1428" customFormat="false" ht="15" hidden="false" customHeight="false" outlineLevel="0" collapsed="false">
      <c r="A1428" s="2" t="s">
        <v>2043</v>
      </c>
      <c r="B1428" s="2" t="s">
        <v>2040</v>
      </c>
      <c r="C1428" s="10" t="n">
        <v>45891</v>
      </c>
      <c r="D1428" s="2" t="s">
        <v>63</v>
      </c>
      <c r="E1428" s="2" t="s">
        <v>92</v>
      </c>
      <c r="F1428" s="2" t="s">
        <v>70</v>
      </c>
      <c r="G1428" s="2" t="s">
        <v>97</v>
      </c>
      <c r="H1428" s="2" t="n">
        <v>4</v>
      </c>
      <c r="I1428" s="2" t="n">
        <v>3000</v>
      </c>
      <c r="J1428" s="2" t="n">
        <v>0.1</v>
      </c>
      <c r="K1428" s="2" t="n">
        <v>2000</v>
      </c>
    </row>
    <row r="1429" customFormat="false" ht="15" hidden="false" customHeight="false" outlineLevel="0" collapsed="false">
      <c r="A1429" s="2" t="s">
        <v>2044</v>
      </c>
      <c r="B1429" s="2" t="s">
        <v>2040</v>
      </c>
      <c r="C1429" s="10" t="n">
        <v>45802</v>
      </c>
      <c r="D1429" s="2" t="s">
        <v>63</v>
      </c>
      <c r="E1429" s="2" t="s">
        <v>92</v>
      </c>
      <c r="F1429" s="2" t="s">
        <v>73</v>
      </c>
      <c r="G1429" s="2" t="s">
        <v>74</v>
      </c>
      <c r="H1429" s="2" t="n">
        <v>3</v>
      </c>
      <c r="I1429" s="2" t="n">
        <v>7000</v>
      </c>
      <c r="J1429" s="2" t="n">
        <v>0.1</v>
      </c>
      <c r="K1429" s="2" t="n">
        <v>4800</v>
      </c>
    </row>
    <row r="1430" customFormat="false" ht="15" hidden="false" customHeight="false" outlineLevel="0" collapsed="false">
      <c r="A1430" s="2" t="s">
        <v>2045</v>
      </c>
      <c r="B1430" s="2" t="s">
        <v>2040</v>
      </c>
      <c r="C1430" s="10" t="n">
        <v>45801</v>
      </c>
      <c r="D1430" s="2" t="s">
        <v>63</v>
      </c>
      <c r="E1430" s="2" t="s">
        <v>92</v>
      </c>
      <c r="F1430" s="2" t="s">
        <v>73</v>
      </c>
      <c r="G1430" s="2" t="s">
        <v>87</v>
      </c>
      <c r="H1430" s="2" t="n">
        <v>4</v>
      </c>
      <c r="I1430" s="2" t="n">
        <v>9000</v>
      </c>
      <c r="J1430" s="2" t="n">
        <v>0</v>
      </c>
      <c r="K1430" s="2" t="n">
        <v>6200</v>
      </c>
    </row>
    <row r="1431" customFormat="false" ht="15" hidden="false" customHeight="false" outlineLevel="0" collapsed="false">
      <c r="A1431" s="2" t="s">
        <v>2046</v>
      </c>
      <c r="B1431" s="2" t="s">
        <v>2047</v>
      </c>
      <c r="C1431" s="10" t="n">
        <v>45966</v>
      </c>
      <c r="D1431" s="2" t="s">
        <v>77</v>
      </c>
      <c r="E1431" s="2" t="s">
        <v>64</v>
      </c>
      <c r="F1431" s="2" t="s">
        <v>65</v>
      </c>
      <c r="G1431" s="2" t="s">
        <v>66</v>
      </c>
      <c r="H1431" s="2" t="n">
        <v>4</v>
      </c>
      <c r="I1431" s="2" t="n">
        <v>600</v>
      </c>
      <c r="J1431" s="2" t="n">
        <v>0.05</v>
      </c>
      <c r="K1431" s="2" t="n">
        <v>300</v>
      </c>
    </row>
    <row r="1432" customFormat="false" ht="15" hidden="false" customHeight="false" outlineLevel="0" collapsed="false">
      <c r="A1432" s="2" t="s">
        <v>2048</v>
      </c>
      <c r="B1432" s="2" t="s">
        <v>2047</v>
      </c>
      <c r="C1432" s="10" t="n">
        <v>45972</v>
      </c>
      <c r="D1432" s="2" t="s">
        <v>77</v>
      </c>
      <c r="E1432" s="2" t="s">
        <v>64</v>
      </c>
      <c r="F1432" s="2" t="s">
        <v>70</v>
      </c>
      <c r="G1432" s="2" t="s">
        <v>126</v>
      </c>
      <c r="H1432" s="2" t="n">
        <v>2</v>
      </c>
      <c r="I1432" s="2" t="n">
        <v>4500</v>
      </c>
      <c r="J1432" s="2" t="n">
        <v>0.05</v>
      </c>
      <c r="K1432" s="2" t="n">
        <v>3300</v>
      </c>
    </row>
    <row r="1433" customFormat="false" ht="15" hidden="false" customHeight="false" outlineLevel="0" collapsed="false">
      <c r="A1433" s="2" t="s">
        <v>2049</v>
      </c>
      <c r="B1433" s="2" t="s">
        <v>2047</v>
      </c>
      <c r="C1433" s="10" t="n">
        <v>45691</v>
      </c>
      <c r="D1433" s="2" t="s">
        <v>77</v>
      </c>
      <c r="E1433" s="2" t="s">
        <v>64</v>
      </c>
      <c r="F1433" s="2" t="s">
        <v>70</v>
      </c>
      <c r="G1433" s="2" t="s">
        <v>71</v>
      </c>
      <c r="H1433" s="2" t="n">
        <v>3</v>
      </c>
      <c r="I1433" s="2" t="n">
        <v>2500</v>
      </c>
      <c r="J1433" s="2" t="n">
        <v>0</v>
      </c>
      <c r="K1433" s="2" t="n">
        <v>1600</v>
      </c>
    </row>
    <row r="1434" customFormat="false" ht="15" hidden="false" customHeight="false" outlineLevel="0" collapsed="false">
      <c r="A1434" s="2" t="s">
        <v>2050</v>
      </c>
      <c r="B1434" s="2" t="s">
        <v>2047</v>
      </c>
      <c r="C1434" s="10" t="n">
        <v>45917</v>
      </c>
      <c r="D1434" s="2" t="s">
        <v>77</v>
      </c>
      <c r="E1434" s="2" t="s">
        <v>64</v>
      </c>
      <c r="F1434" s="2" t="s">
        <v>70</v>
      </c>
      <c r="G1434" s="2" t="s">
        <v>97</v>
      </c>
      <c r="H1434" s="2" t="n">
        <v>2</v>
      </c>
      <c r="I1434" s="2" t="n">
        <v>3000</v>
      </c>
      <c r="J1434" s="2" t="n">
        <v>0.1</v>
      </c>
      <c r="K1434" s="2" t="n">
        <v>2000</v>
      </c>
    </row>
    <row r="1435" customFormat="false" ht="15" hidden="false" customHeight="false" outlineLevel="0" collapsed="false">
      <c r="A1435" s="2" t="s">
        <v>2051</v>
      </c>
      <c r="B1435" s="2" t="s">
        <v>2047</v>
      </c>
      <c r="C1435" s="10" t="n">
        <v>45826</v>
      </c>
      <c r="D1435" s="2" t="s">
        <v>77</v>
      </c>
      <c r="E1435" s="2" t="s">
        <v>64</v>
      </c>
      <c r="F1435" s="2" t="s">
        <v>73</v>
      </c>
      <c r="G1435" s="2" t="s">
        <v>74</v>
      </c>
      <c r="H1435" s="2" t="n">
        <v>2</v>
      </c>
      <c r="I1435" s="2" t="n">
        <v>7000</v>
      </c>
      <c r="J1435" s="2" t="n">
        <v>0</v>
      </c>
      <c r="K1435" s="2" t="n">
        <v>4800</v>
      </c>
    </row>
    <row r="1436" customFormat="false" ht="15" hidden="false" customHeight="false" outlineLevel="0" collapsed="false">
      <c r="A1436" s="2" t="s">
        <v>2052</v>
      </c>
      <c r="B1436" s="2" t="s">
        <v>2047</v>
      </c>
      <c r="C1436" s="10" t="n">
        <v>45665</v>
      </c>
      <c r="D1436" s="2" t="s">
        <v>77</v>
      </c>
      <c r="E1436" s="2" t="s">
        <v>64</v>
      </c>
      <c r="F1436" s="2" t="s">
        <v>70</v>
      </c>
      <c r="G1436" s="2" t="s">
        <v>126</v>
      </c>
      <c r="H1436" s="2" t="n">
        <v>2</v>
      </c>
      <c r="I1436" s="2" t="n">
        <v>4500</v>
      </c>
      <c r="J1436" s="2" t="n">
        <v>0</v>
      </c>
      <c r="K1436" s="2" t="n">
        <v>3300</v>
      </c>
    </row>
    <row r="1437" customFormat="false" ht="15" hidden="false" customHeight="false" outlineLevel="0" collapsed="false">
      <c r="A1437" s="2" t="s">
        <v>2053</v>
      </c>
      <c r="B1437" s="2" t="s">
        <v>2054</v>
      </c>
      <c r="C1437" s="10" t="n">
        <v>45908</v>
      </c>
      <c r="D1437" s="2" t="s">
        <v>91</v>
      </c>
      <c r="E1437" s="2" t="s">
        <v>64</v>
      </c>
      <c r="F1437" s="2" t="s">
        <v>70</v>
      </c>
      <c r="G1437" s="2" t="s">
        <v>122</v>
      </c>
      <c r="H1437" s="2" t="n">
        <v>3</v>
      </c>
      <c r="I1437" s="2" t="n">
        <v>1500</v>
      </c>
      <c r="J1437" s="2" t="n">
        <v>0</v>
      </c>
      <c r="K1437" s="2" t="n">
        <v>900</v>
      </c>
    </row>
    <row r="1438" customFormat="false" ht="15" hidden="false" customHeight="false" outlineLevel="0" collapsed="false">
      <c r="A1438" s="2" t="s">
        <v>2055</v>
      </c>
      <c r="B1438" s="2" t="s">
        <v>2054</v>
      </c>
      <c r="C1438" s="10" t="n">
        <v>45826</v>
      </c>
      <c r="D1438" s="2" t="s">
        <v>91</v>
      </c>
      <c r="E1438" s="2" t="s">
        <v>64</v>
      </c>
      <c r="F1438" s="2" t="s">
        <v>73</v>
      </c>
      <c r="G1438" s="2" t="s">
        <v>74</v>
      </c>
      <c r="H1438" s="2" t="n">
        <v>1</v>
      </c>
      <c r="I1438" s="2" t="n">
        <v>7000</v>
      </c>
      <c r="J1438" s="2" t="n">
        <v>0</v>
      </c>
      <c r="K1438" s="2" t="n">
        <v>4800</v>
      </c>
    </row>
    <row r="1439" customFormat="false" ht="15" hidden="false" customHeight="false" outlineLevel="0" collapsed="false">
      <c r="A1439" s="2" t="s">
        <v>2056</v>
      </c>
      <c r="B1439" s="2" t="s">
        <v>2054</v>
      </c>
      <c r="C1439" s="10" t="n">
        <v>45784</v>
      </c>
      <c r="D1439" s="2" t="s">
        <v>91</v>
      </c>
      <c r="E1439" s="2" t="s">
        <v>64</v>
      </c>
      <c r="F1439" s="2" t="s">
        <v>65</v>
      </c>
      <c r="G1439" s="2" t="s">
        <v>107</v>
      </c>
      <c r="H1439" s="2" t="n">
        <v>4</v>
      </c>
      <c r="I1439" s="2" t="n">
        <v>500</v>
      </c>
      <c r="J1439" s="2" t="n">
        <v>0</v>
      </c>
      <c r="K1439" s="2" t="n">
        <v>250</v>
      </c>
    </row>
    <row r="1440" customFormat="false" ht="15" hidden="false" customHeight="false" outlineLevel="0" collapsed="false">
      <c r="A1440" s="2" t="s">
        <v>2057</v>
      </c>
      <c r="B1440" s="2" t="s">
        <v>2054</v>
      </c>
      <c r="C1440" s="10" t="n">
        <v>45680</v>
      </c>
      <c r="D1440" s="2" t="s">
        <v>91</v>
      </c>
      <c r="E1440" s="2" t="s">
        <v>64</v>
      </c>
      <c r="F1440" s="2" t="s">
        <v>65</v>
      </c>
      <c r="G1440" s="2" t="s">
        <v>82</v>
      </c>
      <c r="H1440" s="2" t="n">
        <v>5</v>
      </c>
      <c r="I1440" s="2" t="n">
        <v>250</v>
      </c>
      <c r="J1440" s="2" t="n">
        <v>0</v>
      </c>
      <c r="K1440" s="2" t="n">
        <v>100</v>
      </c>
    </row>
    <row r="1441" customFormat="false" ht="15" hidden="false" customHeight="false" outlineLevel="0" collapsed="false">
      <c r="A1441" s="2" t="s">
        <v>2058</v>
      </c>
      <c r="B1441" s="2" t="s">
        <v>2054</v>
      </c>
      <c r="C1441" s="10" t="n">
        <v>45995</v>
      </c>
      <c r="D1441" s="2" t="s">
        <v>91</v>
      </c>
      <c r="E1441" s="2" t="s">
        <v>64</v>
      </c>
      <c r="F1441" s="2" t="s">
        <v>65</v>
      </c>
      <c r="G1441" s="2" t="s">
        <v>66</v>
      </c>
      <c r="H1441" s="2" t="n">
        <v>2</v>
      </c>
      <c r="I1441" s="2" t="n">
        <v>600</v>
      </c>
      <c r="J1441" s="2" t="n">
        <v>0.05</v>
      </c>
      <c r="K1441" s="2" t="n">
        <v>300</v>
      </c>
    </row>
    <row r="1442" customFormat="false" ht="15" hidden="false" customHeight="false" outlineLevel="0" collapsed="false">
      <c r="A1442" s="2" t="s">
        <v>2059</v>
      </c>
      <c r="B1442" s="2" t="s">
        <v>2054</v>
      </c>
      <c r="C1442" s="10" t="n">
        <v>45917</v>
      </c>
      <c r="D1442" s="2" t="s">
        <v>91</v>
      </c>
      <c r="E1442" s="2" t="s">
        <v>64</v>
      </c>
      <c r="F1442" s="2" t="s">
        <v>65</v>
      </c>
      <c r="G1442" s="2" t="s">
        <v>107</v>
      </c>
      <c r="H1442" s="2" t="n">
        <v>3</v>
      </c>
      <c r="I1442" s="2" t="n">
        <v>500</v>
      </c>
      <c r="J1442" s="2" t="n">
        <v>0</v>
      </c>
      <c r="K1442" s="2" t="n">
        <v>250</v>
      </c>
    </row>
    <row r="1443" customFormat="false" ht="15" hidden="false" customHeight="false" outlineLevel="0" collapsed="false">
      <c r="A1443" s="2" t="s">
        <v>2060</v>
      </c>
      <c r="B1443" s="2" t="s">
        <v>2054</v>
      </c>
      <c r="C1443" s="10" t="n">
        <v>45695</v>
      </c>
      <c r="D1443" s="2" t="s">
        <v>91</v>
      </c>
      <c r="E1443" s="2" t="s">
        <v>64</v>
      </c>
      <c r="F1443" s="2" t="s">
        <v>65</v>
      </c>
      <c r="G1443" s="2" t="s">
        <v>82</v>
      </c>
      <c r="H1443" s="2" t="n">
        <v>8</v>
      </c>
      <c r="I1443" s="2" t="n">
        <v>250</v>
      </c>
      <c r="J1443" s="2" t="n">
        <v>0</v>
      </c>
      <c r="K1443" s="2" t="n">
        <v>100</v>
      </c>
    </row>
    <row r="1444" customFormat="false" ht="15" hidden="false" customHeight="false" outlineLevel="0" collapsed="false">
      <c r="A1444" s="2" t="s">
        <v>2061</v>
      </c>
      <c r="B1444" s="2" t="s">
        <v>2054</v>
      </c>
      <c r="C1444" s="10" t="n">
        <v>45727</v>
      </c>
      <c r="D1444" s="2" t="s">
        <v>91</v>
      </c>
      <c r="E1444" s="2" t="s">
        <v>64</v>
      </c>
      <c r="F1444" s="2" t="s">
        <v>65</v>
      </c>
      <c r="G1444" s="2" t="s">
        <v>66</v>
      </c>
      <c r="H1444" s="2" t="n">
        <v>5</v>
      </c>
      <c r="I1444" s="2" t="n">
        <v>600</v>
      </c>
      <c r="J1444" s="2" t="n">
        <v>0.05</v>
      </c>
      <c r="K1444" s="2" t="n">
        <v>300</v>
      </c>
    </row>
    <row r="1445" customFormat="false" ht="15" hidden="false" customHeight="false" outlineLevel="0" collapsed="false">
      <c r="A1445" s="2" t="s">
        <v>2062</v>
      </c>
      <c r="B1445" s="2" t="s">
        <v>2063</v>
      </c>
      <c r="C1445" s="10" t="n">
        <v>45824</v>
      </c>
      <c r="D1445" s="2" t="s">
        <v>63</v>
      </c>
      <c r="E1445" s="2" t="s">
        <v>64</v>
      </c>
      <c r="F1445" s="2" t="s">
        <v>65</v>
      </c>
      <c r="G1445" s="2" t="s">
        <v>107</v>
      </c>
      <c r="H1445" s="2" t="n">
        <v>3</v>
      </c>
      <c r="I1445" s="2" t="n">
        <v>500</v>
      </c>
      <c r="J1445" s="2" t="n">
        <v>0.05</v>
      </c>
      <c r="K1445" s="2" t="n">
        <v>250</v>
      </c>
    </row>
    <row r="1446" customFormat="false" ht="15" hidden="false" customHeight="false" outlineLevel="0" collapsed="false">
      <c r="A1446" s="2" t="s">
        <v>2064</v>
      </c>
      <c r="B1446" s="2" t="s">
        <v>2065</v>
      </c>
      <c r="C1446" s="10" t="n">
        <v>45682</v>
      </c>
      <c r="D1446" s="2" t="s">
        <v>77</v>
      </c>
      <c r="E1446" s="2" t="s">
        <v>64</v>
      </c>
      <c r="F1446" s="2" t="s">
        <v>65</v>
      </c>
      <c r="G1446" s="2" t="s">
        <v>82</v>
      </c>
      <c r="H1446" s="2" t="n">
        <v>3</v>
      </c>
      <c r="I1446" s="2" t="n">
        <v>250</v>
      </c>
      <c r="J1446" s="2" t="n">
        <v>0.05</v>
      </c>
      <c r="K1446" s="2" t="n">
        <v>100</v>
      </c>
    </row>
    <row r="1447" customFormat="false" ht="15" hidden="false" customHeight="false" outlineLevel="0" collapsed="false">
      <c r="A1447" s="2" t="s">
        <v>2066</v>
      </c>
      <c r="B1447" s="2" t="s">
        <v>2065</v>
      </c>
      <c r="C1447" s="10" t="n">
        <v>45842</v>
      </c>
      <c r="D1447" s="2" t="s">
        <v>77</v>
      </c>
      <c r="E1447" s="2" t="s">
        <v>64</v>
      </c>
      <c r="F1447" s="2" t="s">
        <v>73</v>
      </c>
      <c r="G1447" s="2" t="s">
        <v>87</v>
      </c>
      <c r="H1447" s="2" t="n">
        <v>3</v>
      </c>
      <c r="I1447" s="2" t="n">
        <v>9000</v>
      </c>
      <c r="J1447" s="2" t="n">
        <v>0</v>
      </c>
      <c r="K1447" s="2" t="n">
        <v>6200</v>
      </c>
    </row>
    <row r="1448" customFormat="false" ht="15" hidden="false" customHeight="false" outlineLevel="0" collapsed="false">
      <c r="A1448" s="2" t="s">
        <v>2067</v>
      </c>
      <c r="B1448" s="2" t="s">
        <v>2065</v>
      </c>
      <c r="C1448" s="10" t="n">
        <v>45883</v>
      </c>
      <c r="D1448" s="2" t="s">
        <v>77</v>
      </c>
      <c r="E1448" s="2" t="s">
        <v>64</v>
      </c>
      <c r="F1448" s="2" t="s">
        <v>70</v>
      </c>
      <c r="G1448" s="2" t="s">
        <v>126</v>
      </c>
      <c r="H1448" s="2" t="n">
        <v>3</v>
      </c>
      <c r="I1448" s="2" t="n">
        <v>4500</v>
      </c>
      <c r="J1448" s="2" t="n">
        <v>0</v>
      </c>
      <c r="K1448" s="2" t="n">
        <v>3300</v>
      </c>
    </row>
    <row r="1449" customFormat="false" ht="15" hidden="false" customHeight="false" outlineLevel="0" collapsed="false">
      <c r="A1449" s="2" t="s">
        <v>2068</v>
      </c>
      <c r="B1449" s="2" t="s">
        <v>2069</v>
      </c>
      <c r="C1449" s="10" t="n">
        <v>45956</v>
      </c>
      <c r="D1449" s="2" t="s">
        <v>63</v>
      </c>
      <c r="E1449" s="2" t="s">
        <v>64</v>
      </c>
      <c r="F1449" s="2" t="s">
        <v>65</v>
      </c>
      <c r="G1449" s="2" t="s">
        <v>78</v>
      </c>
      <c r="H1449" s="2" t="n">
        <v>8</v>
      </c>
      <c r="I1449" s="2" t="n">
        <v>400</v>
      </c>
      <c r="J1449" s="2" t="n">
        <v>0.1</v>
      </c>
      <c r="K1449" s="2" t="n">
        <v>200</v>
      </c>
    </row>
    <row r="1450" customFormat="false" ht="15" hidden="false" customHeight="false" outlineLevel="0" collapsed="false">
      <c r="A1450" s="2" t="s">
        <v>2070</v>
      </c>
      <c r="B1450" s="2" t="s">
        <v>2069</v>
      </c>
      <c r="C1450" s="10" t="n">
        <v>45971</v>
      </c>
      <c r="D1450" s="2" t="s">
        <v>63</v>
      </c>
      <c r="E1450" s="2" t="s">
        <v>64</v>
      </c>
      <c r="F1450" s="2" t="s">
        <v>70</v>
      </c>
      <c r="G1450" s="2" t="s">
        <v>97</v>
      </c>
      <c r="H1450" s="2" t="n">
        <v>2</v>
      </c>
      <c r="I1450" s="2" t="n">
        <v>3000</v>
      </c>
      <c r="J1450" s="2" t="n">
        <v>0.05</v>
      </c>
      <c r="K1450" s="2" t="n">
        <v>2000</v>
      </c>
    </row>
    <row r="1451" customFormat="false" ht="15" hidden="false" customHeight="false" outlineLevel="0" collapsed="false">
      <c r="A1451" s="2" t="s">
        <v>2071</v>
      </c>
      <c r="B1451" s="2" t="s">
        <v>2069</v>
      </c>
      <c r="C1451" s="10" t="n">
        <v>45664</v>
      </c>
      <c r="D1451" s="2" t="s">
        <v>63</v>
      </c>
      <c r="E1451" s="2" t="s">
        <v>64</v>
      </c>
      <c r="F1451" s="2" t="s">
        <v>65</v>
      </c>
      <c r="G1451" s="2" t="s">
        <v>78</v>
      </c>
      <c r="H1451" s="2" t="n">
        <v>3</v>
      </c>
      <c r="I1451" s="2" t="n">
        <v>400</v>
      </c>
      <c r="J1451" s="2" t="n">
        <v>0</v>
      </c>
      <c r="K1451" s="2" t="n">
        <v>200</v>
      </c>
    </row>
    <row r="1452" customFormat="false" ht="15" hidden="false" customHeight="false" outlineLevel="0" collapsed="false">
      <c r="A1452" s="2" t="s">
        <v>2072</v>
      </c>
      <c r="B1452" s="2" t="s">
        <v>2069</v>
      </c>
      <c r="C1452" s="10" t="n">
        <v>45891</v>
      </c>
      <c r="D1452" s="2" t="s">
        <v>63</v>
      </c>
      <c r="E1452" s="2" t="s">
        <v>64</v>
      </c>
      <c r="F1452" s="2" t="s">
        <v>65</v>
      </c>
      <c r="G1452" s="2" t="s">
        <v>66</v>
      </c>
      <c r="H1452" s="2" t="n">
        <v>7</v>
      </c>
      <c r="I1452" s="2" t="n">
        <v>600</v>
      </c>
      <c r="J1452" s="2" t="n">
        <v>0</v>
      </c>
      <c r="K1452" s="2" t="n">
        <v>300</v>
      </c>
    </row>
    <row r="1453" customFormat="false" ht="15" hidden="false" customHeight="false" outlineLevel="0" collapsed="false">
      <c r="A1453" s="2" t="s">
        <v>2073</v>
      </c>
      <c r="B1453" s="2" t="s">
        <v>2069</v>
      </c>
      <c r="C1453" s="10" t="n">
        <v>45962</v>
      </c>
      <c r="D1453" s="2" t="s">
        <v>63</v>
      </c>
      <c r="E1453" s="2" t="s">
        <v>64</v>
      </c>
      <c r="F1453" s="2" t="s">
        <v>70</v>
      </c>
      <c r="G1453" s="2" t="s">
        <v>71</v>
      </c>
      <c r="H1453" s="2" t="n">
        <v>3</v>
      </c>
      <c r="I1453" s="2" t="n">
        <v>2500</v>
      </c>
      <c r="J1453" s="2" t="n">
        <v>0.05</v>
      </c>
      <c r="K1453" s="2" t="n">
        <v>1600</v>
      </c>
    </row>
    <row r="1454" customFormat="false" ht="15" hidden="false" customHeight="false" outlineLevel="0" collapsed="false">
      <c r="A1454" s="2" t="s">
        <v>2074</v>
      </c>
      <c r="B1454" s="2" t="s">
        <v>2075</v>
      </c>
      <c r="C1454" s="10" t="n">
        <v>46005</v>
      </c>
      <c r="D1454" s="2" t="s">
        <v>77</v>
      </c>
      <c r="E1454" s="2" t="s">
        <v>64</v>
      </c>
      <c r="F1454" s="2" t="s">
        <v>65</v>
      </c>
      <c r="G1454" s="2" t="s">
        <v>107</v>
      </c>
      <c r="H1454" s="2" t="n">
        <v>5</v>
      </c>
      <c r="I1454" s="2" t="n">
        <v>500</v>
      </c>
      <c r="J1454" s="2" t="n">
        <v>0.05</v>
      </c>
      <c r="K1454" s="2" t="n">
        <v>250</v>
      </c>
    </row>
    <row r="1455" customFormat="false" ht="15" hidden="false" customHeight="false" outlineLevel="0" collapsed="false">
      <c r="A1455" s="2" t="s">
        <v>2076</v>
      </c>
      <c r="B1455" s="2" t="s">
        <v>2077</v>
      </c>
      <c r="C1455" s="10" t="n">
        <v>45823</v>
      </c>
      <c r="D1455" s="2" t="s">
        <v>77</v>
      </c>
      <c r="E1455" s="2" t="s">
        <v>64</v>
      </c>
      <c r="F1455" s="2" t="s">
        <v>65</v>
      </c>
      <c r="G1455" s="2" t="s">
        <v>66</v>
      </c>
      <c r="H1455" s="2" t="n">
        <v>6</v>
      </c>
      <c r="I1455" s="2" t="n">
        <v>600</v>
      </c>
      <c r="J1455" s="2" t="n">
        <v>0</v>
      </c>
      <c r="K1455" s="2" t="n">
        <v>300</v>
      </c>
    </row>
    <row r="1456" customFormat="false" ht="15" hidden="false" customHeight="false" outlineLevel="0" collapsed="false">
      <c r="A1456" s="2" t="s">
        <v>2078</v>
      </c>
      <c r="B1456" s="2" t="s">
        <v>2077</v>
      </c>
      <c r="C1456" s="10" t="n">
        <v>45717</v>
      </c>
      <c r="D1456" s="2" t="s">
        <v>77</v>
      </c>
      <c r="E1456" s="2" t="s">
        <v>64</v>
      </c>
      <c r="F1456" s="2" t="s">
        <v>70</v>
      </c>
      <c r="G1456" s="2" t="s">
        <v>126</v>
      </c>
      <c r="H1456" s="2" t="n">
        <v>3</v>
      </c>
      <c r="I1456" s="2" t="n">
        <v>4500</v>
      </c>
      <c r="J1456" s="2" t="n">
        <v>0</v>
      </c>
      <c r="K1456" s="2" t="n">
        <v>3300</v>
      </c>
    </row>
    <row r="1457" customFormat="false" ht="15" hidden="false" customHeight="false" outlineLevel="0" collapsed="false">
      <c r="A1457" s="2" t="s">
        <v>2079</v>
      </c>
      <c r="B1457" s="2" t="s">
        <v>2077</v>
      </c>
      <c r="C1457" s="10" t="n">
        <v>45778</v>
      </c>
      <c r="D1457" s="2" t="s">
        <v>77</v>
      </c>
      <c r="E1457" s="2" t="s">
        <v>64</v>
      </c>
      <c r="F1457" s="2" t="s">
        <v>65</v>
      </c>
      <c r="G1457" s="2" t="s">
        <v>66</v>
      </c>
      <c r="H1457" s="2" t="n">
        <v>3</v>
      </c>
      <c r="I1457" s="2" t="n">
        <v>600</v>
      </c>
      <c r="J1457" s="2" t="n">
        <v>0</v>
      </c>
      <c r="K1457" s="2" t="n">
        <v>300</v>
      </c>
    </row>
    <row r="1458" customFormat="false" ht="15" hidden="false" customHeight="false" outlineLevel="0" collapsed="false">
      <c r="A1458" s="2" t="s">
        <v>2080</v>
      </c>
      <c r="B1458" s="2" t="s">
        <v>2081</v>
      </c>
      <c r="C1458" s="10" t="n">
        <v>46007</v>
      </c>
      <c r="D1458" s="2" t="s">
        <v>63</v>
      </c>
      <c r="E1458" s="2" t="s">
        <v>64</v>
      </c>
      <c r="F1458" s="2" t="s">
        <v>70</v>
      </c>
      <c r="G1458" s="2" t="s">
        <v>97</v>
      </c>
      <c r="H1458" s="2" t="n">
        <v>2</v>
      </c>
      <c r="I1458" s="2" t="n">
        <v>3000</v>
      </c>
      <c r="J1458" s="2" t="n">
        <v>0.05</v>
      </c>
      <c r="K1458" s="2" t="n">
        <v>2000</v>
      </c>
    </row>
    <row r="1459" customFormat="false" ht="15" hidden="false" customHeight="false" outlineLevel="0" collapsed="false">
      <c r="A1459" s="2" t="s">
        <v>2082</v>
      </c>
      <c r="B1459" s="2" t="s">
        <v>2081</v>
      </c>
      <c r="C1459" s="10" t="n">
        <v>45783</v>
      </c>
      <c r="D1459" s="2" t="s">
        <v>63</v>
      </c>
      <c r="E1459" s="2" t="s">
        <v>64</v>
      </c>
      <c r="F1459" s="2" t="s">
        <v>70</v>
      </c>
      <c r="G1459" s="2" t="s">
        <v>71</v>
      </c>
      <c r="H1459" s="2" t="n">
        <v>2</v>
      </c>
      <c r="I1459" s="2" t="n">
        <v>2500</v>
      </c>
      <c r="J1459" s="2" t="n">
        <v>0.05</v>
      </c>
      <c r="K1459" s="2" t="n">
        <v>1600</v>
      </c>
    </row>
    <row r="1460" customFormat="false" ht="15" hidden="false" customHeight="false" outlineLevel="0" collapsed="false">
      <c r="A1460" s="2" t="s">
        <v>2083</v>
      </c>
      <c r="B1460" s="2" t="s">
        <v>2084</v>
      </c>
      <c r="C1460" s="10" t="n">
        <v>45733</v>
      </c>
      <c r="D1460" s="2" t="s">
        <v>77</v>
      </c>
      <c r="E1460" s="2" t="s">
        <v>69</v>
      </c>
      <c r="F1460" s="2" t="s">
        <v>73</v>
      </c>
      <c r="G1460" s="2" t="s">
        <v>87</v>
      </c>
      <c r="H1460" s="2" t="n">
        <v>4</v>
      </c>
      <c r="I1460" s="2" t="n">
        <v>9000</v>
      </c>
      <c r="J1460" s="2" t="n">
        <v>0</v>
      </c>
      <c r="K1460" s="2" t="n">
        <v>6200</v>
      </c>
    </row>
    <row r="1461" customFormat="false" ht="15" hidden="false" customHeight="false" outlineLevel="0" collapsed="false">
      <c r="A1461" s="2" t="s">
        <v>2085</v>
      </c>
      <c r="B1461" s="2" t="s">
        <v>2086</v>
      </c>
      <c r="C1461" s="10" t="n">
        <v>45812</v>
      </c>
      <c r="D1461" s="2" t="s">
        <v>77</v>
      </c>
      <c r="E1461" s="2" t="s">
        <v>64</v>
      </c>
      <c r="F1461" s="2" t="s">
        <v>70</v>
      </c>
      <c r="G1461" s="2" t="s">
        <v>97</v>
      </c>
      <c r="H1461" s="2" t="n">
        <v>2</v>
      </c>
      <c r="I1461" s="2" t="n">
        <v>3000</v>
      </c>
      <c r="J1461" s="2" t="n">
        <v>0</v>
      </c>
      <c r="K1461" s="2" t="n">
        <v>2000</v>
      </c>
    </row>
    <row r="1462" customFormat="false" ht="15" hidden="false" customHeight="false" outlineLevel="0" collapsed="false">
      <c r="A1462" s="2" t="s">
        <v>2087</v>
      </c>
      <c r="B1462" s="2" t="s">
        <v>2086</v>
      </c>
      <c r="C1462" s="10" t="n">
        <v>45685</v>
      </c>
      <c r="D1462" s="2" t="s">
        <v>77</v>
      </c>
      <c r="E1462" s="2" t="s">
        <v>64</v>
      </c>
      <c r="F1462" s="2" t="s">
        <v>65</v>
      </c>
      <c r="G1462" s="2" t="s">
        <v>107</v>
      </c>
      <c r="H1462" s="2" t="n">
        <v>7</v>
      </c>
      <c r="I1462" s="2" t="n">
        <v>500</v>
      </c>
      <c r="J1462" s="2" t="n">
        <v>0</v>
      </c>
      <c r="K1462" s="2" t="n">
        <v>250</v>
      </c>
    </row>
    <row r="1463" customFormat="false" ht="15" hidden="false" customHeight="false" outlineLevel="0" collapsed="false">
      <c r="A1463" s="2" t="s">
        <v>2088</v>
      </c>
      <c r="B1463" s="2" t="s">
        <v>2089</v>
      </c>
      <c r="C1463" s="10" t="n">
        <v>45811</v>
      </c>
      <c r="D1463" s="2" t="s">
        <v>77</v>
      </c>
      <c r="E1463" s="2" t="s">
        <v>69</v>
      </c>
      <c r="F1463" s="2" t="s">
        <v>70</v>
      </c>
      <c r="G1463" s="2" t="s">
        <v>126</v>
      </c>
      <c r="H1463" s="2" t="n">
        <v>2</v>
      </c>
      <c r="I1463" s="2" t="n">
        <v>4500</v>
      </c>
      <c r="J1463" s="2" t="n">
        <v>0</v>
      </c>
      <c r="K1463" s="2" t="n">
        <v>3300</v>
      </c>
    </row>
    <row r="1464" customFormat="false" ht="15" hidden="false" customHeight="false" outlineLevel="0" collapsed="false">
      <c r="A1464" s="2" t="s">
        <v>2090</v>
      </c>
      <c r="B1464" s="2" t="s">
        <v>2089</v>
      </c>
      <c r="C1464" s="10" t="n">
        <v>45659</v>
      </c>
      <c r="D1464" s="2" t="s">
        <v>77</v>
      </c>
      <c r="E1464" s="2" t="s">
        <v>69</v>
      </c>
      <c r="F1464" s="2" t="s">
        <v>65</v>
      </c>
      <c r="G1464" s="2" t="s">
        <v>66</v>
      </c>
      <c r="H1464" s="2" t="n">
        <v>15</v>
      </c>
      <c r="I1464" s="2" t="n">
        <v>600</v>
      </c>
      <c r="J1464" s="2" t="n">
        <v>0</v>
      </c>
      <c r="K1464" s="2" t="n">
        <v>300</v>
      </c>
    </row>
    <row r="1465" customFormat="false" ht="15" hidden="false" customHeight="false" outlineLevel="0" collapsed="false">
      <c r="A1465" s="2" t="s">
        <v>2091</v>
      </c>
      <c r="B1465" s="2" t="s">
        <v>2089</v>
      </c>
      <c r="C1465" s="10" t="n">
        <v>45763</v>
      </c>
      <c r="D1465" s="2" t="s">
        <v>77</v>
      </c>
      <c r="E1465" s="2" t="s">
        <v>69</v>
      </c>
      <c r="F1465" s="2" t="s">
        <v>73</v>
      </c>
      <c r="G1465" s="2" t="s">
        <v>85</v>
      </c>
      <c r="H1465" s="2" t="n">
        <v>1</v>
      </c>
      <c r="I1465" s="2" t="n">
        <v>1200</v>
      </c>
      <c r="J1465" s="2" t="n">
        <v>0.05</v>
      </c>
      <c r="K1465" s="2" t="n">
        <v>600</v>
      </c>
    </row>
    <row r="1466" customFormat="false" ht="15" hidden="false" customHeight="false" outlineLevel="0" collapsed="false">
      <c r="A1466" s="2" t="s">
        <v>2092</v>
      </c>
      <c r="B1466" s="2" t="s">
        <v>2093</v>
      </c>
      <c r="C1466" s="10" t="n">
        <v>45813</v>
      </c>
      <c r="D1466" s="2" t="s">
        <v>81</v>
      </c>
      <c r="E1466" s="2" t="s">
        <v>69</v>
      </c>
      <c r="F1466" s="2" t="s">
        <v>73</v>
      </c>
      <c r="G1466" s="2" t="s">
        <v>87</v>
      </c>
      <c r="H1466" s="2" t="n">
        <v>3</v>
      </c>
      <c r="I1466" s="2" t="n">
        <v>9000</v>
      </c>
      <c r="J1466" s="2" t="n">
        <v>0</v>
      </c>
      <c r="K1466" s="2" t="n">
        <v>6200</v>
      </c>
    </row>
    <row r="1467" customFormat="false" ht="15" hidden="false" customHeight="false" outlineLevel="0" collapsed="false">
      <c r="A1467" s="2" t="s">
        <v>2094</v>
      </c>
      <c r="B1467" s="2" t="s">
        <v>2093</v>
      </c>
      <c r="C1467" s="10" t="n">
        <v>45675</v>
      </c>
      <c r="D1467" s="2" t="s">
        <v>81</v>
      </c>
      <c r="E1467" s="2" t="s">
        <v>69</v>
      </c>
      <c r="F1467" s="2" t="s">
        <v>70</v>
      </c>
      <c r="G1467" s="2" t="s">
        <v>97</v>
      </c>
      <c r="H1467" s="2" t="n">
        <v>2</v>
      </c>
      <c r="I1467" s="2" t="n">
        <v>3000</v>
      </c>
      <c r="J1467" s="2" t="n">
        <v>0</v>
      </c>
      <c r="K1467" s="2" t="n">
        <v>2000</v>
      </c>
    </row>
    <row r="1468" customFormat="false" ht="15" hidden="false" customHeight="false" outlineLevel="0" collapsed="false">
      <c r="A1468" s="2" t="s">
        <v>2095</v>
      </c>
      <c r="B1468" s="2" t="s">
        <v>2096</v>
      </c>
      <c r="C1468" s="10" t="n">
        <v>45915</v>
      </c>
      <c r="D1468" s="2" t="s">
        <v>63</v>
      </c>
      <c r="E1468" s="2" t="s">
        <v>69</v>
      </c>
      <c r="F1468" s="2" t="s">
        <v>70</v>
      </c>
      <c r="G1468" s="2" t="s">
        <v>126</v>
      </c>
      <c r="H1468" s="2" t="n">
        <v>1</v>
      </c>
      <c r="I1468" s="2" t="n">
        <v>4500</v>
      </c>
      <c r="J1468" s="2" t="n">
        <v>0</v>
      </c>
      <c r="K1468" s="2" t="n">
        <v>3300</v>
      </c>
    </row>
    <row r="1469" customFormat="false" ht="15" hidden="false" customHeight="false" outlineLevel="0" collapsed="false">
      <c r="A1469" s="2" t="s">
        <v>2097</v>
      </c>
      <c r="B1469" s="2" t="s">
        <v>2098</v>
      </c>
      <c r="C1469" s="10" t="n">
        <v>45952</v>
      </c>
      <c r="D1469" s="2" t="s">
        <v>91</v>
      </c>
      <c r="E1469" s="2" t="s">
        <v>92</v>
      </c>
      <c r="F1469" s="2" t="s">
        <v>73</v>
      </c>
      <c r="G1469" s="2" t="s">
        <v>74</v>
      </c>
      <c r="H1469" s="2" t="n">
        <v>7</v>
      </c>
      <c r="I1469" s="2" t="n">
        <v>7000</v>
      </c>
      <c r="J1469" s="2" t="n">
        <v>0.1</v>
      </c>
      <c r="K1469" s="2" t="n">
        <v>4800</v>
      </c>
    </row>
    <row r="1470" customFormat="false" ht="15" hidden="false" customHeight="false" outlineLevel="0" collapsed="false">
      <c r="A1470" s="2" t="s">
        <v>2099</v>
      </c>
      <c r="B1470" s="2" t="s">
        <v>2098</v>
      </c>
      <c r="C1470" s="10" t="n">
        <v>45673</v>
      </c>
      <c r="D1470" s="2" t="s">
        <v>91</v>
      </c>
      <c r="E1470" s="2" t="s">
        <v>92</v>
      </c>
      <c r="F1470" s="2" t="s">
        <v>70</v>
      </c>
      <c r="G1470" s="2" t="s">
        <v>71</v>
      </c>
      <c r="H1470" s="2" t="n">
        <v>6</v>
      </c>
      <c r="I1470" s="2" t="n">
        <v>2500</v>
      </c>
      <c r="J1470" s="2" t="n">
        <v>0</v>
      </c>
      <c r="K1470" s="2" t="n">
        <v>1600</v>
      </c>
    </row>
    <row r="1471" customFormat="false" ht="15" hidden="false" customHeight="false" outlineLevel="0" collapsed="false">
      <c r="A1471" s="2" t="s">
        <v>2100</v>
      </c>
      <c r="B1471" s="2" t="s">
        <v>2098</v>
      </c>
      <c r="C1471" s="10" t="n">
        <v>45730</v>
      </c>
      <c r="D1471" s="2" t="s">
        <v>91</v>
      </c>
      <c r="E1471" s="2" t="s">
        <v>92</v>
      </c>
      <c r="F1471" s="2" t="s">
        <v>73</v>
      </c>
      <c r="G1471" s="2" t="s">
        <v>85</v>
      </c>
      <c r="H1471" s="2" t="n">
        <v>3</v>
      </c>
      <c r="I1471" s="2" t="n">
        <v>1200</v>
      </c>
      <c r="J1471" s="2" t="n">
        <v>0.1</v>
      </c>
      <c r="K1471" s="2" t="n">
        <v>600</v>
      </c>
    </row>
    <row r="1472" customFormat="false" ht="15" hidden="false" customHeight="false" outlineLevel="0" collapsed="false">
      <c r="A1472" s="2" t="s">
        <v>2101</v>
      </c>
      <c r="B1472" s="2" t="s">
        <v>2098</v>
      </c>
      <c r="C1472" s="10" t="n">
        <v>45886</v>
      </c>
      <c r="D1472" s="2" t="s">
        <v>91</v>
      </c>
      <c r="E1472" s="2" t="s">
        <v>92</v>
      </c>
      <c r="F1472" s="2" t="s">
        <v>73</v>
      </c>
      <c r="G1472" s="2" t="s">
        <v>85</v>
      </c>
      <c r="H1472" s="2" t="n">
        <v>3</v>
      </c>
      <c r="I1472" s="2" t="n">
        <v>1200</v>
      </c>
      <c r="J1472" s="2" t="n">
        <v>0.1</v>
      </c>
      <c r="K1472" s="2" t="n">
        <v>600</v>
      </c>
    </row>
    <row r="1473" customFormat="false" ht="15" hidden="false" customHeight="false" outlineLevel="0" collapsed="false">
      <c r="A1473" s="2" t="s">
        <v>2102</v>
      </c>
      <c r="B1473" s="2" t="s">
        <v>2098</v>
      </c>
      <c r="C1473" s="10" t="n">
        <v>45818</v>
      </c>
      <c r="D1473" s="2" t="s">
        <v>91</v>
      </c>
      <c r="E1473" s="2" t="s">
        <v>92</v>
      </c>
      <c r="F1473" s="2" t="s">
        <v>70</v>
      </c>
      <c r="G1473" s="2" t="s">
        <v>97</v>
      </c>
      <c r="H1473" s="2" t="n">
        <v>4</v>
      </c>
      <c r="I1473" s="2" t="n">
        <v>3000</v>
      </c>
      <c r="J1473" s="2" t="n">
        <v>0.1</v>
      </c>
      <c r="K1473" s="2" t="n">
        <v>2000</v>
      </c>
    </row>
    <row r="1474" customFormat="false" ht="15" hidden="false" customHeight="false" outlineLevel="0" collapsed="false">
      <c r="A1474" s="2" t="s">
        <v>2103</v>
      </c>
      <c r="B1474" s="2" t="s">
        <v>2098</v>
      </c>
      <c r="C1474" s="10" t="n">
        <v>45760</v>
      </c>
      <c r="D1474" s="2" t="s">
        <v>91</v>
      </c>
      <c r="E1474" s="2" t="s">
        <v>92</v>
      </c>
      <c r="F1474" s="2" t="s">
        <v>73</v>
      </c>
      <c r="G1474" s="2" t="s">
        <v>74</v>
      </c>
      <c r="H1474" s="2" t="n">
        <v>4</v>
      </c>
      <c r="I1474" s="2" t="n">
        <v>7000</v>
      </c>
      <c r="J1474" s="2" t="n">
        <v>0</v>
      </c>
      <c r="K1474" s="2" t="n">
        <v>4800</v>
      </c>
    </row>
    <row r="1475" customFormat="false" ht="15" hidden="false" customHeight="false" outlineLevel="0" collapsed="false">
      <c r="A1475" s="2" t="s">
        <v>2104</v>
      </c>
      <c r="B1475" s="2" t="s">
        <v>2098</v>
      </c>
      <c r="C1475" s="10" t="n">
        <v>45669</v>
      </c>
      <c r="D1475" s="2" t="s">
        <v>91</v>
      </c>
      <c r="E1475" s="2" t="s">
        <v>92</v>
      </c>
      <c r="F1475" s="2" t="s">
        <v>73</v>
      </c>
      <c r="G1475" s="2" t="s">
        <v>85</v>
      </c>
      <c r="H1475" s="2" t="n">
        <v>6</v>
      </c>
      <c r="I1475" s="2" t="n">
        <v>1200</v>
      </c>
      <c r="J1475" s="2" t="n">
        <v>0</v>
      </c>
      <c r="K1475" s="2" t="n">
        <v>600</v>
      </c>
    </row>
    <row r="1476" customFormat="false" ht="15" hidden="false" customHeight="false" outlineLevel="0" collapsed="false">
      <c r="A1476" s="2" t="s">
        <v>2105</v>
      </c>
      <c r="B1476" s="2" t="s">
        <v>2098</v>
      </c>
      <c r="C1476" s="10" t="n">
        <v>45744</v>
      </c>
      <c r="D1476" s="2" t="s">
        <v>91</v>
      </c>
      <c r="E1476" s="2" t="s">
        <v>92</v>
      </c>
      <c r="F1476" s="2" t="s">
        <v>70</v>
      </c>
      <c r="G1476" s="2" t="s">
        <v>71</v>
      </c>
      <c r="H1476" s="2" t="n">
        <v>2</v>
      </c>
      <c r="I1476" s="2" t="n">
        <v>2500</v>
      </c>
      <c r="J1476" s="2" t="n">
        <v>0.05</v>
      </c>
      <c r="K1476" s="2" t="n">
        <v>1600</v>
      </c>
    </row>
    <row r="1477" customFormat="false" ht="15" hidden="false" customHeight="false" outlineLevel="0" collapsed="false">
      <c r="A1477" s="2" t="s">
        <v>2106</v>
      </c>
      <c r="B1477" s="2" t="s">
        <v>2098</v>
      </c>
      <c r="C1477" s="10" t="n">
        <v>45983</v>
      </c>
      <c r="D1477" s="2" t="s">
        <v>91</v>
      </c>
      <c r="E1477" s="2" t="s">
        <v>92</v>
      </c>
      <c r="F1477" s="2" t="s">
        <v>65</v>
      </c>
      <c r="G1477" s="2" t="s">
        <v>78</v>
      </c>
      <c r="H1477" s="2" t="n">
        <v>37</v>
      </c>
      <c r="I1477" s="2" t="n">
        <v>400</v>
      </c>
      <c r="J1477" s="2" t="n">
        <v>0.15</v>
      </c>
      <c r="K1477" s="2" t="n">
        <v>200</v>
      </c>
    </row>
    <row r="1478" customFormat="false" ht="15" hidden="false" customHeight="false" outlineLevel="0" collapsed="false">
      <c r="A1478" s="2" t="s">
        <v>2107</v>
      </c>
      <c r="B1478" s="2" t="s">
        <v>2108</v>
      </c>
      <c r="C1478" s="10" t="n">
        <v>45976</v>
      </c>
      <c r="D1478" s="2" t="s">
        <v>63</v>
      </c>
      <c r="E1478" s="2" t="s">
        <v>64</v>
      </c>
      <c r="F1478" s="2" t="s">
        <v>65</v>
      </c>
      <c r="G1478" s="2" t="s">
        <v>66</v>
      </c>
      <c r="H1478" s="2" t="n">
        <v>2</v>
      </c>
      <c r="I1478" s="2" t="n">
        <v>600</v>
      </c>
      <c r="J1478" s="2" t="n">
        <v>0.05</v>
      </c>
      <c r="K1478" s="2" t="n">
        <v>300</v>
      </c>
    </row>
    <row r="1479" customFormat="false" ht="15" hidden="false" customHeight="false" outlineLevel="0" collapsed="false">
      <c r="A1479" s="2" t="s">
        <v>2109</v>
      </c>
      <c r="B1479" s="2" t="s">
        <v>2110</v>
      </c>
      <c r="C1479" s="10" t="n">
        <v>45965</v>
      </c>
      <c r="D1479" s="2" t="s">
        <v>91</v>
      </c>
      <c r="E1479" s="2" t="s">
        <v>64</v>
      </c>
      <c r="F1479" s="2" t="s">
        <v>70</v>
      </c>
      <c r="G1479" s="2" t="s">
        <v>122</v>
      </c>
      <c r="H1479" s="2" t="n">
        <v>3</v>
      </c>
      <c r="I1479" s="2" t="n">
        <v>1500</v>
      </c>
      <c r="J1479" s="2" t="n">
        <v>0.1</v>
      </c>
      <c r="K1479" s="2" t="n">
        <v>900</v>
      </c>
    </row>
    <row r="1480" customFormat="false" ht="15" hidden="false" customHeight="false" outlineLevel="0" collapsed="false">
      <c r="A1480" s="2" t="s">
        <v>2111</v>
      </c>
      <c r="B1480" s="2" t="s">
        <v>2110</v>
      </c>
      <c r="C1480" s="10" t="n">
        <v>45766</v>
      </c>
      <c r="D1480" s="2" t="s">
        <v>91</v>
      </c>
      <c r="E1480" s="2" t="s">
        <v>64</v>
      </c>
      <c r="F1480" s="2" t="s">
        <v>73</v>
      </c>
      <c r="G1480" s="2" t="s">
        <v>87</v>
      </c>
      <c r="H1480" s="2" t="n">
        <v>1</v>
      </c>
      <c r="I1480" s="2" t="n">
        <v>9000</v>
      </c>
      <c r="J1480" s="2" t="n">
        <v>0</v>
      </c>
      <c r="K1480" s="2" t="n">
        <v>6200</v>
      </c>
    </row>
    <row r="1481" customFormat="false" ht="15" hidden="false" customHeight="false" outlineLevel="0" collapsed="false">
      <c r="A1481" s="2" t="s">
        <v>2112</v>
      </c>
      <c r="B1481" s="2" t="s">
        <v>2110</v>
      </c>
      <c r="C1481" s="10" t="n">
        <v>45750</v>
      </c>
      <c r="D1481" s="2" t="s">
        <v>526</v>
      </c>
      <c r="E1481" s="2" t="s">
        <v>64</v>
      </c>
      <c r="F1481" s="2" t="s">
        <v>70</v>
      </c>
      <c r="G1481" s="2" t="s">
        <v>97</v>
      </c>
      <c r="H1481" s="2" t="n">
        <v>1</v>
      </c>
      <c r="I1481" s="2" t="n">
        <v>3000</v>
      </c>
      <c r="J1481" s="2" t="n">
        <v>0</v>
      </c>
      <c r="K1481" s="2" t="n">
        <v>2000</v>
      </c>
    </row>
    <row r="1482" customFormat="false" ht="15" hidden="false" customHeight="false" outlineLevel="0" collapsed="false">
      <c r="A1482" s="2" t="s">
        <v>2113</v>
      </c>
      <c r="B1482" s="2" t="s">
        <v>2110</v>
      </c>
      <c r="C1482" s="10" t="n">
        <v>45782</v>
      </c>
      <c r="D1482" s="2" t="s">
        <v>91</v>
      </c>
      <c r="E1482" s="2" t="s">
        <v>64</v>
      </c>
      <c r="F1482" s="2" t="s">
        <v>73</v>
      </c>
      <c r="G1482" s="2" t="s">
        <v>85</v>
      </c>
      <c r="H1482" s="2" t="n">
        <v>3</v>
      </c>
      <c r="I1482" s="2" t="n">
        <v>1200</v>
      </c>
      <c r="J1482" s="2" t="n">
        <v>0.1</v>
      </c>
      <c r="K1482" s="2" t="n">
        <v>600</v>
      </c>
    </row>
    <row r="1483" customFormat="false" ht="15" hidden="false" customHeight="false" outlineLevel="0" collapsed="false">
      <c r="A1483" s="2" t="s">
        <v>2114</v>
      </c>
      <c r="B1483" s="2" t="s">
        <v>2115</v>
      </c>
      <c r="C1483" s="10" t="n">
        <v>45671</v>
      </c>
      <c r="D1483" s="2" t="s">
        <v>63</v>
      </c>
      <c r="E1483" s="2" t="s">
        <v>92</v>
      </c>
      <c r="F1483" s="2" t="s">
        <v>73</v>
      </c>
      <c r="G1483" s="2" t="s">
        <v>74</v>
      </c>
      <c r="H1483" s="2" t="n">
        <v>2</v>
      </c>
      <c r="I1483" s="2" t="n">
        <v>7000</v>
      </c>
      <c r="J1483" s="2" t="n">
        <v>0.15</v>
      </c>
      <c r="K1483" s="2" t="n">
        <v>4800</v>
      </c>
    </row>
    <row r="1484" customFormat="false" ht="15" hidden="false" customHeight="false" outlineLevel="0" collapsed="false">
      <c r="A1484" s="2" t="s">
        <v>2116</v>
      </c>
      <c r="B1484" s="2" t="s">
        <v>2115</v>
      </c>
      <c r="C1484" s="10" t="n">
        <v>45823</v>
      </c>
      <c r="D1484" s="2" t="s">
        <v>63</v>
      </c>
      <c r="E1484" s="2" t="s">
        <v>92</v>
      </c>
      <c r="F1484" s="2" t="s">
        <v>73</v>
      </c>
      <c r="G1484" s="2" t="s">
        <v>87</v>
      </c>
      <c r="H1484" s="2" t="n">
        <v>6</v>
      </c>
      <c r="I1484" s="2" t="n">
        <v>9000</v>
      </c>
      <c r="J1484" s="2" t="n">
        <v>0.05</v>
      </c>
      <c r="K1484" s="2" t="n">
        <v>6200</v>
      </c>
    </row>
    <row r="1485" customFormat="false" ht="15" hidden="false" customHeight="false" outlineLevel="0" collapsed="false">
      <c r="A1485" s="2" t="s">
        <v>2117</v>
      </c>
      <c r="B1485" s="2" t="s">
        <v>2118</v>
      </c>
      <c r="C1485" s="10" t="n">
        <v>45976</v>
      </c>
      <c r="D1485" s="2" t="s">
        <v>91</v>
      </c>
      <c r="E1485" s="2" t="s">
        <v>92</v>
      </c>
      <c r="F1485" s="2" t="s">
        <v>70</v>
      </c>
      <c r="G1485" s="2" t="s">
        <v>122</v>
      </c>
      <c r="H1485" s="2" t="n">
        <v>4</v>
      </c>
      <c r="I1485" s="2" t="n">
        <v>1500</v>
      </c>
      <c r="J1485" s="2" t="n">
        <v>0.05</v>
      </c>
      <c r="K1485" s="2" t="n">
        <v>900</v>
      </c>
    </row>
    <row r="1486" customFormat="false" ht="15" hidden="false" customHeight="false" outlineLevel="0" collapsed="false">
      <c r="A1486" s="2" t="s">
        <v>2119</v>
      </c>
      <c r="B1486" s="2" t="s">
        <v>2118</v>
      </c>
      <c r="C1486" s="10" t="n">
        <v>45819</v>
      </c>
      <c r="D1486" s="2" t="s">
        <v>91</v>
      </c>
      <c r="E1486" s="2" t="s">
        <v>92</v>
      </c>
      <c r="F1486" s="2" t="s">
        <v>70</v>
      </c>
      <c r="G1486" s="2" t="s">
        <v>126</v>
      </c>
      <c r="H1486" s="2" t="n">
        <v>4</v>
      </c>
      <c r="I1486" s="2" t="n">
        <v>4500</v>
      </c>
      <c r="J1486" s="2" t="n">
        <v>0</v>
      </c>
      <c r="K1486" s="2" t="n">
        <v>3300</v>
      </c>
    </row>
    <row r="1487" customFormat="false" ht="15" hidden="false" customHeight="false" outlineLevel="0" collapsed="false">
      <c r="A1487" s="2" t="s">
        <v>2120</v>
      </c>
      <c r="B1487" s="2" t="s">
        <v>2118</v>
      </c>
      <c r="C1487" s="10" t="n">
        <v>45737</v>
      </c>
      <c r="D1487" s="2" t="s">
        <v>91</v>
      </c>
      <c r="E1487" s="2" t="s">
        <v>92</v>
      </c>
      <c r="F1487" s="2" t="s">
        <v>73</v>
      </c>
      <c r="G1487" s="2" t="s">
        <v>74</v>
      </c>
      <c r="H1487" s="2" t="n">
        <v>5</v>
      </c>
      <c r="I1487" s="2" t="n">
        <v>7000</v>
      </c>
      <c r="J1487" s="2" t="n">
        <v>0.05</v>
      </c>
      <c r="K1487" s="2" t="n">
        <v>4800</v>
      </c>
    </row>
    <row r="1488" customFormat="false" ht="15" hidden="false" customHeight="false" outlineLevel="0" collapsed="false">
      <c r="A1488" s="2" t="s">
        <v>2121</v>
      </c>
      <c r="B1488" s="2" t="s">
        <v>2118</v>
      </c>
      <c r="C1488" s="10" t="n">
        <v>45706</v>
      </c>
      <c r="D1488" s="2" t="s">
        <v>91</v>
      </c>
      <c r="E1488" s="2" t="s">
        <v>92</v>
      </c>
      <c r="F1488" s="2" t="s">
        <v>73</v>
      </c>
      <c r="G1488" s="2" t="s">
        <v>104</v>
      </c>
      <c r="H1488" s="2" t="n">
        <v>2</v>
      </c>
      <c r="I1488" s="2" t="n">
        <v>5500</v>
      </c>
      <c r="J1488" s="2" t="n">
        <v>0.1</v>
      </c>
      <c r="K1488" s="2" t="n">
        <v>3600</v>
      </c>
    </row>
    <row r="1489" customFormat="false" ht="15" hidden="false" customHeight="false" outlineLevel="0" collapsed="false">
      <c r="A1489" s="2" t="s">
        <v>2122</v>
      </c>
      <c r="B1489" s="2" t="s">
        <v>2123</v>
      </c>
      <c r="C1489" s="10" t="n">
        <v>45721</v>
      </c>
      <c r="D1489" s="2" t="s">
        <v>63</v>
      </c>
      <c r="E1489" s="2" t="s">
        <v>64</v>
      </c>
      <c r="F1489" s="2" t="s">
        <v>70</v>
      </c>
      <c r="G1489" s="2" t="s">
        <v>126</v>
      </c>
      <c r="H1489" s="2" t="n">
        <v>1</v>
      </c>
      <c r="I1489" s="2" t="n">
        <v>4500</v>
      </c>
      <c r="J1489" s="2" t="n">
        <v>0.1</v>
      </c>
      <c r="K1489" s="2" t="n">
        <v>3300</v>
      </c>
    </row>
    <row r="1490" customFormat="false" ht="15" hidden="false" customHeight="false" outlineLevel="0" collapsed="false">
      <c r="A1490" s="2" t="s">
        <v>2124</v>
      </c>
      <c r="B1490" s="2" t="s">
        <v>2125</v>
      </c>
      <c r="C1490" s="10" t="n">
        <v>45848</v>
      </c>
      <c r="D1490" s="2" t="s">
        <v>63</v>
      </c>
      <c r="E1490" s="2" t="s">
        <v>69</v>
      </c>
      <c r="F1490" s="2" t="s">
        <v>65</v>
      </c>
      <c r="G1490" s="2" t="s">
        <v>66</v>
      </c>
      <c r="H1490" s="2" t="n">
        <v>13</v>
      </c>
      <c r="I1490" s="2" t="n">
        <v>600</v>
      </c>
      <c r="J1490" s="2" t="n">
        <v>0</v>
      </c>
      <c r="K1490" s="2" t="n">
        <v>300</v>
      </c>
    </row>
    <row r="1491" customFormat="false" ht="15" hidden="false" customHeight="false" outlineLevel="0" collapsed="false">
      <c r="A1491" s="2" t="s">
        <v>2126</v>
      </c>
      <c r="B1491" s="2" t="s">
        <v>2125</v>
      </c>
      <c r="C1491" s="10" t="n">
        <v>45906</v>
      </c>
      <c r="D1491" s="2" t="s">
        <v>63</v>
      </c>
      <c r="E1491" s="2" t="s">
        <v>69</v>
      </c>
      <c r="F1491" s="2" t="s">
        <v>70</v>
      </c>
      <c r="G1491" s="2" t="s">
        <v>122</v>
      </c>
      <c r="H1491" s="2" t="n">
        <v>4</v>
      </c>
      <c r="I1491" s="2" t="n">
        <v>1500</v>
      </c>
      <c r="J1491" s="2" t="n">
        <v>0.1</v>
      </c>
      <c r="K1491" s="2" t="n">
        <v>900</v>
      </c>
    </row>
    <row r="1492" customFormat="false" ht="15" hidden="false" customHeight="false" outlineLevel="0" collapsed="false">
      <c r="A1492" s="2" t="s">
        <v>2127</v>
      </c>
      <c r="B1492" s="2" t="s">
        <v>2128</v>
      </c>
      <c r="C1492" s="10" t="n">
        <v>45771</v>
      </c>
      <c r="D1492" s="2" t="s">
        <v>63</v>
      </c>
      <c r="E1492" s="2" t="s">
        <v>64</v>
      </c>
      <c r="F1492" s="2" t="s">
        <v>65</v>
      </c>
      <c r="G1492" s="2" t="s">
        <v>82</v>
      </c>
      <c r="H1492" s="2" t="n">
        <v>5</v>
      </c>
      <c r="I1492" s="2" t="n">
        <v>250</v>
      </c>
      <c r="J1492" s="2" t="n">
        <v>0</v>
      </c>
      <c r="K1492" s="2" t="n">
        <v>100</v>
      </c>
    </row>
    <row r="1493" customFormat="false" ht="15" hidden="false" customHeight="false" outlineLevel="0" collapsed="false">
      <c r="A1493" s="2" t="s">
        <v>2129</v>
      </c>
      <c r="B1493" s="2" t="s">
        <v>2128</v>
      </c>
      <c r="C1493" s="10" t="n">
        <v>45701</v>
      </c>
      <c r="D1493" s="2" t="s">
        <v>63</v>
      </c>
      <c r="E1493" s="2" t="s">
        <v>64</v>
      </c>
      <c r="F1493" s="2" t="s">
        <v>70</v>
      </c>
      <c r="G1493" s="2" t="s">
        <v>122</v>
      </c>
      <c r="H1493" s="2" t="n">
        <v>1</v>
      </c>
      <c r="I1493" s="2" t="n">
        <v>1500</v>
      </c>
      <c r="J1493" s="2" t="n">
        <v>0</v>
      </c>
      <c r="K1493" s="2" t="n">
        <v>900</v>
      </c>
    </row>
    <row r="1494" customFormat="false" ht="15" hidden="false" customHeight="false" outlineLevel="0" collapsed="false">
      <c r="A1494" s="2" t="s">
        <v>2130</v>
      </c>
      <c r="B1494" s="2" t="s">
        <v>2131</v>
      </c>
      <c r="C1494" s="10" t="n">
        <v>45749</v>
      </c>
      <c r="D1494" s="2" t="s">
        <v>81</v>
      </c>
      <c r="E1494" s="2" t="s">
        <v>64</v>
      </c>
      <c r="F1494" s="2" t="s">
        <v>73</v>
      </c>
      <c r="G1494" s="2" t="s">
        <v>85</v>
      </c>
      <c r="H1494" s="2" t="n">
        <v>2</v>
      </c>
      <c r="I1494" s="2" t="n">
        <v>1200</v>
      </c>
      <c r="J1494" s="2" t="n">
        <v>0</v>
      </c>
      <c r="K1494" s="2" t="n">
        <v>600</v>
      </c>
    </row>
    <row r="1495" customFormat="false" ht="15" hidden="false" customHeight="false" outlineLevel="0" collapsed="false">
      <c r="A1495" s="2" t="s">
        <v>2132</v>
      </c>
      <c r="B1495" s="2" t="s">
        <v>2133</v>
      </c>
      <c r="C1495" s="10" t="n">
        <v>45972</v>
      </c>
      <c r="D1495" s="2" t="s">
        <v>63</v>
      </c>
      <c r="E1495" s="2" t="s">
        <v>64</v>
      </c>
      <c r="F1495" s="2" t="s">
        <v>65</v>
      </c>
      <c r="G1495" s="2" t="s">
        <v>107</v>
      </c>
      <c r="H1495" s="2" t="n">
        <v>8</v>
      </c>
      <c r="I1495" s="2" t="n">
        <v>500</v>
      </c>
      <c r="J1495" s="2" t="n">
        <v>0.15</v>
      </c>
      <c r="K1495" s="2" t="n">
        <v>250</v>
      </c>
    </row>
    <row r="1496" customFormat="false" ht="15" hidden="false" customHeight="false" outlineLevel="0" collapsed="false">
      <c r="A1496" s="2" t="s">
        <v>2134</v>
      </c>
      <c r="B1496" s="2" t="s">
        <v>2133</v>
      </c>
      <c r="C1496" s="10" t="n">
        <v>45693</v>
      </c>
      <c r="D1496" s="2" t="s">
        <v>63</v>
      </c>
      <c r="E1496" s="2" t="s">
        <v>64</v>
      </c>
      <c r="F1496" s="2" t="s">
        <v>73</v>
      </c>
      <c r="G1496" s="2" t="s">
        <v>87</v>
      </c>
      <c r="H1496" s="2" t="n">
        <v>2</v>
      </c>
      <c r="I1496" s="2" t="n">
        <v>9000</v>
      </c>
      <c r="J1496" s="2" t="n">
        <v>0</v>
      </c>
      <c r="K1496" s="2" t="n">
        <v>6200</v>
      </c>
    </row>
    <row r="1497" customFormat="false" ht="15" hidden="false" customHeight="false" outlineLevel="0" collapsed="false">
      <c r="A1497" s="2" t="s">
        <v>2135</v>
      </c>
      <c r="B1497" s="2" t="s">
        <v>2133</v>
      </c>
      <c r="C1497" s="10" t="n">
        <v>45677</v>
      </c>
      <c r="D1497" s="2" t="s">
        <v>63</v>
      </c>
      <c r="E1497" s="2" t="s">
        <v>64</v>
      </c>
      <c r="F1497" s="2" t="s">
        <v>65</v>
      </c>
      <c r="G1497" s="2" t="s">
        <v>66</v>
      </c>
      <c r="H1497" s="2" t="n">
        <v>7</v>
      </c>
      <c r="I1497" s="2" t="n">
        <v>600</v>
      </c>
      <c r="J1497" s="2" t="n">
        <v>0.1</v>
      </c>
      <c r="K1497" s="2" t="n">
        <v>300</v>
      </c>
    </row>
    <row r="1498" customFormat="false" ht="15" hidden="false" customHeight="false" outlineLevel="0" collapsed="false">
      <c r="A1498" s="2" t="s">
        <v>2136</v>
      </c>
      <c r="B1498" s="2" t="s">
        <v>2137</v>
      </c>
      <c r="C1498" s="10" t="n">
        <v>45830</v>
      </c>
      <c r="D1498" s="2" t="s">
        <v>77</v>
      </c>
      <c r="E1498" s="2" t="s">
        <v>64</v>
      </c>
      <c r="F1498" s="2" t="s">
        <v>73</v>
      </c>
      <c r="G1498" s="2" t="s">
        <v>87</v>
      </c>
      <c r="H1498" s="2" t="n">
        <v>1</v>
      </c>
      <c r="I1498" s="2" t="n">
        <v>9000</v>
      </c>
      <c r="J1498" s="2" t="n">
        <v>0</v>
      </c>
      <c r="K1498" s="2" t="n">
        <v>6200</v>
      </c>
    </row>
    <row r="1499" customFormat="false" ht="15" hidden="false" customHeight="false" outlineLevel="0" collapsed="false">
      <c r="A1499" s="2" t="s">
        <v>2138</v>
      </c>
      <c r="B1499" s="2" t="s">
        <v>2137</v>
      </c>
      <c r="C1499" s="10" t="n">
        <v>45970</v>
      </c>
      <c r="D1499" s="2" t="s">
        <v>77</v>
      </c>
      <c r="E1499" s="2" t="s">
        <v>64</v>
      </c>
      <c r="F1499" s="2" t="s">
        <v>65</v>
      </c>
      <c r="G1499" s="2" t="s">
        <v>66</v>
      </c>
      <c r="H1499" s="2" t="n">
        <v>2</v>
      </c>
      <c r="I1499" s="2" t="n">
        <v>600</v>
      </c>
      <c r="J1499" s="2" t="n">
        <v>0.05</v>
      </c>
      <c r="K1499" s="2" t="n">
        <v>300</v>
      </c>
    </row>
    <row r="1500" customFormat="false" ht="15" hidden="false" customHeight="false" outlineLevel="0" collapsed="false">
      <c r="A1500" s="2" t="s">
        <v>2139</v>
      </c>
      <c r="B1500" s="2" t="s">
        <v>2140</v>
      </c>
      <c r="C1500" s="10" t="n">
        <v>45856</v>
      </c>
      <c r="D1500" s="2" t="s">
        <v>337</v>
      </c>
      <c r="E1500" s="2" t="s">
        <v>64</v>
      </c>
      <c r="F1500" s="2" t="s">
        <v>70</v>
      </c>
      <c r="G1500" s="2" t="s">
        <v>71</v>
      </c>
      <c r="H1500" s="2" t="n">
        <v>1</v>
      </c>
      <c r="I1500" s="2" t="n">
        <v>2500</v>
      </c>
      <c r="J1500" s="2" t="n">
        <v>0</v>
      </c>
      <c r="K1500" s="2" t="n">
        <v>1600</v>
      </c>
    </row>
    <row r="1501" customFormat="false" ht="15" hidden="false" customHeight="false" outlineLevel="0" collapsed="false">
      <c r="A1501" s="2" t="s">
        <v>2141</v>
      </c>
      <c r="B1501" s="2" t="s">
        <v>2142</v>
      </c>
      <c r="C1501" s="10" t="n">
        <v>45957</v>
      </c>
      <c r="D1501" s="2" t="s">
        <v>63</v>
      </c>
      <c r="E1501" s="2" t="s">
        <v>92</v>
      </c>
      <c r="F1501" s="2" t="s">
        <v>70</v>
      </c>
      <c r="G1501" s="2" t="s">
        <v>97</v>
      </c>
      <c r="H1501" s="2" t="n">
        <v>3</v>
      </c>
      <c r="I1501" s="2" t="n">
        <v>3000</v>
      </c>
      <c r="J1501" s="2" t="n">
        <v>0.15</v>
      </c>
      <c r="K1501" s="2" t="n">
        <v>2000</v>
      </c>
    </row>
    <row r="1502" customFormat="false" ht="15" hidden="false" customHeight="false" outlineLevel="0" collapsed="false">
      <c r="A1502" s="2" t="s">
        <v>2143</v>
      </c>
      <c r="B1502" s="2" t="s">
        <v>2142</v>
      </c>
      <c r="C1502" s="10" t="n">
        <v>45796</v>
      </c>
      <c r="D1502" s="2" t="s">
        <v>63</v>
      </c>
      <c r="E1502" s="2" t="s">
        <v>92</v>
      </c>
      <c r="F1502" s="2" t="s">
        <v>73</v>
      </c>
      <c r="G1502" s="2" t="s">
        <v>104</v>
      </c>
      <c r="H1502" s="2" t="n">
        <v>7</v>
      </c>
      <c r="I1502" s="2" t="n">
        <v>5500</v>
      </c>
      <c r="J1502" s="2" t="n">
        <v>0</v>
      </c>
      <c r="K1502" s="2" t="n">
        <v>3600</v>
      </c>
    </row>
    <row r="1503" customFormat="false" ht="15" hidden="false" customHeight="false" outlineLevel="0" collapsed="false">
      <c r="A1503" s="2" t="s">
        <v>2144</v>
      </c>
      <c r="B1503" s="2" t="s">
        <v>2142</v>
      </c>
      <c r="C1503" s="10" t="n">
        <v>45897</v>
      </c>
      <c r="D1503" s="2" t="s">
        <v>63</v>
      </c>
      <c r="E1503" s="2" t="s">
        <v>92</v>
      </c>
      <c r="F1503" s="2" t="s">
        <v>73</v>
      </c>
      <c r="G1503" s="2" t="s">
        <v>74</v>
      </c>
      <c r="H1503" s="2" t="n">
        <v>6</v>
      </c>
      <c r="I1503" s="2" t="n">
        <v>7000</v>
      </c>
      <c r="J1503" s="2" t="n">
        <v>0.1</v>
      </c>
      <c r="K1503" s="2" t="n">
        <v>4800</v>
      </c>
    </row>
    <row r="1504" customFormat="false" ht="15" hidden="false" customHeight="false" outlineLevel="0" collapsed="false">
      <c r="A1504" s="2" t="s">
        <v>2145</v>
      </c>
      <c r="B1504" s="2" t="s">
        <v>2142</v>
      </c>
      <c r="C1504" s="10" t="n">
        <v>45998</v>
      </c>
      <c r="D1504" s="2" t="s">
        <v>63</v>
      </c>
      <c r="E1504" s="2" t="s">
        <v>92</v>
      </c>
      <c r="F1504" s="2" t="s">
        <v>73</v>
      </c>
      <c r="G1504" s="2" t="s">
        <v>74</v>
      </c>
      <c r="H1504" s="2" t="n">
        <v>8</v>
      </c>
      <c r="I1504" s="2" t="n">
        <v>7000</v>
      </c>
      <c r="J1504" s="2" t="n">
        <v>0.15</v>
      </c>
      <c r="K1504" s="2" t="n">
        <v>4800</v>
      </c>
    </row>
    <row r="1505" customFormat="false" ht="15" hidden="false" customHeight="false" outlineLevel="0" collapsed="false">
      <c r="A1505" s="2" t="s">
        <v>2146</v>
      </c>
      <c r="B1505" s="2" t="s">
        <v>2147</v>
      </c>
      <c r="C1505" s="10" t="n">
        <v>45672</v>
      </c>
      <c r="D1505" s="2" t="s">
        <v>77</v>
      </c>
      <c r="E1505" s="2" t="s">
        <v>64</v>
      </c>
      <c r="F1505" s="2" t="s">
        <v>73</v>
      </c>
      <c r="G1505" s="2" t="s">
        <v>87</v>
      </c>
      <c r="H1505" s="2" t="n">
        <v>2</v>
      </c>
      <c r="I1505" s="2" t="n">
        <v>9000</v>
      </c>
      <c r="J1505" s="2" t="n">
        <v>0</v>
      </c>
      <c r="K1505" s="2" t="n">
        <v>6200</v>
      </c>
    </row>
    <row r="1506" customFormat="false" ht="15" hidden="false" customHeight="false" outlineLevel="0" collapsed="false">
      <c r="A1506" s="2" t="s">
        <v>2148</v>
      </c>
      <c r="B1506" s="2" t="s">
        <v>2149</v>
      </c>
      <c r="C1506" s="10" t="n">
        <v>45882</v>
      </c>
      <c r="D1506" s="2" t="s">
        <v>77</v>
      </c>
      <c r="E1506" s="2" t="s">
        <v>64</v>
      </c>
      <c r="F1506" s="2" t="s">
        <v>70</v>
      </c>
      <c r="G1506" s="2" t="s">
        <v>71</v>
      </c>
      <c r="H1506" s="2" t="n">
        <v>2</v>
      </c>
      <c r="I1506" s="2" t="n">
        <v>2500</v>
      </c>
      <c r="J1506" s="2" t="n">
        <v>0</v>
      </c>
      <c r="K1506" s="2" t="n">
        <v>1600</v>
      </c>
    </row>
    <row r="1507" customFormat="false" ht="15" hidden="false" customHeight="false" outlineLevel="0" collapsed="false">
      <c r="A1507" s="2" t="s">
        <v>2150</v>
      </c>
      <c r="B1507" s="2" t="s">
        <v>2151</v>
      </c>
      <c r="C1507" s="10" t="n">
        <v>45681</v>
      </c>
      <c r="D1507" s="2" t="s">
        <v>63</v>
      </c>
      <c r="E1507" s="2" t="s">
        <v>64</v>
      </c>
      <c r="F1507" s="2" t="s">
        <v>73</v>
      </c>
      <c r="G1507" s="2" t="s">
        <v>104</v>
      </c>
      <c r="H1507" s="2" t="n">
        <v>3</v>
      </c>
      <c r="I1507" s="2" t="n">
        <v>5500</v>
      </c>
      <c r="J1507" s="2" t="n">
        <v>0</v>
      </c>
      <c r="K1507" s="2" t="n">
        <v>3600</v>
      </c>
    </row>
    <row r="1508" customFormat="false" ht="15" hidden="false" customHeight="false" outlineLevel="0" collapsed="false">
      <c r="A1508" s="2" t="s">
        <v>2152</v>
      </c>
      <c r="B1508" s="2" t="s">
        <v>2151</v>
      </c>
      <c r="C1508" s="10" t="n">
        <v>45878</v>
      </c>
      <c r="D1508" s="2" t="s">
        <v>63</v>
      </c>
      <c r="E1508" s="2" t="s">
        <v>64</v>
      </c>
      <c r="F1508" s="2" t="s">
        <v>70</v>
      </c>
      <c r="G1508" s="2" t="s">
        <v>126</v>
      </c>
      <c r="H1508" s="2" t="n">
        <v>3</v>
      </c>
      <c r="I1508" s="2" t="n">
        <v>4500</v>
      </c>
      <c r="J1508" s="2" t="n">
        <v>0</v>
      </c>
      <c r="K1508" s="2" t="n">
        <v>3300</v>
      </c>
    </row>
    <row r="1509" customFormat="false" ht="15" hidden="false" customHeight="false" outlineLevel="0" collapsed="false">
      <c r="A1509" s="2" t="s">
        <v>2153</v>
      </c>
      <c r="B1509" s="2" t="s">
        <v>2151</v>
      </c>
      <c r="C1509" s="10" t="n">
        <v>45790</v>
      </c>
      <c r="D1509" s="2" t="s">
        <v>63</v>
      </c>
      <c r="E1509" s="2" t="s">
        <v>64</v>
      </c>
      <c r="F1509" s="2" t="s">
        <v>70</v>
      </c>
      <c r="G1509" s="2" t="s">
        <v>71</v>
      </c>
      <c r="H1509" s="2" t="n">
        <v>1</v>
      </c>
      <c r="I1509" s="2" t="n">
        <v>2500</v>
      </c>
      <c r="J1509" s="2" t="n">
        <v>0.1</v>
      </c>
      <c r="K1509" s="2" t="n">
        <v>1600</v>
      </c>
    </row>
    <row r="1510" customFormat="false" ht="15" hidden="false" customHeight="false" outlineLevel="0" collapsed="false">
      <c r="A1510" s="2" t="s">
        <v>2154</v>
      </c>
      <c r="B1510" s="2" t="s">
        <v>2151</v>
      </c>
      <c r="C1510" s="10" t="n">
        <v>45972</v>
      </c>
      <c r="D1510" s="2" t="s">
        <v>63</v>
      </c>
      <c r="E1510" s="2" t="s">
        <v>64</v>
      </c>
      <c r="F1510" s="2" t="s">
        <v>65</v>
      </c>
      <c r="G1510" s="2" t="s">
        <v>66</v>
      </c>
      <c r="H1510" s="2" t="n">
        <v>6</v>
      </c>
      <c r="I1510" s="2" t="n">
        <v>600</v>
      </c>
      <c r="J1510" s="2" t="n">
        <v>0.1</v>
      </c>
      <c r="K1510" s="2" t="n">
        <v>300</v>
      </c>
    </row>
    <row r="1511" customFormat="false" ht="15" hidden="false" customHeight="false" outlineLevel="0" collapsed="false">
      <c r="A1511" s="2" t="s">
        <v>2155</v>
      </c>
      <c r="B1511" s="2" t="s">
        <v>2151</v>
      </c>
      <c r="C1511" s="10" t="n">
        <v>45947</v>
      </c>
      <c r="D1511" s="2" t="s">
        <v>63</v>
      </c>
      <c r="E1511" s="2" t="s">
        <v>64</v>
      </c>
      <c r="F1511" s="2" t="s">
        <v>65</v>
      </c>
      <c r="G1511" s="2" t="s">
        <v>66</v>
      </c>
      <c r="H1511" s="2" t="n">
        <v>3</v>
      </c>
      <c r="I1511" s="2" t="n">
        <v>600</v>
      </c>
      <c r="J1511" s="2" t="n">
        <v>0.15</v>
      </c>
      <c r="K1511" s="2" t="n">
        <v>300</v>
      </c>
    </row>
    <row r="1512" customFormat="false" ht="15" hidden="false" customHeight="false" outlineLevel="0" collapsed="false">
      <c r="A1512" s="2" t="s">
        <v>2156</v>
      </c>
      <c r="B1512" s="2" t="s">
        <v>2151</v>
      </c>
      <c r="C1512" s="10" t="n">
        <v>45870</v>
      </c>
      <c r="D1512" s="2" t="s">
        <v>63</v>
      </c>
      <c r="E1512" s="2" t="s">
        <v>64</v>
      </c>
      <c r="F1512" s="2" t="s">
        <v>65</v>
      </c>
      <c r="G1512" s="2" t="s">
        <v>66</v>
      </c>
      <c r="H1512" s="2" t="n">
        <v>3</v>
      </c>
      <c r="I1512" s="2" t="n">
        <v>600</v>
      </c>
      <c r="J1512" s="2" t="n">
        <v>0</v>
      </c>
      <c r="K1512" s="2" t="n">
        <v>300</v>
      </c>
    </row>
    <row r="1513" customFormat="false" ht="15" hidden="false" customHeight="false" outlineLevel="0" collapsed="false">
      <c r="A1513" s="2" t="s">
        <v>2157</v>
      </c>
      <c r="B1513" s="2" t="s">
        <v>2158</v>
      </c>
      <c r="C1513" s="10" t="n">
        <v>45843</v>
      </c>
      <c r="D1513" s="2" t="s">
        <v>91</v>
      </c>
      <c r="E1513" s="2" t="s">
        <v>64</v>
      </c>
      <c r="F1513" s="2" t="s">
        <v>70</v>
      </c>
      <c r="G1513" s="2" t="s">
        <v>126</v>
      </c>
      <c r="H1513" s="2" t="n">
        <v>2</v>
      </c>
      <c r="I1513" s="2" t="n">
        <v>4500</v>
      </c>
      <c r="J1513" s="2" t="n">
        <v>0.05</v>
      </c>
      <c r="K1513" s="2" t="n">
        <v>3300</v>
      </c>
    </row>
    <row r="1514" customFormat="false" ht="15" hidden="false" customHeight="false" outlineLevel="0" collapsed="false">
      <c r="A1514" s="2" t="s">
        <v>2159</v>
      </c>
      <c r="B1514" s="2" t="s">
        <v>2160</v>
      </c>
      <c r="C1514" s="10" t="n">
        <v>45912</v>
      </c>
      <c r="D1514" s="2" t="s">
        <v>77</v>
      </c>
      <c r="E1514" s="2" t="s">
        <v>64</v>
      </c>
      <c r="F1514" s="2" t="s">
        <v>73</v>
      </c>
      <c r="G1514" s="2" t="s">
        <v>85</v>
      </c>
      <c r="H1514" s="2" t="n">
        <v>3</v>
      </c>
      <c r="I1514" s="2" t="n">
        <v>1200</v>
      </c>
      <c r="J1514" s="2" t="n">
        <v>0</v>
      </c>
      <c r="K1514" s="2" t="n">
        <v>600</v>
      </c>
    </row>
    <row r="1515" customFormat="false" ht="15" hidden="false" customHeight="false" outlineLevel="0" collapsed="false">
      <c r="A1515" s="2" t="s">
        <v>2161</v>
      </c>
      <c r="B1515" s="2" t="s">
        <v>2160</v>
      </c>
      <c r="C1515" s="10" t="n">
        <v>45778</v>
      </c>
      <c r="D1515" s="2" t="s">
        <v>77</v>
      </c>
      <c r="E1515" s="2" t="s">
        <v>64</v>
      </c>
      <c r="F1515" s="2" t="s">
        <v>65</v>
      </c>
      <c r="G1515" s="2" t="s">
        <v>78</v>
      </c>
      <c r="H1515" s="2" t="n">
        <v>2</v>
      </c>
      <c r="I1515" s="2" t="n">
        <v>400</v>
      </c>
      <c r="J1515" s="2" t="n">
        <v>0</v>
      </c>
      <c r="K1515" s="2" t="n">
        <v>200</v>
      </c>
    </row>
    <row r="1516" customFormat="false" ht="15" hidden="false" customHeight="false" outlineLevel="0" collapsed="false">
      <c r="A1516" s="2" t="s">
        <v>2162</v>
      </c>
      <c r="B1516" s="2" t="s">
        <v>2160</v>
      </c>
      <c r="C1516" s="10" t="n">
        <v>45715</v>
      </c>
      <c r="D1516" s="2" t="s">
        <v>77</v>
      </c>
      <c r="E1516" s="2" t="s">
        <v>64</v>
      </c>
      <c r="F1516" s="2" t="s">
        <v>70</v>
      </c>
      <c r="G1516" s="2" t="s">
        <v>71</v>
      </c>
      <c r="H1516" s="2" t="n">
        <v>1</v>
      </c>
      <c r="I1516" s="2" t="n">
        <v>2500</v>
      </c>
      <c r="J1516" s="2" t="n">
        <v>0</v>
      </c>
      <c r="K1516" s="2" t="n">
        <v>1600</v>
      </c>
    </row>
    <row r="1517" customFormat="false" ht="15" hidden="false" customHeight="false" outlineLevel="0" collapsed="false">
      <c r="A1517" s="2" t="s">
        <v>2163</v>
      </c>
      <c r="B1517" s="2" t="s">
        <v>2160</v>
      </c>
      <c r="C1517" s="10" t="n">
        <v>46012</v>
      </c>
      <c r="D1517" s="2" t="s">
        <v>77</v>
      </c>
      <c r="E1517" s="2" t="s">
        <v>64</v>
      </c>
      <c r="F1517" s="2" t="s">
        <v>70</v>
      </c>
      <c r="G1517" s="2" t="s">
        <v>71</v>
      </c>
      <c r="H1517" s="2" t="n">
        <v>3</v>
      </c>
      <c r="I1517" s="2" t="n">
        <v>2500</v>
      </c>
      <c r="J1517" s="2" t="n">
        <v>0.1</v>
      </c>
      <c r="K1517" s="2" t="n">
        <v>1600</v>
      </c>
    </row>
    <row r="1518" customFormat="false" ht="15" hidden="false" customHeight="false" outlineLevel="0" collapsed="false">
      <c r="A1518" s="2" t="s">
        <v>2164</v>
      </c>
      <c r="B1518" s="2" t="s">
        <v>2165</v>
      </c>
      <c r="C1518" s="10" t="n">
        <v>45874</v>
      </c>
      <c r="D1518" s="2" t="s">
        <v>77</v>
      </c>
      <c r="E1518" s="2" t="s">
        <v>64</v>
      </c>
      <c r="F1518" s="2" t="s">
        <v>70</v>
      </c>
      <c r="G1518" s="2" t="s">
        <v>126</v>
      </c>
      <c r="H1518" s="2" t="n">
        <v>3</v>
      </c>
      <c r="I1518" s="2" t="n">
        <v>4500</v>
      </c>
      <c r="J1518" s="2" t="n">
        <v>0</v>
      </c>
      <c r="K1518" s="2" t="n">
        <v>3300</v>
      </c>
    </row>
    <row r="1519" customFormat="false" ht="15" hidden="false" customHeight="false" outlineLevel="0" collapsed="false">
      <c r="A1519" s="2" t="s">
        <v>2166</v>
      </c>
      <c r="B1519" s="2" t="s">
        <v>2165</v>
      </c>
      <c r="C1519" s="10" t="n">
        <v>45905</v>
      </c>
      <c r="D1519" s="2" t="s">
        <v>77</v>
      </c>
      <c r="E1519" s="2" t="s">
        <v>64</v>
      </c>
      <c r="F1519" s="2" t="s">
        <v>65</v>
      </c>
      <c r="G1519" s="2" t="s">
        <v>107</v>
      </c>
      <c r="H1519" s="2" t="n">
        <v>3</v>
      </c>
      <c r="I1519" s="2" t="n">
        <v>500</v>
      </c>
      <c r="J1519" s="2" t="n">
        <v>0</v>
      </c>
      <c r="K1519" s="2" t="n">
        <v>250</v>
      </c>
    </row>
    <row r="1520" customFormat="false" ht="15" hidden="false" customHeight="false" outlineLevel="0" collapsed="false">
      <c r="A1520" s="2" t="s">
        <v>2167</v>
      </c>
      <c r="B1520" s="2" t="s">
        <v>2168</v>
      </c>
      <c r="C1520" s="10" t="n">
        <v>45856</v>
      </c>
      <c r="D1520" s="2" t="s">
        <v>81</v>
      </c>
      <c r="E1520" s="2" t="s">
        <v>64</v>
      </c>
      <c r="F1520" s="2" t="s">
        <v>70</v>
      </c>
      <c r="G1520" s="2" t="s">
        <v>122</v>
      </c>
      <c r="H1520" s="2" t="n">
        <v>2</v>
      </c>
      <c r="I1520" s="2" t="n">
        <v>1500</v>
      </c>
      <c r="J1520" s="2" t="n">
        <v>0</v>
      </c>
      <c r="K1520" s="2" t="n">
        <v>900</v>
      </c>
    </row>
    <row r="1521" customFormat="false" ht="15" hidden="false" customHeight="false" outlineLevel="0" collapsed="false">
      <c r="A1521" s="2" t="s">
        <v>2169</v>
      </c>
      <c r="B1521" s="2" t="s">
        <v>2168</v>
      </c>
      <c r="C1521" s="10" t="n">
        <v>45855</v>
      </c>
      <c r="D1521" s="2" t="s">
        <v>81</v>
      </c>
      <c r="E1521" s="2" t="s">
        <v>64</v>
      </c>
      <c r="F1521" s="2" t="s">
        <v>65</v>
      </c>
      <c r="G1521" s="2" t="s">
        <v>82</v>
      </c>
      <c r="H1521" s="2" t="n">
        <v>5</v>
      </c>
      <c r="I1521" s="2" t="n">
        <v>250</v>
      </c>
      <c r="J1521" s="2" t="n">
        <v>0</v>
      </c>
      <c r="K1521" s="2" t="n">
        <v>100</v>
      </c>
    </row>
    <row r="1522" customFormat="false" ht="15" hidden="false" customHeight="false" outlineLevel="0" collapsed="false">
      <c r="A1522" s="2" t="s">
        <v>2170</v>
      </c>
      <c r="B1522" s="2" t="s">
        <v>2168</v>
      </c>
      <c r="C1522" s="10" t="n">
        <v>45833</v>
      </c>
      <c r="D1522" s="2" t="s">
        <v>81</v>
      </c>
      <c r="E1522" s="2" t="s">
        <v>64</v>
      </c>
      <c r="F1522" s="2" t="s">
        <v>70</v>
      </c>
      <c r="G1522" s="2" t="s">
        <v>122</v>
      </c>
      <c r="H1522" s="2" t="n">
        <v>3</v>
      </c>
      <c r="I1522" s="2" t="n">
        <v>1500</v>
      </c>
      <c r="J1522" s="2" t="n">
        <v>0</v>
      </c>
      <c r="K1522" s="2" t="n">
        <v>900</v>
      </c>
    </row>
    <row r="1523" customFormat="false" ht="15" hidden="false" customHeight="false" outlineLevel="0" collapsed="false">
      <c r="A1523" s="2" t="s">
        <v>2171</v>
      </c>
      <c r="B1523" s="2" t="s">
        <v>2172</v>
      </c>
      <c r="C1523" s="10" t="n">
        <v>45752</v>
      </c>
      <c r="D1523" s="2" t="s">
        <v>91</v>
      </c>
      <c r="E1523" s="2" t="s">
        <v>64</v>
      </c>
      <c r="F1523" s="2" t="s">
        <v>70</v>
      </c>
      <c r="G1523" s="2" t="s">
        <v>71</v>
      </c>
      <c r="H1523" s="2" t="n">
        <v>3</v>
      </c>
      <c r="I1523" s="2" t="n">
        <v>2500</v>
      </c>
      <c r="J1523" s="2" t="n">
        <v>0</v>
      </c>
      <c r="K1523" s="2" t="n">
        <v>1600</v>
      </c>
    </row>
    <row r="1524" customFormat="false" ht="15" hidden="false" customHeight="false" outlineLevel="0" collapsed="false">
      <c r="A1524" s="2" t="s">
        <v>2173</v>
      </c>
      <c r="B1524" s="2" t="s">
        <v>2172</v>
      </c>
      <c r="C1524" s="10" t="n">
        <v>45873</v>
      </c>
      <c r="D1524" s="2" t="s">
        <v>91</v>
      </c>
      <c r="E1524" s="2" t="s">
        <v>64</v>
      </c>
      <c r="F1524" s="2" t="s">
        <v>65</v>
      </c>
      <c r="G1524" s="2" t="s">
        <v>66</v>
      </c>
      <c r="H1524" s="2" t="n">
        <v>4</v>
      </c>
      <c r="I1524" s="2" t="n">
        <v>600</v>
      </c>
      <c r="J1524" s="2" t="n">
        <v>0.1</v>
      </c>
      <c r="K1524" s="2" t="n">
        <v>300</v>
      </c>
    </row>
    <row r="1525" customFormat="false" ht="15" hidden="false" customHeight="false" outlineLevel="0" collapsed="false">
      <c r="A1525" s="2" t="s">
        <v>2174</v>
      </c>
      <c r="B1525" s="2" t="s">
        <v>2175</v>
      </c>
      <c r="C1525" s="10" t="n">
        <v>45699</v>
      </c>
      <c r="D1525" s="2" t="s">
        <v>63</v>
      </c>
      <c r="E1525" s="2" t="s">
        <v>64</v>
      </c>
      <c r="F1525" s="2" t="s">
        <v>70</v>
      </c>
      <c r="G1525" s="2" t="s">
        <v>71</v>
      </c>
      <c r="H1525" s="2" t="n">
        <v>1</v>
      </c>
      <c r="I1525" s="2" t="n">
        <v>2500</v>
      </c>
      <c r="J1525" s="2" t="n">
        <v>0</v>
      </c>
      <c r="K1525" s="2" t="n">
        <v>1600</v>
      </c>
    </row>
    <row r="1526" customFormat="false" ht="15" hidden="false" customHeight="false" outlineLevel="0" collapsed="false">
      <c r="A1526" s="2" t="s">
        <v>2176</v>
      </c>
      <c r="B1526" s="2" t="s">
        <v>2177</v>
      </c>
      <c r="C1526" s="10" t="n">
        <v>45942</v>
      </c>
      <c r="D1526" s="2" t="s">
        <v>63</v>
      </c>
      <c r="E1526" s="2" t="s">
        <v>64</v>
      </c>
      <c r="F1526" s="2" t="s">
        <v>70</v>
      </c>
      <c r="G1526" s="2" t="s">
        <v>71</v>
      </c>
      <c r="H1526" s="2" t="n">
        <v>1</v>
      </c>
      <c r="I1526" s="2" t="n">
        <v>2500</v>
      </c>
      <c r="J1526" s="2" t="n">
        <v>0.05</v>
      </c>
      <c r="K1526" s="2" t="n">
        <v>1600</v>
      </c>
    </row>
    <row r="1527" customFormat="false" ht="15" hidden="false" customHeight="false" outlineLevel="0" collapsed="false">
      <c r="A1527" s="2" t="s">
        <v>2178</v>
      </c>
      <c r="B1527" s="2" t="s">
        <v>2177</v>
      </c>
      <c r="C1527" s="10" t="n">
        <v>46006</v>
      </c>
      <c r="D1527" s="2" t="s">
        <v>756</v>
      </c>
      <c r="E1527" s="2" t="s">
        <v>64</v>
      </c>
      <c r="F1527" s="2" t="s">
        <v>70</v>
      </c>
      <c r="G1527" s="2" t="s">
        <v>122</v>
      </c>
      <c r="H1527" s="2" t="n">
        <v>2</v>
      </c>
      <c r="I1527" s="2" t="n">
        <v>1500</v>
      </c>
      <c r="J1527" s="2" t="n">
        <v>0.1</v>
      </c>
      <c r="K1527" s="2" t="n">
        <v>900</v>
      </c>
    </row>
    <row r="1528" customFormat="false" ht="15" hidden="false" customHeight="false" outlineLevel="0" collapsed="false">
      <c r="A1528" s="2" t="s">
        <v>2179</v>
      </c>
      <c r="B1528" s="2" t="s">
        <v>2177</v>
      </c>
      <c r="C1528" s="10" t="n">
        <v>45965</v>
      </c>
      <c r="D1528" s="2" t="s">
        <v>63</v>
      </c>
      <c r="E1528" s="2" t="s">
        <v>64</v>
      </c>
      <c r="F1528" s="2" t="s">
        <v>70</v>
      </c>
      <c r="G1528" s="2" t="s">
        <v>71</v>
      </c>
      <c r="H1528" s="2" t="n">
        <v>2</v>
      </c>
      <c r="I1528" s="2" t="n">
        <v>2500</v>
      </c>
      <c r="J1528" s="2" t="n">
        <v>0.15</v>
      </c>
      <c r="K1528" s="2" t="n">
        <v>1600</v>
      </c>
    </row>
    <row r="1529" customFormat="false" ht="15" hidden="false" customHeight="false" outlineLevel="0" collapsed="false">
      <c r="A1529" s="2" t="s">
        <v>2180</v>
      </c>
      <c r="B1529" s="2" t="s">
        <v>2177</v>
      </c>
      <c r="C1529" s="10" t="n">
        <v>45790</v>
      </c>
      <c r="D1529" s="2" t="s">
        <v>63</v>
      </c>
      <c r="E1529" s="2" t="s">
        <v>64</v>
      </c>
      <c r="F1529" s="2" t="s">
        <v>65</v>
      </c>
      <c r="G1529" s="2" t="s">
        <v>66</v>
      </c>
      <c r="H1529" s="2" t="n">
        <v>2</v>
      </c>
      <c r="I1529" s="2" t="n">
        <v>600</v>
      </c>
      <c r="J1529" s="2" t="n">
        <v>0.1</v>
      </c>
      <c r="K1529" s="2" t="n">
        <v>300</v>
      </c>
    </row>
    <row r="1530" customFormat="false" ht="15" hidden="false" customHeight="false" outlineLevel="0" collapsed="false">
      <c r="A1530" s="2" t="s">
        <v>2181</v>
      </c>
      <c r="B1530" s="2" t="s">
        <v>2177</v>
      </c>
      <c r="C1530" s="10" t="n">
        <v>45731</v>
      </c>
      <c r="D1530" s="2" t="s">
        <v>63</v>
      </c>
      <c r="E1530" s="2" t="s">
        <v>64</v>
      </c>
      <c r="F1530" s="2" t="s">
        <v>70</v>
      </c>
      <c r="G1530" s="2" t="s">
        <v>122</v>
      </c>
      <c r="H1530" s="2" t="n">
        <v>3</v>
      </c>
      <c r="I1530" s="2" t="n">
        <v>1500</v>
      </c>
      <c r="J1530" s="2" t="n">
        <v>0</v>
      </c>
      <c r="K1530" s="2" t="n">
        <v>900</v>
      </c>
    </row>
    <row r="1531" customFormat="false" ht="15" hidden="false" customHeight="false" outlineLevel="0" collapsed="false">
      <c r="A1531" s="2" t="s">
        <v>2182</v>
      </c>
      <c r="B1531" s="2" t="s">
        <v>2183</v>
      </c>
      <c r="C1531" s="10" t="n">
        <v>45859</v>
      </c>
      <c r="D1531" s="2" t="s">
        <v>91</v>
      </c>
      <c r="E1531" s="2" t="s">
        <v>69</v>
      </c>
      <c r="F1531" s="2" t="s">
        <v>73</v>
      </c>
      <c r="G1531" s="2" t="s">
        <v>104</v>
      </c>
      <c r="H1531" s="2" t="n">
        <v>1</v>
      </c>
      <c r="I1531" s="2" t="n">
        <v>5500</v>
      </c>
      <c r="J1531" s="2" t="n">
        <v>0</v>
      </c>
      <c r="K1531" s="2" t="n">
        <v>3600</v>
      </c>
    </row>
    <row r="1532" customFormat="false" ht="15" hidden="false" customHeight="false" outlineLevel="0" collapsed="false">
      <c r="A1532" s="2" t="s">
        <v>2184</v>
      </c>
      <c r="B1532" s="2" t="s">
        <v>2185</v>
      </c>
      <c r="C1532" s="10" t="n">
        <v>45871</v>
      </c>
      <c r="D1532" s="2" t="s">
        <v>77</v>
      </c>
      <c r="E1532" s="2" t="s">
        <v>64</v>
      </c>
      <c r="F1532" s="2" t="s">
        <v>70</v>
      </c>
      <c r="G1532" s="2" t="s">
        <v>71</v>
      </c>
      <c r="H1532" s="2" t="n">
        <v>3</v>
      </c>
      <c r="I1532" s="2" t="n">
        <v>2500</v>
      </c>
      <c r="J1532" s="2" t="n">
        <v>0.05</v>
      </c>
      <c r="K1532" s="2" t="n">
        <v>1600</v>
      </c>
    </row>
    <row r="1533" customFormat="false" ht="15" hidden="false" customHeight="false" outlineLevel="0" collapsed="false">
      <c r="A1533" s="2" t="s">
        <v>2186</v>
      </c>
      <c r="B1533" s="2" t="s">
        <v>2185</v>
      </c>
      <c r="C1533" s="10" t="n">
        <v>45783</v>
      </c>
      <c r="D1533" s="2" t="s">
        <v>77</v>
      </c>
      <c r="E1533" s="2" t="s">
        <v>64</v>
      </c>
      <c r="F1533" s="2" t="s">
        <v>65</v>
      </c>
      <c r="G1533" s="2" t="s">
        <v>78</v>
      </c>
      <c r="H1533" s="2" t="n">
        <v>8</v>
      </c>
      <c r="I1533" s="2" t="n">
        <v>400</v>
      </c>
      <c r="J1533" s="2" t="n">
        <v>0.1</v>
      </c>
      <c r="K1533" s="2" t="n">
        <v>200</v>
      </c>
    </row>
    <row r="1534" customFormat="false" ht="15" hidden="false" customHeight="false" outlineLevel="0" collapsed="false">
      <c r="A1534" s="2" t="s">
        <v>2187</v>
      </c>
      <c r="B1534" s="2" t="s">
        <v>2185</v>
      </c>
      <c r="C1534" s="10" t="n">
        <v>45908</v>
      </c>
      <c r="D1534" s="2" t="s">
        <v>77</v>
      </c>
      <c r="E1534" s="2" t="s">
        <v>64</v>
      </c>
      <c r="F1534" s="2" t="s">
        <v>73</v>
      </c>
      <c r="G1534" s="2" t="s">
        <v>85</v>
      </c>
      <c r="H1534" s="2" t="n">
        <v>3</v>
      </c>
      <c r="I1534" s="2" t="n">
        <v>1200</v>
      </c>
      <c r="J1534" s="2" t="n">
        <v>0</v>
      </c>
      <c r="K1534" s="2" t="n">
        <v>600</v>
      </c>
    </row>
    <row r="1535" customFormat="false" ht="15" hidden="false" customHeight="false" outlineLevel="0" collapsed="false">
      <c r="A1535" s="2" t="s">
        <v>2188</v>
      </c>
      <c r="B1535" s="2" t="s">
        <v>2185</v>
      </c>
      <c r="C1535" s="10" t="n">
        <v>45921</v>
      </c>
      <c r="D1535" s="2" t="s">
        <v>77</v>
      </c>
      <c r="E1535" s="2" t="s">
        <v>64</v>
      </c>
      <c r="F1535" s="2" t="s">
        <v>70</v>
      </c>
      <c r="G1535" s="2" t="s">
        <v>71</v>
      </c>
      <c r="H1535" s="2" t="n">
        <v>3</v>
      </c>
      <c r="I1535" s="2" t="n">
        <v>2500</v>
      </c>
      <c r="J1535" s="2" t="n">
        <v>0.05</v>
      </c>
      <c r="K1535" s="2" t="n">
        <v>1600</v>
      </c>
    </row>
    <row r="1536" customFormat="false" ht="15" hidden="false" customHeight="false" outlineLevel="0" collapsed="false">
      <c r="A1536" s="2" t="s">
        <v>2189</v>
      </c>
      <c r="B1536" s="2" t="s">
        <v>2185</v>
      </c>
      <c r="C1536" s="10" t="n">
        <v>45862</v>
      </c>
      <c r="D1536" s="2" t="s">
        <v>77</v>
      </c>
      <c r="E1536" s="2" t="s">
        <v>64</v>
      </c>
      <c r="F1536" s="2" t="s">
        <v>65</v>
      </c>
      <c r="G1536" s="2" t="s">
        <v>78</v>
      </c>
      <c r="H1536" s="2" t="n">
        <v>3</v>
      </c>
      <c r="I1536" s="2" t="n">
        <v>400</v>
      </c>
      <c r="J1536" s="2" t="n">
        <v>0</v>
      </c>
      <c r="K1536" s="2" t="n">
        <v>200</v>
      </c>
    </row>
    <row r="1537" customFormat="false" ht="15" hidden="false" customHeight="false" outlineLevel="0" collapsed="false">
      <c r="A1537" s="2" t="s">
        <v>2190</v>
      </c>
      <c r="B1537" s="2" t="s">
        <v>2185</v>
      </c>
      <c r="C1537" s="10" t="n">
        <v>45753</v>
      </c>
      <c r="D1537" s="2" t="s">
        <v>77</v>
      </c>
      <c r="E1537" s="2" t="s">
        <v>64</v>
      </c>
      <c r="F1537" s="2" t="s">
        <v>70</v>
      </c>
      <c r="G1537" s="2" t="s">
        <v>126</v>
      </c>
      <c r="H1537" s="2" t="n">
        <v>1</v>
      </c>
      <c r="I1537" s="2" t="n">
        <v>4500</v>
      </c>
      <c r="J1537" s="2" t="n">
        <v>0</v>
      </c>
      <c r="K1537" s="2" t="n">
        <v>3300</v>
      </c>
    </row>
    <row r="1538" customFormat="false" ht="15" hidden="false" customHeight="false" outlineLevel="0" collapsed="false">
      <c r="A1538" s="2" t="s">
        <v>2191</v>
      </c>
      <c r="B1538" s="2" t="s">
        <v>2192</v>
      </c>
      <c r="C1538" s="10" t="n">
        <v>45769</v>
      </c>
      <c r="D1538" s="2" t="s">
        <v>77</v>
      </c>
      <c r="E1538" s="2" t="s">
        <v>64</v>
      </c>
      <c r="F1538" s="2" t="s">
        <v>65</v>
      </c>
      <c r="G1538" s="2" t="s">
        <v>107</v>
      </c>
      <c r="H1538" s="2" t="n">
        <v>5</v>
      </c>
      <c r="I1538" s="2" t="n">
        <v>500</v>
      </c>
      <c r="J1538" s="2" t="n">
        <v>0</v>
      </c>
      <c r="K1538" s="2" t="n">
        <v>250</v>
      </c>
    </row>
    <row r="1539" customFormat="false" ht="15" hidden="false" customHeight="false" outlineLevel="0" collapsed="false">
      <c r="A1539" s="2" t="s">
        <v>2193</v>
      </c>
      <c r="B1539" s="2" t="s">
        <v>2194</v>
      </c>
      <c r="C1539" s="10" t="n">
        <v>45895</v>
      </c>
      <c r="D1539" s="2" t="s">
        <v>77</v>
      </c>
      <c r="E1539" s="2" t="s">
        <v>64</v>
      </c>
      <c r="F1539" s="2" t="s">
        <v>73</v>
      </c>
      <c r="G1539" s="2" t="s">
        <v>104</v>
      </c>
      <c r="H1539" s="2" t="n">
        <v>2</v>
      </c>
      <c r="I1539" s="2" t="n">
        <v>5500</v>
      </c>
      <c r="J1539" s="2" t="n">
        <v>0.05</v>
      </c>
      <c r="K1539" s="2" t="n">
        <v>3600</v>
      </c>
    </row>
    <row r="1540" customFormat="false" ht="15" hidden="false" customHeight="false" outlineLevel="0" collapsed="false">
      <c r="A1540" s="2" t="s">
        <v>2195</v>
      </c>
      <c r="B1540" s="2" t="s">
        <v>2196</v>
      </c>
      <c r="C1540" s="10" t="n">
        <v>46013</v>
      </c>
      <c r="D1540" s="2" t="s">
        <v>91</v>
      </c>
      <c r="E1540" s="2" t="s">
        <v>64</v>
      </c>
      <c r="F1540" s="2" t="s">
        <v>65</v>
      </c>
      <c r="G1540" s="2" t="s">
        <v>78</v>
      </c>
      <c r="H1540" s="2" t="n">
        <v>4</v>
      </c>
      <c r="I1540" s="2" t="n">
        <v>400</v>
      </c>
      <c r="J1540" s="2" t="n">
        <v>0.05</v>
      </c>
      <c r="K1540" s="2" t="n">
        <v>200</v>
      </c>
    </row>
    <row r="1541" customFormat="false" ht="15" hidden="false" customHeight="false" outlineLevel="0" collapsed="false">
      <c r="A1541" s="2" t="s">
        <v>2197</v>
      </c>
      <c r="B1541" s="2" t="s">
        <v>2198</v>
      </c>
      <c r="C1541" s="10" t="n">
        <v>45849</v>
      </c>
      <c r="D1541" s="2" t="s">
        <v>77</v>
      </c>
      <c r="E1541" s="2" t="s">
        <v>64</v>
      </c>
      <c r="F1541" s="2" t="s">
        <v>70</v>
      </c>
      <c r="G1541" s="2" t="s">
        <v>97</v>
      </c>
      <c r="H1541" s="2" t="n">
        <v>1</v>
      </c>
      <c r="I1541" s="2" t="n">
        <v>3000</v>
      </c>
      <c r="J1541" s="2" t="n">
        <v>0.1</v>
      </c>
      <c r="K1541" s="2" t="n">
        <v>2000</v>
      </c>
    </row>
    <row r="1542" customFormat="false" ht="15" hidden="false" customHeight="false" outlineLevel="0" collapsed="false">
      <c r="A1542" s="2" t="s">
        <v>2199</v>
      </c>
      <c r="B1542" s="2" t="s">
        <v>2198</v>
      </c>
      <c r="C1542" s="10" t="n">
        <v>45782</v>
      </c>
      <c r="D1542" s="2" t="s">
        <v>77</v>
      </c>
      <c r="E1542" s="2" t="s">
        <v>64</v>
      </c>
      <c r="F1542" s="2" t="s">
        <v>70</v>
      </c>
      <c r="G1542" s="2" t="s">
        <v>71</v>
      </c>
      <c r="H1542" s="2" t="n">
        <v>3</v>
      </c>
      <c r="I1542" s="2" t="n">
        <v>2500</v>
      </c>
      <c r="J1542" s="2" t="n">
        <v>0.1</v>
      </c>
      <c r="K1542" s="2" t="n">
        <v>1600</v>
      </c>
    </row>
    <row r="1543" customFormat="false" ht="15" hidden="false" customHeight="false" outlineLevel="0" collapsed="false">
      <c r="A1543" s="2" t="s">
        <v>2200</v>
      </c>
      <c r="B1543" s="2" t="s">
        <v>2198</v>
      </c>
      <c r="C1543" s="10" t="n">
        <v>45700</v>
      </c>
      <c r="D1543" s="2" t="s">
        <v>77</v>
      </c>
      <c r="E1543" s="2" t="s">
        <v>64</v>
      </c>
      <c r="F1543" s="2" t="s">
        <v>73</v>
      </c>
      <c r="G1543" s="2" t="s">
        <v>74</v>
      </c>
      <c r="H1543" s="2" t="n">
        <v>2</v>
      </c>
      <c r="I1543" s="2" t="n">
        <v>7000</v>
      </c>
      <c r="J1543" s="2" t="n">
        <v>0.05</v>
      </c>
      <c r="K1543" s="2" t="n">
        <v>4800</v>
      </c>
    </row>
    <row r="1544" customFormat="false" ht="15" hidden="false" customHeight="false" outlineLevel="0" collapsed="false">
      <c r="A1544" s="2" t="s">
        <v>2201</v>
      </c>
      <c r="B1544" s="2" t="s">
        <v>2202</v>
      </c>
      <c r="C1544" s="10" t="n">
        <v>45732</v>
      </c>
      <c r="D1544" s="2" t="s">
        <v>81</v>
      </c>
      <c r="E1544" s="2" t="s">
        <v>64</v>
      </c>
      <c r="F1544" s="2" t="s">
        <v>65</v>
      </c>
      <c r="G1544" s="2" t="s">
        <v>78</v>
      </c>
      <c r="H1544" s="2" t="n">
        <v>7</v>
      </c>
      <c r="I1544" s="2" t="n">
        <v>400</v>
      </c>
      <c r="J1544" s="2" t="n">
        <v>0</v>
      </c>
      <c r="K1544" s="2" t="n">
        <v>200</v>
      </c>
    </row>
    <row r="1545" customFormat="false" ht="15" hidden="false" customHeight="false" outlineLevel="0" collapsed="false">
      <c r="A1545" s="2" t="s">
        <v>2203</v>
      </c>
      <c r="B1545" s="2" t="s">
        <v>2204</v>
      </c>
      <c r="C1545" s="10" t="n">
        <v>45785</v>
      </c>
      <c r="D1545" s="2" t="s">
        <v>77</v>
      </c>
      <c r="E1545" s="2" t="s">
        <v>69</v>
      </c>
      <c r="F1545" s="2" t="s">
        <v>73</v>
      </c>
      <c r="G1545" s="2" t="s">
        <v>74</v>
      </c>
      <c r="H1545" s="2" t="n">
        <v>5</v>
      </c>
      <c r="I1545" s="2" t="n">
        <v>7000</v>
      </c>
      <c r="J1545" s="2" t="n">
        <v>0</v>
      </c>
      <c r="K1545" s="2" t="n">
        <v>4800</v>
      </c>
    </row>
    <row r="1546" customFormat="false" ht="15" hidden="false" customHeight="false" outlineLevel="0" collapsed="false">
      <c r="A1546" s="2" t="s">
        <v>2205</v>
      </c>
      <c r="B1546" s="2" t="s">
        <v>2206</v>
      </c>
      <c r="C1546" s="10" t="n">
        <v>45976</v>
      </c>
      <c r="D1546" s="2" t="s">
        <v>63</v>
      </c>
      <c r="E1546" s="2" t="s">
        <v>64</v>
      </c>
      <c r="F1546" s="2" t="s">
        <v>65</v>
      </c>
      <c r="G1546" s="2" t="s">
        <v>66</v>
      </c>
      <c r="H1546" s="2" t="n">
        <v>7</v>
      </c>
      <c r="I1546" s="2" t="n">
        <v>600</v>
      </c>
      <c r="J1546" s="2" t="n">
        <v>0.05</v>
      </c>
      <c r="K1546" s="2" t="n">
        <v>300</v>
      </c>
    </row>
    <row r="1547" customFormat="false" ht="15" hidden="false" customHeight="false" outlineLevel="0" collapsed="false">
      <c r="A1547" s="2" t="s">
        <v>2207</v>
      </c>
      <c r="B1547" s="2" t="s">
        <v>2206</v>
      </c>
      <c r="C1547" s="10" t="n">
        <v>46009</v>
      </c>
      <c r="D1547" s="2" t="s">
        <v>63</v>
      </c>
      <c r="E1547" s="2" t="s">
        <v>64</v>
      </c>
      <c r="F1547" s="2" t="s">
        <v>70</v>
      </c>
      <c r="G1547" s="2" t="s">
        <v>97</v>
      </c>
      <c r="H1547" s="2" t="n">
        <v>3</v>
      </c>
      <c r="I1547" s="2" t="n">
        <v>3000</v>
      </c>
      <c r="J1547" s="2" t="n">
        <v>0.15</v>
      </c>
      <c r="K1547" s="2" t="n">
        <v>2000</v>
      </c>
    </row>
    <row r="1548" customFormat="false" ht="15" hidden="false" customHeight="false" outlineLevel="0" collapsed="false">
      <c r="A1548" s="2" t="s">
        <v>2208</v>
      </c>
      <c r="B1548" s="2" t="s">
        <v>2209</v>
      </c>
      <c r="C1548" s="10" t="n">
        <v>45994</v>
      </c>
      <c r="D1548" s="2" t="s">
        <v>77</v>
      </c>
      <c r="E1548" s="2" t="s">
        <v>92</v>
      </c>
      <c r="F1548" s="2" t="s">
        <v>73</v>
      </c>
      <c r="G1548" s="2" t="s">
        <v>104</v>
      </c>
      <c r="H1548" s="2" t="n">
        <v>8</v>
      </c>
      <c r="I1548" s="2" t="n">
        <v>5500</v>
      </c>
      <c r="J1548" s="2" t="n">
        <v>0.15</v>
      </c>
      <c r="K1548" s="2" t="n">
        <v>3600</v>
      </c>
    </row>
    <row r="1549" customFormat="false" ht="15" hidden="false" customHeight="false" outlineLevel="0" collapsed="false">
      <c r="A1549" s="2" t="s">
        <v>2210</v>
      </c>
      <c r="B1549" s="2" t="s">
        <v>2209</v>
      </c>
      <c r="C1549" s="10" t="n">
        <v>45887</v>
      </c>
      <c r="D1549" s="2" t="s">
        <v>77</v>
      </c>
      <c r="E1549" s="2" t="s">
        <v>92</v>
      </c>
      <c r="F1549" s="2" t="s">
        <v>73</v>
      </c>
      <c r="G1549" s="2" t="s">
        <v>85</v>
      </c>
      <c r="H1549" s="2" t="n">
        <v>4</v>
      </c>
      <c r="I1549" s="2" t="n">
        <v>1200</v>
      </c>
      <c r="J1549" s="2" t="n">
        <v>0.05</v>
      </c>
      <c r="K1549" s="2" t="n">
        <v>600</v>
      </c>
    </row>
    <row r="1550" customFormat="false" ht="15" hidden="false" customHeight="false" outlineLevel="0" collapsed="false">
      <c r="A1550" s="2" t="s">
        <v>2211</v>
      </c>
      <c r="B1550" s="2" t="s">
        <v>2209</v>
      </c>
      <c r="C1550" s="10" t="n">
        <v>45665</v>
      </c>
      <c r="D1550" s="2" t="s">
        <v>77</v>
      </c>
      <c r="E1550" s="2" t="s">
        <v>92</v>
      </c>
      <c r="F1550" s="2" t="s">
        <v>65</v>
      </c>
      <c r="G1550" s="2" t="s">
        <v>107</v>
      </c>
      <c r="H1550" s="2" t="n">
        <v>40</v>
      </c>
      <c r="I1550" s="2" t="n">
        <v>500</v>
      </c>
      <c r="J1550" s="2" t="n">
        <v>0.05</v>
      </c>
      <c r="K1550" s="2" t="n">
        <v>250</v>
      </c>
    </row>
    <row r="1551" customFormat="false" ht="15" hidden="false" customHeight="false" outlineLevel="0" collapsed="false">
      <c r="A1551" s="2" t="s">
        <v>2212</v>
      </c>
      <c r="B1551" s="2" t="s">
        <v>2213</v>
      </c>
      <c r="C1551" s="10" t="n">
        <v>45697</v>
      </c>
      <c r="D1551" s="2" t="s">
        <v>91</v>
      </c>
      <c r="E1551" s="2" t="s">
        <v>64</v>
      </c>
      <c r="F1551" s="2" t="s">
        <v>73</v>
      </c>
      <c r="G1551" s="2" t="s">
        <v>87</v>
      </c>
      <c r="H1551" s="2" t="n">
        <v>1</v>
      </c>
      <c r="I1551" s="2" t="n">
        <v>9000</v>
      </c>
      <c r="J1551" s="2" t="n">
        <v>0.05</v>
      </c>
      <c r="K1551" s="2" t="n">
        <v>6200</v>
      </c>
    </row>
    <row r="1552" customFormat="false" ht="15" hidden="false" customHeight="false" outlineLevel="0" collapsed="false">
      <c r="A1552" s="2" t="s">
        <v>2214</v>
      </c>
      <c r="B1552" s="2" t="s">
        <v>2215</v>
      </c>
      <c r="C1552" s="10" t="n">
        <v>45879</v>
      </c>
      <c r="D1552" s="2" t="s">
        <v>77</v>
      </c>
      <c r="E1552" s="2" t="s">
        <v>64</v>
      </c>
      <c r="F1552" s="2" t="s">
        <v>70</v>
      </c>
      <c r="G1552" s="2" t="s">
        <v>122</v>
      </c>
      <c r="H1552" s="2" t="n">
        <v>1</v>
      </c>
      <c r="I1552" s="2" t="n">
        <v>1500</v>
      </c>
      <c r="J1552" s="2" t="n">
        <v>0.05</v>
      </c>
      <c r="K1552" s="2" t="n">
        <v>900</v>
      </c>
    </row>
    <row r="1553" customFormat="false" ht="15" hidden="false" customHeight="false" outlineLevel="0" collapsed="false">
      <c r="A1553" s="2" t="s">
        <v>2216</v>
      </c>
      <c r="B1553" s="2" t="s">
        <v>2215</v>
      </c>
      <c r="C1553" s="10" t="n">
        <v>45739</v>
      </c>
      <c r="D1553" s="2" t="s">
        <v>77</v>
      </c>
      <c r="E1553" s="2" t="s">
        <v>64</v>
      </c>
      <c r="F1553" s="2" t="s">
        <v>65</v>
      </c>
      <c r="G1553" s="2" t="s">
        <v>107</v>
      </c>
      <c r="H1553" s="2" t="n">
        <v>6</v>
      </c>
      <c r="I1553" s="2" t="n">
        <v>500</v>
      </c>
      <c r="J1553" s="2" t="n">
        <v>0.1</v>
      </c>
      <c r="K1553" s="2" t="n">
        <v>250</v>
      </c>
    </row>
    <row r="1554" customFormat="false" ht="15" hidden="false" customHeight="false" outlineLevel="0" collapsed="false">
      <c r="A1554" s="2" t="s">
        <v>2217</v>
      </c>
      <c r="B1554" s="2" t="s">
        <v>2215</v>
      </c>
      <c r="C1554" s="10" t="n">
        <v>45913</v>
      </c>
      <c r="D1554" s="2" t="s">
        <v>77</v>
      </c>
      <c r="E1554" s="2" t="s">
        <v>64</v>
      </c>
      <c r="F1554" s="2" t="s">
        <v>73</v>
      </c>
      <c r="G1554" s="2" t="s">
        <v>87</v>
      </c>
      <c r="H1554" s="2" t="n">
        <v>2</v>
      </c>
      <c r="I1554" s="2" t="n">
        <v>9000</v>
      </c>
      <c r="J1554" s="2" t="n">
        <v>0</v>
      </c>
      <c r="K1554" s="2" t="n">
        <v>6200</v>
      </c>
    </row>
    <row r="1555" customFormat="false" ht="15" hidden="false" customHeight="false" outlineLevel="0" collapsed="false">
      <c r="A1555" s="2" t="s">
        <v>2218</v>
      </c>
      <c r="B1555" s="2" t="s">
        <v>2215</v>
      </c>
      <c r="C1555" s="10" t="n">
        <v>45844</v>
      </c>
      <c r="D1555" s="2" t="s">
        <v>77</v>
      </c>
      <c r="E1555" s="2" t="s">
        <v>64</v>
      </c>
      <c r="F1555" s="2" t="s">
        <v>73</v>
      </c>
      <c r="G1555" s="2" t="s">
        <v>74</v>
      </c>
      <c r="H1555" s="2" t="n">
        <v>1</v>
      </c>
      <c r="I1555" s="2" t="n">
        <v>7000</v>
      </c>
      <c r="J1555" s="2" t="n">
        <v>0</v>
      </c>
      <c r="K1555" s="2" t="n">
        <v>4800</v>
      </c>
    </row>
    <row r="1556" customFormat="false" ht="15" hidden="false" customHeight="false" outlineLevel="0" collapsed="false">
      <c r="A1556" s="2" t="s">
        <v>2219</v>
      </c>
      <c r="B1556" s="2" t="s">
        <v>2215</v>
      </c>
      <c r="C1556" s="10" t="n">
        <v>45938</v>
      </c>
      <c r="D1556" s="2" t="s">
        <v>77</v>
      </c>
      <c r="E1556" s="2" t="s">
        <v>64</v>
      </c>
      <c r="F1556" s="2" t="s">
        <v>65</v>
      </c>
      <c r="G1556" s="2" t="s">
        <v>78</v>
      </c>
      <c r="H1556" s="2" t="n">
        <v>8</v>
      </c>
      <c r="I1556" s="2" t="n">
        <v>400</v>
      </c>
      <c r="J1556" s="2" t="n">
        <v>0.05</v>
      </c>
      <c r="K1556" s="2" t="n">
        <v>200</v>
      </c>
    </row>
    <row r="1557" customFormat="false" ht="15" hidden="false" customHeight="false" outlineLevel="0" collapsed="false">
      <c r="A1557" s="2" t="s">
        <v>2220</v>
      </c>
      <c r="B1557" s="2" t="s">
        <v>2221</v>
      </c>
      <c r="C1557" s="10" t="n">
        <v>45758</v>
      </c>
      <c r="D1557" s="2" t="s">
        <v>77</v>
      </c>
      <c r="E1557" s="2" t="s">
        <v>69</v>
      </c>
      <c r="F1557" s="2" t="s">
        <v>73</v>
      </c>
      <c r="G1557" s="2" t="s">
        <v>104</v>
      </c>
      <c r="H1557" s="2" t="n">
        <v>5</v>
      </c>
      <c r="I1557" s="2" t="n">
        <v>5500</v>
      </c>
      <c r="J1557" s="2" t="n">
        <v>0</v>
      </c>
      <c r="K1557" s="2" t="n">
        <v>3600</v>
      </c>
    </row>
    <row r="1558" customFormat="false" ht="15" hidden="false" customHeight="false" outlineLevel="0" collapsed="false">
      <c r="A1558" s="2" t="s">
        <v>2222</v>
      </c>
      <c r="B1558" s="2" t="s">
        <v>2221</v>
      </c>
      <c r="C1558" s="10" t="n">
        <v>45821</v>
      </c>
      <c r="D1558" s="2" t="s">
        <v>77</v>
      </c>
      <c r="E1558" s="2" t="s">
        <v>69</v>
      </c>
      <c r="F1558" s="2" t="s">
        <v>65</v>
      </c>
      <c r="G1558" s="2" t="s">
        <v>78</v>
      </c>
      <c r="H1558" s="2" t="n">
        <v>16</v>
      </c>
      <c r="I1558" s="2" t="n">
        <v>400</v>
      </c>
      <c r="J1558" s="2" t="n">
        <v>0</v>
      </c>
      <c r="K1558" s="2" t="n">
        <v>200</v>
      </c>
    </row>
    <row r="1559" customFormat="false" ht="15" hidden="false" customHeight="false" outlineLevel="0" collapsed="false">
      <c r="A1559" s="2" t="s">
        <v>2223</v>
      </c>
      <c r="B1559" s="2" t="s">
        <v>2224</v>
      </c>
      <c r="C1559" s="10" t="n">
        <v>45896</v>
      </c>
      <c r="D1559" s="2" t="s">
        <v>63</v>
      </c>
      <c r="E1559" s="2" t="s">
        <v>69</v>
      </c>
      <c r="F1559" s="2" t="s">
        <v>65</v>
      </c>
      <c r="G1559" s="2" t="s">
        <v>78</v>
      </c>
      <c r="H1559" s="2" t="n">
        <v>15</v>
      </c>
      <c r="I1559" s="2" t="n">
        <v>400</v>
      </c>
      <c r="J1559" s="2" t="n">
        <v>0</v>
      </c>
      <c r="K1559" s="2" t="n">
        <v>200</v>
      </c>
    </row>
    <row r="1560" customFormat="false" ht="15" hidden="false" customHeight="false" outlineLevel="0" collapsed="false">
      <c r="A1560" s="2" t="s">
        <v>2225</v>
      </c>
      <c r="B1560" s="2" t="s">
        <v>2226</v>
      </c>
      <c r="C1560" s="10" t="n">
        <v>45949</v>
      </c>
      <c r="D1560" s="2" t="s">
        <v>81</v>
      </c>
      <c r="E1560" s="2" t="s">
        <v>92</v>
      </c>
      <c r="F1560" s="2" t="s">
        <v>70</v>
      </c>
      <c r="G1560" s="2" t="s">
        <v>122</v>
      </c>
      <c r="H1560" s="2" t="n">
        <v>8</v>
      </c>
      <c r="I1560" s="2" t="n">
        <v>1500</v>
      </c>
      <c r="J1560" s="2" t="n">
        <v>0.05</v>
      </c>
      <c r="K1560" s="2" t="n">
        <v>900</v>
      </c>
    </row>
    <row r="1561" customFormat="false" ht="15" hidden="false" customHeight="false" outlineLevel="0" collapsed="false">
      <c r="A1561" s="2" t="s">
        <v>2227</v>
      </c>
      <c r="B1561" s="2" t="s">
        <v>2226</v>
      </c>
      <c r="C1561" s="10" t="n">
        <v>45724</v>
      </c>
      <c r="D1561" s="2" t="s">
        <v>81</v>
      </c>
      <c r="E1561" s="2" t="s">
        <v>92</v>
      </c>
      <c r="F1561" s="2" t="s">
        <v>73</v>
      </c>
      <c r="G1561" s="2" t="s">
        <v>74</v>
      </c>
      <c r="H1561" s="2" t="n">
        <v>7</v>
      </c>
      <c r="I1561" s="2" t="n">
        <v>7000</v>
      </c>
      <c r="J1561" s="2" t="n">
        <v>0.1</v>
      </c>
      <c r="K1561" s="2" t="n">
        <v>4800</v>
      </c>
    </row>
    <row r="1562" customFormat="false" ht="15" hidden="false" customHeight="false" outlineLevel="0" collapsed="false">
      <c r="A1562" s="2" t="s">
        <v>2228</v>
      </c>
      <c r="B1562" s="2" t="s">
        <v>2226</v>
      </c>
      <c r="C1562" s="10" t="n">
        <v>45734</v>
      </c>
      <c r="D1562" s="2" t="s">
        <v>81</v>
      </c>
      <c r="E1562" s="2" t="s">
        <v>92</v>
      </c>
      <c r="F1562" s="2" t="s">
        <v>65</v>
      </c>
      <c r="G1562" s="2" t="s">
        <v>78</v>
      </c>
      <c r="H1562" s="2" t="n">
        <v>16</v>
      </c>
      <c r="I1562" s="2" t="n">
        <v>400</v>
      </c>
      <c r="J1562" s="2" t="n">
        <v>0.15</v>
      </c>
      <c r="K1562" s="2" t="n">
        <v>200</v>
      </c>
    </row>
    <row r="1563" customFormat="false" ht="15" hidden="false" customHeight="false" outlineLevel="0" collapsed="false">
      <c r="A1563" s="2" t="s">
        <v>2229</v>
      </c>
      <c r="B1563" s="2" t="s">
        <v>2230</v>
      </c>
      <c r="C1563" s="10" t="n">
        <v>45903</v>
      </c>
      <c r="D1563" s="2" t="s">
        <v>77</v>
      </c>
      <c r="E1563" s="2" t="s">
        <v>64</v>
      </c>
      <c r="F1563" s="2" t="s">
        <v>70</v>
      </c>
      <c r="G1563" s="2" t="s">
        <v>122</v>
      </c>
      <c r="H1563" s="2" t="n">
        <v>2</v>
      </c>
      <c r="I1563" s="2" t="n">
        <v>1500</v>
      </c>
      <c r="J1563" s="2" t="n">
        <v>0</v>
      </c>
      <c r="K1563" s="2" t="n">
        <v>900</v>
      </c>
    </row>
    <row r="1564" customFormat="false" ht="15" hidden="false" customHeight="false" outlineLevel="0" collapsed="false">
      <c r="A1564" s="2" t="s">
        <v>2231</v>
      </c>
      <c r="B1564" s="2" t="s">
        <v>2232</v>
      </c>
      <c r="C1564" s="10" t="n">
        <v>45719</v>
      </c>
      <c r="D1564" s="2" t="s">
        <v>77</v>
      </c>
      <c r="E1564" s="2" t="s">
        <v>69</v>
      </c>
      <c r="F1564" s="2" t="s">
        <v>73</v>
      </c>
      <c r="G1564" s="2" t="s">
        <v>104</v>
      </c>
      <c r="H1564" s="2" t="n">
        <v>5</v>
      </c>
      <c r="I1564" s="2" t="n">
        <v>5500</v>
      </c>
      <c r="J1564" s="2" t="n">
        <v>0</v>
      </c>
      <c r="K1564" s="2" t="n">
        <v>3600</v>
      </c>
    </row>
    <row r="1565" customFormat="false" ht="15" hidden="false" customHeight="false" outlineLevel="0" collapsed="false">
      <c r="A1565" s="2" t="s">
        <v>2233</v>
      </c>
      <c r="B1565" s="2" t="s">
        <v>2232</v>
      </c>
      <c r="C1565" s="10" t="n">
        <v>45881</v>
      </c>
      <c r="D1565" s="2" t="s">
        <v>77</v>
      </c>
      <c r="E1565" s="2" t="s">
        <v>69</v>
      </c>
      <c r="F1565" s="2" t="s">
        <v>70</v>
      </c>
      <c r="G1565" s="2" t="s">
        <v>97</v>
      </c>
      <c r="H1565" s="2" t="n">
        <v>3</v>
      </c>
      <c r="I1565" s="2" t="n">
        <v>3000</v>
      </c>
      <c r="J1565" s="2" t="n">
        <v>0</v>
      </c>
      <c r="K1565" s="2" t="n">
        <v>2000</v>
      </c>
    </row>
    <row r="1566" customFormat="false" ht="15" hidden="false" customHeight="false" outlineLevel="0" collapsed="false">
      <c r="A1566" s="2" t="s">
        <v>2234</v>
      </c>
      <c r="B1566" s="2" t="s">
        <v>2235</v>
      </c>
      <c r="C1566" s="10" t="n">
        <v>46003</v>
      </c>
      <c r="D1566" s="2" t="s">
        <v>77</v>
      </c>
      <c r="E1566" s="2" t="s">
        <v>69</v>
      </c>
      <c r="F1566" s="2" t="s">
        <v>65</v>
      </c>
      <c r="G1566" s="2" t="s">
        <v>107</v>
      </c>
      <c r="H1566" s="2" t="n">
        <v>14</v>
      </c>
      <c r="I1566" s="2" t="n">
        <v>500</v>
      </c>
      <c r="J1566" s="2" t="n">
        <v>0.05</v>
      </c>
      <c r="K1566" s="2" t="n">
        <v>250</v>
      </c>
    </row>
    <row r="1567" customFormat="false" ht="15" hidden="false" customHeight="false" outlineLevel="0" collapsed="false">
      <c r="A1567" s="2" t="s">
        <v>2236</v>
      </c>
      <c r="B1567" s="2" t="s">
        <v>2237</v>
      </c>
      <c r="C1567" s="10" t="n">
        <v>45861</v>
      </c>
      <c r="D1567" s="2" t="s">
        <v>77</v>
      </c>
      <c r="E1567" s="2" t="s">
        <v>64</v>
      </c>
      <c r="F1567" s="2" t="s">
        <v>73</v>
      </c>
      <c r="G1567" s="2" t="s">
        <v>74</v>
      </c>
      <c r="H1567" s="2" t="n">
        <v>3</v>
      </c>
      <c r="I1567" s="2" t="n">
        <v>7000</v>
      </c>
      <c r="J1567" s="2" t="n">
        <v>0.1</v>
      </c>
      <c r="K1567" s="2" t="n">
        <v>4800</v>
      </c>
    </row>
    <row r="1568" customFormat="false" ht="15" hidden="false" customHeight="false" outlineLevel="0" collapsed="false">
      <c r="A1568" s="2" t="s">
        <v>2238</v>
      </c>
      <c r="B1568" s="2" t="s">
        <v>2237</v>
      </c>
      <c r="C1568" s="10" t="n">
        <v>45953</v>
      </c>
      <c r="D1568" s="2" t="s">
        <v>77</v>
      </c>
      <c r="E1568" s="2" t="s">
        <v>64</v>
      </c>
      <c r="F1568" s="2" t="s">
        <v>65</v>
      </c>
      <c r="G1568" s="2" t="s">
        <v>107</v>
      </c>
      <c r="H1568" s="2" t="n">
        <v>2</v>
      </c>
      <c r="I1568" s="2" t="n">
        <v>500</v>
      </c>
      <c r="J1568" s="2" t="n">
        <v>0.15</v>
      </c>
      <c r="K1568" s="2" t="n">
        <v>250</v>
      </c>
    </row>
    <row r="1569" customFormat="false" ht="15" hidden="false" customHeight="false" outlineLevel="0" collapsed="false">
      <c r="A1569" s="2" t="s">
        <v>2239</v>
      </c>
      <c r="B1569" s="2" t="s">
        <v>2237</v>
      </c>
      <c r="C1569" s="10" t="n">
        <v>45712</v>
      </c>
      <c r="D1569" s="2" t="s">
        <v>77</v>
      </c>
      <c r="E1569" s="2" t="s">
        <v>64</v>
      </c>
      <c r="F1569" s="2" t="s">
        <v>73</v>
      </c>
      <c r="G1569" s="2" t="s">
        <v>104</v>
      </c>
      <c r="H1569" s="2" t="n">
        <v>2</v>
      </c>
      <c r="I1569" s="2" t="n">
        <v>5500</v>
      </c>
      <c r="J1569" s="2" t="n">
        <v>0</v>
      </c>
      <c r="K1569" s="2" t="n">
        <v>3600</v>
      </c>
    </row>
    <row r="1570" customFormat="false" ht="15" hidden="false" customHeight="false" outlineLevel="0" collapsed="false">
      <c r="A1570" s="2" t="s">
        <v>2240</v>
      </c>
      <c r="B1570" s="2" t="s">
        <v>2237</v>
      </c>
      <c r="C1570" s="10" t="n">
        <v>45895</v>
      </c>
      <c r="D1570" s="2" t="s">
        <v>77</v>
      </c>
      <c r="E1570" s="2" t="s">
        <v>64</v>
      </c>
      <c r="F1570" s="2" t="s">
        <v>65</v>
      </c>
      <c r="G1570" s="2" t="s">
        <v>107</v>
      </c>
      <c r="H1570" s="2" t="n">
        <v>5</v>
      </c>
      <c r="I1570" s="2" t="n">
        <v>500</v>
      </c>
      <c r="J1570" s="2" t="n">
        <v>0.1</v>
      </c>
      <c r="K1570" s="2" t="n">
        <v>250</v>
      </c>
    </row>
    <row r="1571" customFormat="false" ht="15" hidden="false" customHeight="false" outlineLevel="0" collapsed="false">
      <c r="A1571" s="2" t="s">
        <v>2241</v>
      </c>
      <c r="B1571" s="2" t="s">
        <v>2237</v>
      </c>
      <c r="C1571" s="10" t="n">
        <v>45710</v>
      </c>
      <c r="D1571" s="2" t="s">
        <v>77</v>
      </c>
      <c r="E1571" s="2" t="s">
        <v>64</v>
      </c>
      <c r="F1571" s="2" t="s">
        <v>70</v>
      </c>
      <c r="G1571" s="2" t="s">
        <v>122</v>
      </c>
      <c r="H1571" s="2" t="n">
        <v>3</v>
      </c>
      <c r="I1571" s="2" t="n">
        <v>1500</v>
      </c>
      <c r="J1571" s="2" t="n">
        <v>0.05</v>
      </c>
      <c r="K1571" s="2" t="n">
        <v>900</v>
      </c>
    </row>
    <row r="1572" customFormat="false" ht="15" hidden="false" customHeight="false" outlineLevel="0" collapsed="false">
      <c r="A1572" s="2" t="s">
        <v>2242</v>
      </c>
      <c r="B1572" s="2" t="s">
        <v>2243</v>
      </c>
      <c r="C1572" s="10" t="n">
        <v>45866</v>
      </c>
      <c r="D1572" s="2" t="s">
        <v>77</v>
      </c>
      <c r="E1572" s="2" t="s">
        <v>64</v>
      </c>
      <c r="F1572" s="2" t="s">
        <v>70</v>
      </c>
      <c r="G1572" s="2" t="s">
        <v>122</v>
      </c>
      <c r="H1572" s="2" t="n">
        <v>2</v>
      </c>
      <c r="I1572" s="2" t="n">
        <v>1500</v>
      </c>
      <c r="J1572" s="2" t="n">
        <v>0.1</v>
      </c>
      <c r="K1572" s="2" t="n">
        <v>900</v>
      </c>
    </row>
    <row r="1573" customFormat="false" ht="15" hidden="false" customHeight="false" outlineLevel="0" collapsed="false">
      <c r="A1573" s="2" t="s">
        <v>2244</v>
      </c>
      <c r="B1573" s="2" t="s">
        <v>2245</v>
      </c>
      <c r="C1573" s="10" t="n">
        <v>45989</v>
      </c>
      <c r="D1573" s="2" t="s">
        <v>77</v>
      </c>
      <c r="E1573" s="2" t="s">
        <v>69</v>
      </c>
      <c r="F1573" s="2" t="s">
        <v>70</v>
      </c>
      <c r="G1573" s="2" t="s">
        <v>126</v>
      </c>
      <c r="H1573" s="2" t="n">
        <v>1</v>
      </c>
      <c r="I1573" s="2" t="n">
        <v>4500</v>
      </c>
      <c r="J1573" s="2" t="n">
        <v>0.15</v>
      </c>
      <c r="K1573" s="2" t="n">
        <v>3300</v>
      </c>
    </row>
    <row r="1574" customFormat="false" ht="15" hidden="false" customHeight="false" outlineLevel="0" collapsed="false">
      <c r="A1574" s="2" t="s">
        <v>2246</v>
      </c>
      <c r="B1574" s="2" t="s">
        <v>2247</v>
      </c>
      <c r="C1574" s="10" t="n">
        <v>45730</v>
      </c>
      <c r="D1574" s="2" t="s">
        <v>77</v>
      </c>
      <c r="E1574" s="2" t="s">
        <v>64</v>
      </c>
      <c r="F1574" s="2" t="s">
        <v>73</v>
      </c>
      <c r="G1574" s="2" t="s">
        <v>74</v>
      </c>
      <c r="H1574" s="2" t="n">
        <v>1</v>
      </c>
      <c r="I1574" s="2" t="n">
        <v>7000</v>
      </c>
      <c r="J1574" s="2" t="n">
        <v>0</v>
      </c>
      <c r="K1574" s="2" t="n">
        <v>4800</v>
      </c>
    </row>
    <row r="1575" customFormat="false" ht="15" hidden="false" customHeight="false" outlineLevel="0" collapsed="false">
      <c r="A1575" s="2" t="s">
        <v>2248</v>
      </c>
      <c r="B1575" s="2" t="s">
        <v>2249</v>
      </c>
      <c r="C1575" s="10" t="n">
        <v>45689</v>
      </c>
      <c r="D1575" s="2" t="s">
        <v>63</v>
      </c>
      <c r="E1575" s="2" t="s">
        <v>69</v>
      </c>
      <c r="F1575" s="2" t="s">
        <v>65</v>
      </c>
      <c r="G1575" s="2" t="s">
        <v>107</v>
      </c>
      <c r="H1575" s="2" t="n">
        <v>14</v>
      </c>
      <c r="I1575" s="2" t="n">
        <v>500</v>
      </c>
      <c r="J1575" s="2" t="n">
        <v>0</v>
      </c>
      <c r="K1575" s="2" t="n">
        <v>250</v>
      </c>
    </row>
    <row r="1576" customFormat="false" ht="15" hidden="false" customHeight="false" outlineLevel="0" collapsed="false">
      <c r="A1576" s="2" t="s">
        <v>2250</v>
      </c>
      <c r="B1576" s="2" t="s">
        <v>2249</v>
      </c>
      <c r="C1576" s="10" t="n">
        <v>45666</v>
      </c>
      <c r="D1576" s="2" t="s">
        <v>63</v>
      </c>
      <c r="E1576" s="2" t="s">
        <v>69</v>
      </c>
      <c r="F1576" s="2" t="s">
        <v>73</v>
      </c>
      <c r="G1576" s="2" t="s">
        <v>74</v>
      </c>
      <c r="H1576" s="2" t="n">
        <v>5</v>
      </c>
      <c r="I1576" s="2" t="n">
        <v>7000</v>
      </c>
      <c r="J1576" s="2" t="n">
        <v>0</v>
      </c>
      <c r="K1576" s="2" t="n">
        <v>4800</v>
      </c>
    </row>
    <row r="1577" customFormat="false" ht="15" hidden="false" customHeight="false" outlineLevel="0" collapsed="false">
      <c r="A1577" s="2" t="s">
        <v>2251</v>
      </c>
      <c r="B1577" s="2" t="s">
        <v>2252</v>
      </c>
      <c r="C1577" s="10" t="n">
        <v>46016</v>
      </c>
      <c r="D1577" s="2" t="s">
        <v>63</v>
      </c>
      <c r="E1577" s="2" t="s">
        <v>69</v>
      </c>
      <c r="F1577" s="2" t="s">
        <v>73</v>
      </c>
      <c r="G1577" s="2" t="s">
        <v>85</v>
      </c>
      <c r="H1577" s="2" t="n">
        <v>2</v>
      </c>
      <c r="I1577" s="2" t="n">
        <v>1200</v>
      </c>
      <c r="J1577" s="2" t="n">
        <v>0.05</v>
      </c>
      <c r="K1577" s="2" t="n">
        <v>600</v>
      </c>
    </row>
    <row r="1578" customFormat="false" ht="15" hidden="false" customHeight="false" outlineLevel="0" collapsed="false">
      <c r="A1578" s="2" t="s">
        <v>2253</v>
      </c>
      <c r="B1578" s="2" t="s">
        <v>2254</v>
      </c>
      <c r="C1578" s="10" t="n">
        <v>45963</v>
      </c>
      <c r="D1578" s="2" t="s">
        <v>77</v>
      </c>
      <c r="E1578" s="2" t="s">
        <v>69</v>
      </c>
      <c r="F1578" s="2" t="s">
        <v>70</v>
      </c>
      <c r="G1578" s="2" t="s">
        <v>71</v>
      </c>
      <c r="H1578" s="2" t="n">
        <v>3</v>
      </c>
      <c r="I1578" s="2" t="n">
        <v>2500</v>
      </c>
      <c r="J1578" s="2" t="n">
        <v>0.05</v>
      </c>
      <c r="K1578" s="2" t="n">
        <v>1600</v>
      </c>
    </row>
    <row r="1579" customFormat="false" ht="15" hidden="false" customHeight="false" outlineLevel="0" collapsed="false">
      <c r="A1579" s="2" t="s">
        <v>2255</v>
      </c>
      <c r="B1579" s="2" t="s">
        <v>2254</v>
      </c>
      <c r="C1579" s="10" t="n">
        <v>45965</v>
      </c>
      <c r="D1579" s="2" t="s">
        <v>77</v>
      </c>
      <c r="E1579" s="2" t="s">
        <v>69</v>
      </c>
      <c r="F1579" s="2" t="s">
        <v>73</v>
      </c>
      <c r="G1579" s="2" t="s">
        <v>85</v>
      </c>
      <c r="H1579" s="2" t="n">
        <v>2</v>
      </c>
      <c r="I1579" s="2" t="n">
        <v>1200</v>
      </c>
      <c r="J1579" s="2" t="n">
        <v>0.15</v>
      </c>
      <c r="K1579" s="2" t="n">
        <v>600</v>
      </c>
    </row>
    <row r="1580" customFormat="false" ht="15" hidden="false" customHeight="false" outlineLevel="0" collapsed="false">
      <c r="A1580" s="2" t="s">
        <v>2256</v>
      </c>
      <c r="B1580" s="2" t="s">
        <v>2257</v>
      </c>
      <c r="C1580" s="10" t="n">
        <v>45904</v>
      </c>
      <c r="D1580" s="2" t="s">
        <v>91</v>
      </c>
      <c r="E1580" s="2" t="s">
        <v>64</v>
      </c>
      <c r="F1580" s="2" t="s">
        <v>65</v>
      </c>
      <c r="G1580" s="2" t="s">
        <v>107</v>
      </c>
      <c r="H1580" s="2" t="n">
        <v>3</v>
      </c>
      <c r="I1580" s="2" t="n">
        <v>500</v>
      </c>
      <c r="J1580" s="2" t="n">
        <v>0</v>
      </c>
      <c r="K1580" s="2" t="n">
        <v>250</v>
      </c>
    </row>
    <row r="1581" customFormat="false" ht="15" hidden="false" customHeight="false" outlineLevel="0" collapsed="false">
      <c r="A1581" s="2" t="s">
        <v>2258</v>
      </c>
      <c r="B1581" s="2" t="s">
        <v>2259</v>
      </c>
      <c r="C1581" s="10" t="n">
        <v>45692</v>
      </c>
      <c r="D1581" s="2" t="s">
        <v>77</v>
      </c>
      <c r="E1581" s="2" t="s">
        <v>64</v>
      </c>
      <c r="F1581" s="2" t="s">
        <v>65</v>
      </c>
      <c r="G1581" s="2" t="s">
        <v>82</v>
      </c>
      <c r="H1581" s="2" t="n">
        <v>3</v>
      </c>
      <c r="I1581" s="2" t="n">
        <v>250</v>
      </c>
      <c r="J1581" s="2" t="n">
        <v>0.1</v>
      </c>
      <c r="K1581" s="2" t="n">
        <v>100</v>
      </c>
    </row>
    <row r="1582" customFormat="false" ht="15" hidden="false" customHeight="false" outlineLevel="0" collapsed="false">
      <c r="A1582" s="2" t="s">
        <v>2260</v>
      </c>
      <c r="B1582" s="2" t="s">
        <v>2259</v>
      </c>
      <c r="C1582" s="10" t="n">
        <v>45742</v>
      </c>
      <c r="D1582" s="2" t="s">
        <v>77</v>
      </c>
      <c r="E1582" s="2" t="s">
        <v>64</v>
      </c>
      <c r="F1582" s="2" t="s">
        <v>65</v>
      </c>
      <c r="G1582" s="2" t="s">
        <v>66</v>
      </c>
      <c r="H1582" s="2" t="n">
        <v>5</v>
      </c>
      <c r="I1582" s="2" t="n">
        <v>600</v>
      </c>
      <c r="J1582" s="2" t="n">
        <v>0</v>
      </c>
      <c r="K1582" s="2" t="n">
        <v>300</v>
      </c>
    </row>
    <row r="1583" customFormat="false" ht="15" hidden="false" customHeight="false" outlineLevel="0" collapsed="false">
      <c r="A1583" s="2" t="s">
        <v>2261</v>
      </c>
      <c r="B1583" s="2" t="s">
        <v>2262</v>
      </c>
      <c r="C1583" s="10" t="n">
        <v>45895</v>
      </c>
      <c r="D1583" s="2" t="s">
        <v>77</v>
      </c>
      <c r="E1583" s="2" t="s">
        <v>64</v>
      </c>
      <c r="F1583" s="2" t="s">
        <v>65</v>
      </c>
      <c r="G1583" s="2" t="s">
        <v>107</v>
      </c>
      <c r="H1583" s="2" t="n">
        <v>5</v>
      </c>
      <c r="I1583" s="2" t="n">
        <v>500</v>
      </c>
      <c r="J1583" s="2" t="n">
        <v>0.05</v>
      </c>
      <c r="K1583" s="2" t="n">
        <v>250</v>
      </c>
    </row>
    <row r="1584" customFormat="false" ht="15" hidden="false" customHeight="false" outlineLevel="0" collapsed="false">
      <c r="A1584" s="2" t="s">
        <v>2263</v>
      </c>
      <c r="B1584" s="2" t="s">
        <v>2264</v>
      </c>
      <c r="C1584" s="10" t="n">
        <v>45976</v>
      </c>
      <c r="D1584" s="2" t="s">
        <v>91</v>
      </c>
      <c r="E1584" s="2" t="s">
        <v>64</v>
      </c>
      <c r="F1584" s="2" t="s">
        <v>70</v>
      </c>
      <c r="G1584" s="2" t="s">
        <v>97</v>
      </c>
      <c r="H1584" s="2" t="n">
        <v>1</v>
      </c>
      <c r="I1584" s="2" t="n">
        <v>3000</v>
      </c>
      <c r="J1584" s="2" t="n">
        <v>0.05</v>
      </c>
      <c r="K1584" s="2" t="n">
        <v>2000</v>
      </c>
    </row>
    <row r="1585" customFormat="false" ht="15" hidden="false" customHeight="false" outlineLevel="0" collapsed="false">
      <c r="A1585" s="2" t="s">
        <v>2265</v>
      </c>
      <c r="B1585" s="2" t="s">
        <v>2266</v>
      </c>
      <c r="C1585" s="10" t="n">
        <v>45952</v>
      </c>
      <c r="D1585" s="2" t="s">
        <v>91</v>
      </c>
      <c r="E1585" s="2" t="s">
        <v>69</v>
      </c>
      <c r="F1585" s="2" t="s">
        <v>73</v>
      </c>
      <c r="G1585" s="2" t="s">
        <v>85</v>
      </c>
      <c r="H1585" s="2" t="n">
        <v>1</v>
      </c>
      <c r="I1585" s="2" t="n">
        <v>1200</v>
      </c>
      <c r="J1585" s="2" t="n">
        <v>0.05</v>
      </c>
      <c r="K1585" s="2" t="n">
        <v>600</v>
      </c>
    </row>
    <row r="1586" customFormat="false" ht="15" hidden="false" customHeight="false" outlineLevel="0" collapsed="false">
      <c r="A1586" s="2" t="s">
        <v>2267</v>
      </c>
      <c r="B1586" s="2" t="s">
        <v>2268</v>
      </c>
      <c r="C1586" s="10" t="n">
        <v>45673</v>
      </c>
      <c r="D1586" s="2" t="s">
        <v>81</v>
      </c>
      <c r="E1586" s="2" t="s">
        <v>92</v>
      </c>
      <c r="F1586" s="2" t="s">
        <v>70</v>
      </c>
      <c r="G1586" s="2" t="s">
        <v>122</v>
      </c>
      <c r="H1586" s="2" t="n">
        <v>6</v>
      </c>
      <c r="I1586" s="2" t="n">
        <v>1500</v>
      </c>
      <c r="J1586" s="2" t="n">
        <v>0.15</v>
      </c>
      <c r="K1586" s="2" t="n">
        <v>900</v>
      </c>
    </row>
    <row r="1587" customFormat="false" ht="15" hidden="false" customHeight="false" outlineLevel="0" collapsed="false">
      <c r="A1587" s="2" t="s">
        <v>2269</v>
      </c>
      <c r="B1587" s="2" t="s">
        <v>2268</v>
      </c>
      <c r="C1587" s="10" t="n">
        <v>45885</v>
      </c>
      <c r="D1587" s="2" t="s">
        <v>81</v>
      </c>
      <c r="E1587" s="2" t="s">
        <v>92</v>
      </c>
      <c r="F1587" s="2" t="s">
        <v>70</v>
      </c>
      <c r="G1587" s="2" t="s">
        <v>97</v>
      </c>
      <c r="H1587" s="2" t="n">
        <v>6</v>
      </c>
      <c r="I1587" s="2" t="n">
        <v>3000</v>
      </c>
      <c r="J1587" s="2" t="n">
        <v>0.15</v>
      </c>
      <c r="K1587" s="2" t="n">
        <v>2000</v>
      </c>
    </row>
    <row r="1588" customFormat="false" ht="15" hidden="false" customHeight="false" outlineLevel="0" collapsed="false">
      <c r="A1588" s="2" t="s">
        <v>2270</v>
      </c>
      <c r="B1588" s="2" t="s">
        <v>2268</v>
      </c>
      <c r="C1588" s="10" t="n">
        <v>45950</v>
      </c>
      <c r="D1588" s="2" t="s">
        <v>81</v>
      </c>
      <c r="E1588" s="2" t="s">
        <v>92</v>
      </c>
      <c r="F1588" s="2" t="s">
        <v>70</v>
      </c>
      <c r="G1588" s="2" t="s">
        <v>126</v>
      </c>
      <c r="H1588" s="2" t="n">
        <v>6</v>
      </c>
      <c r="I1588" s="2" t="n">
        <v>4500</v>
      </c>
      <c r="J1588" s="2" t="n">
        <v>0.05</v>
      </c>
      <c r="K1588" s="2" t="n">
        <v>3300</v>
      </c>
    </row>
    <row r="1589" customFormat="false" ht="15" hidden="false" customHeight="false" outlineLevel="0" collapsed="false">
      <c r="A1589" s="2" t="s">
        <v>2271</v>
      </c>
      <c r="B1589" s="2" t="s">
        <v>2272</v>
      </c>
      <c r="C1589" s="10" t="n">
        <v>45921</v>
      </c>
      <c r="D1589" s="2" t="s">
        <v>81</v>
      </c>
      <c r="E1589" s="2" t="s">
        <v>64</v>
      </c>
      <c r="F1589" s="2" t="s">
        <v>73</v>
      </c>
      <c r="G1589" s="2" t="s">
        <v>87</v>
      </c>
      <c r="H1589" s="2" t="n">
        <v>2</v>
      </c>
      <c r="I1589" s="2" t="n">
        <v>9000</v>
      </c>
      <c r="J1589" s="2" t="n">
        <v>0.1</v>
      </c>
      <c r="K1589" s="2" t="n">
        <v>6200</v>
      </c>
    </row>
    <row r="1590" customFormat="false" ht="15" hidden="false" customHeight="false" outlineLevel="0" collapsed="false">
      <c r="A1590" s="2" t="s">
        <v>2273</v>
      </c>
      <c r="B1590" s="2" t="s">
        <v>2272</v>
      </c>
      <c r="C1590" s="10" t="n">
        <v>45855</v>
      </c>
      <c r="D1590" s="2" t="s">
        <v>81</v>
      </c>
      <c r="E1590" s="2" t="s">
        <v>64</v>
      </c>
      <c r="F1590" s="2" t="s">
        <v>70</v>
      </c>
      <c r="G1590" s="2" t="s">
        <v>126</v>
      </c>
      <c r="H1590" s="2" t="n">
        <v>1</v>
      </c>
      <c r="I1590" s="2" t="n">
        <v>4500</v>
      </c>
      <c r="J1590" s="2" t="n">
        <v>0.05</v>
      </c>
      <c r="K1590" s="2" t="n">
        <v>3300</v>
      </c>
    </row>
    <row r="1591" customFormat="false" ht="15" hidden="false" customHeight="false" outlineLevel="0" collapsed="false">
      <c r="A1591" s="2" t="s">
        <v>2274</v>
      </c>
      <c r="B1591" s="2" t="s">
        <v>2275</v>
      </c>
      <c r="C1591" s="10" t="n">
        <v>45784</v>
      </c>
      <c r="D1591" s="2" t="s">
        <v>77</v>
      </c>
      <c r="E1591" s="2" t="s">
        <v>64</v>
      </c>
      <c r="F1591" s="2" t="s">
        <v>73</v>
      </c>
      <c r="G1591" s="2" t="s">
        <v>85</v>
      </c>
      <c r="H1591" s="2" t="n">
        <v>2</v>
      </c>
      <c r="I1591" s="2" t="n">
        <v>1200</v>
      </c>
      <c r="J1591" s="2" t="n">
        <v>0</v>
      </c>
      <c r="K1591" s="2" t="n">
        <v>600</v>
      </c>
    </row>
    <row r="1592" customFormat="false" ht="15" hidden="false" customHeight="false" outlineLevel="0" collapsed="false">
      <c r="A1592" s="2" t="s">
        <v>2276</v>
      </c>
      <c r="B1592" s="2" t="s">
        <v>2275</v>
      </c>
      <c r="C1592" s="10" t="n">
        <v>45667</v>
      </c>
      <c r="D1592" s="2" t="s">
        <v>77</v>
      </c>
      <c r="E1592" s="2" t="s">
        <v>64</v>
      </c>
      <c r="F1592" s="2" t="s">
        <v>73</v>
      </c>
      <c r="G1592" s="2" t="s">
        <v>87</v>
      </c>
      <c r="H1592" s="2" t="n">
        <v>2</v>
      </c>
      <c r="I1592" s="2" t="n">
        <v>9000</v>
      </c>
      <c r="J1592" s="2" t="n">
        <v>0</v>
      </c>
      <c r="K1592" s="2" t="n">
        <v>6200</v>
      </c>
    </row>
    <row r="1593" customFormat="false" ht="15" hidden="false" customHeight="false" outlineLevel="0" collapsed="false">
      <c r="A1593" s="2" t="s">
        <v>2277</v>
      </c>
      <c r="B1593" s="2" t="s">
        <v>2275</v>
      </c>
      <c r="C1593" s="10" t="n">
        <v>45982</v>
      </c>
      <c r="D1593" s="2" t="s">
        <v>77</v>
      </c>
      <c r="E1593" s="2" t="s">
        <v>64</v>
      </c>
      <c r="F1593" s="2" t="s">
        <v>70</v>
      </c>
      <c r="G1593" s="2" t="s">
        <v>71</v>
      </c>
      <c r="H1593" s="2" t="n">
        <v>2</v>
      </c>
      <c r="I1593" s="2" t="n">
        <v>2500</v>
      </c>
      <c r="J1593" s="2" t="n">
        <v>0.1</v>
      </c>
      <c r="K1593" s="2" t="n">
        <v>1600</v>
      </c>
    </row>
    <row r="1594" customFormat="false" ht="15" hidden="false" customHeight="false" outlineLevel="0" collapsed="false">
      <c r="A1594" s="2" t="s">
        <v>2278</v>
      </c>
      <c r="B1594" s="2" t="s">
        <v>2275</v>
      </c>
      <c r="C1594" s="10" t="n">
        <v>45659</v>
      </c>
      <c r="D1594" s="2" t="s">
        <v>77</v>
      </c>
      <c r="E1594" s="2" t="s">
        <v>64</v>
      </c>
      <c r="F1594" s="2" t="s">
        <v>65</v>
      </c>
      <c r="G1594" s="2" t="s">
        <v>107</v>
      </c>
      <c r="H1594" s="2" t="n">
        <v>2</v>
      </c>
      <c r="I1594" s="2" t="n">
        <v>500</v>
      </c>
      <c r="J1594" s="2" t="n">
        <v>0.1</v>
      </c>
      <c r="K1594" s="2" t="n">
        <v>250</v>
      </c>
    </row>
    <row r="1595" customFormat="false" ht="15" hidden="false" customHeight="false" outlineLevel="0" collapsed="false">
      <c r="A1595" s="2" t="s">
        <v>2279</v>
      </c>
      <c r="B1595" s="2" t="s">
        <v>2275</v>
      </c>
      <c r="C1595" s="10" t="n">
        <v>45876</v>
      </c>
      <c r="D1595" s="2" t="s">
        <v>77</v>
      </c>
      <c r="E1595" s="2" t="s">
        <v>64</v>
      </c>
      <c r="F1595" s="2" t="s">
        <v>70</v>
      </c>
      <c r="G1595" s="2" t="s">
        <v>97</v>
      </c>
      <c r="H1595" s="2" t="n">
        <v>1</v>
      </c>
      <c r="I1595" s="2" t="n">
        <v>3000</v>
      </c>
      <c r="J1595" s="2" t="n">
        <v>0</v>
      </c>
      <c r="K1595" s="2" t="n">
        <v>2000</v>
      </c>
    </row>
    <row r="1596" customFormat="false" ht="15" hidden="false" customHeight="false" outlineLevel="0" collapsed="false">
      <c r="A1596" s="2" t="s">
        <v>2280</v>
      </c>
      <c r="B1596" s="2" t="s">
        <v>2275</v>
      </c>
      <c r="C1596" s="10" t="n">
        <v>45789</v>
      </c>
      <c r="D1596" s="2" t="s">
        <v>77</v>
      </c>
      <c r="E1596" s="2" t="s">
        <v>64</v>
      </c>
      <c r="F1596" s="2" t="s">
        <v>65</v>
      </c>
      <c r="G1596" s="2" t="s">
        <v>66</v>
      </c>
      <c r="H1596" s="2" t="n">
        <v>5</v>
      </c>
      <c r="I1596" s="2" t="n">
        <v>600</v>
      </c>
      <c r="J1596" s="2" t="n">
        <v>0</v>
      </c>
      <c r="K1596" s="2" t="n">
        <v>300</v>
      </c>
    </row>
    <row r="1597" customFormat="false" ht="15" hidden="false" customHeight="false" outlineLevel="0" collapsed="false">
      <c r="A1597" s="2" t="s">
        <v>2281</v>
      </c>
      <c r="B1597" s="2" t="s">
        <v>2282</v>
      </c>
      <c r="C1597" s="10" t="n">
        <v>45908</v>
      </c>
      <c r="D1597" s="2" t="s">
        <v>63</v>
      </c>
      <c r="E1597" s="2" t="s">
        <v>64</v>
      </c>
      <c r="F1597" s="2" t="s">
        <v>65</v>
      </c>
      <c r="G1597" s="2" t="s">
        <v>82</v>
      </c>
      <c r="H1597" s="2" t="n">
        <v>6</v>
      </c>
      <c r="I1597" s="2" t="n">
        <v>250</v>
      </c>
      <c r="J1597" s="2" t="n">
        <v>0</v>
      </c>
      <c r="K1597" s="2" t="n">
        <v>100</v>
      </c>
    </row>
    <row r="1598" customFormat="false" ht="15" hidden="false" customHeight="false" outlineLevel="0" collapsed="false">
      <c r="A1598" s="2" t="s">
        <v>2283</v>
      </c>
      <c r="B1598" s="2" t="s">
        <v>2282</v>
      </c>
      <c r="C1598" s="10" t="n">
        <v>46013</v>
      </c>
      <c r="D1598" s="2" t="s">
        <v>63</v>
      </c>
      <c r="E1598" s="2" t="s">
        <v>64</v>
      </c>
      <c r="F1598" s="2" t="s">
        <v>70</v>
      </c>
      <c r="G1598" s="2" t="s">
        <v>122</v>
      </c>
      <c r="H1598" s="2" t="n">
        <v>3</v>
      </c>
      <c r="I1598" s="2" t="n">
        <v>1500</v>
      </c>
      <c r="J1598" s="2" t="n">
        <v>0.05</v>
      </c>
      <c r="K1598" s="2" t="n">
        <v>900</v>
      </c>
    </row>
    <row r="1599" customFormat="false" ht="15" hidden="false" customHeight="false" outlineLevel="0" collapsed="false">
      <c r="A1599" s="2" t="s">
        <v>2284</v>
      </c>
      <c r="B1599" s="2" t="s">
        <v>2282</v>
      </c>
      <c r="C1599" s="10" t="n">
        <v>45992</v>
      </c>
      <c r="D1599" s="2" t="s">
        <v>63</v>
      </c>
      <c r="E1599" s="2" t="s">
        <v>64</v>
      </c>
      <c r="F1599" s="2" t="s">
        <v>73</v>
      </c>
      <c r="G1599" s="2" t="s">
        <v>104</v>
      </c>
      <c r="H1599" s="2" t="n">
        <v>1</v>
      </c>
      <c r="I1599" s="2" t="n">
        <v>5500</v>
      </c>
      <c r="J1599" s="2" t="n">
        <v>0.05</v>
      </c>
      <c r="K1599" s="2" t="n">
        <v>3600</v>
      </c>
    </row>
    <row r="1600" customFormat="false" ht="15" hidden="false" customHeight="false" outlineLevel="0" collapsed="false">
      <c r="A1600" s="2" t="s">
        <v>2285</v>
      </c>
      <c r="B1600" s="2" t="s">
        <v>2282</v>
      </c>
      <c r="C1600" s="10" t="n">
        <v>45700</v>
      </c>
      <c r="D1600" s="2" t="s">
        <v>63</v>
      </c>
      <c r="E1600" s="2" t="s">
        <v>64</v>
      </c>
      <c r="F1600" s="2" t="s">
        <v>65</v>
      </c>
      <c r="G1600" s="2" t="s">
        <v>107</v>
      </c>
      <c r="H1600" s="2" t="n">
        <v>6</v>
      </c>
      <c r="I1600" s="2" t="n">
        <v>500</v>
      </c>
      <c r="J1600" s="2" t="n">
        <v>0.05</v>
      </c>
      <c r="K1600" s="2" t="n">
        <v>250</v>
      </c>
    </row>
    <row r="1601" customFormat="false" ht="15" hidden="false" customHeight="false" outlineLevel="0" collapsed="false">
      <c r="A1601" s="2" t="s">
        <v>2286</v>
      </c>
      <c r="B1601" s="2" t="s">
        <v>2282</v>
      </c>
      <c r="C1601" s="10" t="n">
        <v>45871</v>
      </c>
      <c r="D1601" s="2" t="s">
        <v>63</v>
      </c>
      <c r="E1601" s="2" t="s">
        <v>64</v>
      </c>
      <c r="F1601" s="2" t="s">
        <v>65</v>
      </c>
      <c r="G1601" s="2" t="s">
        <v>78</v>
      </c>
      <c r="H1601" s="2" t="n">
        <v>7</v>
      </c>
      <c r="I1601" s="2" t="n">
        <v>400</v>
      </c>
      <c r="J1601" s="2" t="n">
        <v>0.1</v>
      </c>
      <c r="K1601" s="2" t="n">
        <v>200</v>
      </c>
    </row>
    <row r="1602" customFormat="false" ht="15" hidden="false" customHeight="false" outlineLevel="0" collapsed="false">
      <c r="A1602" s="2" t="s">
        <v>2287</v>
      </c>
      <c r="B1602" s="2" t="s">
        <v>2288</v>
      </c>
      <c r="C1602" s="10" t="n">
        <v>45909</v>
      </c>
      <c r="D1602" s="2" t="s">
        <v>63</v>
      </c>
      <c r="E1602" s="2" t="s">
        <v>64</v>
      </c>
      <c r="F1602" s="2" t="s">
        <v>65</v>
      </c>
      <c r="G1602" s="2" t="s">
        <v>82</v>
      </c>
      <c r="H1602" s="2" t="n">
        <v>8</v>
      </c>
      <c r="I1602" s="2" t="n">
        <v>250</v>
      </c>
      <c r="J1602" s="2" t="n">
        <v>0.1</v>
      </c>
      <c r="K1602" s="2" t="n">
        <v>100</v>
      </c>
    </row>
    <row r="1603" customFormat="false" ht="15" hidden="false" customHeight="false" outlineLevel="0" collapsed="false">
      <c r="A1603" s="2" t="s">
        <v>2289</v>
      </c>
      <c r="B1603" s="2" t="s">
        <v>2288</v>
      </c>
      <c r="C1603" s="10" t="n">
        <v>45931</v>
      </c>
      <c r="D1603" s="2" t="s">
        <v>63</v>
      </c>
      <c r="E1603" s="2" t="s">
        <v>64</v>
      </c>
      <c r="F1603" s="2" t="s">
        <v>70</v>
      </c>
      <c r="G1603" s="2" t="s">
        <v>97</v>
      </c>
      <c r="H1603" s="2" t="n">
        <v>1</v>
      </c>
      <c r="I1603" s="2" t="n">
        <v>3000</v>
      </c>
      <c r="J1603" s="2" t="n">
        <v>0.05</v>
      </c>
      <c r="K1603" s="2" t="n">
        <v>2000</v>
      </c>
    </row>
    <row r="1604" customFormat="false" ht="15" hidden="false" customHeight="false" outlineLevel="0" collapsed="false">
      <c r="A1604" s="2" t="s">
        <v>2290</v>
      </c>
      <c r="B1604" s="2" t="s">
        <v>2288</v>
      </c>
      <c r="C1604" s="10" t="n">
        <v>45684</v>
      </c>
      <c r="D1604" s="2" t="s">
        <v>63</v>
      </c>
      <c r="E1604" s="2" t="s">
        <v>64</v>
      </c>
      <c r="F1604" s="2" t="s">
        <v>65</v>
      </c>
      <c r="G1604" s="2" t="s">
        <v>78</v>
      </c>
      <c r="H1604" s="2" t="n">
        <v>8</v>
      </c>
      <c r="I1604" s="2" t="n">
        <v>400</v>
      </c>
      <c r="J1604" s="2" t="n">
        <v>0.05</v>
      </c>
      <c r="K1604" s="2" t="n">
        <v>200</v>
      </c>
    </row>
    <row r="1605" customFormat="false" ht="15" hidden="false" customHeight="false" outlineLevel="0" collapsed="false">
      <c r="A1605" s="2" t="s">
        <v>2291</v>
      </c>
      <c r="B1605" s="2" t="s">
        <v>2288</v>
      </c>
      <c r="C1605" s="10" t="n">
        <v>45834</v>
      </c>
      <c r="D1605" s="2" t="s">
        <v>63</v>
      </c>
      <c r="E1605" s="2" t="s">
        <v>64</v>
      </c>
      <c r="F1605" s="2" t="s">
        <v>65</v>
      </c>
      <c r="G1605" s="2" t="s">
        <v>78</v>
      </c>
      <c r="H1605" s="2" t="n">
        <v>6</v>
      </c>
      <c r="I1605" s="2" t="n">
        <v>400</v>
      </c>
      <c r="J1605" s="2" t="n">
        <v>0</v>
      </c>
      <c r="K1605" s="2" t="n">
        <v>200</v>
      </c>
    </row>
    <row r="1606" customFormat="false" ht="15" hidden="false" customHeight="false" outlineLevel="0" collapsed="false">
      <c r="A1606" s="2" t="s">
        <v>2292</v>
      </c>
      <c r="B1606" s="2"/>
      <c r="C1606" s="10" t="n">
        <v>45666</v>
      </c>
      <c r="D1606" s="2" t="s">
        <v>63</v>
      </c>
      <c r="E1606" s="2" t="s">
        <v>64</v>
      </c>
      <c r="F1606" s="2" t="s">
        <v>65</v>
      </c>
      <c r="G1606" s="2" t="s">
        <v>107</v>
      </c>
      <c r="H1606" s="2" t="n">
        <v>8</v>
      </c>
      <c r="I1606" s="2" t="n">
        <v>500</v>
      </c>
      <c r="J1606" s="2" t="n">
        <v>0</v>
      </c>
      <c r="K1606" s="2" t="n">
        <v>250</v>
      </c>
    </row>
    <row r="1607" customFormat="false" ht="15" hidden="false" customHeight="false" outlineLevel="0" collapsed="false">
      <c r="A1607" s="2" t="s">
        <v>2293</v>
      </c>
      <c r="B1607" s="2" t="s">
        <v>2288</v>
      </c>
      <c r="C1607" s="10" t="n">
        <v>45684</v>
      </c>
      <c r="D1607" s="2" t="s">
        <v>63</v>
      </c>
      <c r="E1607" s="2" t="s">
        <v>64</v>
      </c>
      <c r="F1607" s="2" t="s">
        <v>65</v>
      </c>
      <c r="G1607" s="2" t="s">
        <v>78</v>
      </c>
      <c r="H1607" s="2" t="n">
        <v>5</v>
      </c>
      <c r="I1607" s="2" t="n">
        <v>400</v>
      </c>
      <c r="J1607" s="2" t="n">
        <v>0.1</v>
      </c>
      <c r="K1607" s="2" t="n">
        <v>200</v>
      </c>
    </row>
    <row r="1608" customFormat="false" ht="15" hidden="false" customHeight="false" outlineLevel="0" collapsed="false">
      <c r="A1608" s="2" t="s">
        <v>2294</v>
      </c>
      <c r="B1608" s="2" t="s">
        <v>2288</v>
      </c>
      <c r="C1608" s="10" t="n">
        <v>45858</v>
      </c>
      <c r="D1608" s="2" t="s">
        <v>63</v>
      </c>
      <c r="E1608" s="2" t="s">
        <v>64</v>
      </c>
      <c r="F1608" s="2" t="s">
        <v>73</v>
      </c>
      <c r="G1608" s="2" t="s">
        <v>87</v>
      </c>
      <c r="H1608" s="2" t="n">
        <v>2</v>
      </c>
      <c r="I1608" s="2" t="n">
        <v>9000</v>
      </c>
      <c r="J1608" s="2" t="n">
        <v>0</v>
      </c>
      <c r="K1608" s="2" t="n">
        <v>6200</v>
      </c>
    </row>
    <row r="1609" customFormat="false" ht="15" hidden="false" customHeight="false" outlineLevel="0" collapsed="false">
      <c r="A1609" s="2" t="s">
        <v>2295</v>
      </c>
      <c r="B1609" s="2" t="s">
        <v>2288</v>
      </c>
      <c r="C1609" s="10" t="n">
        <v>45919</v>
      </c>
      <c r="D1609" s="2" t="s">
        <v>63</v>
      </c>
      <c r="E1609" s="2" t="s">
        <v>64</v>
      </c>
      <c r="F1609" s="2" t="s">
        <v>65</v>
      </c>
      <c r="G1609" s="2" t="s">
        <v>78</v>
      </c>
      <c r="H1609" s="2" t="n">
        <v>7</v>
      </c>
      <c r="I1609" s="2" t="n">
        <v>400</v>
      </c>
      <c r="J1609" s="2" t="n">
        <v>0.1</v>
      </c>
      <c r="K1609" s="2" t="n">
        <v>200</v>
      </c>
    </row>
    <row r="1610" customFormat="false" ht="15" hidden="false" customHeight="false" outlineLevel="0" collapsed="false">
      <c r="A1610" s="2" t="s">
        <v>2296</v>
      </c>
      <c r="B1610" s="2" t="s">
        <v>2297</v>
      </c>
      <c r="C1610" s="10" t="n">
        <v>45741</v>
      </c>
      <c r="D1610" s="2" t="s">
        <v>63</v>
      </c>
      <c r="E1610" s="2" t="s">
        <v>69</v>
      </c>
      <c r="F1610" s="2" t="s">
        <v>73</v>
      </c>
      <c r="G1610" s="2" t="s">
        <v>87</v>
      </c>
      <c r="H1610" s="2" t="n">
        <v>1</v>
      </c>
      <c r="I1610" s="2" t="n">
        <v>9000</v>
      </c>
      <c r="J1610" s="2" t="n">
        <v>0</v>
      </c>
      <c r="K1610" s="2" t="n">
        <v>6200</v>
      </c>
    </row>
    <row r="1611" customFormat="false" ht="15" hidden="false" customHeight="false" outlineLevel="0" collapsed="false">
      <c r="A1611" s="2" t="s">
        <v>2298</v>
      </c>
      <c r="B1611" s="2" t="s">
        <v>2299</v>
      </c>
      <c r="C1611" s="10" t="n">
        <v>45701</v>
      </c>
      <c r="D1611" s="2" t="s">
        <v>63</v>
      </c>
      <c r="E1611" s="2" t="s">
        <v>64</v>
      </c>
      <c r="F1611" s="2" t="s">
        <v>70</v>
      </c>
      <c r="G1611" s="2" t="s">
        <v>126</v>
      </c>
      <c r="H1611" s="2" t="n">
        <v>1</v>
      </c>
      <c r="I1611" s="2" t="n">
        <v>4500</v>
      </c>
      <c r="J1611" s="2" t="n">
        <v>0</v>
      </c>
      <c r="K1611" s="2" t="n">
        <v>3300</v>
      </c>
    </row>
    <row r="1612" customFormat="false" ht="15" hidden="false" customHeight="false" outlineLevel="0" collapsed="false">
      <c r="A1612" s="2" t="s">
        <v>2300</v>
      </c>
      <c r="B1612" s="2" t="s">
        <v>2299</v>
      </c>
      <c r="C1612" s="10" t="n">
        <v>45886</v>
      </c>
      <c r="D1612" s="2" t="s">
        <v>63</v>
      </c>
      <c r="E1612" s="2" t="s">
        <v>64</v>
      </c>
      <c r="F1612" s="2" t="s">
        <v>65</v>
      </c>
      <c r="G1612" s="2" t="s">
        <v>78</v>
      </c>
      <c r="H1612" s="2" t="n">
        <v>4</v>
      </c>
      <c r="I1612" s="2" t="n">
        <v>400</v>
      </c>
      <c r="J1612" s="2" t="n">
        <v>0</v>
      </c>
      <c r="K1612" s="2" t="n">
        <v>200</v>
      </c>
    </row>
    <row r="1613" customFormat="false" ht="15" hidden="false" customHeight="false" outlineLevel="0" collapsed="false">
      <c r="A1613" s="2" t="s">
        <v>2301</v>
      </c>
      <c r="B1613" s="2" t="s">
        <v>2299</v>
      </c>
      <c r="C1613" s="10" t="n">
        <v>45772</v>
      </c>
      <c r="D1613" s="2" t="s">
        <v>63</v>
      </c>
      <c r="E1613" s="2" t="s">
        <v>64</v>
      </c>
      <c r="F1613" s="2" t="s">
        <v>65</v>
      </c>
      <c r="G1613" s="2" t="s">
        <v>107</v>
      </c>
      <c r="H1613" s="2" t="n">
        <v>3</v>
      </c>
      <c r="I1613" s="2" t="n">
        <v>500</v>
      </c>
      <c r="J1613" s="2" t="n">
        <v>0</v>
      </c>
      <c r="K1613" s="2" t="n">
        <v>250</v>
      </c>
    </row>
    <row r="1614" customFormat="false" ht="15" hidden="false" customHeight="false" outlineLevel="0" collapsed="false">
      <c r="A1614" s="2" t="s">
        <v>2302</v>
      </c>
      <c r="B1614" s="2" t="s">
        <v>2303</v>
      </c>
      <c r="C1614" s="10" t="n">
        <v>45711</v>
      </c>
      <c r="D1614" s="2" t="s">
        <v>81</v>
      </c>
      <c r="E1614" s="2" t="s">
        <v>64</v>
      </c>
      <c r="F1614" s="2" t="s">
        <v>73</v>
      </c>
      <c r="G1614" s="2" t="s">
        <v>87</v>
      </c>
      <c r="H1614" s="2" t="n">
        <v>2</v>
      </c>
      <c r="I1614" s="2" t="n">
        <v>9000</v>
      </c>
      <c r="J1614" s="2" t="n">
        <v>0.05</v>
      </c>
      <c r="K1614" s="2" t="n">
        <v>6200</v>
      </c>
    </row>
    <row r="1615" customFormat="false" ht="15" hidden="false" customHeight="false" outlineLevel="0" collapsed="false">
      <c r="A1615" s="2" t="s">
        <v>2304</v>
      </c>
      <c r="B1615" s="2" t="s">
        <v>2305</v>
      </c>
      <c r="C1615" s="10" t="n">
        <v>45954</v>
      </c>
      <c r="D1615" s="2" t="s">
        <v>81</v>
      </c>
      <c r="E1615" s="2" t="s">
        <v>64</v>
      </c>
      <c r="F1615" s="2" t="s">
        <v>73</v>
      </c>
      <c r="G1615" s="2" t="s">
        <v>87</v>
      </c>
      <c r="H1615" s="2" t="n">
        <v>2</v>
      </c>
      <c r="I1615" s="2" t="n">
        <v>9000</v>
      </c>
      <c r="J1615" s="2" t="n">
        <v>0.05</v>
      </c>
      <c r="K1615" s="2" t="n">
        <v>6200</v>
      </c>
    </row>
    <row r="1616" customFormat="false" ht="15" hidden="false" customHeight="false" outlineLevel="0" collapsed="false">
      <c r="A1616" s="2" t="s">
        <v>2306</v>
      </c>
      <c r="B1616" s="2" t="s">
        <v>2305</v>
      </c>
      <c r="C1616" s="10" t="n">
        <v>45974</v>
      </c>
      <c r="D1616" s="2" t="s">
        <v>81</v>
      </c>
      <c r="E1616" s="2" t="s">
        <v>64</v>
      </c>
      <c r="F1616" s="2" t="s">
        <v>73</v>
      </c>
      <c r="G1616" s="2" t="s">
        <v>85</v>
      </c>
      <c r="H1616" s="2" t="n">
        <v>3</v>
      </c>
      <c r="I1616" s="2" t="n">
        <v>1200</v>
      </c>
      <c r="J1616" s="2" t="n">
        <v>0.15</v>
      </c>
      <c r="K1616" s="2" t="n">
        <v>600</v>
      </c>
    </row>
    <row r="1617" customFormat="false" ht="15" hidden="false" customHeight="false" outlineLevel="0" collapsed="false">
      <c r="A1617" s="2" t="s">
        <v>2307</v>
      </c>
      <c r="B1617" s="2" t="s">
        <v>2305</v>
      </c>
      <c r="C1617" s="10" t="n">
        <v>45948</v>
      </c>
      <c r="D1617" s="2" t="s">
        <v>81</v>
      </c>
      <c r="E1617" s="2" t="s">
        <v>64</v>
      </c>
      <c r="F1617" s="2" t="s">
        <v>70</v>
      </c>
      <c r="G1617" s="2" t="s">
        <v>71</v>
      </c>
      <c r="H1617" s="2" t="n">
        <v>1</v>
      </c>
      <c r="I1617" s="2" t="n">
        <v>2500</v>
      </c>
      <c r="J1617" s="2" t="n">
        <v>0.05</v>
      </c>
      <c r="K1617" s="2" t="n">
        <v>1600</v>
      </c>
    </row>
    <row r="1618" customFormat="false" ht="15" hidden="false" customHeight="false" outlineLevel="0" collapsed="false">
      <c r="A1618" s="2" t="s">
        <v>2308</v>
      </c>
      <c r="B1618" s="2" t="s">
        <v>2305</v>
      </c>
      <c r="C1618" s="10" t="n">
        <v>45862</v>
      </c>
      <c r="D1618" s="2" t="s">
        <v>81</v>
      </c>
      <c r="E1618" s="2" t="s">
        <v>64</v>
      </c>
      <c r="F1618" s="2" t="s">
        <v>70</v>
      </c>
      <c r="G1618" s="2" t="s">
        <v>71</v>
      </c>
      <c r="H1618" s="2" t="n">
        <v>2</v>
      </c>
      <c r="I1618" s="2" t="n">
        <v>2500</v>
      </c>
      <c r="J1618" s="2" t="n">
        <v>0</v>
      </c>
      <c r="K1618" s="2" t="n">
        <v>1600</v>
      </c>
    </row>
    <row r="1619" customFormat="false" ht="15" hidden="false" customHeight="false" outlineLevel="0" collapsed="false">
      <c r="A1619" s="2" t="s">
        <v>2309</v>
      </c>
      <c r="B1619" s="2" t="s">
        <v>2310</v>
      </c>
      <c r="C1619" s="10" t="n">
        <v>45684</v>
      </c>
      <c r="D1619" s="2" t="s">
        <v>63</v>
      </c>
      <c r="E1619" s="2" t="s">
        <v>69</v>
      </c>
      <c r="F1619" s="2" t="s">
        <v>70</v>
      </c>
      <c r="G1619" s="2" t="s">
        <v>71</v>
      </c>
      <c r="H1619" s="2" t="n">
        <v>1</v>
      </c>
      <c r="I1619" s="2" t="n">
        <v>2500</v>
      </c>
      <c r="J1619" s="2" t="n">
        <v>0</v>
      </c>
      <c r="K1619" s="2" t="n">
        <v>1600</v>
      </c>
    </row>
    <row r="1620" customFormat="false" ht="15" hidden="false" customHeight="false" outlineLevel="0" collapsed="false">
      <c r="A1620" s="2" t="s">
        <v>2311</v>
      </c>
      <c r="B1620" s="2" t="s">
        <v>2310</v>
      </c>
      <c r="C1620" s="10" t="n">
        <v>45999</v>
      </c>
      <c r="D1620" s="2" t="s">
        <v>63</v>
      </c>
      <c r="E1620" s="2" t="s">
        <v>69</v>
      </c>
      <c r="F1620" s="2" t="s">
        <v>73</v>
      </c>
      <c r="G1620" s="2" t="s">
        <v>87</v>
      </c>
      <c r="H1620" s="2" t="n">
        <v>5</v>
      </c>
      <c r="I1620" s="2" t="n">
        <v>9000</v>
      </c>
      <c r="J1620" s="2" t="n">
        <v>0.1</v>
      </c>
      <c r="K1620" s="2" t="n">
        <v>6200</v>
      </c>
    </row>
    <row r="1621" customFormat="false" ht="15" hidden="false" customHeight="false" outlineLevel="0" collapsed="false">
      <c r="A1621" s="2" t="s">
        <v>2312</v>
      </c>
      <c r="B1621" s="2" t="s">
        <v>2310</v>
      </c>
      <c r="C1621" s="10" t="n">
        <v>45982</v>
      </c>
      <c r="D1621" s="2" t="s">
        <v>63</v>
      </c>
      <c r="E1621" s="2" t="s">
        <v>69</v>
      </c>
      <c r="F1621" s="2" t="s">
        <v>73</v>
      </c>
      <c r="G1621" s="2" t="s">
        <v>104</v>
      </c>
      <c r="H1621" s="2" t="n">
        <v>2</v>
      </c>
      <c r="I1621" s="2" t="n">
        <v>5500</v>
      </c>
      <c r="J1621" s="2" t="n">
        <v>0.05</v>
      </c>
      <c r="K1621" s="2" t="n">
        <v>3600</v>
      </c>
    </row>
    <row r="1622" customFormat="false" ht="15" hidden="false" customHeight="false" outlineLevel="0" collapsed="false">
      <c r="A1622" s="2" t="s">
        <v>2313</v>
      </c>
      <c r="B1622" s="2" t="s">
        <v>2310</v>
      </c>
      <c r="C1622" s="10" t="n">
        <v>46006</v>
      </c>
      <c r="D1622" s="2" t="s">
        <v>63</v>
      </c>
      <c r="E1622" s="2" t="s">
        <v>69</v>
      </c>
      <c r="F1622" s="2" t="s">
        <v>65</v>
      </c>
      <c r="G1622" s="2" t="s">
        <v>107</v>
      </c>
      <c r="H1622" s="2" t="n">
        <v>19</v>
      </c>
      <c r="I1622" s="2" t="n">
        <v>500</v>
      </c>
      <c r="J1622" s="2" t="n">
        <v>0.15</v>
      </c>
      <c r="K1622" s="2" t="n">
        <v>250</v>
      </c>
    </row>
    <row r="1623" customFormat="false" ht="15" hidden="false" customHeight="false" outlineLevel="0" collapsed="false">
      <c r="A1623" s="2" t="s">
        <v>2314</v>
      </c>
      <c r="B1623" s="2" t="s">
        <v>2315</v>
      </c>
      <c r="C1623" s="10" t="n">
        <v>45724</v>
      </c>
      <c r="D1623" s="2" t="s">
        <v>91</v>
      </c>
      <c r="E1623" s="2" t="s">
        <v>64</v>
      </c>
      <c r="F1623" s="2" t="s">
        <v>65</v>
      </c>
      <c r="G1623" s="2" t="s">
        <v>78</v>
      </c>
      <c r="H1623" s="2" t="n">
        <v>8</v>
      </c>
      <c r="I1623" s="2" t="n">
        <v>400</v>
      </c>
      <c r="J1623" s="2" t="n">
        <v>0.1</v>
      </c>
      <c r="K1623" s="2" t="n">
        <v>200</v>
      </c>
    </row>
    <row r="1624" customFormat="false" ht="15" hidden="false" customHeight="false" outlineLevel="0" collapsed="false">
      <c r="A1624" s="2" t="s">
        <v>2316</v>
      </c>
      <c r="B1624" s="2" t="s">
        <v>2315</v>
      </c>
      <c r="C1624" s="10" t="n">
        <v>45985</v>
      </c>
      <c r="D1624" s="2" t="s">
        <v>91</v>
      </c>
      <c r="E1624" s="2" t="s">
        <v>64</v>
      </c>
      <c r="F1624" s="2" t="s">
        <v>65</v>
      </c>
      <c r="G1624" s="2" t="s">
        <v>107</v>
      </c>
      <c r="H1624" s="2" t="n">
        <v>4</v>
      </c>
      <c r="I1624" s="2" t="n">
        <v>500</v>
      </c>
      <c r="J1624" s="2" t="n">
        <v>0.05</v>
      </c>
      <c r="K1624" s="2" t="n">
        <v>250</v>
      </c>
    </row>
    <row r="1625" customFormat="false" ht="15" hidden="false" customHeight="false" outlineLevel="0" collapsed="false">
      <c r="A1625" s="2" t="s">
        <v>2317</v>
      </c>
      <c r="B1625" s="2" t="s">
        <v>2318</v>
      </c>
      <c r="C1625" s="10" t="n">
        <v>45866</v>
      </c>
      <c r="D1625" s="2" t="s">
        <v>77</v>
      </c>
      <c r="E1625" s="2" t="s">
        <v>64</v>
      </c>
      <c r="F1625" s="2" t="s">
        <v>70</v>
      </c>
      <c r="G1625" s="2" t="s">
        <v>126</v>
      </c>
      <c r="H1625" s="2" t="n">
        <v>1</v>
      </c>
      <c r="I1625" s="2" t="n">
        <v>4500</v>
      </c>
      <c r="J1625" s="2" t="n">
        <v>0</v>
      </c>
      <c r="K1625" s="2" t="n">
        <v>3300</v>
      </c>
    </row>
    <row r="1626" customFormat="false" ht="15" hidden="false" customHeight="false" outlineLevel="0" collapsed="false">
      <c r="A1626" s="2" t="s">
        <v>2319</v>
      </c>
      <c r="B1626" s="2" t="s">
        <v>2318</v>
      </c>
      <c r="C1626" s="10" t="n">
        <v>45948</v>
      </c>
      <c r="D1626" s="2" t="s">
        <v>77</v>
      </c>
      <c r="E1626" s="2" t="s">
        <v>64</v>
      </c>
      <c r="F1626" s="2" t="s">
        <v>70</v>
      </c>
      <c r="G1626" s="2" t="s">
        <v>71</v>
      </c>
      <c r="H1626" s="2" t="n">
        <v>1</v>
      </c>
      <c r="I1626" s="2" t="n">
        <v>2500</v>
      </c>
      <c r="J1626" s="2" t="n">
        <v>0.05</v>
      </c>
      <c r="K1626" s="2" t="n">
        <v>1600</v>
      </c>
    </row>
    <row r="1627" customFormat="false" ht="15" hidden="false" customHeight="false" outlineLevel="0" collapsed="false">
      <c r="A1627" s="2" t="s">
        <v>2320</v>
      </c>
      <c r="B1627" s="2" t="s">
        <v>2318</v>
      </c>
      <c r="C1627" s="10" t="n">
        <v>45793</v>
      </c>
      <c r="D1627" s="2" t="s">
        <v>77</v>
      </c>
      <c r="E1627" s="2" t="s">
        <v>64</v>
      </c>
      <c r="F1627" s="2" t="s">
        <v>70</v>
      </c>
      <c r="G1627" s="2" t="s">
        <v>122</v>
      </c>
      <c r="H1627" s="2" t="n">
        <v>2</v>
      </c>
      <c r="I1627" s="2" t="n">
        <v>1500</v>
      </c>
      <c r="J1627" s="2" t="n">
        <v>0</v>
      </c>
      <c r="K1627" s="2" t="n">
        <v>900</v>
      </c>
    </row>
    <row r="1628" customFormat="false" ht="15" hidden="false" customHeight="false" outlineLevel="0" collapsed="false">
      <c r="A1628" s="2" t="s">
        <v>2321</v>
      </c>
      <c r="B1628" s="2" t="s">
        <v>2318</v>
      </c>
      <c r="C1628" s="10" t="n">
        <v>45996</v>
      </c>
      <c r="D1628" s="2" t="s">
        <v>77</v>
      </c>
      <c r="E1628" s="2" t="s">
        <v>64</v>
      </c>
      <c r="F1628" s="2" t="s">
        <v>70</v>
      </c>
      <c r="G1628" s="2" t="s">
        <v>71</v>
      </c>
      <c r="H1628" s="2" t="n">
        <v>2</v>
      </c>
      <c r="I1628" s="2" t="n">
        <v>2500</v>
      </c>
      <c r="J1628" s="2" t="n">
        <v>0.05</v>
      </c>
      <c r="K1628" s="2" t="n">
        <v>1600</v>
      </c>
    </row>
    <row r="1629" customFormat="false" ht="15" hidden="false" customHeight="false" outlineLevel="0" collapsed="false">
      <c r="A1629" s="2" t="s">
        <v>2322</v>
      </c>
      <c r="B1629" s="2" t="s">
        <v>2318</v>
      </c>
      <c r="C1629" s="10" t="n">
        <v>45782</v>
      </c>
      <c r="D1629" s="2" t="s">
        <v>77</v>
      </c>
      <c r="E1629" s="2" t="s">
        <v>64</v>
      </c>
      <c r="F1629" s="2" t="s">
        <v>65</v>
      </c>
      <c r="G1629" s="2" t="s">
        <v>107</v>
      </c>
      <c r="H1629" s="2"/>
      <c r="I1629" s="2" t="n">
        <v>500</v>
      </c>
      <c r="J1629" s="2" t="n">
        <v>0</v>
      </c>
      <c r="K1629" s="2" t="n">
        <v>250</v>
      </c>
    </row>
    <row r="1630" customFormat="false" ht="15" hidden="false" customHeight="false" outlineLevel="0" collapsed="false">
      <c r="A1630" s="2" t="s">
        <v>2323</v>
      </c>
      <c r="B1630" s="2" t="s">
        <v>2318</v>
      </c>
      <c r="C1630" s="10" t="n">
        <v>45824</v>
      </c>
      <c r="D1630" s="2" t="s">
        <v>77</v>
      </c>
      <c r="E1630" s="2" t="s">
        <v>64</v>
      </c>
      <c r="F1630" s="2" t="s">
        <v>65</v>
      </c>
      <c r="G1630" s="2" t="s">
        <v>78</v>
      </c>
      <c r="H1630" s="2" t="n">
        <v>6</v>
      </c>
      <c r="I1630" s="2" t="n">
        <v>400</v>
      </c>
      <c r="J1630" s="2" t="n">
        <v>0.1</v>
      </c>
      <c r="K1630" s="2" t="n">
        <v>200</v>
      </c>
    </row>
    <row r="1631" customFormat="false" ht="15" hidden="false" customHeight="false" outlineLevel="0" collapsed="false">
      <c r="A1631" s="2" t="s">
        <v>2324</v>
      </c>
      <c r="B1631" s="2" t="s">
        <v>2318</v>
      </c>
      <c r="C1631" s="10" t="n">
        <v>45762</v>
      </c>
      <c r="D1631" s="2" t="s">
        <v>77</v>
      </c>
      <c r="E1631" s="2" t="s">
        <v>64</v>
      </c>
      <c r="F1631" s="2" t="s">
        <v>70</v>
      </c>
      <c r="G1631" s="2" t="s">
        <v>71</v>
      </c>
      <c r="H1631" s="2" t="n">
        <v>3</v>
      </c>
      <c r="I1631" s="2" t="n">
        <v>2500</v>
      </c>
      <c r="J1631" s="2" t="n">
        <v>0.05</v>
      </c>
      <c r="K1631" s="2" t="n">
        <v>1600</v>
      </c>
    </row>
    <row r="1632" customFormat="false" ht="15" hidden="false" customHeight="false" outlineLevel="0" collapsed="false">
      <c r="A1632" s="2" t="s">
        <v>2325</v>
      </c>
      <c r="B1632" s="2" t="s">
        <v>2318</v>
      </c>
      <c r="C1632" s="10" t="n">
        <v>46006</v>
      </c>
      <c r="D1632" s="2" t="s">
        <v>77</v>
      </c>
      <c r="E1632" s="2" t="s">
        <v>64</v>
      </c>
      <c r="F1632" s="2" t="s">
        <v>73</v>
      </c>
      <c r="G1632" s="2" t="s">
        <v>87</v>
      </c>
      <c r="H1632" s="2" t="n">
        <v>2</v>
      </c>
      <c r="I1632" s="2" t="n">
        <v>9000</v>
      </c>
      <c r="J1632" s="2" t="n">
        <v>0.15</v>
      </c>
      <c r="K1632" s="2" t="n">
        <v>6200</v>
      </c>
    </row>
    <row r="1633" customFormat="false" ht="15" hidden="false" customHeight="false" outlineLevel="0" collapsed="false">
      <c r="A1633" s="2" t="s">
        <v>2326</v>
      </c>
      <c r="B1633" s="2" t="s">
        <v>2318</v>
      </c>
      <c r="C1633" s="10" t="n">
        <v>45856</v>
      </c>
      <c r="D1633" s="2" t="s">
        <v>77</v>
      </c>
      <c r="E1633" s="2" t="s">
        <v>64</v>
      </c>
      <c r="F1633" s="2" t="s">
        <v>70</v>
      </c>
      <c r="G1633" s="2" t="s">
        <v>71</v>
      </c>
      <c r="H1633" s="2" t="n">
        <v>1</v>
      </c>
      <c r="I1633" s="2" t="n">
        <v>2500</v>
      </c>
      <c r="J1633" s="2" t="n">
        <v>0.1</v>
      </c>
      <c r="K1633" s="2" t="n">
        <v>1600</v>
      </c>
    </row>
    <row r="1634" customFormat="false" ht="15" hidden="false" customHeight="false" outlineLevel="0" collapsed="false">
      <c r="A1634" s="2" t="s">
        <v>2327</v>
      </c>
      <c r="B1634" s="2" t="s">
        <v>2318</v>
      </c>
      <c r="C1634" s="10" t="n">
        <v>45825</v>
      </c>
      <c r="D1634" s="2" t="s">
        <v>77</v>
      </c>
      <c r="E1634" s="2" t="s">
        <v>64</v>
      </c>
      <c r="F1634" s="2" t="s">
        <v>73</v>
      </c>
      <c r="G1634" s="2" t="s">
        <v>87</v>
      </c>
      <c r="H1634" s="2" t="n">
        <v>3</v>
      </c>
      <c r="I1634" s="2" t="n">
        <v>9000</v>
      </c>
      <c r="J1634" s="2" t="n">
        <v>0.05</v>
      </c>
      <c r="K1634" s="2" t="n">
        <v>6200</v>
      </c>
    </row>
    <row r="1635" customFormat="false" ht="15" hidden="false" customHeight="false" outlineLevel="0" collapsed="false">
      <c r="A1635" s="2" t="s">
        <v>2328</v>
      </c>
      <c r="B1635" s="2" t="s">
        <v>2329</v>
      </c>
      <c r="C1635" s="10" t="n">
        <v>45866</v>
      </c>
      <c r="D1635" s="2" t="s">
        <v>77</v>
      </c>
      <c r="E1635" s="2" t="s">
        <v>64</v>
      </c>
      <c r="F1635" s="2" t="s">
        <v>70</v>
      </c>
      <c r="G1635" s="2" t="s">
        <v>71</v>
      </c>
      <c r="H1635" s="2" t="n">
        <v>3</v>
      </c>
      <c r="I1635" s="2" t="n">
        <v>2500</v>
      </c>
      <c r="J1635" s="2" t="n">
        <v>0.1</v>
      </c>
      <c r="K1635" s="2" t="n">
        <v>1600</v>
      </c>
    </row>
    <row r="1636" customFormat="false" ht="15" hidden="false" customHeight="false" outlineLevel="0" collapsed="false">
      <c r="A1636" s="2" t="s">
        <v>2330</v>
      </c>
      <c r="B1636" s="2" t="s">
        <v>2329</v>
      </c>
      <c r="C1636" s="10" t="n">
        <v>46003</v>
      </c>
      <c r="D1636" s="2" t="s">
        <v>77</v>
      </c>
      <c r="E1636" s="2" t="s">
        <v>64</v>
      </c>
      <c r="F1636" s="2" t="s">
        <v>70</v>
      </c>
      <c r="G1636" s="2" t="s">
        <v>122</v>
      </c>
      <c r="H1636" s="2" t="n">
        <v>1</v>
      </c>
      <c r="I1636" s="2" t="n">
        <v>1500</v>
      </c>
      <c r="J1636" s="2" t="n">
        <v>0.1</v>
      </c>
      <c r="K1636" s="2" t="n">
        <v>900</v>
      </c>
    </row>
    <row r="1637" customFormat="false" ht="15" hidden="false" customHeight="false" outlineLevel="0" collapsed="false">
      <c r="A1637" s="2" t="s">
        <v>2331</v>
      </c>
      <c r="B1637" s="2" t="s">
        <v>2332</v>
      </c>
      <c r="C1637" s="10" t="n">
        <v>45878</v>
      </c>
      <c r="D1637" s="2" t="s">
        <v>63</v>
      </c>
      <c r="E1637" s="2" t="s">
        <v>64</v>
      </c>
      <c r="F1637" s="2" t="s">
        <v>65</v>
      </c>
      <c r="G1637" s="2" t="s">
        <v>78</v>
      </c>
      <c r="H1637" s="2" t="n">
        <v>3</v>
      </c>
      <c r="I1637" s="2" t="n">
        <v>400</v>
      </c>
      <c r="J1637" s="2" t="n">
        <v>0</v>
      </c>
      <c r="K1637" s="2" t="n">
        <v>200</v>
      </c>
    </row>
    <row r="1638" customFormat="false" ht="15" hidden="false" customHeight="false" outlineLevel="0" collapsed="false">
      <c r="A1638" s="2" t="s">
        <v>2333</v>
      </c>
      <c r="B1638" s="2" t="s">
        <v>2332</v>
      </c>
      <c r="C1638" s="10" t="n">
        <v>45665</v>
      </c>
      <c r="D1638" s="2" t="s">
        <v>63</v>
      </c>
      <c r="E1638" s="2" t="s">
        <v>64</v>
      </c>
      <c r="F1638" s="2" t="s">
        <v>73</v>
      </c>
      <c r="G1638" s="2" t="s">
        <v>85</v>
      </c>
      <c r="H1638" s="2" t="n">
        <v>3</v>
      </c>
      <c r="I1638" s="2" t="n">
        <v>1200</v>
      </c>
      <c r="J1638" s="2" t="n">
        <v>0.05</v>
      </c>
      <c r="K1638" s="2" t="n">
        <v>600</v>
      </c>
    </row>
    <row r="1639" customFormat="false" ht="15" hidden="false" customHeight="false" outlineLevel="0" collapsed="false">
      <c r="A1639" s="2" t="s">
        <v>2334</v>
      </c>
      <c r="B1639" s="2" t="s">
        <v>2335</v>
      </c>
      <c r="C1639" s="10" t="n">
        <v>45714</v>
      </c>
      <c r="D1639" s="2" t="s">
        <v>91</v>
      </c>
      <c r="E1639" s="2" t="s">
        <v>64</v>
      </c>
      <c r="F1639" s="2" t="s">
        <v>73</v>
      </c>
      <c r="G1639" s="2" t="s">
        <v>104</v>
      </c>
      <c r="H1639" s="2" t="n">
        <v>2</v>
      </c>
      <c r="I1639" s="2" t="n">
        <v>5500</v>
      </c>
      <c r="J1639" s="2" t="n">
        <v>0.05</v>
      </c>
      <c r="K1639" s="2" t="n">
        <v>3600</v>
      </c>
    </row>
    <row r="1640" customFormat="false" ht="15" hidden="false" customHeight="false" outlineLevel="0" collapsed="false">
      <c r="A1640" s="2" t="s">
        <v>2336</v>
      </c>
      <c r="B1640" s="2" t="s">
        <v>2337</v>
      </c>
      <c r="C1640" s="10" t="n">
        <v>45935</v>
      </c>
      <c r="D1640" s="2" t="s">
        <v>63</v>
      </c>
      <c r="E1640" s="2" t="s">
        <v>69</v>
      </c>
      <c r="F1640" s="2" t="s">
        <v>65</v>
      </c>
      <c r="G1640" s="2" t="s">
        <v>82</v>
      </c>
      <c r="H1640" s="2" t="n">
        <v>9</v>
      </c>
      <c r="I1640" s="2" t="n">
        <v>250</v>
      </c>
      <c r="J1640" s="2" t="n">
        <v>0.05</v>
      </c>
      <c r="K1640" s="2" t="n">
        <v>100</v>
      </c>
    </row>
    <row r="1641" customFormat="false" ht="15" hidden="false" customHeight="false" outlineLevel="0" collapsed="false">
      <c r="A1641" s="2" t="s">
        <v>2338</v>
      </c>
      <c r="B1641" s="2" t="s">
        <v>2337</v>
      </c>
      <c r="C1641" s="10" t="n">
        <v>45967</v>
      </c>
      <c r="D1641" s="2" t="s">
        <v>63</v>
      </c>
      <c r="E1641" s="2" t="s">
        <v>69</v>
      </c>
      <c r="F1641" s="2" t="s">
        <v>73</v>
      </c>
      <c r="G1641" s="2" t="s">
        <v>87</v>
      </c>
      <c r="H1641" s="2" t="n">
        <v>2</v>
      </c>
      <c r="I1641" s="2" t="n">
        <v>9000</v>
      </c>
      <c r="J1641" s="2" t="n">
        <v>0.15</v>
      </c>
      <c r="K1641" s="2" t="n">
        <v>6200</v>
      </c>
    </row>
    <row r="1642" customFormat="false" ht="15" hidden="false" customHeight="false" outlineLevel="0" collapsed="false">
      <c r="A1642" s="2" t="s">
        <v>2339</v>
      </c>
      <c r="B1642" s="2" t="s">
        <v>2337</v>
      </c>
      <c r="C1642" s="10" t="n">
        <v>45903</v>
      </c>
      <c r="D1642" s="2" t="s">
        <v>63</v>
      </c>
      <c r="E1642" s="2" t="s">
        <v>69</v>
      </c>
      <c r="F1642" s="2" t="s">
        <v>73</v>
      </c>
      <c r="G1642" s="2" t="s">
        <v>87</v>
      </c>
      <c r="H1642" s="2" t="n">
        <v>2</v>
      </c>
      <c r="I1642" s="2" t="n">
        <v>9000</v>
      </c>
      <c r="J1642" s="2" t="n">
        <v>0.05</v>
      </c>
      <c r="K1642" s="2" t="n">
        <v>6200</v>
      </c>
    </row>
    <row r="1643" customFormat="false" ht="15" hidden="false" customHeight="false" outlineLevel="0" collapsed="false">
      <c r="A1643" s="2" t="s">
        <v>2340</v>
      </c>
      <c r="B1643" s="2" t="s">
        <v>2337</v>
      </c>
      <c r="C1643" s="10" t="n">
        <v>45999</v>
      </c>
      <c r="D1643" s="2" t="s">
        <v>63</v>
      </c>
      <c r="E1643" s="2" t="s">
        <v>69</v>
      </c>
      <c r="F1643" s="2" t="s">
        <v>65</v>
      </c>
      <c r="G1643" s="2" t="s">
        <v>107</v>
      </c>
      <c r="H1643" s="2" t="n">
        <v>15</v>
      </c>
      <c r="I1643" s="2" t="n">
        <v>500</v>
      </c>
      <c r="J1643" s="2" t="n">
        <v>0.05</v>
      </c>
      <c r="K1643" s="2" t="n">
        <v>250</v>
      </c>
    </row>
    <row r="1644" customFormat="false" ht="15" hidden="false" customHeight="false" outlineLevel="0" collapsed="false">
      <c r="A1644" s="2" t="s">
        <v>2341</v>
      </c>
      <c r="B1644" s="2" t="s">
        <v>2342</v>
      </c>
      <c r="C1644" s="10" t="n">
        <v>46013</v>
      </c>
      <c r="D1644" s="2" t="s">
        <v>63</v>
      </c>
      <c r="E1644" s="2" t="s">
        <v>69</v>
      </c>
      <c r="F1644" s="2" t="s">
        <v>70</v>
      </c>
      <c r="G1644" s="2" t="s">
        <v>71</v>
      </c>
      <c r="H1644" s="2" t="n">
        <v>5</v>
      </c>
      <c r="I1644" s="2" t="n">
        <v>2500</v>
      </c>
      <c r="J1644" s="2" t="n">
        <v>0.05</v>
      </c>
      <c r="K1644" s="2" t="n">
        <v>1600</v>
      </c>
    </row>
    <row r="1645" customFormat="false" ht="15" hidden="false" customHeight="false" outlineLevel="0" collapsed="false">
      <c r="A1645" s="2" t="s">
        <v>2343</v>
      </c>
      <c r="B1645" s="2" t="s">
        <v>2342</v>
      </c>
      <c r="C1645" s="10" t="n">
        <v>45965</v>
      </c>
      <c r="D1645" s="2" t="s">
        <v>63</v>
      </c>
      <c r="E1645" s="2" t="s">
        <v>69</v>
      </c>
      <c r="F1645" s="2" t="s">
        <v>70</v>
      </c>
      <c r="G1645" s="2" t="s">
        <v>71</v>
      </c>
      <c r="H1645" s="2" t="n">
        <v>5</v>
      </c>
      <c r="I1645" s="2" t="n">
        <v>2500</v>
      </c>
      <c r="J1645" s="2" t="n">
        <v>0.05</v>
      </c>
      <c r="K1645" s="2" t="n">
        <v>1600</v>
      </c>
    </row>
    <row r="1646" customFormat="false" ht="15" hidden="false" customHeight="false" outlineLevel="0" collapsed="false">
      <c r="A1646" s="2" t="s">
        <v>2344</v>
      </c>
      <c r="B1646" s="2" t="s">
        <v>2345</v>
      </c>
      <c r="C1646" s="10" t="n">
        <v>46002</v>
      </c>
      <c r="D1646" s="2" t="s">
        <v>77</v>
      </c>
      <c r="E1646" s="2" t="s">
        <v>64</v>
      </c>
      <c r="F1646" s="2" t="s">
        <v>70</v>
      </c>
      <c r="G1646" s="2" t="s">
        <v>122</v>
      </c>
      <c r="H1646" s="2" t="n">
        <v>1</v>
      </c>
      <c r="I1646" s="2" t="n">
        <v>1500</v>
      </c>
      <c r="J1646" s="2" t="n">
        <v>0.15</v>
      </c>
      <c r="K1646" s="2" t="n">
        <v>900</v>
      </c>
    </row>
    <row r="1647" customFormat="false" ht="15" hidden="false" customHeight="false" outlineLevel="0" collapsed="false">
      <c r="A1647" s="2" t="s">
        <v>2346</v>
      </c>
      <c r="B1647" s="2" t="s">
        <v>2345</v>
      </c>
      <c r="C1647" s="10" t="n">
        <v>46009</v>
      </c>
      <c r="D1647" s="2" t="s">
        <v>77</v>
      </c>
      <c r="E1647" s="2" t="s">
        <v>64</v>
      </c>
      <c r="F1647" s="2" t="s">
        <v>65</v>
      </c>
      <c r="G1647" s="2" t="s">
        <v>66</v>
      </c>
      <c r="H1647" s="2" t="n">
        <v>7</v>
      </c>
      <c r="I1647" s="2" t="n">
        <v>600</v>
      </c>
      <c r="J1647" s="2" t="n">
        <v>0.1</v>
      </c>
      <c r="K1647" s="2" t="n">
        <v>300</v>
      </c>
    </row>
    <row r="1648" customFormat="false" ht="15" hidden="false" customHeight="false" outlineLevel="0" collapsed="false">
      <c r="A1648" s="2" t="s">
        <v>2347</v>
      </c>
      <c r="B1648" s="2" t="s">
        <v>2348</v>
      </c>
      <c r="C1648" s="10" t="n">
        <v>45971</v>
      </c>
      <c r="D1648" s="2" t="s">
        <v>77</v>
      </c>
      <c r="E1648" s="2" t="s">
        <v>64</v>
      </c>
      <c r="F1648" s="2" t="s">
        <v>70</v>
      </c>
      <c r="G1648" s="2" t="s">
        <v>126</v>
      </c>
      <c r="H1648" s="2" t="n">
        <v>3</v>
      </c>
      <c r="I1648" s="2" t="n">
        <v>4500</v>
      </c>
      <c r="J1648" s="2" t="n">
        <v>0.05</v>
      </c>
      <c r="K1648" s="2" t="n">
        <v>3300</v>
      </c>
    </row>
    <row r="1649" customFormat="false" ht="15" hidden="false" customHeight="false" outlineLevel="0" collapsed="false">
      <c r="A1649" s="2" t="s">
        <v>2349</v>
      </c>
      <c r="B1649" s="2" t="s">
        <v>2350</v>
      </c>
      <c r="C1649" s="10" t="n">
        <v>45823</v>
      </c>
      <c r="D1649" s="2" t="s">
        <v>77</v>
      </c>
      <c r="E1649" s="2" t="s">
        <v>69</v>
      </c>
      <c r="F1649" s="2" t="s">
        <v>70</v>
      </c>
      <c r="G1649" s="2" t="s">
        <v>126</v>
      </c>
      <c r="H1649" s="2" t="n">
        <v>2</v>
      </c>
      <c r="I1649" s="2" t="n">
        <v>4500</v>
      </c>
      <c r="J1649" s="2" t="n">
        <v>0.05</v>
      </c>
      <c r="K1649" s="2" t="n">
        <v>3300</v>
      </c>
    </row>
    <row r="1650" customFormat="false" ht="15" hidden="false" customHeight="false" outlineLevel="0" collapsed="false">
      <c r="A1650" s="2" t="s">
        <v>2351</v>
      </c>
      <c r="B1650" s="2" t="s">
        <v>2350</v>
      </c>
      <c r="C1650" s="10" t="n">
        <v>45704</v>
      </c>
      <c r="D1650" s="2" t="s">
        <v>77</v>
      </c>
      <c r="E1650" s="2" t="s">
        <v>69</v>
      </c>
      <c r="F1650" s="2" t="s">
        <v>70</v>
      </c>
      <c r="G1650" s="2" t="s">
        <v>126</v>
      </c>
      <c r="H1650" s="2" t="n">
        <v>4</v>
      </c>
      <c r="I1650" s="2" t="n">
        <v>4500</v>
      </c>
      <c r="J1650" s="2" t="n">
        <v>0</v>
      </c>
      <c r="K1650" s="2" t="n">
        <v>3300</v>
      </c>
    </row>
    <row r="1651" customFormat="false" ht="15" hidden="false" customHeight="false" outlineLevel="0" collapsed="false">
      <c r="A1651" s="2" t="s">
        <v>2352</v>
      </c>
      <c r="B1651" s="2" t="s">
        <v>2350</v>
      </c>
      <c r="C1651" s="10" t="n">
        <v>45702</v>
      </c>
      <c r="D1651" s="2"/>
      <c r="E1651" s="2" t="s">
        <v>69</v>
      </c>
      <c r="F1651" s="2" t="s">
        <v>70</v>
      </c>
      <c r="G1651" s="2" t="s">
        <v>97</v>
      </c>
      <c r="H1651" s="2" t="n">
        <v>3</v>
      </c>
      <c r="I1651" s="2" t="n">
        <v>3000</v>
      </c>
      <c r="J1651" s="2" t="n">
        <v>0</v>
      </c>
      <c r="K1651" s="2" t="n">
        <v>2000</v>
      </c>
    </row>
    <row r="1652" customFormat="false" ht="15" hidden="false" customHeight="false" outlineLevel="0" collapsed="false">
      <c r="A1652" s="2" t="s">
        <v>2353</v>
      </c>
      <c r="B1652" s="2" t="s">
        <v>2354</v>
      </c>
      <c r="C1652" s="10" t="n">
        <v>45672</v>
      </c>
      <c r="D1652" s="2" t="s">
        <v>91</v>
      </c>
      <c r="E1652" s="2" t="s">
        <v>92</v>
      </c>
      <c r="F1652" s="2" t="s">
        <v>73</v>
      </c>
      <c r="G1652" s="2" t="s">
        <v>104</v>
      </c>
      <c r="H1652" s="2" t="n">
        <v>7</v>
      </c>
      <c r="I1652" s="2" t="n">
        <v>5500</v>
      </c>
      <c r="J1652" s="2" t="n">
        <v>0</v>
      </c>
      <c r="K1652" s="2" t="n">
        <v>3600</v>
      </c>
    </row>
    <row r="1653" customFormat="false" ht="15" hidden="false" customHeight="false" outlineLevel="0" collapsed="false">
      <c r="A1653" s="2" t="s">
        <v>2355</v>
      </c>
      <c r="B1653" s="2" t="s">
        <v>2354</v>
      </c>
      <c r="C1653" s="10" t="n">
        <v>45997</v>
      </c>
      <c r="D1653" s="2" t="s">
        <v>91</v>
      </c>
      <c r="E1653" s="2" t="s">
        <v>92</v>
      </c>
      <c r="F1653" s="2" t="s">
        <v>73</v>
      </c>
      <c r="G1653" s="2" t="s">
        <v>85</v>
      </c>
      <c r="H1653" s="2" t="n">
        <v>2</v>
      </c>
      <c r="I1653" s="2" t="n">
        <v>1200</v>
      </c>
      <c r="J1653" s="2" t="n">
        <v>0.15</v>
      </c>
      <c r="K1653" s="2" t="n">
        <v>600</v>
      </c>
    </row>
    <row r="1654" customFormat="false" ht="15" hidden="false" customHeight="false" outlineLevel="0" collapsed="false">
      <c r="A1654" s="2" t="s">
        <v>2356</v>
      </c>
      <c r="B1654" s="2" t="s">
        <v>2357</v>
      </c>
      <c r="C1654" s="10" t="n">
        <v>45933</v>
      </c>
      <c r="D1654" s="2" t="s">
        <v>63</v>
      </c>
      <c r="E1654" s="2" t="s">
        <v>64</v>
      </c>
      <c r="F1654" s="2" t="s">
        <v>65</v>
      </c>
      <c r="G1654" s="2" t="s">
        <v>66</v>
      </c>
      <c r="H1654" s="2" t="n">
        <v>4</v>
      </c>
      <c r="I1654" s="2" t="n">
        <v>600</v>
      </c>
      <c r="J1654" s="2" t="n">
        <v>0.1</v>
      </c>
      <c r="K1654" s="2" t="n">
        <v>300</v>
      </c>
    </row>
    <row r="1655" customFormat="false" ht="15" hidden="false" customHeight="false" outlineLevel="0" collapsed="false">
      <c r="A1655" s="2" t="s">
        <v>2358</v>
      </c>
      <c r="B1655" s="2" t="s">
        <v>2357</v>
      </c>
      <c r="C1655" s="10" t="n">
        <v>45916</v>
      </c>
      <c r="D1655" s="2" t="s">
        <v>63</v>
      </c>
      <c r="E1655" s="2" t="s">
        <v>64</v>
      </c>
      <c r="F1655" s="2" t="s">
        <v>70</v>
      </c>
      <c r="G1655" s="2" t="s">
        <v>71</v>
      </c>
      <c r="H1655" s="2" t="n">
        <v>1</v>
      </c>
      <c r="I1655" s="2" t="n">
        <v>2500</v>
      </c>
      <c r="J1655" s="2" t="n">
        <v>0</v>
      </c>
      <c r="K1655" s="2" t="n">
        <v>1600</v>
      </c>
    </row>
    <row r="1656" customFormat="false" ht="15" hidden="false" customHeight="false" outlineLevel="0" collapsed="false">
      <c r="A1656" s="2" t="s">
        <v>2359</v>
      </c>
      <c r="B1656" s="2" t="s">
        <v>2360</v>
      </c>
      <c r="C1656" s="10" t="n">
        <v>45905</v>
      </c>
      <c r="D1656" s="2" t="s">
        <v>81</v>
      </c>
      <c r="E1656" s="2" t="s">
        <v>69</v>
      </c>
      <c r="F1656" s="2" t="s">
        <v>73</v>
      </c>
      <c r="G1656" s="2" t="s">
        <v>104</v>
      </c>
      <c r="H1656" s="2" t="n">
        <v>3</v>
      </c>
      <c r="I1656" s="2" t="n">
        <v>5500</v>
      </c>
      <c r="J1656" s="2" t="n">
        <v>0.1</v>
      </c>
      <c r="K1656" s="2" t="n">
        <v>3600</v>
      </c>
    </row>
    <row r="1657" customFormat="false" ht="15" hidden="false" customHeight="false" outlineLevel="0" collapsed="false">
      <c r="A1657" s="2" t="s">
        <v>2361</v>
      </c>
      <c r="B1657" s="2" t="s">
        <v>2362</v>
      </c>
      <c r="C1657" s="10" t="n">
        <v>45757</v>
      </c>
      <c r="D1657" s="2" t="s">
        <v>77</v>
      </c>
      <c r="E1657" s="2" t="s">
        <v>64</v>
      </c>
      <c r="F1657" s="2" t="s">
        <v>70</v>
      </c>
      <c r="G1657" s="2" t="s">
        <v>97</v>
      </c>
      <c r="H1657" s="2" t="n">
        <v>1</v>
      </c>
      <c r="I1657" s="2" t="n">
        <v>3000</v>
      </c>
      <c r="J1657" s="2" t="n">
        <v>0</v>
      </c>
      <c r="K1657" s="2" t="n">
        <v>2000</v>
      </c>
    </row>
    <row r="1658" customFormat="false" ht="15" hidden="false" customHeight="false" outlineLevel="0" collapsed="false">
      <c r="A1658" s="2" t="s">
        <v>2363</v>
      </c>
      <c r="B1658" s="2" t="s">
        <v>2364</v>
      </c>
      <c r="C1658" s="10" t="n">
        <v>45946</v>
      </c>
      <c r="D1658" s="2" t="s">
        <v>91</v>
      </c>
      <c r="E1658" s="2" t="s">
        <v>69</v>
      </c>
      <c r="F1658" s="2" t="s">
        <v>70</v>
      </c>
      <c r="G1658" s="2" t="s">
        <v>126</v>
      </c>
      <c r="H1658" s="2" t="n">
        <v>3</v>
      </c>
      <c r="I1658" s="2" t="n">
        <v>4500</v>
      </c>
      <c r="J1658" s="2" t="n">
        <v>0.1</v>
      </c>
      <c r="K1658" s="2" t="n">
        <v>3300</v>
      </c>
    </row>
    <row r="1659" customFormat="false" ht="15" hidden="false" customHeight="false" outlineLevel="0" collapsed="false">
      <c r="A1659" s="2" t="s">
        <v>2365</v>
      </c>
      <c r="B1659" s="2" t="s">
        <v>2366</v>
      </c>
      <c r="C1659" s="10" t="n">
        <v>45908</v>
      </c>
      <c r="D1659" s="2" t="s">
        <v>81</v>
      </c>
      <c r="E1659" s="2" t="s">
        <v>64</v>
      </c>
      <c r="F1659" s="2" t="s">
        <v>70</v>
      </c>
      <c r="G1659" s="2" t="s">
        <v>71</v>
      </c>
      <c r="H1659" s="2" t="n">
        <v>1</v>
      </c>
      <c r="I1659" s="2" t="n">
        <v>2500</v>
      </c>
      <c r="J1659" s="2" t="n">
        <v>0</v>
      </c>
      <c r="K1659" s="2" t="n">
        <v>1600</v>
      </c>
    </row>
    <row r="1660" customFormat="false" ht="15" hidden="false" customHeight="false" outlineLevel="0" collapsed="false">
      <c r="A1660" s="2" t="s">
        <v>2367</v>
      </c>
      <c r="B1660" s="2" t="s">
        <v>2366</v>
      </c>
      <c r="C1660" s="10" t="n">
        <v>45853</v>
      </c>
      <c r="D1660" s="2" t="s">
        <v>81</v>
      </c>
      <c r="E1660" s="2" t="s">
        <v>64</v>
      </c>
      <c r="F1660" s="2" t="s">
        <v>70</v>
      </c>
      <c r="G1660" s="2" t="s">
        <v>97</v>
      </c>
      <c r="H1660" s="2" t="n">
        <v>2</v>
      </c>
      <c r="I1660" s="2" t="n">
        <v>3000</v>
      </c>
      <c r="J1660" s="2" t="n">
        <v>0.1</v>
      </c>
      <c r="K1660" s="2" t="n">
        <v>2000</v>
      </c>
    </row>
    <row r="1661" customFormat="false" ht="15" hidden="false" customHeight="false" outlineLevel="0" collapsed="false">
      <c r="A1661" s="2" t="s">
        <v>2368</v>
      </c>
      <c r="B1661" s="2" t="s">
        <v>2369</v>
      </c>
      <c r="C1661" s="10" t="n">
        <v>45911</v>
      </c>
      <c r="D1661" s="2" t="s">
        <v>91</v>
      </c>
      <c r="E1661" s="2" t="s">
        <v>92</v>
      </c>
      <c r="F1661" s="2" t="s">
        <v>73</v>
      </c>
      <c r="G1661" s="2" t="s">
        <v>74</v>
      </c>
      <c r="H1661" s="2" t="n">
        <v>6</v>
      </c>
      <c r="I1661" s="2" t="n">
        <v>7000</v>
      </c>
      <c r="J1661" s="2" t="n">
        <v>0.05</v>
      </c>
      <c r="K1661" s="2" t="n">
        <v>4800</v>
      </c>
    </row>
    <row r="1662" customFormat="false" ht="15" hidden="false" customHeight="false" outlineLevel="0" collapsed="false">
      <c r="A1662" s="2" t="s">
        <v>2370</v>
      </c>
      <c r="B1662" s="2" t="s">
        <v>2369</v>
      </c>
      <c r="C1662" s="10" t="n">
        <v>45771</v>
      </c>
      <c r="D1662" s="2" t="s">
        <v>91</v>
      </c>
      <c r="E1662" s="2" t="s">
        <v>92</v>
      </c>
      <c r="F1662" s="2" t="s">
        <v>73</v>
      </c>
      <c r="G1662" s="2" t="s">
        <v>74</v>
      </c>
      <c r="H1662" s="2" t="n">
        <v>6</v>
      </c>
      <c r="I1662" s="2" t="n">
        <v>7000</v>
      </c>
      <c r="J1662" s="2" t="n">
        <v>0</v>
      </c>
      <c r="K1662" s="2" t="n">
        <v>4800</v>
      </c>
    </row>
    <row r="1663" customFormat="false" ht="15" hidden="false" customHeight="false" outlineLevel="0" collapsed="false">
      <c r="A1663" s="2" t="s">
        <v>2371</v>
      </c>
      <c r="B1663" s="2" t="s">
        <v>2369</v>
      </c>
      <c r="C1663" s="10" t="n">
        <v>45940</v>
      </c>
      <c r="D1663" s="2" t="s">
        <v>91</v>
      </c>
      <c r="E1663" s="2" t="s">
        <v>92</v>
      </c>
      <c r="F1663" s="2" t="s">
        <v>73</v>
      </c>
      <c r="G1663" s="2" t="s">
        <v>104</v>
      </c>
      <c r="H1663" s="2" t="n">
        <v>7</v>
      </c>
      <c r="I1663" s="2" t="n">
        <v>5500</v>
      </c>
      <c r="J1663" s="2" t="n">
        <v>0.15</v>
      </c>
      <c r="K1663" s="2" t="n">
        <v>3600</v>
      </c>
    </row>
    <row r="1664" customFormat="false" ht="15" hidden="false" customHeight="false" outlineLevel="0" collapsed="false">
      <c r="A1664" s="2" t="s">
        <v>2372</v>
      </c>
      <c r="B1664" s="2" t="s">
        <v>2369</v>
      </c>
      <c r="C1664" s="10" t="n">
        <v>45947</v>
      </c>
      <c r="D1664" s="2" t="s">
        <v>91</v>
      </c>
      <c r="E1664" s="2" t="s">
        <v>92</v>
      </c>
      <c r="F1664" s="2" t="s">
        <v>70</v>
      </c>
      <c r="G1664" s="2" t="s">
        <v>97</v>
      </c>
      <c r="H1664" s="2" t="n">
        <v>3</v>
      </c>
      <c r="I1664" s="2" t="n">
        <v>3000</v>
      </c>
      <c r="J1664" s="2" t="n">
        <v>0.15</v>
      </c>
      <c r="K1664" s="2" t="n">
        <v>2000</v>
      </c>
    </row>
    <row r="1665" customFormat="false" ht="15" hidden="false" customHeight="false" outlineLevel="0" collapsed="false">
      <c r="A1665" s="2" t="s">
        <v>2373</v>
      </c>
      <c r="B1665" s="2" t="s">
        <v>2369</v>
      </c>
      <c r="C1665" s="10" t="n">
        <v>45854</v>
      </c>
      <c r="D1665" s="2" t="s">
        <v>91</v>
      </c>
      <c r="E1665" s="2" t="s">
        <v>92</v>
      </c>
      <c r="F1665" s="2" t="s">
        <v>70</v>
      </c>
      <c r="G1665" s="2" t="s">
        <v>126</v>
      </c>
      <c r="H1665" s="2" t="n">
        <v>4</v>
      </c>
      <c r="I1665" s="2" t="n">
        <v>4500</v>
      </c>
      <c r="J1665" s="2" t="n">
        <v>0.05</v>
      </c>
      <c r="K1665" s="2" t="n">
        <v>3300</v>
      </c>
    </row>
    <row r="1666" customFormat="false" ht="15" hidden="false" customHeight="false" outlineLevel="0" collapsed="false">
      <c r="A1666" s="2" t="s">
        <v>2374</v>
      </c>
      <c r="B1666" s="2" t="s">
        <v>2369</v>
      </c>
      <c r="C1666" s="10" t="n">
        <v>45975</v>
      </c>
      <c r="D1666" s="2" t="s">
        <v>91</v>
      </c>
      <c r="E1666" s="2" t="s">
        <v>92</v>
      </c>
      <c r="F1666" s="2" t="s">
        <v>70</v>
      </c>
      <c r="G1666" s="2" t="s">
        <v>71</v>
      </c>
      <c r="H1666" s="2" t="n">
        <v>8</v>
      </c>
      <c r="I1666" s="2" t="n">
        <v>2500</v>
      </c>
      <c r="J1666" s="2" t="n">
        <v>0.05</v>
      </c>
      <c r="K1666" s="2" t="n">
        <v>1600</v>
      </c>
    </row>
    <row r="1667" customFormat="false" ht="15" hidden="false" customHeight="false" outlineLevel="0" collapsed="false">
      <c r="A1667" s="2" t="s">
        <v>2375</v>
      </c>
      <c r="B1667" s="2"/>
      <c r="C1667" s="10" t="n">
        <v>45789</v>
      </c>
      <c r="D1667" s="2" t="s">
        <v>91</v>
      </c>
      <c r="E1667" s="2" t="s">
        <v>92</v>
      </c>
      <c r="F1667" s="2" t="s">
        <v>73</v>
      </c>
      <c r="G1667" s="2" t="s">
        <v>104</v>
      </c>
      <c r="H1667" s="2" t="n">
        <v>8</v>
      </c>
      <c r="I1667" s="2" t="n">
        <v>5500</v>
      </c>
      <c r="J1667" s="2" t="n">
        <v>0</v>
      </c>
      <c r="K1667" s="2" t="n">
        <v>3600</v>
      </c>
    </row>
    <row r="1668" customFormat="false" ht="15" hidden="false" customHeight="false" outlineLevel="0" collapsed="false">
      <c r="A1668" s="2" t="s">
        <v>2376</v>
      </c>
      <c r="B1668" s="2" t="s">
        <v>2369</v>
      </c>
      <c r="C1668" s="10" t="n">
        <v>45912</v>
      </c>
      <c r="D1668" s="2" t="s">
        <v>91</v>
      </c>
      <c r="E1668" s="2" t="s">
        <v>92</v>
      </c>
      <c r="F1668" s="2" t="s">
        <v>73</v>
      </c>
      <c r="G1668" s="2" t="s">
        <v>85</v>
      </c>
      <c r="H1668" s="2" t="n">
        <v>2</v>
      </c>
      <c r="I1668" s="2" t="n">
        <v>1200</v>
      </c>
      <c r="J1668" s="2" t="n">
        <v>0.15</v>
      </c>
      <c r="K1668" s="2" t="n">
        <v>600</v>
      </c>
    </row>
    <row r="1669" customFormat="false" ht="15" hidden="false" customHeight="false" outlineLevel="0" collapsed="false">
      <c r="A1669" s="2" t="s">
        <v>2377</v>
      </c>
      <c r="B1669" s="2" t="s">
        <v>2378</v>
      </c>
      <c r="C1669" s="10" t="n">
        <v>45774</v>
      </c>
      <c r="D1669" s="2" t="s">
        <v>91</v>
      </c>
      <c r="E1669" s="2" t="s">
        <v>69</v>
      </c>
      <c r="F1669" s="2" t="s">
        <v>73</v>
      </c>
      <c r="G1669" s="2" t="s">
        <v>104</v>
      </c>
      <c r="H1669" s="2" t="n">
        <v>4</v>
      </c>
      <c r="I1669" s="2" t="n">
        <v>5500</v>
      </c>
      <c r="J1669" s="2" t="n">
        <v>0</v>
      </c>
      <c r="K1669" s="2" t="n">
        <v>3600</v>
      </c>
    </row>
    <row r="1670" customFormat="false" ht="15" hidden="false" customHeight="false" outlineLevel="0" collapsed="false">
      <c r="A1670" s="2" t="s">
        <v>2379</v>
      </c>
      <c r="B1670" s="2" t="s">
        <v>2380</v>
      </c>
      <c r="C1670" s="10" t="n">
        <v>45897</v>
      </c>
      <c r="D1670" s="2" t="s">
        <v>81</v>
      </c>
      <c r="E1670" s="2" t="s">
        <v>64</v>
      </c>
      <c r="F1670" s="2" t="s">
        <v>73</v>
      </c>
      <c r="G1670" s="2" t="s">
        <v>87</v>
      </c>
      <c r="H1670" s="2" t="n">
        <v>3</v>
      </c>
      <c r="I1670" s="2" t="n">
        <v>9000</v>
      </c>
      <c r="J1670" s="2" t="n">
        <v>0.05</v>
      </c>
      <c r="K1670" s="2" t="n">
        <v>6200</v>
      </c>
    </row>
    <row r="1671" customFormat="false" ht="15" hidden="false" customHeight="false" outlineLevel="0" collapsed="false">
      <c r="A1671" s="2" t="s">
        <v>2381</v>
      </c>
      <c r="B1671" s="2" t="s">
        <v>2382</v>
      </c>
      <c r="C1671" s="10" t="n">
        <v>45748</v>
      </c>
      <c r="D1671" s="2" t="s">
        <v>63</v>
      </c>
      <c r="E1671" s="2" t="s">
        <v>69</v>
      </c>
      <c r="F1671" s="2" t="s">
        <v>73</v>
      </c>
      <c r="G1671" s="2" t="s">
        <v>87</v>
      </c>
      <c r="H1671" s="2" t="n">
        <v>4</v>
      </c>
      <c r="I1671" s="2" t="n">
        <v>9000</v>
      </c>
      <c r="J1671" s="2" t="n">
        <v>0.05</v>
      </c>
      <c r="K1671" s="2" t="n">
        <v>6200</v>
      </c>
    </row>
    <row r="1672" customFormat="false" ht="15" hidden="false" customHeight="false" outlineLevel="0" collapsed="false">
      <c r="A1672" s="2" t="s">
        <v>2383</v>
      </c>
      <c r="B1672" s="2" t="s">
        <v>2382</v>
      </c>
      <c r="C1672" s="10" t="n">
        <v>45733</v>
      </c>
      <c r="D1672" s="2" t="s">
        <v>63</v>
      </c>
      <c r="E1672" s="2" t="s">
        <v>69</v>
      </c>
      <c r="F1672" s="2" t="s">
        <v>73</v>
      </c>
      <c r="G1672" s="2" t="s">
        <v>74</v>
      </c>
      <c r="H1672" s="2" t="n">
        <v>3</v>
      </c>
      <c r="I1672" s="2" t="n">
        <v>7000</v>
      </c>
      <c r="J1672" s="2" t="n">
        <v>0</v>
      </c>
      <c r="K1672" s="2" t="n">
        <v>4800</v>
      </c>
    </row>
    <row r="1673" customFormat="false" ht="15" hidden="false" customHeight="false" outlineLevel="0" collapsed="false">
      <c r="A1673" s="2" t="s">
        <v>2384</v>
      </c>
      <c r="B1673" s="2" t="s">
        <v>2385</v>
      </c>
      <c r="C1673" s="10" t="n">
        <v>46000</v>
      </c>
      <c r="D1673" s="2" t="s">
        <v>77</v>
      </c>
      <c r="E1673" s="2" t="s">
        <v>64</v>
      </c>
      <c r="F1673" s="2" t="s">
        <v>70</v>
      </c>
      <c r="G1673" s="2" t="s">
        <v>122</v>
      </c>
      <c r="H1673" s="2" t="n">
        <v>1</v>
      </c>
      <c r="I1673" s="2" t="n">
        <v>1500</v>
      </c>
      <c r="J1673" s="2" t="n">
        <v>0.05</v>
      </c>
      <c r="K1673" s="2" t="n">
        <v>900</v>
      </c>
    </row>
    <row r="1674" customFormat="false" ht="15" hidden="false" customHeight="false" outlineLevel="0" collapsed="false">
      <c r="A1674" s="2" t="s">
        <v>2386</v>
      </c>
      <c r="B1674" s="2" t="s">
        <v>2387</v>
      </c>
      <c r="C1674" s="10" t="n">
        <v>45796</v>
      </c>
      <c r="D1674" s="2" t="s">
        <v>81</v>
      </c>
      <c r="E1674" s="2" t="s">
        <v>69</v>
      </c>
      <c r="F1674" s="2" t="s">
        <v>73</v>
      </c>
      <c r="G1674" s="2" t="s">
        <v>87</v>
      </c>
      <c r="H1674" s="2" t="n">
        <v>2</v>
      </c>
      <c r="I1674" s="2" t="n">
        <v>9000</v>
      </c>
      <c r="J1674" s="2" t="n">
        <v>0.1</v>
      </c>
      <c r="K1674" s="2" t="n">
        <v>6200</v>
      </c>
    </row>
    <row r="1675" customFormat="false" ht="15" hidden="false" customHeight="false" outlineLevel="0" collapsed="false">
      <c r="A1675" s="2" t="s">
        <v>2388</v>
      </c>
      <c r="B1675" s="2" t="s">
        <v>2389</v>
      </c>
      <c r="C1675" s="10" t="n">
        <v>45937</v>
      </c>
      <c r="D1675" s="2" t="s">
        <v>81</v>
      </c>
      <c r="E1675" s="2" t="s">
        <v>64</v>
      </c>
      <c r="F1675" s="2" t="s">
        <v>70</v>
      </c>
      <c r="G1675" s="2" t="s">
        <v>97</v>
      </c>
      <c r="H1675" s="2" t="n">
        <v>1</v>
      </c>
      <c r="I1675" s="2" t="n">
        <v>3000</v>
      </c>
      <c r="J1675" s="2" t="n">
        <v>0.05</v>
      </c>
      <c r="K1675" s="2" t="n">
        <v>2000</v>
      </c>
    </row>
    <row r="1676" customFormat="false" ht="15" hidden="false" customHeight="false" outlineLevel="0" collapsed="false">
      <c r="A1676" s="2" t="s">
        <v>2390</v>
      </c>
      <c r="B1676" s="2" t="s">
        <v>2391</v>
      </c>
      <c r="C1676" s="10" t="n">
        <v>45758</v>
      </c>
      <c r="D1676" s="2" t="s">
        <v>91</v>
      </c>
      <c r="E1676" s="2" t="s">
        <v>64</v>
      </c>
      <c r="F1676" s="2" t="s">
        <v>65</v>
      </c>
      <c r="G1676" s="2" t="s">
        <v>66</v>
      </c>
      <c r="H1676" s="2" t="n">
        <v>4</v>
      </c>
      <c r="I1676" s="2" t="n">
        <v>600</v>
      </c>
      <c r="J1676" s="2" t="n">
        <v>0</v>
      </c>
      <c r="K1676" s="2" t="n">
        <v>300</v>
      </c>
    </row>
    <row r="1677" customFormat="false" ht="15" hidden="false" customHeight="false" outlineLevel="0" collapsed="false">
      <c r="A1677" s="2" t="s">
        <v>2392</v>
      </c>
      <c r="B1677" s="2" t="s">
        <v>2393</v>
      </c>
      <c r="C1677" s="10" t="n">
        <v>45823</v>
      </c>
      <c r="D1677" s="2" t="s">
        <v>756</v>
      </c>
      <c r="E1677" s="2" t="s">
        <v>69</v>
      </c>
      <c r="F1677" s="2" t="s">
        <v>73</v>
      </c>
      <c r="G1677" s="2" t="s">
        <v>85</v>
      </c>
      <c r="H1677" s="2" t="n">
        <v>2</v>
      </c>
      <c r="I1677" s="2" t="n">
        <v>1200</v>
      </c>
      <c r="J1677" s="2" t="n">
        <v>0</v>
      </c>
      <c r="K1677" s="2" t="n">
        <v>600</v>
      </c>
    </row>
    <row r="1678" customFormat="false" ht="15" hidden="false" customHeight="false" outlineLevel="0" collapsed="false">
      <c r="A1678" s="2" t="s">
        <v>2394</v>
      </c>
      <c r="B1678" s="2" t="s">
        <v>2393</v>
      </c>
      <c r="C1678" s="10" t="n">
        <v>45733</v>
      </c>
      <c r="D1678" s="2" t="s">
        <v>77</v>
      </c>
      <c r="E1678" s="2" t="s">
        <v>69</v>
      </c>
      <c r="F1678" s="2" t="s">
        <v>65</v>
      </c>
      <c r="G1678" s="2" t="s">
        <v>82</v>
      </c>
      <c r="H1678" s="2" t="n">
        <v>8</v>
      </c>
      <c r="I1678" s="2" t="n">
        <v>250</v>
      </c>
      <c r="J1678" s="2" t="n">
        <v>0</v>
      </c>
      <c r="K1678" s="2" t="n">
        <v>100</v>
      </c>
    </row>
    <row r="1679" customFormat="false" ht="15" hidden="false" customHeight="false" outlineLevel="0" collapsed="false">
      <c r="A1679" s="2" t="s">
        <v>2395</v>
      </c>
      <c r="B1679" s="2" t="s">
        <v>2393</v>
      </c>
      <c r="C1679" s="10" t="n">
        <v>45915</v>
      </c>
      <c r="D1679" s="2" t="s">
        <v>77</v>
      </c>
      <c r="E1679" s="2" t="s">
        <v>69</v>
      </c>
      <c r="F1679" s="2" t="s">
        <v>73</v>
      </c>
      <c r="G1679" s="2" t="s">
        <v>87</v>
      </c>
      <c r="H1679" s="2" t="n">
        <v>2</v>
      </c>
      <c r="I1679" s="2" t="n">
        <v>9000</v>
      </c>
      <c r="J1679" s="2" t="n">
        <v>0</v>
      </c>
      <c r="K1679" s="2" t="n">
        <v>6200</v>
      </c>
    </row>
    <row r="1680" customFormat="false" ht="15" hidden="false" customHeight="false" outlineLevel="0" collapsed="false">
      <c r="A1680" s="2" t="s">
        <v>2396</v>
      </c>
      <c r="B1680" s="2" t="s">
        <v>2393</v>
      </c>
      <c r="C1680" s="10" t="n">
        <v>45997</v>
      </c>
      <c r="D1680" s="2" t="s">
        <v>77</v>
      </c>
      <c r="E1680" s="2" t="s">
        <v>69</v>
      </c>
      <c r="F1680" s="2" t="s">
        <v>65</v>
      </c>
      <c r="G1680" s="2" t="s">
        <v>66</v>
      </c>
      <c r="H1680" s="2" t="n">
        <v>17</v>
      </c>
      <c r="I1680" s="2" t="n">
        <v>600</v>
      </c>
      <c r="J1680" s="2" t="n">
        <v>0.05</v>
      </c>
      <c r="K1680" s="2" t="n">
        <v>300</v>
      </c>
    </row>
    <row r="1681" customFormat="false" ht="15" hidden="false" customHeight="false" outlineLevel="0" collapsed="false">
      <c r="A1681" s="2" t="s">
        <v>2397</v>
      </c>
      <c r="B1681" s="2" t="s">
        <v>2393</v>
      </c>
      <c r="C1681" s="10" t="n">
        <v>45946</v>
      </c>
      <c r="D1681" s="2" t="s">
        <v>77</v>
      </c>
      <c r="E1681" s="2" t="s">
        <v>69</v>
      </c>
      <c r="F1681" s="2" t="s">
        <v>73</v>
      </c>
      <c r="G1681" s="2" t="s">
        <v>87</v>
      </c>
      <c r="H1681" s="2" t="n">
        <v>4</v>
      </c>
      <c r="I1681" s="2" t="n">
        <v>9000</v>
      </c>
      <c r="J1681" s="2" t="n">
        <v>0.15</v>
      </c>
      <c r="K1681" s="2" t="n">
        <v>6200</v>
      </c>
    </row>
    <row r="1682" customFormat="false" ht="15" hidden="false" customHeight="false" outlineLevel="0" collapsed="false">
      <c r="A1682" s="2" t="s">
        <v>2398</v>
      </c>
      <c r="B1682" s="2" t="s">
        <v>2399</v>
      </c>
      <c r="C1682" s="10" t="n">
        <v>45846</v>
      </c>
      <c r="D1682" s="2" t="s">
        <v>63</v>
      </c>
      <c r="E1682" s="2" t="s">
        <v>64</v>
      </c>
      <c r="F1682" s="2" t="s">
        <v>65</v>
      </c>
      <c r="G1682" s="2" t="s">
        <v>78</v>
      </c>
      <c r="H1682" s="2" t="n">
        <v>2</v>
      </c>
      <c r="I1682" s="2" t="n">
        <v>400</v>
      </c>
      <c r="J1682" s="2" t="n">
        <v>0</v>
      </c>
      <c r="K1682" s="2" t="n">
        <v>200</v>
      </c>
    </row>
    <row r="1683" customFormat="false" ht="15" hidden="false" customHeight="false" outlineLevel="0" collapsed="false">
      <c r="A1683" s="2" t="s">
        <v>2400</v>
      </c>
      <c r="B1683" s="2" t="s">
        <v>2401</v>
      </c>
      <c r="C1683" s="10" t="n">
        <v>45872</v>
      </c>
      <c r="D1683" s="2" t="s">
        <v>81</v>
      </c>
      <c r="E1683" s="2" t="s">
        <v>69</v>
      </c>
      <c r="F1683" s="2" t="s">
        <v>65</v>
      </c>
      <c r="G1683" s="2" t="s">
        <v>78</v>
      </c>
      <c r="H1683" s="2" t="n">
        <v>12</v>
      </c>
      <c r="I1683" s="2" t="n">
        <v>400</v>
      </c>
      <c r="J1683" s="2" t="n">
        <v>0</v>
      </c>
      <c r="K1683" s="2" t="n">
        <v>200</v>
      </c>
    </row>
    <row r="1684" customFormat="false" ht="15" hidden="false" customHeight="false" outlineLevel="0" collapsed="false">
      <c r="A1684" s="2" t="s">
        <v>2402</v>
      </c>
      <c r="B1684" s="2" t="s">
        <v>2401</v>
      </c>
      <c r="C1684" s="10" t="n">
        <v>45800</v>
      </c>
      <c r="D1684" s="2" t="s">
        <v>81</v>
      </c>
      <c r="E1684" s="2" t="s">
        <v>69</v>
      </c>
      <c r="F1684" s="2" t="s">
        <v>73</v>
      </c>
      <c r="G1684" s="2" t="s">
        <v>74</v>
      </c>
      <c r="H1684" s="2" t="n">
        <v>5</v>
      </c>
      <c r="I1684" s="2" t="n">
        <v>7000</v>
      </c>
      <c r="J1684" s="2" t="n">
        <v>0</v>
      </c>
      <c r="K1684" s="2" t="n">
        <v>4800</v>
      </c>
    </row>
    <row r="1685" customFormat="false" ht="15" hidden="false" customHeight="false" outlineLevel="0" collapsed="false">
      <c r="A1685" s="2" t="s">
        <v>2403</v>
      </c>
      <c r="B1685" s="2" t="s">
        <v>2404</v>
      </c>
      <c r="C1685" s="10" t="n">
        <v>45812</v>
      </c>
      <c r="D1685" s="2" t="s">
        <v>77</v>
      </c>
      <c r="E1685" s="2" t="s">
        <v>69</v>
      </c>
      <c r="F1685" s="2" t="s">
        <v>73</v>
      </c>
      <c r="G1685" s="2" t="s">
        <v>74</v>
      </c>
      <c r="H1685" s="2" t="n">
        <v>2</v>
      </c>
      <c r="I1685" s="2" t="n">
        <v>7000</v>
      </c>
      <c r="J1685" s="2" t="n">
        <v>0.1</v>
      </c>
      <c r="K1685" s="2" t="n">
        <v>4800</v>
      </c>
    </row>
    <row r="1686" customFormat="false" ht="15" hidden="false" customHeight="false" outlineLevel="0" collapsed="false">
      <c r="A1686" s="2" t="s">
        <v>2405</v>
      </c>
      <c r="B1686" s="2" t="s">
        <v>2406</v>
      </c>
      <c r="C1686" s="10" t="n">
        <v>45994</v>
      </c>
      <c r="D1686" s="2" t="s">
        <v>81</v>
      </c>
      <c r="E1686" s="2" t="s">
        <v>69</v>
      </c>
      <c r="F1686" s="2" t="s">
        <v>70</v>
      </c>
      <c r="G1686" s="2" t="s">
        <v>97</v>
      </c>
      <c r="H1686" s="2" t="n">
        <v>4</v>
      </c>
      <c r="I1686" s="2" t="n">
        <v>3000</v>
      </c>
      <c r="J1686" s="2" t="n">
        <v>0.05</v>
      </c>
      <c r="K1686" s="2" t="n">
        <v>2000</v>
      </c>
    </row>
    <row r="1687" customFormat="false" ht="15" hidden="false" customHeight="false" outlineLevel="0" collapsed="false">
      <c r="A1687" s="2" t="s">
        <v>2407</v>
      </c>
      <c r="B1687" s="2" t="s">
        <v>2406</v>
      </c>
      <c r="C1687" s="10" t="n">
        <v>45661</v>
      </c>
      <c r="D1687" s="2" t="s">
        <v>81</v>
      </c>
      <c r="E1687" s="2" t="s">
        <v>69</v>
      </c>
      <c r="F1687" s="2" t="s">
        <v>70</v>
      </c>
      <c r="G1687" s="2" t="s">
        <v>122</v>
      </c>
      <c r="H1687" s="2" t="n">
        <v>1</v>
      </c>
      <c r="I1687" s="2" t="n">
        <v>1500</v>
      </c>
      <c r="J1687" s="2" t="n">
        <v>0.05</v>
      </c>
      <c r="K1687" s="2" t="n">
        <v>900</v>
      </c>
    </row>
    <row r="1688" customFormat="false" ht="15" hidden="false" customHeight="false" outlineLevel="0" collapsed="false">
      <c r="A1688" s="2" t="s">
        <v>2408</v>
      </c>
      <c r="B1688" s="2" t="s">
        <v>2406</v>
      </c>
      <c r="C1688" s="10" t="n">
        <v>45921</v>
      </c>
      <c r="D1688" s="2" t="s">
        <v>81</v>
      </c>
      <c r="E1688" s="2" t="s">
        <v>69</v>
      </c>
      <c r="F1688" s="2" t="s">
        <v>65</v>
      </c>
      <c r="G1688" s="2" t="s">
        <v>66</v>
      </c>
      <c r="H1688" s="2" t="n">
        <v>12</v>
      </c>
      <c r="I1688" s="2" t="n">
        <v>600</v>
      </c>
      <c r="J1688" s="2" t="n">
        <v>0.1</v>
      </c>
      <c r="K1688" s="2" t="n">
        <v>300</v>
      </c>
    </row>
    <row r="1689" customFormat="false" ht="15" hidden="false" customHeight="false" outlineLevel="0" collapsed="false">
      <c r="A1689" s="2" t="s">
        <v>2409</v>
      </c>
      <c r="B1689" s="2" t="s">
        <v>2406</v>
      </c>
      <c r="C1689" s="10" t="n">
        <v>45696</v>
      </c>
      <c r="D1689" s="2" t="s">
        <v>81</v>
      </c>
      <c r="E1689" s="2" t="s">
        <v>69</v>
      </c>
      <c r="F1689" s="2" t="s">
        <v>70</v>
      </c>
      <c r="G1689" s="2" t="s">
        <v>71</v>
      </c>
      <c r="H1689" s="2" t="n">
        <v>3</v>
      </c>
      <c r="I1689" s="2" t="n">
        <v>2500</v>
      </c>
      <c r="J1689" s="2" t="n">
        <v>0.05</v>
      </c>
      <c r="K1689" s="2" t="n">
        <v>1600</v>
      </c>
    </row>
    <row r="1690" customFormat="false" ht="15" hidden="false" customHeight="false" outlineLevel="0" collapsed="false">
      <c r="A1690" s="2" t="s">
        <v>2410</v>
      </c>
      <c r="B1690" s="2" t="s">
        <v>2406</v>
      </c>
      <c r="C1690" s="10" t="n">
        <v>45962</v>
      </c>
      <c r="D1690" s="2" t="s">
        <v>81</v>
      </c>
      <c r="E1690" s="2" t="s">
        <v>69</v>
      </c>
      <c r="F1690" s="2" t="s">
        <v>73</v>
      </c>
      <c r="G1690" s="2" t="s">
        <v>85</v>
      </c>
      <c r="H1690" s="2" t="n">
        <v>2</v>
      </c>
      <c r="I1690" s="2" t="n">
        <v>1200</v>
      </c>
      <c r="J1690" s="2" t="n">
        <v>0.05</v>
      </c>
      <c r="K1690" s="2" t="n">
        <v>600</v>
      </c>
    </row>
    <row r="1691" customFormat="false" ht="15" hidden="false" customHeight="false" outlineLevel="0" collapsed="false">
      <c r="A1691" s="2" t="s">
        <v>2411</v>
      </c>
      <c r="B1691" s="2" t="s">
        <v>2406</v>
      </c>
      <c r="C1691" s="10" t="n">
        <v>45814</v>
      </c>
      <c r="D1691" s="2" t="s">
        <v>81</v>
      </c>
      <c r="E1691" s="2" t="s">
        <v>69</v>
      </c>
      <c r="F1691" s="2" t="s">
        <v>70</v>
      </c>
      <c r="G1691" s="2" t="s">
        <v>126</v>
      </c>
      <c r="H1691" s="2" t="n">
        <v>1</v>
      </c>
      <c r="I1691" s="2" t="n">
        <v>4500</v>
      </c>
      <c r="J1691" s="2" t="n">
        <v>0</v>
      </c>
      <c r="K1691" s="2" t="n">
        <v>3300</v>
      </c>
    </row>
    <row r="1692" customFormat="false" ht="15" hidden="false" customHeight="false" outlineLevel="0" collapsed="false">
      <c r="A1692" s="2" t="s">
        <v>2412</v>
      </c>
      <c r="B1692" s="2" t="s">
        <v>2406</v>
      </c>
      <c r="C1692" s="10" t="n">
        <v>45751</v>
      </c>
      <c r="D1692" s="2" t="s">
        <v>81</v>
      </c>
      <c r="E1692" s="2" t="s">
        <v>69</v>
      </c>
      <c r="F1692" s="2" t="s">
        <v>65</v>
      </c>
      <c r="G1692" s="2" t="s">
        <v>66</v>
      </c>
      <c r="H1692" s="2" t="n">
        <v>13</v>
      </c>
      <c r="I1692" s="2" t="n">
        <v>600</v>
      </c>
      <c r="J1692" s="2" t="n">
        <v>0</v>
      </c>
      <c r="K1692" s="2" t="n">
        <v>300</v>
      </c>
    </row>
    <row r="1693" customFormat="false" ht="15" hidden="false" customHeight="false" outlineLevel="0" collapsed="false">
      <c r="A1693" s="2" t="s">
        <v>2413</v>
      </c>
      <c r="B1693" s="2" t="s">
        <v>2406</v>
      </c>
      <c r="C1693" s="10" t="n">
        <v>45997</v>
      </c>
      <c r="D1693" s="2" t="s">
        <v>81</v>
      </c>
      <c r="E1693" s="2" t="s">
        <v>69</v>
      </c>
      <c r="F1693" s="2" t="s">
        <v>73</v>
      </c>
      <c r="G1693" s="2" t="s">
        <v>104</v>
      </c>
      <c r="H1693" s="2" t="n">
        <v>5</v>
      </c>
      <c r="I1693" s="2" t="n">
        <v>5500</v>
      </c>
      <c r="J1693" s="2" t="n">
        <v>0.05</v>
      </c>
      <c r="K1693" s="2" t="n">
        <v>3600</v>
      </c>
    </row>
    <row r="1694" customFormat="false" ht="15" hidden="false" customHeight="false" outlineLevel="0" collapsed="false">
      <c r="A1694" s="2" t="s">
        <v>2414</v>
      </c>
      <c r="B1694" s="2" t="s">
        <v>2415</v>
      </c>
      <c r="C1694" s="10" t="n">
        <v>45764</v>
      </c>
      <c r="D1694" s="2" t="s">
        <v>63</v>
      </c>
      <c r="E1694" s="2" t="s">
        <v>69</v>
      </c>
      <c r="F1694" s="2" t="s">
        <v>70</v>
      </c>
      <c r="G1694" s="2" t="s">
        <v>126</v>
      </c>
      <c r="H1694" s="2" t="n">
        <v>4</v>
      </c>
      <c r="I1694" s="2" t="n">
        <v>4500</v>
      </c>
      <c r="J1694" s="2" t="n">
        <v>0.1</v>
      </c>
      <c r="K1694" s="2" t="n">
        <v>3300</v>
      </c>
    </row>
    <row r="1695" customFormat="false" ht="15" hidden="false" customHeight="false" outlineLevel="0" collapsed="false">
      <c r="A1695" s="2" t="s">
        <v>2416</v>
      </c>
      <c r="B1695" s="2" t="s">
        <v>2417</v>
      </c>
      <c r="C1695" s="10" t="n">
        <v>45829</v>
      </c>
      <c r="D1695" s="2" t="s">
        <v>77</v>
      </c>
      <c r="E1695" s="2" t="s">
        <v>64</v>
      </c>
      <c r="F1695" s="2" t="s">
        <v>70</v>
      </c>
      <c r="G1695" s="2" t="s">
        <v>71</v>
      </c>
      <c r="H1695" s="2" t="n">
        <v>1</v>
      </c>
      <c r="I1695" s="2" t="n">
        <v>2500</v>
      </c>
      <c r="J1695" s="2" t="n">
        <v>0</v>
      </c>
      <c r="K1695" s="2" t="n">
        <v>1600</v>
      </c>
    </row>
    <row r="1696" customFormat="false" ht="15" hidden="false" customHeight="false" outlineLevel="0" collapsed="false">
      <c r="A1696" s="2" t="s">
        <v>2418</v>
      </c>
      <c r="B1696" s="2" t="s">
        <v>2417</v>
      </c>
      <c r="C1696" s="10" t="n">
        <v>45862</v>
      </c>
      <c r="D1696" s="2" t="s">
        <v>77</v>
      </c>
      <c r="E1696" s="2" t="s">
        <v>64</v>
      </c>
      <c r="F1696" s="2" t="s">
        <v>65</v>
      </c>
      <c r="G1696" s="2" t="s">
        <v>78</v>
      </c>
      <c r="H1696" s="2" t="n">
        <v>2</v>
      </c>
      <c r="I1696" s="2" t="n">
        <v>400</v>
      </c>
      <c r="J1696" s="2" t="n">
        <v>0</v>
      </c>
      <c r="K1696" s="2" t="n">
        <v>200</v>
      </c>
    </row>
    <row r="1697" customFormat="false" ht="15" hidden="false" customHeight="false" outlineLevel="0" collapsed="false">
      <c r="A1697" s="2" t="s">
        <v>2419</v>
      </c>
      <c r="B1697" s="2" t="s">
        <v>2420</v>
      </c>
      <c r="C1697" s="10" t="n">
        <v>45749</v>
      </c>
      <c r="D1697" s="2" t="s">
        <v>81</v>
      </c>
      <c r="E1697" s="2" t="s">
        <v>64</v>
      </c>
      <c r="F1697" s="2" t="s">
        <v>70</v>
      </c>
      <c r="G1697" s="2" t="s">
        <v>97</v>
      </c>
      <c r="H1697" s="2" t="n">
        <v>3</v>
      </c>
      <c r="I1697" s="2" t="n">
        <v>3000</v>
      </c>
      <c r="J1697" s="2" t="n">
        <v>0.05</v>
      </c>
      <c r="K1697" s="2" t="n">
        <v>2000</v>
      </c>
    </row>
    <row r="1698" customFormat="false" ht="15" hidden="false" customHeight="false" outlineLevel="0" collapsed="false">
      <c r="A1698" s="2" t="s">
        <v>2421</v>
      </c>
      <c r="B1698" s="2" t="s">
        <v>2422</v>
      </c>
      <c r="C1698" s="10" t="n">
        <v>46003</v>
      </c>
      <c r="D1698" s="2" t="s">
        <v>63</v>
      </c>
      <c r="E1698" s="2" t="s">
        <v>64</v>
      </c>
      <c r="F1698" s="2" t="s">
        <v>65</v>
      </c>
      <c r="G1698" s="2" t="s">
        <v>82</v>
      </c>
      <c r="H1698" s="2" t="n">
        <v>2</v>
      </c>
      <c r="I1698" s="2" t="n">
        <v>250</v>
      </c>
      <c r="J1698" s="2" t="n">
        <v>0.05</v>
      </c>
      <c r="K1698" s="2" t="n">
        <v>100</v>
      </c>
    </row>
    <row r="1699" customFormat="false" ht="15" hidden="false" customHeight="false" outlineLevel="0" collapsed="false">
      <c r="A1699" s="2" t="s">
        <v>2423</v>
      </c>
      <c r="B1699" s="2" t="s">
        <v>2424</v>
      </c>
      <c r="C1699" s="10" t="n">
        <v>45694</v>
      </c>
      <c r="D1699" s="2" t="s">
        <v>77</v>
      </c>
      <c r="E1699" s="2" t="s">
        <v>64</v>
      </c>
      <c r="F1699" s="2" t="s">
        <v>65</v>
      </c>
      <c r="G1699" s="2" t="s">
        <v>107</v>
      </c>
      <c r="H1699" s="2" t="n">
        <v>5</v>
      </c>
      <c r="I1699" s="2" t="n">
        <v>500</v>
      </c>
      <c r="J1699" s="2" t="n">
        <v>0.05</v>
      </c>
      <c r="K1699" s="2" t="n">
        <v>250</v>
      </c>
    </row>
    <row r="1700" customFormat="false" ht="15" hidden="false" customHeight="false" outlineLevel="0" collapsed="false">
      <c r="A1700" s="2" t="s">
        <v>2425</v>
      </c>
      <c r="B1700" s="2" t="s">
        <v>2426</v>
      </c>
      <c r="C1700" s="10" t="n">
        <v>45931</v>
      </c>
      <c r="D1700" s="2" t="s">
        <v>63</v>
      </c>
      <c r="E1700" s="2" t="s">
        <v>64</v>
      </c>
      <c r="F1700" s="2" t="s">
        <v>70</v>
      </c>
      <c r="G1700" s="2" t="s">
        <v>71</v>
      </c>
      <c r="H1700" s="2" t="n">
        <v>3</v>
      </c>
      <c r="I1700" s="2" t="n">
        <v>2500</v>
      </c>
      <c r="J1700" s="2" t="n">
        <v>0.1</v>
      </c>
      <c r="K1700" s="2" t="n">
        <v>1600</v>
      </c>
    </row>
    <row r="1701" customFormat="false" ht="15" hidden="false" customHeight="false" outlineLevel="0" collapsed="false">
      <c r="A1701" s="2" t="s">
        <v>2427</v>
      </c>
      <c r="B1701" s="2" t="s">
        <v>2428</v>
      </c>
      <c r="C1701" s="10" t="n">
        <v>45677</v>
      </c>
      <c r="D1701" s="2" t="s">
        <v>91</v>
      </c>
      <c r="E1701" s="2" t="s">
        <v>69</v>
      </c>
      <c r="F1701" s="2" t="s">
        <v>65</v>
      </c>
      <c r="G1701" s="2" t="s">
        <v>82</v>
      </c>
      <c r="H1701" s="2" t="n">
        <v>13</v>
      </c>
      <c r="I1701" s="2" t="n">
        <v>250</v>
      </c>
      <c r="J1701" s="2" t="n">
        <v>0.1</v>
      </c>
      <c r="K1701" s="2" t="n">
        <v>100</v>
      </c>
    </row>
    <row r="1702" customFormat="false" ht="15" hidden="false" customHeight="false" outlineLevel="0" collapsed="false">
      <c r="A1702" s="2" t="s">
        <v>2429</v>
      </c>
      <c r="B1702" s="2" t="s">
        <v>2430</v>
      </c>
      <c r="C1702" s="10" t="n">
        <v>46000</v>
      </c>
      <c r="D1702" s="2" t="s">
        <v>81</v>
      </c>
      <c r="E1702" s="2" t="s">
        <v>64</v>
      </c>
      <c r="F1702" s="2" t="s">
        <v>73</v>
      </c>
      <c r="G1702" s="2" t="s">
        <v>85</v>
      </c>
      <c r="H1702" s="2" t="n">
        <v>2</v>
      </c>
      <c r="I1702" s="2" t="n">
        <v>1200</v>
      </c>
      <c r="J1702" s="2" t="n">
        <v>0.05</v>
      </c>
      <c r="K1702" s="2" t="n">
        <v>600</v>
      </c>
    </row>
    <row r="1703" customFormat="false" ht="15" hidden="false" customHeight="false" outlineLevel="0" collapsed="false">
      <c r="A1703" s="2" t="s">
        <v>2431</v>
      </c>
      <c r="B1703" s="2" t="s">
        <v>2430</v>
      </c>
      <c r="C1703" s="10" t="n">
        <v>45821</v>
      </c>
      <c r="D1703" s="2" t="s">
        <v>81</v>
      </c>
      <c r="E1703" s="2" t="s">
        <v>64</v>
      </c>
      <c r="F1703" s="2" t="s">
        <v>73</v>
      </c>
      <c r="G1703" s="2" t="s">
        <v>87</v>
      </c>
      <c r="H1703" s="2" t="n">
        <v>3</v>
      </c>
      <c r="I1703" s="2" t="n">
        <v>9000</v>
      </c>
      <c r="J1703" s="2" t="n">
        <v>0</v>
      </c>
      <c r="K1703" s="2" t="n">
        <v>6200</v>
      </c>
    </row>
    <row r="1704" customFormat="false" ht="15" hidden="false" customHeight="false" outlineLevel="0" collapsed="false">
      <c r="A1704" s="2" t="s">
        <v>2432</v>
      </c>
      <c r="B1704" s="2" t="s">
        <v>2433</v>
      </c>
      <c r="C1704" s="10" t="n">
        <v>45721</v>
      </c>
      <c r="D1704" s="2" t="s">
        <v>81</v>
      </c>
      <c r="E1704" s="2" t="s">
        <v>64</v>
      </c>
      <c r="F1704" s="2" t="s">
        <v>65</v>
      </c>
      <c r="G1704" s="2" t="s">
        <v>107</v>
      </c>
      <c r="H1704" s="2" t="n">
        <v>3</v>
      </c>
      <c r="I1704" s="2" t="n">
        <v>500</v>
      </c>
      <c r="J1704" s="2" t="n">
        <v>0</v>
      </c>
      <c r="K1704" s="2" t="n">
        <v>250</v>
      </c>
    </row>
    <row r="1705" customFormat="false" ht="15" hidden="false" customHeight="false" outlineLevel="0" collapsed="false">
      <c r="A1705" s="2" t="s">
        <v>2434</v>
      </c>
      <c r="B1705" s="2" t="s">
        <v>2433</v>
      </c>
      <c r="C1705" s="10" t="n">
        <v>45964</v>
      </c>
      <c r="D1705" s="2" t="s">
        <v>81</v>
      </c>
      <c r="E1705" s="2" t="s">
        <v>64</v>
      </c>
      <c r="F1705" s="2" t="s">
        <v>70</v>
      </c>
      <c r="G1705" s="2" t="s">
        <v>122</v>
      </c>
      <c r="H1705" s="2" t="n">
        <v>3</v>
      </c>
      <c r="I1705" s="2" t="n">
        <v>1500</v>
      </c>
      <c r="J1705" s="2" t="n">
        <v>0.05</v>
      </c>
      <c r="K1705" s="2" t="n">
        <v>900</v>
      </c>
    </row>
    <row r="1706" customFormat="false" ht="15" hidden="false" customHeight="false" outlineLevel="0" collapsed="false">
      <c r="A1706" s="2" t="s">
        <v>2435</v>
      </c>
      <c r="B1706" s="2" t="s">
        <v>2436</v>
      </c>
      <c r="C1706" s="10" t="n">
        <v>45909</v>
      </c>
      <c r="D1706" s="2" t="s">
        <v>77</v>
      </c>
      <c r="E1706" s="2" t="s">
        <v>92</v>
      </c>
      <c r="F1706" s="2" t="s">
        <v>73</v>
      </c>
      <c r="G1706" s="2" t="s">
        <v>74</v>
      </c>
      <c r="H1706" s="2" t="n">
        <v>4</v>
      </c>
      <c r="I1706" s="2" t="n">
        <v>7000</v>
      </c>
      <c r="J1706" s="2" t="n">
        <v>0.15</v>
      </c>
      <c r="K1706" s="2" t="n">
        <v>4800</v>
      </c>
    </row>
    <row r="1707" customFormat="false" ht="15" hidden="false" customHeight="false" outlineLevel="0" collapsed="false">
      <c r="A1707" s="2" t="s">
        <v>2437</v>
      </c>
      <c r="B1707" s="2" t="s">
        <v>2436</v>
      </c>
      <c r="C1707" s="10" t="n">
        <v>45987</v>
      </c>
      <c r="D1707" s="2" t="s">
        <v>77</v>
      </c>
      <c r="E1707" s="2" t="s">
        <v>92</v>
      </c>
      <c r="F1707" s="2" t="s">
        <v>73</v>
      </c>
      <c r="G1707" s="2" t="s">
        <v>104</v>
      </c>
      <c r="H1707" s="2" t="n">
        <v>4</v>
      </c>
      <c r="I1707" s="2" t="n">
        <v>5500</v>
      </c>
      <c r="J1707" s="2" t="n">
        <v>0.1</v>
      </c>
      <c r="K1707" s="2" t="n">
        <v>3600</v>
      </c>
    </row>
    <row r="1708" customFormat="false" ht="15" hidden="false" customHeight="false" outlineLevel="0" collapsed="false">
      <c r="A1708" s="2" t="s">
        <v>2438</v>
      </c>
      <c r="B1708" s="2" t="s">
        <v>2436</v>
      </c>
      <c r="C1708" s="10" t="n">
        <v>45720</v>
      </c>
      <c r="D1708" s="2" t="s">
        <v>77</v>
      </c>
      <c r="E1708" s="2" t="s">
        <v>92</v>
      </c>
      <c r="F1708" s="2" t="s">
        <v>70</v>
      </c>
      <c r="G1708" s="2" t="s">
        <v>71</v>
      </c>
      <c r="H1708" s="2" t="n">
        <v>6</v>
      </c>
      <c r="I1708" s="2" t="n">
        <v>2500</v>
      </c>
      <c r="J1708" s="2" t="n">
        <v>0</v>
      </c>
      <c r="K1708" s="2" t="n">
        <v>1600</v>
      </c>
    </row>
    <row r="1709" customFormat="false" ht="15" hidden="false" customHeight="false" outlineLevel="0" collapsed="false">
      <c r="A1709" s="2" t="s">
        <v>2439</v>
      </c>
      <c r="B1709" s="2" t="s">
        <v>2440</v>
      </c>
      <c r="C1709" s="10" t="n">
        <v>45910</v>
      </c>
      <c r="D1709" s="2" t="s">
        <v>91</v>
      </c>
      <c r="E1709" s="2" t="s">
        <v>69</v>
      </c>
      <c r="F1709" s="2" t="s">
        <v>70</v>
      </c>
      <c r="G1709" s="2" t="s">
        <v>126</v>
      </c>
      <c r="H1709" s="2" t="n">
        <v>3</v>
      </c>
      <c r="I1709" s="2" t="n">
        <v>4500</v>
      </c>
      <c r="J1709" s="2" t="n">
        <v>0</v>
      </c>
      <c r="K1709" s="2" t="n">
        <v>3300</v>
      </c>
    </row>
    <row r="1710" customFormat="false" ht="15" hidden="false" customHeight="false" outlineLevel="0" collapsed="false">
      <c r="A1710" s="2" t="s">
        <v>2441</v>
      </c>
      <c r="B1710" s="2" t="s">
        <v>2440</v>
      </c>
      <c r="C1710" s="10" t="n">
        <v>45978</v>
      </c>
      <c r="D1710" s="2" t="s">
        <v>91</v>
      </c>
      <c r="E1710" s="2" t="s">
        <v>69</v>
      </c>
      <c r="F1710" s="2" t="s">
        <v>65</v>
      </c>
      <c r="G1710" s="2" t="s">
        <v>107</v>
      </c>
      <c r="H1710" s="2" t="n">
        <v>18</v>
      </c>
      <c r="I1710" s="2" t="n">
        <v>500</v>
      </c>
      <c r="J1710" s="2" t="n">
        <v>0.05</v>
      </c>
      <c r="K1710" s="2" t="n">
        <v>250</v>
      </c>
    </row>
    <row r="1711" customFormat="false" ht="15" hidden="false" customHeight="false" outlineLevel="0" collapsed="false">
      <c r="A1711" s="2" t="s">
        <v>2442</v>
      </c>
      <c r="B1711" s="2" t="s">
        <v>2440</v>
      </c>
      <c r="C1711" s="10" t="n">
        <v>45977</v>
      </c>
      <c r="D1711" s="2" t="s">
        <v>91</v>
      </c>
      <c r="E1711" s="2" t="s">
        <v>69</v>
      </c>
      <c r="F1711" s="2" t="s">
        <v>73</v>
      </c>
      <c r="G1711" s="2" t="s">
        <v>104</v>
      </c>
      <c r="H1711" s="2" t="n">
        <v>1</v>
      </c>
      <c r="I1711" s="2" t="n">
        <v>5500</v>
      </c>
      <c r="J1711" s="2" t="n">
        <v>0.05</v>
      </c>
      <c r="K1711" s="2" t="n">
        <v>3600</v>
      </c>
    </row>
    <row r="1712" customFormat="false" ht="15" hidden="false" customHeight="false" outlineLevel="0" collapsed="false">
      <c r="A1712" s="2" t="s">
        <v>2443</v>
      </c>
      <c r="B1712" s="2" t="s">
        <v>2444</v>
      </c>
      <c r="C1712" s="10" t="n">
        <v>45660</v>
      </c>
      <c r="D1712" s="2" t="s">
        <v>77</v>
      </c>
      <c r="E1712" s="2" t="s">
        <v>64</v>
      </c>
      <c r="F1712" s="2" t="s">
        <v>65</v>
      </c>
      <c r="G1712" s="2" t="s">
        <v>107</v>
      </c>
      <c r="H1712" s="2" t="n">
        <v>2</v>
      </c>
      <c r="I1712" s="2" t="n">
        <v>500</v>
      </c>
      <c r="J1712" s="2" t="n">
        <v>0</v>
      </c>
      <c r="K1712" s="2" t="n">
        <v>250</v>
      </c>
    </row>
    <row r="1713" customFormat="false" ht="15" hidden="false" customHeight="false" outlineLevel="0" collapsed="false">
      <c r="A1713" s="2" t="s">
        <v>2445</v>
      </c>
      <c r="B1713" s="2" t="s">
        <v>2446</v>
      </c>
      <c r="C1713" s="10" t="n">
        <v>45772</v>
      </c>
      <c r="D1713" s="2" t="s">
        <v>81</v>
      </c>
      <c r="E1713" s="2" t="s">
        <v>64</v>
      </c>
      <c r="F1713" s="2" t="s">
        <v>65</v>
      </c>
      <c r="G1713" s="2" t="s">
        <v>78</v>
      </c>
      <c r="H1713" s="2" t="n">
        <v>6</v>
      </c>
      <c r="I1713" s="2" t="n">
        <v>400</v>
      </c>
      <c r="J1713" s="2" t="n">
        <v>0</v>
      </c>
      <c r="K1713" s="2" t="n">
        <v>200</v>
      </c>
    </row>
    <row r="1714" customFormat="false" ht="15" hidden="false" customHeight="false" outlineLevel="0" collapsed="false">
      <c r="A1714" s="2" t="s">
        <v>2447</v>
      </c>
      <c r="B1714" s="2" t="s">
        <v>2446</v>
      </c>
      <c r="C1714" s="10" t="n">
        <v>45680</v>
      </c>
      <c r="D1714" s="2" t="s">
        <v>81</v>
      </c>
      <c r="E1714" s="2" t="s">
        <v>64</v>
      </c>
      <c r="F1714" s="2" t="s">
        <v>73</v>
      </c>
      <c r="G1714" s="2" t="s">
        <v>87</v>
      </c>
      <c r="H1714" s="2" t="n">
        <v>1</v>
      </c>
      <c r="I1714" s="2" t="n">
        <v>9000</v>
      </c>
      <c r="J1714" s="2" t="n">
        <v>0</v>
      </c>
      <c r="K1714" s="2" t="n">
        <v>6200</v>
      </c>
    </row>
    <row r="1715" customFormat="false" ht="15" hidden="false" customHeight="false" outlineLevel="0" collapsed="false">
      <c r="A1715" s="2" t="s">
        <v>2448</v>
      </c>
      <c r="B1715" s="2" t="s">
        <v>2449</v>
      </c>
      <c r="C1715" s="10" t="n">
        <v>45886</v>
      </c>
      <c r="D1715" s="2" t="s">
        <v>63</v>
      </c>
      <c r="E1715" s="2" t="s">
        <v>69</v>
      </c>
      <c r="F1715" s="2" t="s">
        <v>73</v>
      </c>
      <c r="G1715" s="2" t="s">
        <v>85</v>
      </c>
      <c r="H1715" s="2" t="n">
        <v>1</v>
      </c>
      <c r="I1715" s="2" t="n">
        <v>1200</v>
      </c>
      <c r="J1715" s="2" t="n">
        <v>0.1</v>
      </c>
      <c r="K1715" s="2" t="n">
        <v>600</v>
      </c>
    </row>
    <row r="1716" customFormat="false" ht="15" hidden="false" customHeight="false" outlineLevel="0" collapsed="false">
      <c r="A1716" s="2" t="s">
        <v>2450</v>
      </c>
      <c r="B1716" s="2" t="s">
        <v>2449</v>
      </c>
      <c r="C1716" s="10" t="n">
        <v>45988</v>
      </c>
      <c r="D1716" s="2" t="s">
        <v>63</v>
      </c>
      <c r="E1716" s="2" t="s">
        <v>69</v>
      </c>
      <c r="F1716" s="2" t="s">
        <v>73</v>
      </c>
      <c r="G1716" s="2" t="s">
        <v>74</v>
      </c>
      <c r="H1716" s="2" t="n">
        <v>4</v>
      </c>
      <c r="I1716" s="2" t="n">
        <v>7000</v>
      </c>
      <c r="J1716" s="2" t="n">
        <v>0.15</v>
      </c>
      <c r="K1716" s="2" t="n">
        <v>4800</v>
      </c>
    </row>
    <row r="1717" customFormat="false" ht="15" hidden="false" customHeight="false" outlineLevel="0" collapsed="false">
      <c r="A1717" s="2" t="s">
        <v>2451</v>
      </c>
      <c r="B1717" s="2" t="s">
        <v>2449</v>
      </c>
      <c r="C1717" s="10" t="n">
        <v>45904</v>
      </c>
      <c r="D1717" s="2" t="s">
        <v>63</v>
      </c>
      <c r="E1717" s="2" t="s">
        <v>69</v>
      </c>
      <c r="F1717" s="2" t="s">
        <v>70</v>
      </c>
      <c r="G1717" s="2" t="s">
        <v>71</v>
      </c>
      <c r="H1717" s="2" t="n">
        <v>2</v>
      </c>
      <c r="I1717" s="2" t="n">
        <v>2500</v>
      </c>
      <c r="J1717" s="2" t="n">
        <v>0</v>
      </c>
      <c r="K1717" s="2" t="n">
        <v>1600</v>
      </c>
    </row>
    <row r="1718" customFormat="false" ht="15" hidden="false" customHeight="false" outlineLevel="0" collapsed="false">
      <c r="A1718" s="2" t="s">
        <v>2452</v>
      </c>
      <c r="B1718" s="2" t="s">
        <v>2449</v>
      </c>
      <c r="C1718" s="10" t="n">
        <v>45817</v>
      </c>
      <c r="D1718" s="2" t="s">
        <v>63</v>
      </c>
      <c r="E1718" s="2" t="s">
        <v>69</v>
      </c>
      <c r="F1718" s="2" t="s">
        <v>73</v>
      </c>
      <c r="G1718" s="2" t="s">
        <v>74</v>
      </c>
      <c r="H1718" s="2" t="n">
        <v>2</v>
      </c>
      <c r="I1718" s="2" t="n">
        <v>7000</v>
      </c>
      <c r="J1718" s="2" t="n">
        <v>0</v>
      </c>
      <c r="K1718" s="2" t="n">
        <v>4800</v>
      </c>
    </row>
    <row r="1719" customFormat="false" ht="15" hidden="false" customHeight="false" outlineLevel="0" collapsed="false">
      <c r="A1719" s="2" t="s">
        <v>2453</v>
      </c>
      <c r="B1719" s="2" t="s">
        <v>2454</v>
      </c>
      <c r="C1719" s="10" t="n">
        <v>45967</v>
      </c>
      <c r="D1719" s="2" t="s">
        <v>81</v>
      </c>
      <c r="E1719" s="2" t="s">
        <v>69</v>
      </c>
      <c r="F1719" s="2" t="s">
        <v>73</v>
      </c>
      <c r="G1719" s="2" t="s">
        <v>85</v>
      </c>
      <c r="H1719" s="2" t="n">
        <v>3</v>
      </c>
      <c r="I1719" s="2" t="n">
        <v>1200</v>
      </c>
      <c r="J1719" s="2" t="n">
        <v>0.05</v>
      </c>
      <c r="K1719" s="2" t="n">
        <v>600</v>
      </c>
    </row>
    <row r="1720" customFormat="false" ht="15" hidden="false" customHeight="false" outlineLevel="0" collapsed="false">
      <c r="A1720" s="2" t="s">
        <v>2455</v>
      </c>
      <c r="B1720" s="2" t="s">
        <v>2454</v>
      </c>
      <c r="C1720" s="10" t="n">
        <v>45989</v>
      </c>
      <c r="D1720" s="2" t="s">
        <v>81</v>
      </c>
      <c r="E1720" s="2" t="s">
        <v>69</v>
      </c>
      <c r="F1720" s="2" t="s">
        <v>70</v>
      </c>
      <c r="G1720" s="2" t="s">
        <v>122</v>
      </c>
      <c r="H1720" s="2" t="n">
        <v>1</v>
      </c>
      <c r="I1720" s="2" t="n">
        <v>1500</v>
      </c>
      <c r="J1720" s="2" t="n">
        <v>0.15</v>
      </c>
      <c r="K1720" s="2" t="n">
        <v>900</v>
      </c>
    </row>
    <row r="1721" customFormat="false" ht="15" hidden="false" customHeight="false" outlineLevel="0" collapsed="false">
      <c r="A1721" s="2" t="s">
        <v>2456</v>
      </c>
      <c r="B1721" s="2" t="s">
        <v>2457</v>
      </c>
      <c r="C1721" s="10" t="n">
        <v>45966</v>
      </c>
      <c r="D1721" s="2" t="s">
        <v>63</v>
      </c>
      <c r="E1721" s="2" t="s">
        <v>64</v>
      </c>
      <c r="F1721" s="2" t="s">
        <v>65</v>
      </c>
      <c r="G1721" s="2" t="s">
        <v>107</v>
      </c>
      <c r="H1721" s="2" t="n">
        <v>2</v>
      </c>
      <c r="I1721" s="2" t="n">
        <v>500</v>
      </c>
      <c r="J1721" s="2" t="n">
        <v>0.05</v>
      </c>
      <c r="K1721" s="2" t="n">
        <v>250</v>
      </c>
    </row>
    <row r="1722" customFormat="false" ht="15" hidden="false" customHeight="false" outlineLevel="0" collapsed="false">
      <c r="A1722" s="2" t="s">
        <v>2458</v>
      </c>
      <c r="B1722" s="2" t="s">
        <v>2459</v>
      </c>
      <c r="C1722" s="10" t="n">
        <v>45752</v>
      </c>
      <c r="D1722" s="2" t="s">
        <v>63</v>
      </c>
      <c r="E1722" s="2" t="s">
        <v>64</v>
      </c>
      <c r="F1722" s="2" t="s">
        <v>73</v>
      </c>
      <c r="G1722" s="2" t="s">
        <v>85</v>
      </c>
      <c r="H1722" s="2" t="n">
        <v>3</v>
      </c>
      <c r="I1722" s="2" t="n">
        <v>1200</v>
      </c>
      <c r="J1722" s="2" t="n">
        <v>0</v>
      </c>
      <c r="K1722" s="2" t="n">
        <v>600</v>
      </c>
    </row>
    <row r="1723" customFormat="false" ht="15" hidden="false" customHeight="false" outlineLevel="0" collapsed="false">
      <c r="A1723" s="2" t="s">
        <v>2460</v>
      </c>
      <c r="B1723" s="2" t="s">
        <v>2461</v>
      </c>
      <c r="C1723" s="10" t="n">
        <v>45789</v>
      </c>
      <c r="D1723" s="2" t="s">
        <v>91</v>
      </c>
      <c r="E1723" s="2" t="s">
        <v>69</v>
      </c>
      <c r="F1723" s="2" t="s">
        <v>73</v>
      </c>
      <c r="G1723" s="2" t="s">
        <v>74</v>
      </c>
      <c r="H1723" s="2" t="n">
        <v>5</v>
      </c>
      <c r="I1723" s="2" t="n">
        <v>7000</v>
      </c>
      <c r="J1723" s="2" t="n">
        <v>0.05</v>
      </c>
      <c r="K1723" s="2" t="n">
        <v>4800</v>
      </c>
    </row>
    <row r="1724" customFormat="false" ht="15" hidden="false" customHeight="false" outlineLevel="0" collapsed="false">
      <c r="A1724" s="2" t="s">
        <v>2462</v>
      </c>
      <c r="B1724" s="2" t="s">
        <v>2463</v>
      </c>
      <c r="C1724" s="10" t="n">
        <v>45714</v>
      </c>
      <c r="D1724" s="2" t="s">
        <v>77</v>
      </c>
      <c r="E1724" s="2" t="s">
        <v>64</v>
      </c>
      <c r="F1724" s="2" t="s">
        <v>65</v>
      </c>
      <c r="G1724" s="2" t="s">
        <v>107</v>
      </c>
      <c r="H1724" s="2" t="n">
        <v>2</v>
      </c>
      <c r="I1724" s="2" t="n">
        <v>500</v>
      </c>
      <c r="J1724" s="2" t="n">
        <v>0</v>
      </c>
      <c r="K1724" s="2" t="n">
        <v>250</v>
      </c>
    </row>
    <row r="1725" customFormat="false" ht="15" hidden="false" customHeight="false" outlineLevel="0" collapsed="false">
      <c r="A1725" s="2" t="s">
        <v>2464</v>
      </c>
      <c r="B1725" s="2" t="s">
        <v>2465</v>
      </c>
      <c r="C1725" s="10" t="n">
        <v>46013</v>
      </c>
      <c r="D1725" s="2" t="s">
        <v>91</v>
      </c>
      <c r="E1725" s="2" t="s">
        <v>92</v>
      </c>
      <c r="F1725" s="2" t="s">
        <v>73</v>
      </c>
      <c r="G1725" s="2" t="s">
        <v>87</v>
      </c>
      <c r="H1725" s="2" t="n">
        <v>4</v>
      </c>
      <c r="I1725" s="2" t="n">
        <v>9000</v>
      </c>
      <c r="J1725" s="2" t="n">
        <v>0.15</v>
      </c>
      <c r="K1725" s="2" t="n">
        <v>6200</v>
      </c>
    </row>
    <row r="1726" customFormat="false" ht="15" hidden="false" customHeight="false" outlineLevel="0" collapsed="false">
      <c r="A1726" s="2" t="s">
        <v>2466</v>
      </c>
      <c r="B1726" s="2" t="s">
        <v>2465</v>
      </c>
      <c r="C1726" s="10" t="n">
        <v>45975</v>
      </c>
      <c r="D1726" s="2" t="s">
        <v>91</v>
      </c>
      <c r="E1726" s="2" t="s">
        <v>92</v>
      </c>
      <c r="F1726" s="2" t="s">
        <v>73</v>
      </c>
      <c r="G1726" s="2" t="s">
        <v>104</v>
      </c>
      <c r="H1726" s="2" t="n">
        <v>5</v>
      </c>
      <c r="I1726" s="2" t="n">
        <v>5500</v>
      </c>
      <c r="J1726" s="2" t="n">
        <v>0.15</v>
      </c>
      <c r="K1726" s="2" t="n">
        <v>3600</v>
      </c>
    </row>
    <row r="1727" customFormat="false" ht="15" hidden="false" customHeight="false" outlineLevel="0" collapsed="false">
      <c r="A1727" s="2" t="s">
        <v>2467</v>
      </c>
      <c r="B1727" s="2" t="s">
        <v>2465</v>
      </c>
      <c r="C1727" s="10" t="n">
        <v>45906</v>
      </c>
      <c r="D1727" s="2" t="s">
        <v>91</v>
      </c>
      <c r="E1727" s="2" t="s">
        <v>92</v>
      </c>
      <c r="F1727" s="2" t="s">
        <v>73</v>
      </c>
      <c r="G1727" s="2" t="s">
        <v>104</v>
      </c>
      <c r="H1727" s="2" t="n">
        <v>3</v>
      </c>
      <c r="I1727" s="2" t="n">
        <v>5500</v>
      </c>
      <c r="J1727" s="2" t="n">
        <v>0.05</v>
      </c>
      <c r="K1727" s="2" t="n">
        <v>3600</v>
      </c>
    </row>
    <row r="1728" customFormat="false" ht="15" hidden="false" customHeight="false" outlineLevel="0" collapsed="false">
      <c r="A1728" s="2" t="s">
        <v>2468</v>
      </c>
      <c r="B1728" s="2" t="s">
        <v>2469</v>
      </c>
      <c r="C1728" s="10" t="n">
        <v>45719</v>
      </c>
      <c r="D1728" s="2" t="s">
        <v>81</v>
      </c>
      <c r="E1728" s="2" t="s">
        <v>64</v>
      </c>
      <c r="F1728" s="2" t="s">
        <v>70</v>
      </c>
      <c r="G1728" s="2" t="s">
        <v>122</v>
      </c>
      <c r="H1728" s="2" t="n">
        <v>2</v>
      </c>
      <c r="I1728" s="2" t="n">
        <v>1500</v>
      </c>
      <c r="J1728" s="2" t="n">
        <v>0.05</v>
      </c>
      <c r="K1728" s="2" t="n">
        <v>900</v>
      </c>
    </row>
    <row r="1729" customFormat="false" ht="15" hidden="false" customHeight="false" outlineLevel="0" collapsed="false">
      <c r="A1729" s="2" t="s">
        <v>2470</v>
      </c>
      <c r="B1729" s="2" t="s">
        <v>2469</v>
      </c>
      <c r="C1729" s="10" t="n">
        <v>45934</v>
      </c>
      <c r="D1729" s="2" t="s">
        <v>81</v>
      </c>
      <c r="E1729" s="2" t="s">
        <v>64</v>
      </c>
      <c r="F1729" s="2" t="s">
        <v>73</v>
      </c>
      <c r="G1729" s="2" t="s">
        <v>104</v>
      </c>
      <c r="H1729" s="2" t="n">
        <v>2</v>
      </c>
      <c r="I1729" s="2" t="n">
        <v>5500</v>
      </c>
      <c r="J1729" s="2" t="n">
        <v>0.05</v>
      </c>
      <c r="K1729" s="2" t="n">
        <v>3600</v>
      </c>
    </row>
    <row r="1730" customFormat="false" ht="15" hidden="false" customHeight="false" outlineLevel="0" collapsed="false">
      <c r="A1730" s="2" t="s">
        <v>2471</v>
      </c>
      <c r="B1730" s="2" t="s">
        <v>2469</v>
      </c>
      <c r="C1730" s="10" t="n">
        <v>45840</v>
      </c>
      <c r="D1730" s="2" t="s">
        <v>81</v>
      </c>
      <c r="E1730" s="2" t="s">
        <v>64</v>
      </c>
      <c r="F1730" s="2" t="s">
        <v>65</v>
      </c>
      <c r="G1730" s="2" t="s">
        <v>78</v>
      </c>
      <c r="H1730" s="2" t="n">
        <v>2</v>
      </c>
      <c r="I1730" s="2" t="n">
        <v>400</v>
      </c>
      <c r="J1730" s="2" t="n">
        <v>0</v>
      </c>
      <c r="K1730" s="2" t="n">
        <v>200</v>
      </c>
    </row>
    <row r="1731" customFormat="false" ht="15" hidden="false" customHeight="false" outlineLevel="0" collapsed="false">
      <c r="A1731" s="2" t="s">
        <v>2472</v>
      </c>
      <c r="B1731" s="2" t="s">
        <v>2469</v>
      </c>
      <c r="C1731" s="10" t="n">
        <v>45906</v>
      </c>
      <c r="D1731" s="2" t="s">
        <v>81</v>
      </c>
      <c r="E1731" s="2" t="s">
        <v>64</v>
      </c>
      <c r="F1731" s="2" t="s">
        <v>65</v>
      </c>
      <c r="G1731" s="2" t="s">
        <v>107</v>
      </c>
      <c r="H1731" s="2" t="n">
        <v>5</v>
      </c>
      <c r="I1731" s="2" t="n">
        <v>500</v>
      </c>
      <c r="J1731" s="2" t="n">
        <v>0.1</v>
      </c>
      <c r="K1731" s="2" t="n">
        <v>250</v>
      </c>
    </row>
    <row r="1732" customFormat="false" ht="15" hidden="false" customHeight="false" outlineLevel="0" collapsed="false">
      <c r="A1732" s="2" t="s">
        <v>2473</v>
      </c>
      <c r="B1732" s="2" t="s">
        <v>2469</v>
      </c>
      <c r="C1732" s="10" t="n">
        <v>45787</v>
      </c>
      <c r="D1732" s="2" t="s">
        <v>81</v>
      </c>
      <c r="E1732" s="2" t="s">
        <v>64</v>
      </c>
      <c r="F1732" s="2" t="s">
        <v>65</v>
      </c>
      <c r="G1732" s="2" t="s">
        <v>78</v>
      </c>
      <c r="H1732" s="2" t="n">
        <v>7</v>
      </c>
      <c r="I1732" s="2" t="n">
        <v>400</v>
      </c>
      <c r="J1732" s="2" t="n">
        <v>0</v>
      </c>
      <c r="K1732" s="2" t="n">
        <v>200</v>
      </c>
    </row>
    <row r="1733" customFormat="false" ht="15" hidden="false" customHeight="false" outlineLevel="0" collapsed="false">
      <c r="A1733" s="2" t="s">
        <v>2474</v>
      </c>
      <c r="B1733" s="2" t="s">
        <v>2469</v>
      </c>
      <c r="C1733" s="10" t="n">
        <v>45946</v>
      </c>
      <c r="D1733" s="2" t="s">
        <v>81</v>
      </c>
      <c r="E1733" s="2" t="s">
        <v>64</v>
      </c>
      <c r="F1733" s="2" t="s">
        <v>73</v>
      </c>
      <c r="G1733" s="2" t="s">
        <v>74</v>
      </c>
      <c r="H1733" s="2"/>
      <c r="I1733" s="2" t="n">
        <v>7000</v>
      </c>
      <c r="J1733" s="2" t="n">
        <v>0.1</v>
      </c>
      <c r="K1733" s="2" t="n">
        <v>4800</v>
      </c>
    </row>
    <row r="1734" customFormat="false" ht="15" hidden="false" customHeight="false" outlineLevel="0" collapsed="false">
      <c r="A1734" s="2" t="s">
        <v>2475</v>
      </c>
      <c r="B1734" s="2" t="s">
        <v>2469</v>
      </c>
      <c r="C1734" s="10" t="n">
        <v>45983</v>
      </c>
      <c r="D1734" s="2" t="s">
        <v>81</v>
      </c>
      <c r="E1734" s="2" t="s">
        <v>64</v>
      </c>
      <c r="F1734" s="2" t="s">
        <v>70</v>
      </c>
      <c r="G1734" s="2" t="s">
        <v>126</v>
      </c>
      <c r="H1734" s="2" t="n">
        <v>2</v>
      </c>
      <c r="I1734" s="2" t="n">
        <v>4500</v>
      </c>
      <c r="J1734" s="2" t="n">
        <v>0.05</v>
      </c>
      <c r="K1734" s="2" t="n">
        <v>3300</v>
      </c>
    </row>
    <row r="1735" customFormat="false" ht="15" hidden="false" customHeight="false" outlineLevel="0" collapsed="false">
      <c r="A1735" s="2" t="s">
        <v>2476</v>
      </c>
      <c r="B1735" s="2" t="s">
        <v>2469</v>
      </c>
      <c r="C1735" s="10" t="n">
        <v>45750</v>
      </c>
      <c r="D1735" s="2" t="s">
        <v>81</v>
      </c>
      <c r="E1735" s="2" t="s">
        <v>64</v>
      </c>
      <c r="F1735" s="2" t="s">
        <v>73</v>
      </c>
      <c r="G1735" s="2" t="s">
        <v>104</v>
      </c>
      <c r="H1735" s="2" t="n">
        <v>2</v>
      </c>
      <c r="I1735" s="2" t="n">
        <v>5500</v>
      </c>
      <c r="J1735" s="2" t="n">
        <v>0.1</v>
      </c>
      <c r="K1735" s="2" t="n">
        <v>3600</v>
      </c>
    </row>
    <row r="1736" customFormat="false" ht="15" hidden="false" customHeight="false" outlineLevel="0" collapsed="false">
      <c r="A1736" s="2" t="s">
        <v>2477</v>
      </c>
      <c r="B1736" s="2" t="s">
        <v>2478</v>
      </c>
      <c r="C1736" s="10" t="n">
        <v>45910</v>
      </c>
      <c r="D1736" s="2" t="s">
        <v>81</v>
      </c>
      <c r="E1736" s="2" t="s">
        <v>64</v>
      </c>
      <c r="F1736" s="2" t="s">
        <v>73</v>
      </c>
      <c r="G1736" s="2" t="s">
        <v>104</v>
      </c>
      <c r="H1736" s="2" t="n">
        <v>1</v>
      </c>
      <c r="I1736" s="2" t="n">
        <v>5500</v>
      </c>
      <c r="J1736" s="2" t="n">
        <v>0</v>
      </c>
      <c r="K1736" s="2" t="n">
        <v>3600</v>
      </c>
    </row>
    <row r="1737" customFormat="false" ht="15" hidden="false" customHeight="false" outlineLevel="0" collapsed="false">
      <c r="A1737" s="2" t="s">
        <v>2479</v>
      </c>
      <c r="B1737" s="2" t="s">
        <v>2480</v>
      </c>
      <c r="C1737" s="10" t="n">
        <v>45797</v>
      </c>
      <c r="D1737" s="2" t="s">
        <v>81</v>
      </c>
      <c r="E1737" s="2" t="s">
        <v>69</v>
      </c>
      <c r="F1737" s="2" t="s">
        <v>65</v>
      </c>
      <c r="G1737" s="2" t="s">
        <v>107</v>
      </c>
      <c r="H1737" s="2" t="n">
        <v>8</v>
      </c>
      <c r="I1737" s="2" t="n">
        <v>500</v>
      </c>
      <c r="J1737" s="2" t="n">
        <v>0</v>
      </c>
      <c r="K1737" s="2" t="n">
        <v>250</v>
      </c>
    </row>
    <row r="1738" customFormat="false" ht="15" hidden="false" customHeight="false" outlineLevel="0" collapsed="false">
      <c r="A1738" s="2" t="s">
        <v>2481</v>
      </c>
      <c r="B1738" s="2" t="s">
        <v>2480</v>
      </c>
      <c r="C1738" s="10" t="n">
        <v>45939</v>
      </c>
      <c r="D1738" s="2" t="s">
        <v>81</v>
      </c>
      <c r="E1738" s="2" t="s">
        <v>69</v>
      </c>
      <c r="F1738" s="2" t="s">
        <v>73</v>
      </c>
      <c r="G1738" s="2" t="s">
        <v>104</v>
      </c>
      <c r="H1738" s="2" t="n">
        <v>5</v>
      </c>
      <c r="I1738" s="2" t="n">
        <v>5500</v>
      </c>
      <c r="J1738" s="2" t="n">
        <v>0.05</v>
      </c>
      <c r="K1738" s="2" t="n">
        <v>3600</v>
      </c>
    </row>
    <row r="1739" customFormat="false" ht="15" hidden="false" customHeight="false" outlineLevel="0" collapsed="false">
      <c r="A1739" s="2" t="s">
        <v>2482</v>
      </c>
      <c r="B1739" s="2" t="s">
        <v>2480</v>
      </c>
      <c r="C1739" s="10" t="n">
        <v>45691</v>
      </c>
      <c r="D1739" s="2" t="s">
        <v>81</v>
      </c>
      <c r="E1739" s="2" t="s">
        <v>69</v>
      </c>
      <c r="F1739" s="2" t="s">
        <v>65</v>
      </c>
      <c r="G1739" s="2" t="s">
        <v>78</v>
      </c>
      <c r="H1739" s="2" t="n">
        <v>16</v>
      </c>
      <c r="I1739" s="2" t="n">
        <v>400</v>
      </c>
      <c r="J1739" s="2" t="n">
        <v>0.1</v>
      </c>
      <c r="K1739" s="2" t="n">
        <v>200</v>
      </c>
    </row>
    <row r="1740" customFormat="false" ht="15" hidden="false" customHeight="false" outlineLevel="0" collapsed="false">
      <c r="A1740" s="2" t="s">
        <v>2483</v>
      </c>
      <c r="B1740" s="2" t="s">
        <v>2484</v>
      </c>
      <c r="C1740" s="10" t="n">
        <v>45792</v>
      </c>
      <c r="D1740" s="2" t="s">
        <v>91</v>
      </c>
      <c r="E1740" s="2" t="s">
        <v>64</v>
      </c>
      <c r="F1740" s="2" t="s">
        <v>73</v>
      </c>
      <c r="G1740" s="2" t="s">
        <v>104</v>
      </c>
      <c r="H1740" s="2" t="n">
        <v>2</v>
      </c>
      <c r="I1740" s="2" t="n">
        <v>5500</v>
      </c>
      <c r="J1740" s="2" t="n">
        <v>0.1</v>
      </c>
      <c r="K1740" s="2" t="n">
        <v>3600</v>
      </c>
    </row>
    <row r="1741" customFormat="false" ht="15" hidden="false" customHeight="false" outlineLevel="0" collapsed="false">
      <c r="A1741" s="2" t="s">
        <v>2485</v>
      </c>
      <c r="B1741" s="2" t="s">
        <v>2486</v>
      </c>
      <c r="C1741" s="10" t="n">
        <v>45979</v>
      </c>
      <c r="D1741" s="2" t="s">
        <v>63</v>
      </c>
      <c r="E1741" s="2" t="s">
        <v>64</v>
      </c>
      <c r="F1741" s="2" t="s">
        <v>65</v>
      </c>
      <c r="G1741" s="2" t="s">
        <v>78</v>
      </c>
      <c r="H1741" s="2" t="n">
        <v>2</v>
      </c>
      <c r="I1741" s="2" t="n">
        <v>400</v>
      </c>
      <c r="J1741" s="2" t="n">
        <v>0.05</v>
      </c>
      <c r="K1741" s="2" t="n">
        <v>200</v>
      </c>
    </row>
    <row r="1742" customFormat="false" ht="15" hidden="false" customHeight="false" outlineLevel="0" collapsed="false">
      <c r="A1742" s="2" t="s">
        <v>2487</v>
      </c>
      <c r="B1742" s="2" t="s">
        <v>2486</v>
      </c>
      <c r="C1742" s="10" t="n">
        <v>45987</v>
      </c>
      <c r="D1742" s="2" t="s">
        <v>63</v>
      </c>
      <c r="E1742" s="2" t="s">
        <v>64</v>
      </c>
      <c r="F1742" s="2" t="s">
        <v>70</v>
      </c>
      <c r="G1742" s="2" t="s">
        <v>71</v>
      </c>
      <c r="H1742" s="2" t="n">
        <v>2</v>
      </c>
      <c r="I1742" s="2" t="n">
        <v>2500</v>
      </c>
      <c r="J1742" s="2" t="n">
        <v>0.05</v>
      </c>
      <c r="K1742" s="2" t="n">
        <v>1600</v>
      </c>
    </row>
    <row r="1743" customFormat="false" ht="15" hidden="false" customHeight="false" outlineLevel="0" collapsed="false">
      <c r="A1743" s="2" t="s">
        <v>2488</v>
      </c>
      <c r="B1743" s="2" t="s">
        <v>2486</v>
      </c>
      <c r="C1743" s="10" t="n">
        <v>45711</v>
      </c>
      <c r="D1743" s="2" t="s">
        <v>63</v>
      </c>
      <c r="E1743" s="2" t="s">
        <v>64</v>
      </c>
      <c r="F1743" s="2" t="s">
        <v>65</v>
      </c>
      <c r="G1743" s="2" t="s">
        <v>78</v>
      </c>
      <c r="H1743" s="2" t="n">
        <v>4</v>
      </c>
      <c r="I1743" s="2" t="n">
        <v>400</v>
      </c>
      <c r="J1743" s="2" t="n">
        <v>0.1</v>
      </c>
      <c r="K1743" s="2" t="n">
        <v>200</v>
      </c>
    </row>
    <row r="1744" customFormat="false" ht="15" hidden="false" customHeight="false" outlineLevel="0" collapsed="false">
      <c r="A1744" s="2" t="s">
        <v>2489</v>
      </c>
      <c r="B1744" s="2" t="s">
        <v>2486</v>
      </c>
      <c r="C1744" s="10" t="n">
        <v>45720</v>
      </c>
      <c r="D1744" s="2" t="s">
        <v>63</v>
      </c>
      <c r="E1744" s="2" t="s">
        <v>64</v>
      </c>
      <c r="F1744" s="2" t="s">
        <v>70</v>
      </c>
      <c r="G1744" s="2" t="s">
        <v>122</v>
      </c>
      <c r="H1744" s="2" t="n">
        <v>2</v>
      </c>
      <c r="I1744" s="2" t="n">
        <v>1500</v>
      </c>
      <c r="J1744" s="2" t="n">
        <v>0</v>
      </c>
      <c r="K1744" s="2" t="n">
        <v>900</v>
      </c>
    </row>
    <row r="1745" customFormat="false" ht="15" hidden="false" customHeight="false" outlineLevel="0" collapsed="false">
      <c r="A1745" s="2" t="s">
        <v>2490</v>
      </c>
      <c r="B1745" s="2" t="s">
        <v>2486</v>
      </c>
      <c r="C1745" s="10" t="n">
        <v>45917</v>
      </c>
      <c r="D1745" s="2" t="s">
        <v>651</v>
      </c>
      <c r="E1745" s="2" t="s">
        <v>64</v>
      </c>
      <c r="F1745" s="2" t="s">
        <v>70</v>
      </c>
      <c r="G1745" s="2" t="s">
        <v>71</v>
      </c>
      <c r="H1745" s="2" t="n">
        <v>2</v>
      </c>
      <c r="I1745" s="2" t="n">
        <v>2500</v>
      </c>
      <c r="J1745" s="2" t="n">
        <v>0.1</v>
      </c>
      <c r="K1745" s="2" t="n">
        <v>1600</v>
      </c>
    </row>
    <row r="1746" customFormat="false" ht="15" hidden="false" customHeight="false" outlineLevel="0" collapsed="false">
      <c r="A1746" s="2" t="s">
        <v>2491</v>
      </c>
      <c r="B1746" s="2" t="s">
        <v>2486</v>
      </c>
      <c r="C1746" s="10" t="n">
        <v>45836</v>
      </c>
      <c r="D1746" s="2" t="s">
        <v>63</v>
      </c>
      <c r="E1746" s="2" t="s">
        <v>64</v>
      </c>
      <c r="F1746" s="2" t="s">
        <v>73</v>
      </c>
      <c r="G1746" s="2" t="s">
        <v>74</v>
      </c>
      <c r="H1746" s="2" t="n">
        <v>2</v>
      </c>
      <c r="I1746" s="2" t="n">
        <v>7000</v>
      </c>
      <c r="J1746" s="2" t="n">
        <v>0</v>
      </c>
      <c r="K1746" s="2" t="n">
        <v>4800</v>
      </c>
    </row>
    <row r="1747" customFormat="false" ht="15" hidden="false" customHeight="false" outlineLevel="0" collapsed="false">
      <c r="A1747" s="2" t="s">
        <v>2492</v>
      </c>
      <c r="B1747" s="2" t="s">
        <v>2486</v>
      </c>
      <c r="C1747" s="10" t="n">
        <v>45994</v>
      </c>
      <c r="D1747" s="2" t="s">
        <v>63</v>
      </c>
      <c r="E1747" s="2" t="s">
        <v>64</v>
      </c>
      <c r="F1747" s="2" t="s">
        <v>70</v>
      </c>
      <c r="G1747" s="2" t="s">
        <v>71</v>
      </c>
      <c r="H1747" s="2" t="n">
        <v>3</v>
      </c>
      <c r="I1747" s="2" t="n">
        <v>2500</v>
      </c>
      <c r="J1747" s="2" t="n">
        <v>0.05</v>
      </c>
      <c r="K1747" s="2" t="n">
        <v>1600</v>
      </c>
    </row>
    <row r="1748" customFormat="false" ht="15" hidden="false" customHeight="false" outlineLevel="0" collapsed="false">
      <c r="A1748" s="2" t="s">
        <v>2493</v>
      </c>
      <c r="B1748" s="2" t="s">
        <v>2486</v>
      </c>
      <c r="C1748" s="10" t="n">
        <v>45881</v>
      </c>
      <c r="D1748" s="2" t="s">
        <v>63</v>
      </c>
      <c r="E1748" s="2" t="s">
        <v>64</v>
      </c>
      <c r="F1748" s="2" t="s">
        <v>73</v>
      </c>
      <c r="G1748" s="2" t="s">
        <v>87</v>
      </c>
      <c r="H1748" s="2" t="n">
        <v>2</v>
      </c>
      <c r="I1748" s="2" t="n">
        <v>9000</v>
      </c>
      <c r="J1748" s="2" t="n">
        <v>0.1</v>
      </c>
      <c r="K1748" s="2" t="n">
        <v>6200</v>
      </c>
    </row>
    <row r="1749" customFormat="false" ht="15" hidden="false" customHeight="false" outlineLevel="0" collapsed="false">
      <c r="A1749" s="2" t="s">
        <v>2494</v>
      </c>
      <c r="B1749" s="2" t="s">
        <v>2495</v>
      </c>
      <c r="C1749" s="10" t="n">
        <v>45895</v>
      </c>
      <c r="D1749" s="2" t="s">
        <v>91</v>
      </c>
      <c r="E1749" s="2" t="s">
        <v>64</v>
      </c>
      <c r="F1749" s="2" t="s">
        <v>70</v>
      </c>
      <c r="G1749" s="2" t="s">
        <v>122</v>
      </c>
      <c r="H1749" s="2" t="n">
        <v>3</v>
      </c>
      <c r="I1749" s="2" t="n">
        <v>1500</v>
      </c>
      <c r="J1749" s="2" t="n">
        <v>0</v>
      </c>
      <c r="K1749" s="2" t="n">
        <v>900</v>
      </c>
    </row>
    <row r="1750" customFormat="false" ht="15" hidden="false" customHeight="false" outlineLevel="0" collapsed="false">
      <c r="A1750" s="2" t="s">
        <v>2496</v>
      </c>
      <c r="B1750" s="2" t="s">
        <v>2497</v>
      </c>
      <c r="C1750" s="10" t="n">
        <v>46008</v>
      </c>
      <c r="D1750" s="2" t="s">
        <v>77</v>
      </c>
      <c r="E1750" s="2" t="s">
        <v>64</v>
      </c>
      <c r="F1750" s="2" t="s">
        <v>73</v>
      </c>
      <c r="G1750" s="2" t="s">
        <v>74</v>
      </c>
      <c r="H1750" s="2" t="n">
        <v>2</v>
      </c>
      <c r="I1750" s="2" t="n">
        <v>7000</v>
      </c>
      <c r="J1750" s="2" t="n">
        <v>0.05</v>
      </c>
      <c r="K1750" s="2" t="n">
        <v>4800</v>
      </c>
    </row>
    <row r="1751" customFormat="false" ht="15" hidden="false" customHeight="false" outlineLevel="0" collapsed="false">
      <c r="A1751" s="2" t="s">
        <v>2498</v>
      </c>
      <c r="B1751" s="2" t="s">
        <v>2499</v>
      </c>
      <c r="C1751" s="10" t="n">
        <v>45718</v>
      </c>
      <c r="D1751" s="2" t="s">
        <v>63</v>
      </c>
      <c r="E1751" s="2" t="s">
        <v>92</v>
      </c>
      <c r="F1751" s="2" t="s">
        <v>73</v>
      </c>
      <c r="G1751" s="2" t="s">
        <v>85</v>
      </c>
      <c r="H1751" s="2" t="n">
        <v>6</v>
      </c>
      <c r="I1751" s="2" t="n">
        <v>1200</v>
      </c>
      <c r="J1751" s="2" t="n">
        <v>0.05</v>
      </c>
      <c r="K1751" s="2" t="n">
        <v>600</v>
      </c>
    </row>
    <row r="1752" customFormat="false" ht="15" hidden="false" customHeight="false" outlineLevel="0" collapsed="false">
      <c r="A1752" s="2" t="s">
        <v>2500</v>
      </c>
      <c r="B1752" s="2" t="s">
        <v>2499</v>
      </c>
      <c r="C1752" s="10" t="n">
        <v>45752</v>
      </c>
      <c r="D1752" s="2" t="s">
        <v>63</v>
      </c>
      <c r="E1752" s="2" t="s">
        <v>92</v>
      </c>
      <c r="F1752" s="2" t="s">
        <v>70</v>
      </c>
      <c r="G1752" s="2" t="s">
        <v>122</v>
      </c>
      <c r="H1752" s="2" t="n">
        <v>7</v>
      </c>
      <c r="I1752" s="2" t="n">
        <v>1500</v>
      </c>
      <c r="J1752" s="2" t="n">
        <v>0.05</v>
      </c>
      <c r="K1752" s="2" t="n">
        <v>900</v>
      </c>
    </row>
    <row r="1753" customFormat="false" ht="15" hidden="false" customHeight="false" outlineLevel="0" collapsed="false">
      <c r="A1753" s="2" t="s">
        <v>2501</v>
      </c>
      <c r="B1753" s="2" t="s">
        <v>2499</v>
      </c>
      <c r="C1753" s="10" t="n">
        <v>45979</v>
      </c>
      <c r="D1753" s="2" t="s">
        <v>63</v>
      </c>
      <c r="E1753" s="2" t="s">
        <v>92</v>
      </c>
      <c r="F1753" s="2" t="s">
        <v>73</v>
      </c>
      <c r="G1753" s="2" t="s">
        <v>104</v>
      </c>
      <c r="H1753" s="2" t="n">
        <v>7</v>
      </c>
      <c r="I1753" s="2" t="n">
        <v>5500</v>
      </c>
      <c r="J1753" s="2" t="n">
        <v>0.1</v>
      </c>
      <c r="K1753" s="2" t="n">
        <v>3600</v>
      </c>
    </row>
    <row r="1754" customFormat="false" ht="15" hidden="false" customHeight="false" outlineLevel="0" collapsed="false">
      <c r="A1754" s="2" t="s">
        <v>2502</v>
      </c>
      <c r="B1754" s="2" t="s">
        <v>2503</v>
      </c>
      <c r="C1754" s="10" t="n">
        <v>45750</v>
      </c>
      <c r="D1754" s="2" t="s">
        <v>91</v>
      </c>
      <c r="E1754" s="2" t="s">
        <v>69</v>
      </c>
      <c r="F1754" s="2" t="s">
        <v>73</v>
      </c>
      <c r="G1754" s="2" t="s">
        <v>85</v>
      </c>
      <c r="H1754" s="2" t="n">
        <v>5</v>
      </c>
      <c r="I1754" s="2" t="n">
        <v>1200</v>
      </c>
      <c r="J1754" s="2" t="n">
        <v>0</v>
      </c>
      <c r="K1754" s="2" t="n">
        <v>600</v>
      </c>
    </row>
    <row r="1755" customFormat="false" ht="15" hidden="false" customHeight="false" outlineLevel="0" collapsed="false">
      <c r="A1755" s="2" t="s">
        <v>2504</v>
      </c>
      <c r="B1755" s="2" t="s">
        <v>2505</v>
      </c>
      <c r="C1755" s="10" t="n">
        <v>46009</v>
      </c>
      <c r="D1755" s="2" t="s">
        <v>63</v>
      </c>
      <c r="E1755" s="2" t="s">
        <v>64</v>
      </c>
      <c r="F1755" s="2" t="s">
        <v>70</v>
      </c>
      <c r="G1755" s="2" t="s">
        <v>122</v>
      </c>
      <c r="H1755" s="2" t="n">
        <v>2</v>
      </c>
      <c r="I1755" s="2" t="n">
        <v>1500</v>
      </c>
      <c r="J1755" s="2" t="n">
        <v>0.1</v>
      </c>
      <c r="K1755" s="2" t="n">
        <v>900</v>
      </c>
    </row>
    <row r="1756" customFormat="false" ht="15" hidden="false" customHeight="false" outlineLevel="0" collapsed="false">
      <c r="A1756" s="2" t="s">
        <v>2506</v>
      </c>
      <c r="B1756" s="2" t="s">
        <v>2507</v>
      </c>
      <c r="C1756" s="10" t="n">
        <v>45681</v>
      </c>
      <c r="D1756" s="2" t="s">
        <v>77</v>
      </c>
      <c r="E1756" s="2" t="s">
        <v>64</v>
      </c>
      <c r="F1756" s="2" t="s">
        <v>65</v>
      </c>
      <c r="G1756" s="2" t="s">
        <v>78</v>
      </c>
      <c r="H1756" s="2" t="n">
        <v>2</v>
      </c>
      <c r="I1756" s="2" t="n">
        <v>400</v>
      </c>
      <c r="J1756" s="2" t="n">
        <v>0</v>
      </c>
      <c r="K1756" s="2" t="n">
        <v>200</v>
      </c>
    </row>
    <row r="1757" customFormat="false" ht="15" hidden="false" customHeight="false" outlineLevel="0" collapsed="false">
      <c r="A1757" s="2" t="s">
        <v>2508</v>
      </c>
      <c r="B1757" s="2" t="s">
        <v>2507</v>
      </c>
      <c r="C1757" s="10" t="n">
        <v>45881</v>
      </c>
      <c r="D1757" s="2" t="s">
        <v>77</v>
      </c>
      <c r="E1757" s="2" t="s">
        <v>64</v>
      </c>
      <c r="F1757" s="2" t="s">
        <v>65</v>
      </c>
      <c r="G1757" s="2" t="s">
        <v>78</v>
      </c>
      <c r="H1757" s="2" t="n">
        <v>6</v>
      </c>
      <c r="I1757" s="2" t="n">
        <v>400</v>
      </c>
      <c r="J1757" s="2" t="n">
        <v>0.05</v>
      </c>
      <c r="K1757" s="2" t="n">
        <v>200</v>
      </c>
    </row>
    <row r="1758" customFormat="false" ht="15" hidden="false" customHeight="false" outlineLevel="0" collapsed="false">
      <c r="A1758" s="2" t="s">
        <v>2509</v>
      </c>
      <c r="B1758" s="2" t="s">
        <v>2507</v>
      </c>
      <c r="C1758" s="10" t="n">
        <v>45918</v>
      </c>
      <c r="D1758" s="2" t="s">
        <v>77</v>
      </c>
      <c r="E1758" s="2" t="s">
        <v>64</v>
      </c>
      <c r="F1758" s="2" t="s">
        <v>65</v>
      </c>
      <c r="G1758" s="2" t="s">
        <v>78</v>
      </c>
      <c r="H1758" s="2" t="n">
        <v>6</v>
      </c>
      <c r="I1758" s="2" t="n">
        <v>400</v>
      </c>
      <c r="J1758" s="2" t="n">
        <v>0.05</v>
      </c>
      <c r="K1758" s="2" t="n">
        <v>200</v>
      </c>
    </row>
    <row r="1759" customFormat="false" ht="15" hidden="false" customHeight="false" outlineLevel="0" collapsed="false">
      <c r="A1759" s="2" t="s">
        <v>2510</v>
      </c>
      <c r="B1759" s="2" t="s">
        <v>2507</v>
      </c>
      <c r="C1759" s="10" t="n">
        <v>45831</v>
      </c>
      <c r="D1759" s="2" t="s">
        <v>77</v>
      </c>
      <c r="E1759" s="2" t="s">
        <v>64</v>
      </c>
      <c r="F1759" s="2" t="s">
        <v>70</v>
      </c>
      <c r="G1759" s="2" t="s">
        <v>97</v>
      </c>
      <c r="H1759" s="2" t="n">
        <v>3</v>
      </c>
      <c r="I1759" s="2" t="n">
        <v>3000</v>
      </c>
      <c r="J1759" s="2" t="n">
        <v>0.1</v>
      </c>
      <c r="K1759" s="2" t="n">
        <v>2000</v>
      </c>
    </row>
    <row r="1760" customFormat="false" ht="15" hidden="false" customHeight="false" outlineLevel="0" collapsed="false">
      <c r="A1760" s="2" t="s">
        <v>2511</v>
      </c>
      <c r="B1760" s="2" t="s">
        <v>2507</v>
      </c>
      <c r="C1760" s="10" t="n">
        <v>45978</v>
      </c>
      <c r="D1760" s="2" t="s">
        <v>77</v>
      </c>
      <c r="E1760" s="2" t="s">
        <v>64</v>
      </c>
      <c r="F1760" s="2" t="s">
        <v>65</v>
      </c>
      <c r="G1760" s="2" t="s">
        <v>107</v>
      </c>
      <c r="H1760" s="2" t="n">
        <v>3</v>
      </c>
      <c r="I1760" s="2" t="n">
        <v>500</v>
      </c>
      <c r="J1760" s="2" t="n">
        <v>0.15</v>
      </c>
      <c r="K1760" s="2" t="n">
        <v>250</v>
      </c>
    </row>
    <row r="1761" customFormat="false" ht="15" hidden="false" customHeight="false" outlineLevel="0" collapsed="false">
      <c r="A1761" s="2" t="s">
        <v>2512</v>
      </c>
      <c r="B1761" s="2" t="s">
        <v>2507</v>
      </c>
      <c r="C1761" s="10" t="n">
        <v>45852</v>
      </c>
      <c r="D1761" s="2" t="s">
        <v>77</v>
      </c>
      <c r="E1761" s="2" t="s">
        <v>64</v>
      </c>
      <c r="F1761" s="2" t="s">
        <v>73</v>
      </c>
      <c r="G1761" s="2" t="s">
        <v>74</v>
      </c>
      <c r="H1761" s="2" t="n">
        <v>2</v>
      </c>
      <c r="I1761" s="2" t="n">
        <v>7000</v>
      </c>
      <c r="J1761" s="2" t="n">
        <v>0</v>
      </c>
      <c r="K1761" s="2" t="n">
        <v>4800</v>
      </c>
    </row>
    <row r="1762" customFormat="false" ht="15" hidden="false" customHeight="false" outlineLevel="0" collapsed="false">
      <c r="A1762" s="2" t="s">
        <v>2513</v>
      </c>
      <c r="B1762" s="2" t="s">
        <v>2514</v>
      </c>
      <c r="C1762" s="10" t="n">
        <v>45843</v>
      </c>
      <c r="D1762" s="2" t="s">
        <v>91</v>
      </c>
      <c r="E1762" s="2" t="s">
        <v>64</v>
      </c>
      <c r="F1762" s="2" t="s">
        <v>70</v>
      </c>
      <c r="G1762" s="2" t="s">
        <v>126</v>
      </c>
      <c r="H1762" s="2" t="n">
        <v>3</v>
      </c>
      <c r="I1762" s="2" t="n">
        <v>4500</v>
      </c>
      <c r="J1762" s="2" t="n">
        <v>0.1</v>
      </c>
      <c r="K1762" s="2" t="n">
        <v>3300</v>
      </c>
    </row>
    <row r="1763" customFormat="false" ht="15" hidden="false" customHeight="false" outlineLevel="0" collapsed="false">
      <c r="A1763" s="2" t="s">
        <v>2515</v>
      </c>
      <c r="B1763" s="2" t="s">
        <v>2514</v>
      </c>
      <c r="C1763" s="10" t="n">
        <v>45822</v>
      </c>
      <c r="D1763" s="2"/>
      <c r="E1763" s="2" t="s">
        <v>64</v>
      </c>
      <c r="F1763" s="2" t="s">
        <v>70</v>
      </c>
      <c r="G1763" s="2" t="s">
        <v>122</v>
      </c>
      <c r="H1763" s="2" t="n">
        <v>3</v>
      </c>
      <c r="I1763" s="2" t="n">
        <v>1500</v>
      </c>
      <c r="J1763" s="2" t="n">
        <v>0.05</v>
      </c>
      <c r="K1763" s="2" t="n">
        <v>900</v>
      </c>
    </row>
    <row r="1764" customFormat="false" ht="15" hidden="false" customHeight="false" outlineLevel="0" collapsed="false">
      <c r="A1764" s="2" t="s">
        <v>2516</v>
      </c>
      <c r="B1764" s="2" t="s">
        <v>2514</v>
      </c>
      <c r="C1764" s="10" t="n">
        <v>45897</v>
      </c>
      <c r="D1764" s="2" t="s">
        <v>91</v>
      </c>
      <c r="E1764" s="2" t="s">
        <v>64</v>
      </c>
      <c r="F1764" s="2" t="s">
        <v>70</v>
      </c>
      <c r="G1764" s="2" t="s">
        <v>97</v>
      </c>
      <c r="H1764" s="2" t="n">
        <v>2</v>
      </c>
      <c r="I1764" s="2" t="n">
        <v>3000</v>
      </c>
      <c r="J1764" s="2" t="n">
        <v>0.1</v>
      </c>
      <c r="K1764" s="2" t="n">
        <v>2000</v>
      </c>
    </row>
    <row r="1765" customFormat="false" ht="15" hidden="false" customHeight="false" outlineLevel="0" collapsed="false">
      <c r="A1765" s="2" t="s">
        <v>2517</v>
      </c>
      <c r="B1765" s="2" t="s">
        <v>2518</v>
      </c>
      <c r="C1765" s="10" t="n">
        <v>45986</v>
      </c>
      <c r="D1765" s="2" t="s">
        <v>77</v>
      </c>
      <c r="E1765" s="2" t="s">
        <v>64</v>
      </c>
      <c r="F1765" s="2" t="s">
        <v>65</v>
      </c>
      <c r="G1765" s="2" t="s">
        <v>66</v>
      </c>
      <c r="H1765" s="2" t="n">
        <v>2</v>
      </c>
      <c r="I1765" s="2" t="n">
        <v>600</v>
      </c>
      <c r="J1765" s="2" t="n">
        <v>0.05</v>
      </c>
      <c r="K1765" s="2" t="n">
        <v>300</v>
      </c>
    </row>
    <row r="1766" customFormat="false" ht="15" hidden="false" customHeight="false" outlineLevel="0" collapsed="false">
      <c r="A1766" s="2" t="s">
        <v>2519</v>
      </c>
      <c r="B1766" s="2" t="s">
        <v>2520</v>
      </c>
      <c r="C1766" s="10" t="n">
        <v>45769</v>
      </c>
      <c r="D1766" s="2" t="s">
        <v>81</v>
      </c>
      <c r="E1766" s="2" t="s">
        <v>64</v>
      </c>
      <c r="F1766" s="2" t="s">
        <v>70</v>
      </c>
      <c r="G1766" s="2" t="s">
        <v>122</v>
      </c>
      <c r="H1766" s="2" t="n">
        <v>1</v>
      </c>
      <c r="I1766" s="2" t="n">
        <v>1500</v>
      </c>
      <c r="J1766" s="2" t="n">
        <v>0</v>
      </c>
      <c r="K1766" s="2" t="n">
        <v>900</v>
      </c>
    </row>
    <row r="1767" customFormat="false" ht="15" hidden="false" customHeight="false" outlineLevel="0" collapsed="false">
      <c r="A1767" s="2" t="s">
        <v>2521</v>
      </c>
      <c r="B1767" s="2" t="s">
        <v>2520</v>
      </c>
      <c r="C1767" s="10" t="n">
        <v>45845</v>
      </c>
      <c r="D1767" s="2" t="s">
        <v>81</v>
      </c>
      <c r="E1767" s="2" t="s">
        <v>64</v>
      </c>
      <c r="F1767" s="2" t="s">
        <v>65</v>
      </c>
      <c r="G1767" s="2" t="s">
        <v>66</v>
      </c>
      <c r="H1767" s="2" t="n">
        <v>3</v>
      </c>
      <c r="I1767" s="2" t="n">
        <v>600</v>
      </c>
      <c r="J1767" s="2" t="n">
        <v>0.05</v>
      </c>
      <c r="K1767" s="2" t="n">
        <v>300</v>
      </c>
    </row>
    <row r="1768" customFormat="false" ht="15" hidden="false" customHeight="false" outlineLevel="0" collapsed="false">
      <c r="A1768" s="2" t="s">
        <v>2522</v>
      </c>
      <c r="B1768" s="2" t="s">
        <v>2523</v>
      </c>
      <c r="C1768" s="10" t="n">
        <v>45769</v>
      </c>
      <c r="D1768" s="2" t="s">
        <v>81</v>
      </c>
      <c r="E1768" s="2" t="s">
        <v>64</v>
      </c>
      <c r="F1768" s="2" t="s">
        <v>70</v>
      </c>
      <c r="G1768" s="2" t="s">
        <v>122</v>
      </c>
      <c r="H1768" s="2" t="n">
        <v>3</v>
      </c>
      <c r="I1768" s="2" t="n">
        <v>1500</v>
      </c>
      <c r="J1768" s="2" t="n">
        <v>0</v>
      </c>
      <c r="K1768" s="2" t="n">
        <v>900</v>
      </c>
    </row>
    <row r="1769" customFormat="false" ht="15" hidden="false" customHeight="false" outlineLevel="0" collapsed="false">
      <c r="A1769" s="2" t="s">
        <v>2524</v>
      </c>
      <c r="B1769" s="2" t="s">
        <v>2523</v>
      </c>
      <c r="C1769" s="10" t="n">
        <v>45792</v>
      </c>
      <c r="D1769" s="2" t="s">
        <v>81</v>
      </c>
      <c r="E1769" s="2" t="s">
        <v>64</v>
      </c>
      <c r="F1769" s="2" t="s">
        <v>73</v>
      </c>
      <c r="G1769" s="2" t="s">
        <v>85</v>
      </c>
      <c r="H1769" s="2" t="n">
        <v>2</v>
      </c>
      <c r="I1769" s="2" t="n">
        <v>1200</v>
      </c>
      <c r="J1769" s="2" t="n">
        <v>0</v>
      </c>
      <c r="K1769" s="2" t="n">
        <v>600</v>
      </c>
    </row>
    <row r="1770" customFormat="false" ht="15" hidden="false" customHeight="false" outlineLevel="0" collapsed="false">
      <c r="A1770" s="2" t="s">
        <v>2525</v>
      </c>
      <c r="B1770" s="2" t="s">
        <v>2526</v>
      </c>
      <c r="C1770" s="10" t="n">
        <v>45818</v>
      </c>
      <c r="D1770" s="2" t="s">
        <v>81</v>
      </c>
      <c r="E1770" s="2" t="s">
        <v>69</v>
      </c>
      <c r="F1770" s="2" t="s">
        <v>65</v>
      </c>
      <c r="G1770" s="2" t="s">
        <v>66</v>
      </c>
      <c r="H1770" s="2" t="n">
        <v>18</v>
      </c>
      <c r="I1770" s="2" t="n">
        <v>600</v>
      </c>
      <c r="J1770" s="2" t="n">
        <v>0</v>
      </c>
      <c r="K1770" s="2" t="n">
        <v>300</v>
      </c>
    </row>
    <row r="1771" customFormat="false" ht="15" hidden="false" customHeight="false" outlineLevel="0" collapsed="false">
      <c r="A1771" s="2" t="s">
        <v>2527</v>
      </c>
      <c r="B1771" s="2" t="s">
        <v>2528</v>
      </c>
      <c r="C1771" s="10" t="n">
        <v>45920</v>
      </c>
      <c r="D1771" s="2" t="s">
        <v>63</v>
      </c>
      <c r="E1771" s="2" t="s">
        <v>69</v>
      </c>
      <c r="F1771" s="2" t="s">
        <v>70</v>
      </c>
      <c r="G1771" s="2" t="s">
        <v>71</v>
      </c>
      <c r="H1771" s="2" t="n">
        <v>2</v>
      </c>
      <c r="I1771" s="2" t="n">
        <v>2500</v>
      </c>
      <c r="J1771" s="2" t="n">
        <v>0</v>
      </c>
      <c r="K1771" s="2" t="n">
        <v>1600</v>
      </c>
    </row>
    <row r="1772" customFormat="false" ht="15" hidden="false" customHeight="false" outlineLevel="0" collapsed="false">
      <c r="A1772" s="2" t="s">
        <v>2529</v>
      </c>
      <c r="B1772" s="2" t="s">
        <v>2528</v>
      </c>
      <c r="C1772" s="10" t="n">
        <v>46017</v>
      </c>
      <c r="D1772" s="2" t="s">
        <v>63</v>
      </c>
      <c r="E1772" s="2" t="s">
        <v>69</v>
      </c>
      <c r="F1772" s="2" t="s">
        <v>70</v>
      </c>
      <c r="G1772" s="2" t="s">
        <v>126</v>
      </c>
      <c r="H1772" s="2" t="n">
        <v>3</v>
      </c>
      <c r="I1772" s="2" t="n">
        <v>4500</v>
      </c>
      <c r="J1772" s="2" t="n">
        <v>0.05</v>
      </c>
      <c r="K1772" s="2" t="n">
        <v>3300</v>
      </c>
    </row>
    <row r="1773" customFormat="false" ht="15" hidden="false" customHeight="false" outlineLevel="0" collapsed="false">
      <c r="A1773" s="2" t="s">
        <v>2530</v>
      </c>
      <c r="B1773" s="2" t="s">
        <v>2528</v>
      </c>
      <c r="C1773" s="10" t="n">
        <v>45833</v>
      </c>
      <c r="D1773" s="2" t="s">
        <v>63</v>
      </c>
      <c r="E1773" s="2" t="s">
        <v>69</v>
      </c>
      <c r="F1773" s="2" t="s">
        <v>73</v>
      </c>
      <c r="G1773" s="2" t="s">
        <v>87</v>
      </c>
      <c r="H1773" s="2" t="n">
        <v>4</v>
      </c>
      <c r="I1773" s="2" t="n">
        <v>9000</v>
      </c>
      <c r="J1773" s="2" t="n">
        <v>0.1</v>
      </c>
      <c r="K1773" s="2" t="n">
        <v>6200</v>
      </c>
    </row>
    <row r="1774" customFormat="false" ht="15" hidden="false" customHeight="false" outlineLevel="0" collapsed="false">
      <c r="A1774" s="2" t="s">
        <v>2531</v>
      </c>
      <c r="B1774" s="2" t="s">
        <v>2528</v>
      </c>
      <c r="C1774" s="10" t="n">
        <v>45702</v>
      </c>
      <c r="D1774" s="2" t="s">
        <v>63</v>
      </c>
      <c r="E1774" s="2" t="s">
        <v>69</v>
      </c>
      <c r="F1774" s="2" t="s">
        <v>65</v>
      </c>
      <c r="G1774" s="2" t="s">
        <v>66</v>
      </c>
      <c r="H1774" s="2" t="n">
        <v>7</v>
      </c>
      <c r="I1774" s="2" t="n">
        <v>600</v>
      </c>
      <c r="J1774" s="2" t="n">
        <v>0.05</v>
      </c>
      <c r="K1774" s="2" t="n">
        <v>300</v>
      </c>
    </row>
    <row r="1775" customFormat="false" ht="15" hidden="false" customHeight="false" outlineLevel="0" collapsed="false">
      <c r="A1775" s="2" t="s">
        <v>2532</v>
      </c>
      <c r="B1775" s="2" t="s">
        <v>2528</v>
      </c>
      <c r="C1775" s="10" t="n">
        <v>45732</v>
      </c>
      <c r="D1775" s="2" t="s">
        <v>63</v>
      </c>
      <c r="E1775" s="2" t="s">
        <v>69</v>
      </c>
      <c r="F1775" s="2" t="s">
        <v>73</v>
      </c>
      <c r="G1775" s="2" t="s">
        <v>85</v>
      </c>
      <c r="H1775" s="2" t="n">
        <v>1</v>
      </c>
      <c r="I1775" s="2" t="n">
        <v>1200</v>
      </c>
      <c r="J1775" s="2" t="n">
        <v>0</v>
      </c>
      <c r="K1775" s="2" t="n">
        <v>600</v>
      </c>
    </row>
    <row r="1776" customFormat="false" ht="15" hidden="false" customHeight="false" outlineLevel="0" collapsed="false">
      <c r="A1776" s="2" t="s">
        <v>2533</v>
      </c>
      <c r="B1776" s="2" t="s">
        <v>2528</v>
      </c>
      <c r="C1776" s="10" t="n">
        <v>45741</v>
      </c>
      <c r="D1776" s="2" t="s">
        <v>63</v>
      </c>
      <c r="E1776" s="2" t="s">
        <v>69</v>
      </c>
      <c r="F1776" s="2" t="s">
        <v>65</v>
      </c>
      <c r="G1776" s="2" t="s">
        <v>66</v>
      </c>
      <c r="H1776" s="2" t="n">
        <v>7</v>
      </c>
      <c r="I1776" s="2" t="n">
        <v>600</v>
      </c>
      <c r="J1776" s="2" t="n">
        <v>0.05</v>
      </c>
      <c r="K1776" s="2" t="n">
        <v>300</v>
      </c>
    </row>
    <row r="1777" customFormat="false" ht="15" hidden="false" customHeight="false" outlineLevel="0" collapsed="false">
      <c r="A1777" s="2" t="s">
        <v>2534</v>
      </c>
      <c r="B1777" s="2" t="s">
        <v>2528</v>
      </c>
      <c r="C1777" s="10" t="n">
        <v>45666</v>
      </c>
      <c r="D1777" s="2" t="s">
        <v>63</v>
      </c>
      <c r="E1777" s="2" t="s">
        <v>69</v>
      </c>
      <c r="F1777" s="2" t="s">
        <v>73</v>
      </c>
      <c r="G1777" s="2" t="s">
        <v>74</v>
      </c>
      <c r="H1777" s="2" t="n">
        <v>3</v>
      </c>
      <c r="I1777" s="2" t="n">
        <v>7000</v>
      </c>
      <c r="J1777" s="2" t="n">
        <v>0.1</v>
      </c>
      <c r="K1777" s="2" t="n">
        <v>4800</v>
      </c>
    </row>
    <row r="1778" customFormat="false" ht="15" hidden="false" customHeight="false" outlineLevel="0" collapsed="false">
      <c r="A1778" s="2" t="s">
        <v>2535</v>
      </c>
      <c r="B1778" s="2" t="s">
        <v>2528</v>
      </c>
      <c r="C1778" s="10" t="n">
        <v>45665</v>
      </c>
      <c r="D1778" s="2" t="s">
        <v>63</v>
      </c>
      <c r="E1778" s="2" t="s">
        <v>69</v>
      </c>
      <c r="F1778" s="2" t="s">
        <v>70</v>
      </c>
      <c r="G1778" s="2" t="s">
        <v>71</v>
      </c>
      <c r="H1778" s="2" t="n">
        <v>2</v>
      </c>
      <c r="I1778" s="2" t="n">
        <v>2500</v>
      </c>
      <c r="J1778" s="2" t="n">
        <v>0.1</v>
      </c>
      <c r="K1778" s="2" t="n">
        <v>1600</v>
      </c>
    </row>
    <row r="1779" customFormat="false" ht="15" hidden="false" customHeight="false" outlineLevel="0" collapsed="false">
      <c r="A1779" s="2" t="s">
        <v>2536</v>
      </c>
      <c r="B1779" s="2" t="s">
        <v>2528</v>
      </c>
      <c r="C1779" s="10" t="n">
        <v>45992</v>
      </c>
      <c r="D1779" s="2" t="s">
        <v>63</v>
      </c>
      <c r="E1779" s="2" t="s">
        <v>69</v>
      </c>
      <c r="F1779" s="2" t="s">
        <v>73</v>
      </c>
      <c r="G1779" s="2" t="s">
        <v>104</v>
      </c>
      <c r="H1779" s="2" t="n">
        <v>2</v>
      </c>
      <c r="I1779" s="2" t="n">
        <v>5500</v>
      </c>
      <c r="J1779" s="2" t="n">
        <v>0.1</v>
      </c>
      <c r="K1779" s="2" t="n">
        <v>3600</v>
      </c>
    </row>
    <row r="1780" customFormat="false" ht="15" hidden="false" customHeight="false" outlineLevel="0" collapsed="false">
      <c r="A1780" s="2" t="s">
        <v>2537</v>
      </c>
      <c r="B1780" s="2" t="s">
        <v>2528</v>
      </c>
      <c r="C1780" s="10" t="n">
        <v>45767</v>
      </c>
      <c r="D1780" s="2" t="s">
        <v>63</v>
      </c>
      <c r="E1780" s="2" t="s">
        <v>69</v>
      </c>
      <c r="F1780" s="2" t="s">
        <v>73</v>
      </c>
      <c r="G1780" s="2" t="s">
        <v>87</v>
      </c>
      <c r="H1780" s="2" t="n">
        <v>3</v>
      </c>
      <c r="I1780" s="2" t="n">
        <v>9000</v>
      </c>
      <c r="J1780" s="2" t="n">
        <v>0</v>
      </c>
      <c r="K1780" s="2" t="n">
        <v>6200</v>
      </c>
    </row>
    <row r="1781" customFormat="false" ht="15" hidden="false" customHeight="false" outlineLevel="0" collapsed="false">
      <c r="A1781" s="2" t="s">
        <v>2538</v>
      </c>
      <c r="B1781" s="2" t="s">
        <v>2539</v>
      </c>
      <c r="C1781" s="10" t="n">
        <v>45791</v>
      </c>
      <c r="D1781" s="2" t="s">
        <v>81</v>
      </c>
      <c r="E1781" s="2" t="s">
        <v>64</v>
      </c>
      <c r="F1781" s="2" t="s">
        <v>73</v>
      </c>
      <c r="G1781" s="2" t="s">
        <v>104</v>
      </c>
      <c r="H1781" s="2" t="n">
        <v>3</v>
      </c>
      <c r="I1781" s="2" t="n">
        <v>5500</v>
      </c>
      <c r="J1781" s="2" t="n">
        <v>0</v>
      </c>
      <c r="K1781" s="2" t="n">
        <v>3600</v>
      </c>
    </row>
    <row r="1782" customFormat="false" ht="15" hidden="false" customHeight="false" outlineLevel="0" collapsed="false">
      <c r="A1782" s="2" t="s">
        <v>2540</v>
      </c>
      <c r="B1782" s="2" t="s">
        <v>2541</v>
      </c>
      <c r="C1782" s="10" t="n">
        <v>45845</v>
      </c>
      <c r="D1782" s="2" t="s">
        <v>91</v>
      </c>
      <c r="E1782" s="2" t="s">
        <v>64</v>
      </c>
      <c r="F1782" s="2" t="s">
        <v>70</v>
      </c>
      <c r="G1782" s="2" t="s">
        <v>126</v>
      </c>
      <c r="H1782" s="2" t="n">
        <v>3</v>
      </c>
      <c r="I1782" s="2" t="n">
        <v>4500</v>
      </c>
      <c r="J1782" s="2" t="n">
        <v>0</v>
      </c>
      <c r="K1782" s="2" t="n">
        <v>3300</v>
      </c>
    </row>
    <row r="1783" customFormat="false" ht="15" hidden="false" customHeight="false" outlineLevel="0" collapsed="false">
      <c r="A1783" s="2" t="s">
        <v>2542</v>
      </c>
      <c r="B1783" s="2" t="s">
        <v>2541</v>
      </c>
      <c r="C1783" s="10" t="n">
        <v>45772</v>
      </c>
      <c r="D1783" s="2" t="s">
        <v>91</v>
      </c>
      <c r="E1783" s="2" t="s">
        <v>64</v>
      </c>
      <c r="F1783" s="2" t="s">
        <v>70</v>
      </c>
      <c r="G1783" s="2" t="s">
        <v>71</v>
      </c>
      <c r="H1783" s="2" t="n">
        <v>2</v>
      </c>
      <c r="I1783" s="2" t="n">
        <v>2500</v>
      </c>
      <c r="J1783" s="2" t="n">
        <v>0.1</v>
      </c>
      <c r="K1783" s="2" t="n">
        <v>1600</v>
      </c>
    </row>
    <row r="1784" customFormat="false" ht="15" hidden="false" customHeight="false" outlineLevel="0" collapsed="false">
      <c r="A1784" s="2" t="s">
        <v>2543</v>
      </c>
      <c r="B1784" s="2" t="s">
        <v>2544</v>
      </c>
      <c r="C1784" s="10" t="n">
        <v>45968</v>
      </c>
      <c r="D1784" s="2" t="s">
        <v>63</v>
      </c>
      <c r="E1784" s="2" t="s">
        <v>64</v>
      </c>
      <c r="F1784" s="2" t="s">
        <v>70</v>
      </c>
      <c r="G1784" s="2" t="s">
        <v>122</v>
      </c>
      <c r="H1784" s="2" t="n">
        <v>3</v>
      </c>
      <c r="I1784" s="2" t="n">
        <v>1500</v>
      </c>
      <c r="J1784" s="2" t="n">
        <v>0.05</v>
      </c>
      <c r="K1784" s="2" t="n">
        <v>900</v>
      </c>
    </row>
    <row r="1785" customFormat="false" ht="15" hidden="false" customHeight="false" outlineLevel="0" collapsed="false">
      <c r="A1785" s="2" t="s">
        <v>2545</v>
      </c>
      <c r="B1785" s="2" t="s">
        <v>2546</v>
      </c>
      <c r="C1785" s="10" t="n">
        <v>45752</v>
      </c>
      <c r="D1785" s="2" t="s">
        <v>91</v>
      </c>
      <c r="E1785" s="2" t="s">
        <v>64</v>
      </c>
      <c r="F1785" s="2" t="s">
        <v>70</v>
      </c>
      <c r="G1785" s="2" t="s">
        <v>126</v>
      </c>
      <c r="H1785" s="2" t="n">
        <v>3</v>
      </c>
      <c r="I1785" s="2" t="n">
        <v>4500</v>
      </c>
      <c r="J1785" s="2" t="n">
        <v>0</v>
      </c>
      <c r="K1785" s="2" t="n">
        <v>3300</v>
      </c>
    </row>
    <row r="1786" customFormat="false" ht="15" hidden="false" customHeight="false" outlineLevel="0" collapsed="false">
      <c r="A1786" s="2" t="s">
        <v>2547</v>
      </c>
      <c r="B1786" s="2" t="s">
        <v>2546</v>
      </c>
      <c r="C1786" s="10" t="n">
        <v>45825</v>
      </c>
      <c r="D1786" s="2" t="s">
        <v>91</v>
      </c>
      <c r="E1786" s="2" t="s">
        <v>64</v>
      </c>
      <c r="F1786" s="2" t="s">
        <v>73</v>
      </c>
      <c r="G1786" s="2" t="s">
        <v>85</v>
      </c>
      <c r="H1786" s="2" t="n">
        <v>3</v>
      </c>
      <c r="I1786" s="2" t="n">
        <v>1200</v>
      </c>
      <c r="J1786" s="2" t="n">
        <v>0</v>
      </c>
      <c r="K1786" s="2" t="n">
        <v>600</v>
      </c>
    </row>
    <row r="1787" customFormat="false" ht="15" hidden="false" customHeight="false" outlineLevel="0" collapsed="false">
      <c r="A1787" s="2" t="s">
        <v>2548</v>
      </c>
      <c r="B1787" s="2" t="s">
        <v>2549</v>
      </c>
      <c r="C1787" s="10" t="n">
        <v>45768</v>
      </c>
      <c r="D1787" s="2" t="s">
        <v>91</v>
      </c>
      <c r="E1787" s="2" t="s">
        <v>64</v>
      </c>
      <c r="F1787" s="2" t="s">
        <v>70</v>
      </c>
      <c r="G1787" s="2" t="s">
        <v>122</v>
      </c>
      <c r="H1787" s="2" t="n">
        <v>1</v>
      </c>
      <c r="I1787" s="2" t="n">
        <v>1500</v>
      </c>
      <c r="J1787" s="2" t="n">
        <v>0</v>
      </c>
      <c r="K1787" s="2" t="n">
        <v>900</v>
      </c>
    </row>
    <row r="1788" customFormat="false" ht="15" hidden="false" customHeight="false" outlineLevel="0" collapsed="false">
      <c r="A1788" s="2" t="s">
        <v>2550</v>
      </c>
      <c r="B1788" s="2" t="s">
        <v>2549</v>
      </c>
      <c r="C1788" s="10" t="n">
        <v>45946</v>
      </c>
      <c r="D1788" s="2" t="s">
        <v>91</v>
      </c>
      <c r="E1788" s="2" t="s">
        <v>64</v>
      </c>
      <c r="F1788" s="2" t="s">
        <v>70</v>
      </c>
      <c r="G1788" s="2" t="s">
        <v>126</v>
      </c>
      <c r="H1788" s="2" t="n">
        <v>1</v>
      </c>
      <c r="I1788" s="2" t="n">
        <v>4500</v>
      </c>
      <c r="J1788" s="2" t="n">
        <v>0.15</v>
      </c>
      <c r="K1788" s="2" t="n">
        <v>3300</v>
      </c>
    </row>
    <row r="1789" customFormat="false" ht="15" hidden="false" customHeight="false" outlineLevel="0" collapsed="false">
      <c r="A1789" s="2" t="s">
        <v>2551</v>
      </c>
      <c r="B1789" s="2" t="s">
        <v>2549</v>
      </c>
      <c r="C1789" s="10" t="n">
        <v>45913</v>
      </c>
      <c r="D1789" s="2" t="s">
        <v>91</v>
      </c>
      <c r="E1789" s="2" t="s">
        <v>64</v>
      </c>
      <c r="F1789" s="2" t="s">
        <v>70</v>
      </c>
      <c r="G1789" s="2" t="s">
        <v>122</v>
      </c>
      <c r="H1789" s="2" t="n">
        <v>1</v>
      </c>
      <c r="I1789" s="2" t="n">
        <v>1500</v>
      </c>
      <c r="J1789" s="2" t="n">
        <v>0</v>
      </c>
      <c r="K1789" s="2" t="n">
        <v>900</v>
      </c>
    </row>
    <row r="1790" customFormat="false" ht="15" hidden="false" customHeight="false" outlineLevel="0" collapsed="false">
      <c r="A1790" s="2" t="s">
        <v>2552</v>
      </c>
      <c r="B1790" s="2" t="s">
        <v>2549</v>
      </c>
      <c r="C1790" s="10" t="n">
        <v>45913</v>
      </c>
      <c r="D1790" s="2" t="s">
        <v>91</v>
      </c>
      <c r="E1790" s="2" t="s">
        <v>64</v>
      </c>
      <c r="F1790" s="2" t="s">
        <v>73</v>
      </c>
      <c r="G1790" s="2" t="s">
        <v>74</v>
      </c>
      <c r="H1790" s="2" t="n">
        <v>2</v>
      </c>
      <c r="I1790" s="2" t="n">
        <v>7000</v>
      </c>
      <c r="J1790" s="2" t="n">
        <v>0</v>
      </c>
      <c r="K1790" s="2" t="n">
        <v>4800</v>
      </c>
    </row>
    <row r="1791" customFormat="false" ht="15" hidden="false" customHeight="false" outlineLevel="0" collapsed="false">
      <c r="A1791" s="2" t="s">
        <v>2553</v>
      </c>
      <c r="B1791" s="2" t="s">
        <v>2549</v>
      </c>
      <c r="C1791" s="10" t="n">
        <v>45981</v>
      </c>
      <c r="D1791" s="2" t="s">
        <v>91</v>
      </c>
      <c r="E1791" s="2" t="s">
        <v>64</v>
      </c>
      <c r="F1791" s="2" t="s">
        <v>70</v>
      </c>
      <c r="G1791" s="2" t="s">
        <v>122</v>
      </c>
      <c r="H1791" s="2" t="n">
        <v>1</v>
      </c>
      <c r="I1791" s="2" t="n">
        <v>1500</v>
      </c>
      <c r="J1791" s="2" t="n">
        <v>0.1</v>
      </c>
      <c r="K1791" s="2" t="n">
        <v>900</v>
      </c>
    </row>
    <row r="1792" customFormat="false" ht="15" hidden="false" customHeight="false" outlineLevel="0" collapsed="false">
      <c r="A1792" s="2" t="s">
        <v>2554</v>
      </c>
      <c r="B1792" s="2" t="s">
        <v>2549</v>
      </c>
      <c r="C1792" s="10" t="n">
        <v>45935</v>
      </c>
      <c r="D1792" s="2" t="s">
        <v>91</v>
      </c>
      <c r="E1792" s="2" t="s">
        <v>64</v>
      </c>
      <c r="F1792" s="2" t="s">
        <v>70</v>
      </c>
      <c r="G1792" s="2" t="s">
        <v>71</v>
      </c>
      <c r="H1792" s="2" t="n">
        <v>3</v>
      </c>
      <c r="I1792" s="2" t="n">
        <v>2500</v>
      </c>
      <c r="J1792" s="2" t="n">
        <v>0.05</v>
      </c>
      <c r="K1792" s="2" t="n">
        <v>1600</v>
      </c>
    </row>
    <row r="1793" customFormat="false" ht="15" hidden="false" customHeight="false" outlineLevel="0" collapsed="false">
      <c r="A1793" s="2" t="s">
        <v>2555</v>
      </c>
      <c r="B1793" s="2" t="s">
        <v>2549</v>
      </c>
      <c r="C1793" s="10" t="n">
        <v>45896</v>
      </c>
      <c r="D1793" s="2" t="s">
        <v>91</v>
      </c>
      <c r="E1793" s="2" t="s">
        <v>64</v>
      </c>
      <c r="F1793" s="2" t="s">
        <v>65</v>
      </c>
      <c r="G1793" s="2" t="s">
        <v>82</v>
      </c>
      <c r="H1793" s="2" t="n">
        <v>6</v>
      </c>
      <c r="I1793" s="2" t="n">
        <v>250</v>
      </c>
      <c r="J1793" s="2" t="n">
        <v>0</v>
      </c>
      <c r="K1793" s="2" t="n">
        <v>100</v>
      </c>
    </row>
    <row r="1794" customFormat="false" ht="15" hidden="false" customHeight="false" outlineLevel="0" collapsed="false">
      <c r="A1794" s="2" t="s">
        <v>2556</v>
      </c>
      <c r="B1794" s="2" t="s">
        <v>2549</v>
      </c>
      <c r="C1794" s="10" t="n">
        <v>45799</v>
      </c>
      <c r="D1794" s="2" t="s">
        <v>91</v>
      </c>
      <c r="E1794" s="2" t="s">
        <v>64</v>
      </c>
      <c r="F1794" s="2" t="s">
        <v>70</v>
      </c>
      <c r="G1794" s="2" t="s">
        <v>126</v>
      </c>
      <c r="H1794" s="2" t="n">
        <v>1</v>
      </c>
      <c r="I1794" s="2" t="n">
        <v>4500</v>
      </c>
      <c r="J1794" s="2" t="n">
        <v>0.1</v>
      </c>
      <c r="K1794" s="2" t="n">
        <v>3300</v>
      </c>
    </row>
    <row r="1795" customFormat="false" ht="15" hidden="false" customHeight="false" outlineLevel="0" collapsed="false">
      <c r="A1795" s="2" t="s">
        <v>2557</v>
      </c>
      <c r="B1795" s="2" t="s">
        <v>2549</v>
      </c>
      <c r="C1795" s="10" t="n">
        <v>45895</v>
      </c>
      <c r="D1795" s="2" t="s">
        <v>91</v>
      </c>
      <c r="E1795" s="2" t="s">
        <v>64</v>
      </c>
      <c r="F1795" s="2" t="s">
        <v>70</v>
      </c>
      <c r="G1795" s="2" t="s">
        <v>97</v>
      </c>
      <c r="H1795" s="2" t="n">
        <v>3</v>
      </c>
      <c r="I1795" s="2" t="n">
        <v>3000</v>
      </c>
      <c r="J1795" s="2" t="n">
        <v>0.05</v>
      </c>
      <c r="K1795" s="2" t="n">
        <v>2000</v>
      </c>
    </row>
    <row r="1796" customFormat="false" ht="15" hidden="false" customHeight="false" outlineLevel="0" collapsed="false">
      <c r="A1796" s="2" t="s">
        <v>2558</v>
      </c>
      <c r="B1796" s="2" t="s">
        <v>2549</v>
      </c>
      <c r="C1796" s="10" t="n">
        <v>45660</v>
      </c>
      <c r="D1796" s="2" t="s">
        <v>91</v>
      </c>
      <c r="E1796" s="2" t="s">
        <v>64</v>
      </c>
      <c r="F1796" s="2" t="s">
        <v>73</v>
      </c>
      <c r="G1796" s="2" t="s">
        <v>85</v>
      </c>
      <c r="H1796" s="2" t="n">
        <v>1</v>
      </c>
      <c r="I1796" s="2" t="n">
        <v>1200</v>
      </c>
      <c r="J1796" s="2" t="n">
        <v>0.05</v>
      </c>
      <c r="K1796" s="2" t="n">
        <v>600</v>
      </c>
    </row>
    <row r="1797" customFormat="false" ht="15" hidden="false" customHeight="false" outlineLevel="0" collapsed="false">
      <c r="A1797" s="2" t="s">
        <v>2559</v>
      </c>
      <c r="B1797" s="2" t="s">
        <v>2560</v>
      </c>
      <c r="C1797" s="10" t="n">
        <v>45827</v>
      </c>
      <c r="D1797" s="2" t="s">
        <v>77</v>
      </c>
      <c r="E1797" s="2" t="s">
        <v>64</v>
      </c>
      <c r="F1797" s="2" t="s">
        <v>65</v>
      </c>
      <c r="G1797" s="2" t="s">
        <v>82</v>
      </c>
      <c r="H1797" s="2" t="n">
        <v>2</v>
      </c>
      <c r="I1797" s="2" t="n">
        <v>250</v>
      </c>
      <c r="J1797" s="2" t="n">
        <v>0</v>
      </c>
      <c r="K1797" s="2" t="n">
        <v>100</v>
      </c>
    </row>
    <row r="1798" customFormat="false" ht="15" hidden="false" customHeight="false" outlineLevel="0" collapsed="false">
      <c r="A1798" s="2" t="s">
        <v>2561</v>
      </c>
      <c r="B1798" s="2" t="s">
        <v>2560</v>
      </c>
      <c r="C1798" s="10" t="n">
        <v>45814</v>
      </c>
      <c r="D1798" s="2" t="s">
        <v>77</v>
      </c>
      <c r="E1798" s="2" t="s">
        <v>64</v>
      </c>
      <c r="F1798" s="2" t="s">
        <v>65</v>
      </c>
      <c r="G1798" s="2" t="s">
        <v>107</v>
      </c>
      <c r="H1798" s="2" t="n">
        <v>3</v>
      </c>
      <c r="I1798" s="2" t="n">
        <v>500</v>
      </c>
      <c r="J1798" s="2" t="n">
        <v>0.05</v>
      </c>
      <c r="K1798" s="2" t="n">
        <v>250</v>
      </c>
    </row>
    <row r="1799" customFormat="false" ht="15" hidden="false" customHeight="false" outlineLevel="0" collapsed="false">
      <c r="A1799" s="2" t="s">
        <v>2562</v>
      </c>
      <c r="B1799" s="2" t="s">
        <v>2560</v>
      </c>
      <c r="C1799" s="10" t="n">
        <v>45923</v>
      </c>
      <c r="D1799" s="2" t="s">
        <v>77</v>
      </c>
      <c r="E1799" s="2" t="s">
        <v>64</v>
      </c>
      <c r="F1799" s="2" t="s">
        <v>65</v>
      </c>
      <c r="G1799" s="2" t="s">
        <v>107</v>
      </c>
      <c r="H1799" s="2" t="n">
        <v>7</v>
      </c>
      <c r="I1799" s="2" t="n">
        <v>500</v>
      </c>
      <c r="J1799" s="2" t="n">
        <v>0</v>
      </c>
      <c r="K1799" s="2" t="n">
        <v>250</v>
      </c>
    </row>
    <row r="1800" customFormat="false" ht="15" hidden="false" customHeight="false" outlineLevel="0" collapsed="false">
      <c r="A1800" s="2" t="s">
        <v>2563</v>
      </c>
      <c r="B1800" s="2" t="s">
        <v>2564</v>
      </c>
      <c r="C1800" s="10" t="n">
        <v>46004</v>
      </c>
      <c r="D1800" s="2" t="s">
        <v>91</v>
      </c>
      <c r="E1800" s="2" t="s">
        <v>69</v>
      </c>
      <c r="F1800" s="2" t="s">
        <v>65</v>
      </c>
      <c r="G1800" s="2" t="s">
        <v>107</v>
      </c>
      <c r="H1800" s="2" t="n">
        <v>14</v>
      </c>
      <c r="I1800" s="2" t="n">
        <v>500</v>
      </c>
      <c r="J1800" s="2" t="n">
        <v>0.05</v>
      </c>
      <c r="K1800" s="2" t="n">
        <v>250</v>
      </c>
    </row>
    <row r="1801" customFormat="false" ht="15" hidden="false" customHeight="false" outlineLevel="0" collapsed="false">
      <c r="A1801" s="2" t="s">
        <v>2565</v>
      </c>
      <c r="B1801" s="2" t="s">
        <v>2566</v>
      </c>
      <c r="C1801" s="10" t="n">
        <v>45810</v>
      </c>
      <c r="D1801" s="2" t="s">
        <v>91</v>
      </c>
      <c r="E1801" s="2" t="s">
        <v>64</v>
      </c>
      <c r="F1801" s="2" t="s">
        <v>65</v>
      </c>
      <c r="G1801" s="2" t="s">
        <v>66</v>
      </c>
      <c r="H1801" s="2" t="n">
        <v>6</v>
      </c>
      <c r="I1801" s="2" t="n">
        <v>600</v>
      </c>
      <c r="J1801" s="2" t="n">
        <v>0.05</v>
      </c>
      <c r="K1801" s="2" t="n">
        <v>300</v>
      </c>
    </row>
    <row r="1802" customFormat="false" ht="15" hidden="false" customHeight="false" outlineLevel="0" collapsed="false">
      <c r="A1802" s="2" t="s">
        <v>2567</v>
      </c>
      <c r="B1802" s="2" t="s">
        <v>2566</v>
      </c>
      <c r="C1802" s="10" t="n">
        <v>45830</v>
      </c>
      <c r="D1802" s="2" t="s">
        <v>91</v>
      </c>
      <c r="E1802" s="2" t="s">
        <v>64</v>
      </c>
      <c r="F1802" s="2" t="s">
        <v>70</v>
      </c>
      <c r="G1802" s="2" t="s">
        <v>71</v>
      </c>
      <c r="H1802" s="2" t="n">
        <v>1</v>
      </c>
      <c r="I1802" s="2" t="n">
        <v>2500</v>
      </c>
      <c r="J1802" s="2" t="n">
        <v>0</v>
      </c>
      <c r="K1802" s="2" t="n">
        <v>1600</v>
      </c>
    </row>
    <row r="1803" customFormat="false" ht="15" hidden="false" customHeight="false" outlineLevel="0" collapsed="false">
      <c r="A1803" s="2" t="s">
        <v>2568</v>
      </c>
      <c r="B1803" s="2" t="s">
        <v>2566</v>
      </c>
      <c r="C1803" s="10" t="n">
        <v>45667</v>
      </c>
      <c r="D1803" s="2" t="s">
        <v>91</v>
      </c>
      <c r="E1803" s="2" t="s">
        <v>64</v>
      </c>
      <c r="F1803" s="2" t="s">
        <v>73</v>
      </c>
      <c r="G1803" s="2" t="s">
        <v>85</v>
      </c>
      <c r="H1803" s="2" t="n">
        <v>3</v>
      </c>
      <c r="I1803" s="2" t="n">
        <v>1200</v>
      </c>
      <c r="J1803" s="2" t="n">
        <v>0.05</v>
      </c>
      <c r="K1803" s="2" t="n">
        <v>600</v>
      </c>
    </row>
    <row r="1804" customFormat="false" ht="15" hidden="false" customHeight="false" outlineLevel="0" collapsed="false">
      <c r="A1804" s="2" t="s">
        <v>2569</v>
      </c>
      <c r="B1804" s="2" t="s">
        <v>2570</v>
      </c>
      <c r="C1804" s="10" t="n">
        <v>45993</v>
      </c>
      <c r="D1804" s="2" t="s">
        <v>63</v>
      </c>
      <c r="E1804" s="2" t="s">
        <v>64</v>
      </c>
      <c r="F1804" s="2" t="s">
        <v>70</v>
      </c>
      <c r="G1804" s="2" t="s">
        <v>97</v>
      </c>
      <c r="H1804" s="2" t="n">
        <v>3</v>
      </c>
      <c r="I1804" s="2" t="n">
        <v>3000</v>
      </c>
      <c r="J1804" s="2" t="n">
        <v>0.05</v>
      </c>
      <c r="K1804" s="2" t="n">
        <v>2000</v>
      </c>
    </row>
    <row r="1805" customFormat="false" ht="15" hidden="false" customHeight="false" outlineLevel="0" collapsed="false">
      <c r="A1805" s="2" t="s">
        <v>2571</v>
      </c>
      <c r="B1805" s="2" t="s">
        <v>2570</v>
      </c>
      <c r="C1805" s="10" t="n">
        <v>45733</v>
      </c>
      <c r="D1805" s="2" t="s">
        <v>63</v>
      </c>
      <c r="E1805" s="2" t="s">
        <v>64</v>
      </c>
      <c r="F1805" s="2" t="s">
        <v>65</v>
      </c>
      <c r="G1805" s="2" t="s">
        <v>78</v>
      </c>
      <c r="H1805" s="2" t="n">
        <v>3</v>
      </c>
      <c r="I1805" s="2" t="n">
        <v>400</v>
      </c>
      <c r="J1805" s="2" t="n">
        <v>0</v>
      </c>
      <c r="K1805" s="2" t="n">
        <v>200</v>
      </c>
    </row>
    <row r="1806" customFormat="false" ht="15" hidden="false" customHeight="false" outlineLevel="0" collapsed="false">
      <c r="A1806" s="2" t="s">
        <v>2572</v>
      </c>
      <c r="B1806" s="2" t="s">
        <v>2573</v>
      </c>
      <c r="C1806" s="10" t="n">
        <v>45938</v>
      </c>
      <c r="D1806" s="2" t="s">
        <v>81</v>
      </c>
      <c r="E1806" s="2" t="s">
        <v>64</v>
      </c>
      <c r="F1806" s="2" t="s">
        <v>65</v>
      </c>
      <c r="G1806" s="2" t="s">
        <v>82</v>
      </c>
      <c r="H1806" s="2" t="n">
        <v>2</v>
      </c>
      <c r="I1806" s="2" t="n">
        <v>250</v>
      </c>
      <c r="J1806" s="2" t="n">
        <v>0.15</v>
      </c>
      <c r="K1806" s="2" t="n">
        <v>100</v>
      </c>
    </row>
    <row r="1807" customFormat="false" ht="15" hidden="false" customHeight="false" outlineLevel="0" collapsed="false">
      <c r="A1807" s="2" t="s">
        <v>2574</v>
      </c>
      <c r="B1807" s="2" t="s">
        <v>2575</v>
      </c>
      <c r="C1807" s="10" t="n">
        <v>45987</v>
      </c>
      <c r="D1807" s="2" t="s">
        <v>91</v>
      </c>
      <c r="E1807" s="2" t="s">
        <v>64</v>
      </c>
      <c r="F1807" s="2" t="s">
        <v>73</v>
      </c>
      <c r="G1807" s="2" t="s">
        <v>74</v>
      </c>
      <c r="H1807" s="2" t="n">
        <v>1</v>
      </c>
      <c r="I1807" s="2" t="n">
        <v>7000</v>
      </c>
      <c r="J1807" s="2" t="n">
        <v>0.1</v>
      </c>
      <c r="K1807" s="2" t="n">
        <v>4800</v>
      </c>
    </row>
    <row r="1808" customFormat="false" ht="15" hidden="false" customHeight="false" outlineLevel="0" collapsed="false">
      <c r="A1808" s="2" t="s">
        <v>2576</v>
      </c>
      <c r="B1808" s="2" t="s">
        <v>2575</v>
      </c>
      <c r="C1808" s="10" t="n">
        <v>45751</v>
      </c>
      <c r="D1808" s="2" t="s">
        <v>91</v>
      </c>
      <c r="E1808" s="2" t="s">
        <v>64</v>
      </c>
      <c r="F1808" s="2" t="s">
        <v>65</v>
      </c>
      <c r="G1808" s="2" t="s">
        <v>78</v>
      </c>
      <c r="H1808" s="2" t="n">
        <v>6</v>
      </c>
      <c r="I1808" s="2" t="n">
        <v>400</v>
      </c>
      <c r="J1808" s="2" t="n">
        <v>0.1</v>
      </c>
      <c r="K1808" s="2" t="n">
        <v>200</v>
      </c>
    </row>
    <row r="1809" customFormat="false" ht="15" hidden="false" customHeight="false" outlineLevel="0" collapsed="false">
      <c r="A1809" s="2" t="s">
        <v>2577</v>
      </c>
      <c r="B1809" s="2" t="s">
        <v>2578</v>
      </c>
      <c r="C1809" s="10" t="n">
        <v>45680</v>
      </c>
      <c r="D1809" s="2" t="s">
        <v>91</v>
      </c>
      <c r="E1809" s="2" t="s">
        <v>69</v>
      </c>
      <c r="F1809" s="2" t="s">
        <v>73</v>
      </c>
      <c r="G1809" s="2" t="s">
        <v>85</v>
      </c>
      <c r="H1809" s="2" t="n">
        <v>2</v>
      </c>
      <c r="I1809" s="2" t="n">
        <v>1200</v>
      </c>
      <c r="J1809" s="2" t="n">
        <v>0</v>
      </c>
      <c r="K1809" s="2" t="n">
        <v>600</v>
      </c>
    </row>
    <row r="1810" customFormat="false" ht="15" hidden="false" customHeight="false" outlineLevel="0" collapsed="false">
      <c r="A1810" s="2" t="s">
        <v>2579</v>
      </c>
      <c r="B1810" s="2" t="s">
        <v>2580</v>
      </c>
      <c r="C1810" s="10" t="n">
        <v>45887</v>
      </c>
      <c r="D1810" s="2" t="s">
        <v>63</v>
      </c>
      <c r="E1810" s="2" t="s">
        <v>64</v>
      </c>
      <c r="F1810" s="2" t="s">
        <v>65</v>
      </c>
      <c r="G1810" s="2" t="s">
        <v>78</v>
      </c>
      <c r="H1810" s="2" t="n">
        <v>8</v>
      </c>
      <c r="I1810" s="2" t="n">
        <v>400</v>
      </c>
      <c r="J1810" s="2" t="n">
        <v>0</v>
      </c>
      <c r="K1810" s="2" t="n">
        <v>200</v>
      </c>
    </row>
    <row r="1811" customFormat="false" ht="15" hidden="false" customHeight="false" outlineLevel="0" collapsed="false">
      <c r="A1811" s="2" t="s">
        <v>2581</v>
      </c>
      <c r="B1811" s="2" t="s">
        <v>2580</v>
      </c>
      <c r="C1811" s="10" t="n">
        <v>45811</v>
      </c>
      <c r="D1811" s="2" t="s">
        <v>63</v>
      </c>
      <c r="E1811" s="2" t="s">
        <v>64</v>
      </c>
      <c r="F1811" s="2" t="s">
        <v>70</v>
      </c>
      <c r="G1811" s="2" t="s">
        <v>97</v>
      </c>
      <c r="H1811" s="2" t="n">
        <v>2</v>
      </c>
      <c r="I1811" s="2" t="n">
        <v>3000</v>
      </c>
      <c r="J1811" s="2" t="n">
        <v>0.1</v>
      </c>
      <c r="K1811" s="2" t="n">
        <v>2000</v>
      </c>
    </row>
    <row r="1812" customFormat="false" ht="15" hidden="false" customHeight="false" outlineLevel="0" collapsed="false">
      <c r="A1812" s="2" t="s">
        <v>2582</v>
      </c>
      <c r="B1812" s="2" t="s">
        <v>2580</v>
      </c>
      <c r="C1812" s="10" t="n">
        <v>45793</v>
      </c>
      <c r="D1812" s="2" t="s">
        <v>63</v>
      </c>
      <c r="E1812" s="2" t="s">
        <v>64</v>
      </c>
      <c r="F1812" s="2" t="s">
        <v>70</v>
      </c>
      <c r="G1812" s="2" t="s">
        <v>126</v>
      </c>
      <c r="H1812" s="2" t="n">
        <v>2</v>
      </c>
      <c r="I1812" s="2" t="n">
        <v>4500</v>
      </c>
      <c r="J1812" s="2" t="n">
        <v>0</v>
      </c>
      <c r="K1812" s="2" t="n">
        <v>3300</v>
      </c>
    </row>
    <row r="1813" customFormat="false" ht="15" hidden="false" customHeight="false" outlineLevel="0" collapsed="false">
      <c r="A1813" s="2" t="s">
        <v>2583</v>
      </c>
      <c r="B1813" s="2" t="s">
        <v>2580</v>
      </c>
      <c r="C1813" s="10" t="n">
        <v>46011</v>
      </c>
      <c r="D1813" s="2" t="s">
        <v>63</v>
      </c>
      <c r="E1813" s="2" t="s">
        <v>64</v>
      </c>
      <c r="F1813" s="2" t="s">
        <v>70</v>
      </c>
      <c r="G1813" s="2" t="s">
        <v>126</v>
      </c>
      <c r="H1813" s="2" t="n">
        <v>2</v>
      </c>
      <c r="I1813" s="2" t="n">
        <v>4500</v>
      </c>
      <c r="J1813" s="2" t="n">
        <v>0.05</v>
      </c>
      <c r="K1813" s="2" t="n">
        <v>3300</v>
      </c>
    </row>
    <row r="1814" customFormat="false" ht="15" hidden="false" customHeight="false" outlineLevel="0" collapsed="false">
      <c r="A1814" s="2" t="s">
        <v>2584</v>
      </c>
      <c r="B1814" s="2" t="s">
        <v>2585</v>
      </c>
      <c r="C1814" s="10" t="n">
        <v>45670</v>
      </c>
      <c r="D1814" s="2" t="s">
        <v>77</v>
      </c>
      <c r="E1814" s="2" t="s">
        <v>92</v>
      </c>
      <c r="F1814" s="2" t="s">
        <v>70</v>
      </c>
      <c r="G1814" s="2" t="s">
        <v>126</v>
      </c>
      <c r="H1814" s="2" t="n">
        <v>4</v>
      </c>
      <c r="I1814" s="2" t="n">
        <v>4500</v>
      </c>
      <c r="J1814" s="2" t="n">
        <v>0.15</v>
      </c>
      <c r="K1814" s="2" t="n">
        <v>3300</v>
      </c>
    </row>
    <row r="1815" customFormat="false" ht="15" hidden="false" customHeight="false" outlineLevel="0" collapsed="false">
      <c r="A1815" s="2" t="s">
        <v>2586</v>
      </c>
      <c r="B1815" s="2" t="s">
        <v>2585</v>
      </c>
      <c r="C1815" s="10" t="n">
        <v>45975</v>
      </c>
      <c r="D1815" s="2" t="s">
        <v>77</v>
      </c>
      <c r="E1815" s="2" t="s">
        <v>92</v>
      </c>
      <c r="F1815" s="2" t="s">
        <v>73</v>
      </c>
      <c r="G1815" s="2" t="s">
        <v>74</v>
      </c>
      <c r="H1815" s="2" t="n">
        <v>3</v>
      </c>
      <c r="I1815" s="2" t="n">
        <v>7000</v>
      </c>
      <c r="J1815" s="2" t="n">
        <v>0.15</v>
      </c>
      <c r="K1815" s="2" t="n">
        <v>4800</v>
      </c>
    </row>
    <row r="1816" customFormat="false" ht="15" hidden="false" customHeight="false" outlineLevel="0" collapsed="false">
      <c r="A1816" s="2" t="s">
        <v>2587</v>
      </c>
      <c r="B1816" s="2" t="s">
        <v>2588</v>
      </c>
      <c r="C1816" s="10" t="n">
        <v>45784</v>
      </c>
      <c r="D1816" s="2" t="s">
        <v>77</v>
      </c>
      <c r="E1816" s="2" t="s">
        <v>69</v>
      </c>
      <c r="F1816" s="2" t="s">
        <v>70</v>
      </c>
      <c r="G1816" s="2" t="s">
        <v>97</v>
      </c>
      <c r="H1816" s="2" t="n">
        <v>4</v>
      </c>
      <c r="I1816" s="2" t="n">
        <v>3000</v>
      </c>
      <c r="J1816" s="2" t="n">
        <v>0</v>
      </c>
      <c r="K1816" s="2" t="n">
        <v>2000</v>
      </c>
    </row>
    <row r="1817" customFormat="false" ht="15" hidden="false" customHeight="false" outlineLevel="0" collapsed="false">
      <c r="A1817" s="2" t="s">
        <v>2589</v>
      </c>
      <c r="B1817" s="2" t="s">
        <v>2590</v>
      </c>
      <c r="C1817" s="10" t="n">
        <v>45968</v>
      </c>
      <c r="D1817" s="2" t="s">
        <v>77</v>
      </c>
      <c r="E1817" s="2" t="s">
        <v>64</v>
      </c>
      <c r="F1817" s="2" t="s">
        <v>65</v>
      </c>
      <c r="G1817" s="2" t="s">
        <v>66</v>
      </c>
      <c r="H1817" s="2" t="n">
        <v>4</v>
      </c>
      <c r="I1817" s="2" t="n">
        <v>600</v>
      </c>
      <c r="J1817" s="2" t="n">
        <v>0.05</v>
      </c>
      <c r="K1817" s="2" t="n">
        <v>300</v>
      </c>
    </row>
    <row r="1818" customFormat="false" ht="15" hidden="false" customHeight="false" outlineLevel="0" collapsed="false">
      <c r="A1818" s="2" t="s">
        <v>2591</v>
      </c>
      <c r="B1818" s="2" t="s">
        <v>2590</v>
      </c>
      <c r="C1818" s="10" t="n">
        <v>45685</v>
      </c>
      <c r="D1818" s="2" t="s">
        <v>77</v>
      </c>
      <c r="E1818" s="2" t="s">
        <v>64</v>
      </c>
      <c r="F1818" s="2" t="s">
        <v>73</v>
      </c>
      <c r="G1818" s="2" t="s">
        <v>74</v>
      </c>
      <c r="H1818" s="2" t="n">
        <v>1</v>
      </c>
      <c r="I1818" s="2" t="n">
        <v>7000</v>
      </c>
      <c r="J1818" s="2" t="n">
        <v>0</v>
      </c>
      <c r="K1818" s="2" t="n">
        <v>4800</v>
      </c>
    </row>
    <row r="1819" customFormat="false" ht="15" hidden="false" customHeight="false" outlineLevel="0" collapsed="false">
      <c r="A1819" s="2" t="s">
        <v>2592</v>
      </c>
      <c r="B1819" s="2" t="s">
        <v>2590</v>
      </c>
      <c r="C1819" s="10" t="n">
        <v>45947</v>
      </c>
      <c r="D1819" s="2" t="s">
        <v>77</v>
      </c>
      <c r="E1819" s="2" t="s">
        <v>64</v>
      </c>
      <c r="F1819" s="2" t="s">
        <v>65</v>
      </c>
      <c r="G1819" s="2" t="s">
        <v>78</v>
      </c>
      <c r="H1819" s="2" t="n">
        <v>6</v>
      </c>
      <c r="I1819" s="2" t="n">
        <v>400</v>
      </c>
      <c r="J1819" s="2" t="n">
        <v>0.05</v>
      </c>
      <c r="K1819" s="2" t="n">
        <v>200</v>
      </c>
    </row>
    <row r="1820" customFormat="false" ht="15" hidden="false" customHeight="false" outlineLevel="0" collapsed="false">
      <c r="A1820" s="2" t="s">
        <v>2593</v>
      </c>
      <c r="B1820" s="2" t="s">
        <v>2590</v>
      </c>
      <c r="C1820" s="10" t="n">
        <v>45706</v>
      </c>
      <c r="D1820" s="2" t="s">
        <v>77</v>
      </c>
      <c r="E1820" s="2" t="s">
        <v>64</v>
      </c>
      <c r="F1820" s="2" t="s">
        <v>65</v>
      </c>
      <c r="G1820" s="2" t="s">
        <v>66</v>
      </c>
      <c r="H1820" s="2" t="n">
        <v>3</v>
      </c>
      <c r="I1820" s="2" t="n">
        <v>600</v>
      </c>
      <c r="J1820" s="2" t="n">
        <v>0.05</v>
      </c>
      <c r="K1820" s="2" t="n">
        <v>300</v>
      </c>
    </row>
    <row r="1821" customFormat="false" ht="15" hidden="false" customHeight="false" outlineLevel="0" collapsed="false">
      <c r="A1821" s="2" t="s">
        <v>2594</v>
      </c>
      <c r="B1821" s="2" t="s">
        <v>2590</v>
      </c>
      <c r="C1821" s="10" t="n">
        <v>45809</v>
      </c>
      <c r="D1821" s="2" t="s">
        <v>77</v>
      </c>
      <c r="E1821" s="2" t="s">
        <v>64</v>
      </c>
      <c r="F1821" s="2" t="s">
        <v>70</v>
      </c>
      <c r="G1821" s="2" t="s">
        <v>126</v>
      </c>
      <c r="H1821" s="2" t="n">
        <v>3</v>
      </c>
      <c r="I1821" s="2" t="n">
        <v>4500</v>
      </c>
      <c r="J1821" s="2" t="n">
        <v>0.1</v>
      </c>
      <c r="K1821" s="2" t="n">
        <v>3300</v>
      </c>
    </row>
    <row r="1822" customFormat="false" ht="15" hidden="false" customHeight="false" outlineLevel="0" collapsed="false">
      <c r="A1822" s="2" t="s">
        <v>2595</v>
      </c>
      <c r="B1822" s="2" t="s">
        <v>2596</v>
      </c>
      <c r="C1822" s="10" t="n">
        <v>45740</v>
      </c>
      <c r="D1822" s="2" t="s">
        <v>77</v>
      </c>
      <c r="E1822" s="2" t="s">
        <v>64</v>
      </c>
      <c r="F1822" s="2" t="s">
        <v>73</v>
      </c>
      <c r="G1822" s="2" t="s">
        <v>74</v>
      </c>
      <c r="H1822" s="2" t="n">
        <v>3</v>
      </c>
      <c r="I1822" s="2" t="n">
        <v>7000</v>
      </c>
      <c r="J1822" s="2" t="n">
        <v>0.1</v>
      </c>
      <c r="K1822" s="2" t="n">
        <v>4800</v>
      </c>
    </row>
    <row r="1823" customFormat="false" ht="15" hidden="false" customHeight="false" outlineLevel="0" collapsed="false">
      <c r="A1823" s="2" t="s">
        <v>2597</v>
      </c>
      <c r="B1823" s="2" t="s">
        <v>2598</v>
      </c>
      <c r="C1823" s="10" t="n">
        <v>45844</v>
      </c>
      <c r="D1823" s="2" t="s">
        <v>63</v>
      </c>
      <c r="E1823" s="2" t="s">
        <v>69</v>
      </c>
      <c r="F1823" s="2" t="s">
        <v>73</v>
      </c>
      <c r="G1823" s="2" t="s">
        <v>87</v>
      </c>
      <c r="H1823" s="2" t="n">
        <v>5</v>
      </c>
      <c r="I1823" s="2" t="n">
        <v>9000</v>
      </c>
      <c r="J1823" s="2" t="n">
        <v>0.05</v>
      </c>
      <c r="K1823" s="2" t="n">
        <v>6200</v>
      </c>
    </row>
    <row r="1824" customFormat="false" ht="15" hidden="false" customHeight="false" outlineLevel="0" collapsed="false">
      <c r="A1824" s="2" t="s">
        <v>2599</v>
      </c>
      <c r="B1824" s="2" t="s">
        <v>2598</v>
      </c>
      <c r="C1824" s="10" t="n">
        <v>45671</v>
      </c>
      <c r="D1824" s="2" t="s">
        <v>63</v>
      </c>
      <c r="E1824" s="2" t="s">
        <v>69</v>
      </c>
      <c r="F1824" s="2" t="s">
        <v>73</v>
      </c>
      <c r="G1824" s="2" t="s">
        <v>74</v>
      </c>
      <c r="H1824" s="2" t="n">
        <v>2</v>
      </c>
      <c r="I1824" s="2" t="n">
        <v>7000</v>
      </c>
      <c r="J1824" s="2" t="n">
        <v>0.1</v>
      </c>
      <c r="K1824" s="2" t="n">
        <v>4800</v>
      </c>
    </row>
    <row r="1825" customFormat="false" ht="15" hidden="false" customHeight="false" outlineLevel="0" collapsed="false">
      <c r="A1825" s="2" t="s">
        <v>2600</v>
      </c>
      <c r="B1825" s="2" t="s">
        <v>2598</v>
      </c>
      <c r="C1825" s="10" t="n">
        <v>45734</v>
      </c>
      <c r="D1825" s="2" t="s">
        <v>63</v>
      </c>
      <c r="E1825" s="2" t="s">
        <v>69</v>
      </c>
      <c r="F1825" s="2" t="s">
        <v>65</v>
      </c>
      <c r="G1825" s="2" t="s">
        <v>78</v>
      </c>
      <c r="H1825" s="2" t="n">
        <v>19</v>
      </c>
      <c r="I1825" s="2" t="n">
        <v>400</v>
      </c>
      <c r="J1825" s="2" t="n">
        <v>0.1</v>
      </c>
      <c r="K1825" s="2" t="n">
        <v>200</v>
      </c>
    </row>
    <row r="1826" customFormat="false" ht="15" hidden="false" customHeight="false" outlineLevel="0" collapsed="false">
      <c r="A1826" s="2" t="s">
        <v>2601</v>
      </c>
      <c r="B1826" s="2" t="s">
        <v>2602</v>
      </c>
      <c r="C1826" s="10" t="n">
        <v>46017</v>
      </c>
      <c r="D1826" s="2" t="s">
        <v>63</v>
      </c>
      <c r="E1826" s="2" t="s">
        <v>64</v>
      </c>
      <c r="F1826" s="2" t="s">
        <v>73</v>
      </c>
      <c r="G1826" s="2" t="s">
        <v>74</v>
      </c>
      <c r="H1826" s="2" t="n">
        <v>3</v>
      </c>
      <c r="I1826" s="2" t="n">
        <v>7000</v>
      </c>
      <c r="J1826" s="2" t="n">
        <v>0.15</v>
      </c>
      <c r="K1826" s="2" t="n">
        <v>4800</v>
      </c>
    </row>
    <row r="1827" customFormat="false" ht="15" hidden="false" customHeight="false" outlineLevel="0" collapsed="false">
      <c r="A1827" s="2" t="s">
        <v>2603</v>
      </c>
      <c r="B1827" s="2" t="s">
        <v>2602</v>
      </c>
      <c r="C1827" s="10" t="n">
        <v>45800</v>
      </c>
      <c r="D1827" s="2" t="s">
        <v>63</v>
      </c>
      <c r="E1827" s="2" t="s">
        <v>64</v>
      </c>
      <c r="F1827" s="2" t="s">
        <v>65</v>
      </c>
      <c r="G1827" s="2" t="s">
        <v>107</v>
      </c>
      <c r="H1827" s="2" t="n">
        <v>4</v>
      </c>
      <c r="I1827" s="2" t="n">
        <v>500</v>
      </c>
      <c r="J1827" s="2" t="n">
        <v>0.1</v>
      </c>
      <c r="K1827" s="2" t="n">
        <v>250</v>
      </c>
    </row>
    <row r="1828" customFormat="false" ht="15" hidden="false" customHeight="false" outlineLevel="0" collapsed="false">
      <c r="A1828" s="2" t="s">
        <v>2604</v>
      </c>
      <c r="B1828" s="2" t="s">
        <v>2602</v>
      </c>
      <c r="C1828" s="10" t="n">
        <v>45778</v>
      </c>
      <c r="D1828" s="2" t="s">
        <v>63</v>
      </c>
      <c r="E1828" s="2" t="s">
        <v>64</v>
      </c>
      <c r="F1828" s="2" t="s">
        <v>70</v>
      </c>
      <c r="G1828" s="2" t="s">
        <v>126</v>
      </c>
      <c r="H1828" s="2" t="n">
        <v>1</v>
      </c>
      <c r="I1828" s="2" t="n">
        <v>4500</v>
      </c>
      <c r="J1828" s="2" t="n">
        <v>0</v>
      </c>
      <c r="K1828" s="2" t="n">
        <v>3300</v>
      </c>
    </row>
    <row r="1829" customFormat="false" ht="15" hidden="false" customHeight="false" outlineLevel="0" collapsed="false">
      <c r="A1829" s="2" t="s">
        <v>2605</v>
      </c>
      <c r="B1829" s="2" t="s">
        <v>2602</v>
      </c>
      <c r="C1829" s="10" t="n">
        <v>45987</v>
      </c>
      <c r="D1829" s="2" t="s">
        <v>63</v>
      </c>
      <c r="E1829" s="2" t="s">
        <v>64</v>
      </c>
      <c r="F1829" s="2" t="s">
        <v>70</v>
      </c>
      <c r="G1829" s="2" t="s">
        <v>122</v>
      </c>
      <c r="H1829" s="2" t="n">
        <v>3</v>
      </c>
      <c r="I1829" s="2" t="n">
        <v>1500</v>
      </c>
      <c r="J1829" s="2" t="n">
        <v>0.05</v>
      </c>
      <c r="K1829" s="2" t="n">
        <v>900</v>
      </c>
    </row>
    <row r="1830" customFormat="false" ht="15" hidden="false" customHeight="false" outlineLevel="0" collapsed="false">
      <c r="A1830" s="2" t="s">
        <v>2606</v>
      </c>
      <c r="B1830" s="2" t="s">
        <v>2602</v>
      </c>
      <c r="C1830" s="10" t="n">
        <v>45936</v>
      </c>
      <c r="D1830" s="2" t="s">
        <v>63</v>
      </c>
      <c r="E1830" s="2" t="s">
        <v>64</v>
      </c>
      <c r="F1830" s="2" t="s">
        <v>70</v>
      </c>
      <c r="G1830" s="2" t="s">
        <v>126</v>
      </c>
      <c r="H1830" s="2" t="n">
        <v>1</v>
      </c>
      <c r="I1830" s="2" t="n">
        <v>4500</v>
      </c>
      <c r="J1830" s="2" t="n">
        <v>0.05</v>
      </c>
      <c r="K1830" s="2" t="n">
        <v>3300</v>
      </c>
    </row>
    <row r="1831" customFormat="false" ht="15" hidden="false" customHeight="false" outlineLevel="0" collapsed="false">
      <c r="A1831" s="2" t="s">
        <v>2607</v>
      </c>
      <c r="B1831" s="2" t="s">
        <v>2608</v>
      </c>
      <c r="C1831" s="10" t="n">
        <v>45998</v>
      </c>
      <c r="D1831" s="2" t="s">
        <v>77</v>
      </c>
      <c r="E1831" s="2" t="s">
        <v>64</v>
      </c>
      <c r="F1831" s="2" t="s">
        <v>73</v>
      </c>
      <c r="G1831" s="2" t="s">
        <v>87</v>
      </c>
      <c r="H1831" s="2" t="n">
        <v>2</v>
      </c>
      <c r="I1831" s="2" t="n">
        <v>9000</v>
      </c>
      <c r="J1831" s="2" t="n">
        <v>0.05</v>
      </c>
      <c r="K1831" s="2" t="n">
        <v>6200</v>
      </c>
    </row>
    <row r="1832" customFormat="false" ht="15" hidden="false" customHeight="false" outlineLevel="0" collapsed="false">
      <c r="A1832" s="2" t="s">
        <v>2609</v>
      </c>
      <c r="B1832" s="2" t="s">
        <v>2608</v>
      </c>
      <c r="C1832" s="10" t="n">
        <v>45843</v>
      </c>
      <c r="D1832" s="2" t="s">
        <v>77</v>
      </c>
      <c r="E1832" s="2" t="s">
        <v>64</v>
      </c>
      <c r="F1832" s="2" t="s">
        <v>65</v>
      </c>
      <c r="G1832" s="2" t="s">
        <v>66</v>
      </c>
      <c r="H1832" s="2" t="n">
        <v>4</v>
      </c>
      <c r="I1832" s="2" t="n">
        <v>600</v>
      </c>
      <c r="J1832" s="2" t="n">
        <v>0.05</v>
      </c>
      <c r="K1832" s="2" t="n">
        <v>300</v>
      </c>
    </row>
    <row r="1833" customFormat="false" ht="15" hidden="false" customHeight="false" outlineLevel="0" collapsed="false">
      <c r="A1833" s="2" t="s">
        <v>2610</v>
      </c>
      <c r="B1833" s="2" t="s">
        <v>2608</v>
      </c>
      <c r="C1833" s="10" t="n">
        <v>46018</v>
      </c>
      <c r="D1833" s="2" t="s">
        <v>77</v>
      </c>
      <c r="E1833" s="2" t="s">
        <v>64</v>
      </c>
      <c r="F1833" s="2" t="s">
        <v>70</v>
      </c>
      <c r="G1833" s="2" t="s">
        <v>122</v>
      </c>
      <c r="H1833" s="2" t="n">
        <v>2</v>
      </c>
      <c r="I1833" s="2" t="n">
        <v>1500</v>
      </c>
      <c r="J1833" s="2" t="n">
        <v>0.15</v>
      </c>
      <c r="K1833" s="2" t="n">
        <v>900</v>
      </c>
    </row>
    <row r="1834" customFormat="false" ht="15" hidden="false" customHeight="false" outlineLevel="0" collapsed="false">
      <c r="A1834" s="2" t="s">
        <v>2611</v>
      </c>
      <c r="B1834" s="2" t="s">
        <v>2612</v>
      </c>
      <c r="C1834" s="10" t="n">
        <v>45846</v>
      </c>
      <c r="D1834" s="2" t="s">
        <v>77</v>
      </c>
      <c r="E1834" s="2" t="s">
        <v>69</v>
      </c>
      <c r="F1834" s="2" t="s">
        <v>65</v>
      </c>
      <c r="G1834" s="2" t="s">
        <v>78</v>
      </c>
      <c r="H1834" s="2" t="n">
        <v>20</v>
      </c>
      <c r="I1834" s="2" t="n">
        <v>400</v>
      </c>
      <c r="J1834" s="2" t="n">
        <v>0</v>
      </c>
      <c r="K1834" s="2" t="n">
        <v>200</v>
      </c>
    </row>
    <row r="1835" customFormat="false" ht="15" hidden="false" customHeight="false" outlineLevel="0" collapsed="false">
      <c r="A1835" s="2" t="s">
        <v>2613</v>
      </c>
      <c r="B1835" s="2" t="s">
        <v>2612</v>
      </c>
      <c r="C1835" s="10" t="n">
        <v>45846</v>
      </c>
      <c r="D1835" s="2" t="s">
        <v>77</v>
      </c>
      <c r="E1835" s="2" t="s">
        <v>69</v>
      </c>
      <c r="F1835" s="2" t="s">
        <v>70</v>
      </c>
      <c r="G1835" s="2" t="s">
        <v>126</v>
      </c>
      <c r="H1835" s="2" t="n">
        <v>2</v>
      </c>
      <c r="I1835" s="2" t="n">
        <v>4500</v>
      </c>
      <c r="J1835" s="2" t="n">
        <v>0</v>
      </c>
      <c r="K1835" s="2" t="n">
        <v>3300</v>
      </c>
    </row>
    <row r="1836" customFormat="false" ht="15" hidden="false" customHeight="false" outlineLevel="0" collapsed="false">
      <c r="A1836" s="2" t="s">
        <v>2614</v>
      </c>
      <c r="B1836" s="2" t="s">
        <v>2612</v>
      </c>
      <c r="C1836" s="10" t="n">
        <v>45691</v>
      </c>
      <c r="D1836" s="2" t="s">
        <v>77</v>
      </c>
      <c r="E1836" s="2" t="s">
        <v>69</v>
      </c>
      <c r="F1836" s="2" t="s">
        <v>73</v>
      </c>
      <c r="G1836" s="2" t="s">
        <v>87</v>
      </c>
      <c r="H1836" s="2" t="n">
        <v>5</v>
      </c>
      <c r="I1836" s="2" t="n">
        <v>9000</v>
      </c>
      <c r="J1836" s="2" t="n">
        <v>0</v>
      </c>
      <c r="K1836" s="2" t="n">
        <v>6200</v>
      </c>
    </row>
    <row r="1837" customFormat="false" ht="15" hidden="false" customHeight="false" outlineLevel="0" collapsed="false">
      <c r="A1837" s="2" t="s">
        <v>2615</v>
      </c>
      <c r="B1837" s="2" t="s">
        <v>2612</v>
      </c>
      <c r="C1837" s="10" t="n">
        <v>45775</v>
      </c>
      <c r="D1837" s="2" t="s">
        <v>77</v>
      </c>
      <c r="E1837" s="2" t="s">
        <v>69</v>
      </c>
      <c r="F1837" s="2" t="s">
        <v>73</v>
      </c>
      <c r="G1837" s="2" t="s">
        <v>104</v>
      </c>
      <c r="H1837" s="2" t="n">
        <v>3</v>
      </c>
      <c r="I1837" s="2" t="n">
        <v>5500</v>
      </c>
      <c r="J1837" s="2" t="n">
        <v>0</v>
      </c>
      <c r="K1837" s="2" t="n">
        <v>3600</v>
      </c>
    </row>
    <row r="1838" customFormat="false" ht="15" hidden="false" customHeight="false" outlineLevel="0" collapsed="false">
      <c r="A1838" s="2" t="s">
        <v>2616</v>
      </c>
      <c r="B1838" s="2" t="s">
        <v>2612</v>
      </c>
      <c r="C1838" s="10" t="n">
        <v>45861</v>
      </c>
      <c r="D1838" s="2" t="s">
        <v>77</v>
      </c>
      <c r="E1838" s="2" t="s">
        <v>69</v>
      </c>
      <c r="F1838" s="2" t="s">
        <v>73</v>
      </c>
      <c r="G1838" s="2" t="s">
        <v>104</v>
      </c>
      <c r="H1838" s="2" t="n">
        <v>3</v>
      </c>
      <c r="I1838" s="2" t="n">
        <v>5500</v>
      </c>
      <c r="J1838" s="2" t="n">
        <v>0</v>
      </c>
      <c r="K1838" s="2" t="n">
        <v>3600</v>
      </c>
    </row>
    <row r="1839" customFormat="false" ht="15" hidden="false" customHeight="false" outlineLevel="0" collapsed="false">
      <c r="A1839" s="2" t="s">
        <v>2617</v>
      </c>
      <c r="B1839" s="2" t="s">
        <v>2612</v>
      </c>
      <c r="C1839" s="10" t="n">
        <v>45938</v>
      </c>
      <c r="D1839" s="2" t="s">
        <v>77</v>
      </c>
      <c r="E1839" s="2" t="s">
        <v>69</v>
      </c>
      <c r="F1839" s="2" t="s">
        <v>73</v>
      </c>
      <c r="G1839" s="2" t="s">
        <v>85</v>
      </c>
      <c r="H1839" s="2" t="n">
        <v>5</v>
      </c>
      <c r="I1839" s="2" t="n">
        <v>1200</v>
      </c>
      <c r="J1839" s="2" t="n">
        <v>0.05</v>
      </c>
      <c r="K1839" s="2" t="n">
        <v>600</v>
      </c>
    </row>
    <row r="1840" customFormat="false" ht="15" hidden="false" customHeight="false" outlineLevel="0" collapsed="false">
      <c r="A1840" s="2" t="s">
        <v>2618</v>
      </c>
      <c r="B1840" s="2" t="s">
        <v>2619</v>
      </c>
      <c r="C1840" s="10" t="n">
        <v>45878</v>
      </c>
      <c r="D1840" s="2" t="s">
        <v>77</v>
      </c>
      <c r="E1840" s="2" t="s">
        <v>64</v>
      </c>
      <c r="F1840" s="2" t="s">
        <v>65</v>
      </c>
      <c r="G1840" s="2" t="s">
        <v>66</v>
      </c>
      <c r="H1840" s="2" t="n">
        <v>8</v>
      </c>
      <c r="I1840" s="2" t="n">
        <v>600</v>
      </c>
      <c r="J1840" s="2" t="n">
        <v>0.1</v>
      </c>
      <c r="K1840" s="2" t="n">
        <v>300</v>
      </c>
    </row>
    <row r="1841" customFormat="false" ht="15" hidden="false" customHeight="false" outlineLevel="0" collapsed="false">
      <c r="A1841" s="2" t="s">
        <v>2620</v>
      </c>
      <c r="B1841" s="2" t="s">
        <v>2621</v>
      </c>
      <c r="C1841" s="10" t="n">
        <v>45977</v>
      </c>
      <c r="D1841" s="2" t="s">
        <v>91</v>
      </c>
      <c r="E1841" s="2" t="s">
        <v>69</v>
      </c>
      <c r="F1841" s="2" t="s">
        <v>65</v>
      </c>
      <c r="G1841" s="2" t="s">
        <v>78</v>
      </c>
      <c r="H1841" s="2" t="n">
        <v>5</v>
      </c>
      <c r="I1841" s="2" t="n">
        <v>400</v>
      </c>
      <c r="J1841" s="2" t="n">
        <v>0.15</v>
      </c>
      <c r="K1841" s="2" t="n">
        <v>200</v>
      </c>
    </row>
    <row r="1842" customFormat="false" ht="15" hidden="false" customHeight="false" outlineLevel="0" collapsed="false">
      <c r="A1842" s="2" t="s">
        <v>2622</v>
      </c>
      <c r="B1842" s="2" t="s">
        <v>2623</v>
      </c>
      <c r="C1842" s="10" t="n">
        <v>46014</v>
      </c>
      <c r="D1842" s="2" t="s">
        <v>63</v>
      </c>
      <c r="E1842" s="2" t="s">
        <v>69</v>
      </c>
      <c r="F1842" s="2" t="s">
        <v>73</v>
      </c>
      <c r="G1842" s="2" t="s">
        <v>74</v>
      </c>
      <c r="H1842" s="2" t="n">
        <v>2</v>
      </c>
      <c r="I1842" s="2" t="n">
        <v>7000</v>
      </c>
      <c r="J1842" s="2" t="n">
        <v>0.15</v>
      </c>
      <c r="K1842" s="2" t="n">
        <v>4800</v>
      </c>
    </row>
    <row r="1843" customFormat="false" ht="15" hidden="false" customHeight="false" outlineLevel="0" collapsed="false">
      <c r="A1843" s="2" t="s">
        <v>2624</v>
      </c>
      <c r="B1843" s="2" t="s">
        <v>2623</v>
      </c>
      <c r="C1843" s="10" t="n">
        <v>45945</v>
      </c>
      <c r="D1843" s="2" t="s">
        <v>63</v>
      </c>
      <c r="E1843" s="2" t="s">
        <v>69</v>
      </c>
      <c r="F1843" s="2" t="s">
        <v>65</v>
      </c>
      <c r="G1843" s="2" t="s">
        <v>66</v>
      </c>
      <c r="H1843" s="2" t="n">
        <v>11</v>
      </c>
      <c r="I1843" s="2" t="n">
        <v>600</v>
      </c>
      <c r="J1843" s="2" t="n">
        <v>0.05</v>
      </c>
      <c r="K1843" s="2" t="n">
        <v>300</v>
      </c>
    </row>
    <row r="1844" customFormat="false" ht="15" hidden="false" customHeight="false" outlineLevel="0" collapsed="false">
      <c r="A1844" s="2" t="s">
        <v>2625</v>
      </c>
      <c r="B1844" s="2" t="s">
        <v>2626</v>
      </c>
      <c r="C1844" s="10" t="n">
        <v>45786</v>
      </c>
      <c r="D1844" s="2" t="s">
        <v>77</v>
      </c>
      <c r="E1844" s="2" t="s">
        <v>92</v>
      </c>
      <c r="F1844" s="2" t="s">
        <v>73</v>
      </c>
      <c r="G1844" s="2" t="s">
        <v>104</v>
      </c>
      <c r="H1844" s="2" t="n">
        <v>7</v>
      </c>
      <c r="I1844" s="2" t="n">
        <v>5500</v>
      </c>
      <c r="J1844" s="2" t="n">
        <v>0.1</v>
      </c>
      <c r="K1844" s="2" t="n">
        <v>3600</v>
      </c>
    </row>
    <row r="1845" customFormat="false" ht="15" hidden="false" customHeight="false" outlineLevel="0" collapsed="false">
      <c r="A1845" s="2" t="s">
        <v>2627</v>
      </c>
      <c r="B1845" s="2" t="s">
        <v>2626</v>
      </c>
      <c r="C1845" s="10" t="n">
        <v>45824</v>
      </c>
      <c r="D1845" s="2" t="s">
        <v>77</v>
      </c>
      <c r="E1845" s="2" t="s">
        <v>92</v>
      </c>
      <c r="F1845" s="2" t="s">
        <v>73</v>
      </c>
      <c r="G1845" s="2" t="s">
        <v>74</v>
      </c>
      <c r="H1845" s="2" t="n">
        <v>7</v>
      </c>
      <c r="I1845" s="2" t="n">
        <v>7000</v>
      </c>
      <c r="J1845" s="2" t="n">
        <v>0.15</v>
      </c>
      <c r="K1845" s="2" t="n">
        <v>4800</v>
      </c>
    </row>
    <row r="1846" customFormat="false" ht="15" hidden="false" customHeight="false" outlineLevel="0" collapsed="false">
      <c r="A1846" s="2" t="s">
        <v>2628</v>
      </c>
      <c r="B1846" s="2" t="s">
        <v>2629</v>
      </c>
      <c r="C1846" s="10" t="n">
        <v>45933</v>
      </c>
      <c r="D1846" s="2" t="s">
        <v>91</v>
      </c>
      <c r="E1846" s="2" t="s">
        <v>69</v>
      </c>
      <c r="F1846" s="2" t="s">
        <v>73</v>
      </c>
      <c r="G1846" s="2" t="s">
        <v>104</v>
      </c>
      <c r="H1846" s="2" t="n">
        <v>5</v>
      </c>
      <c r="I1846" s="2" t="n">
        <v>5500</v>
      </c>
      <c r="J1846" s="2" t="n">
        <v>0.1</v>
      </c>
      <c r="K1846" s="2" t="n">
        <v>3600</v>
      </c>
    </row>
    <row r="1847" customFormat="false" ht="15" hidden="false" customHeight="false" outlineLevel="0" collapsed="false">
      <c r="A1847" s="2" t="s">
        <v>2630</v>
      </c>
      <c r="B1847" s="2" t="s">
        <v>2629</v>
      </c>
      <c r="C1847" s="10" t="n">
        <v>45800</v>
      </c>
      <c r="D1847" s="2" t="s">
        <v>91</v>
      </c>
      <c r="E1847" s="2" t="s">
        <v>69</v>
      </c>
      <c r="F1847" s="2" t="s">
        <v>70</v>
      </c>
      <c r="G1847" s="2" t="s">
        <v>126</v>
      </c>
      <c r="H1847" s="2" t="n">
        <v>2</v>
      </c>
      <c r="I1847" s="2" t="n">
        <v>4500</v>
      </c>
      <c r="J1847" s="2" t="n">
        <v>0</v>
      </c>
      <c r="K1847" s="2" t="n">
        <v>3300</v>
      </c>
    </row>
    <row r="1848" customFormat="false" ht="15" hidden="false" customHeight="false" outlineLevel="0" collapsed="false">
      <c r="A1848" s="2" t="s">
        <v>2631</v>
      </c>
      <c r="B1848" s="2" t="s">
        <v>2629</v>
      </c>
      <c r="C1848" s="10" t="n">
        <v>45908</v>
      </c>
      <c r="D1848" s="2" t="s">
        <v>91</v>
      </c>
      <c r="E1848" s="2" t="s">
        <v>69</v>
      </c>
      <c r="F1848" s="2" t="s">
        <v>70</v>
      </c>
      <c r="G1848" s="2" t="s">
        <v>71</v>
      </c>
      <c r="H1848" s="2" t="n">
        <v>1</v>
      </c>
      <c r="I1848" s="2" t="n">
        <v>2500</v>
      </c>
      <c r="J1848" s="2" t="n">
        <v>0</v>
      </c>
      <c r="K1848" s="2" t="n">
        <v>1600</v>
      </c>
    </row>
    <row r="1849" customFormat="false" ht="15" hidden="false" customHeight="false" outlineLevel="0" collapsed="false">
      <c r="A1849" s="2" t="s">
        <v>2632</v>
      </c>
      <c r="B1849" s="2" t="s">
        <v>2629</v>
      </c>
      <c r="C1849" s="10" t="n">
        <v>45864</v>
      </c>
      <c r="D1849" s="2" t="s">
        <v>91</v>
      </c>
      <c r="E1849" s="2" t="s">
        <v>69</v>
      </c>
      <c r="F1849" s="2" t="s">
        <v>65</v>
      </c>
      <c r="G1849" s="2" t="s">
        <v>78</v>
      </c>
      <c r="H1849" s="2" t="n">
        <v>11</v>
      </c>
      <c r="I1849" s="2" t="n">
        <v>400</v>
      </c>
      <c r="J1849" s="2" t="n">
        <v>0.05</v>
      </c>
      <c r="K1849" s="2" t="n">
        <v>200</v>
      </c>
    </row>
    <row r="1850" customFormat="false" ht="15" hidden="false" customHeight="false" outlineLevel="0" collapsed="false">
      <c r="A1850" s="2" t="s">
        <v>2633</v>
      </c>
      <c r="B1850" s="2" t="s">
        <v>2629</v>
      </c>
      <c r="C1850" s="10" t="n">
        <v>45830</v>
      </c>
      <c r="D1850" s="2" t="s">
        <v>91</v>
      </c>
      <c r="E1850" s="2" t="s">
        <v>69</v>
      </c>
      <c r="F1850" s="2" t="s">
        <v>65</v>
      </c>
      <c r="G1850" s="2" t="s">
        <v>66</v>
      </c>
      <c r="H1850" s="2" t="n">
        <v>10</v>
      </c>
      <c r="I1850" s="2" t="n">
        <v>600</v>
      </c>
      <c r="J1850" s="2" t="n">
        <v>0.1</v>
      </c>
      <c r="K1850" s="2" t="n">
        <v>300</v>
      </c>
    </row>
    <row r="1851" customFormat="false" ht="15" hidden="false" customHeight="false" outlineLevel="0" collapsed="false">
      <c r="A1851" s="2" t="s">
        <v>2634</v>
      </c>
      <c r="B1851" s="2" t="s">
        <v>2629</v>
      </c>
      <c r="C1851" s="10" t="n">
        <v>45918</v>
      </c>
      <c r="D1851" s="2"/>
      <c r="E1851" s="2" t="s">
        <v>69</v>
      </c>
      <c r="F1851" s="2" t="s">
        <v>65</v>
      </c>
      <c r="G1851" s="2" t="s">
        <v>107</v>
      </c>
      <c r="H1851" s="2" t="n">
        <v>20</v>
      </c>
      <c r="I1851" s="2" t="n">
        <v>500</v>
      </c>
      <c r="J1851" s="2" t="n">
        <v>0.1</v>
      </c>
      <c r="K1851" s="2" t="n">
        <v>250</v>
      </c>
    </row>
    <row r="1852" customFormat="false" ht="15" hidden="false" customHeight="false" outlineLevel="0" collapsed="false">
      <c r="A1852" s="2" t="s">
        <v>2635</v>
      </c>
      <c r="B1852" s="2" t="s">
        <v>2629</v>
      </c>
      <c r="C1852" s="10" t="n">
        <v>45897</v>
      </c>
      <c r="D1852" s="2" t="s">
        <v>91</v>
      </c>
      <c r="E1852" s="2" t="s">
        <v>69</v>
      </c>
      <c r="F1852" s="2" t="s">
        <v>73</v>
      </c>
      <c r="G1852" s="2" t="s">
        <v>87</v>
      </c>
      <c r="H1852" s="2" t="n">
        <v>4</v>
      </c>
      <c r="I1852" s="2" t="n">
        <v>9000</v>
      </c>
      <c r="J1852" s="2" t="n">
        <v>0</v>
      </c>
      <c r="K1852" s="2" t="n">
        <v>6200</v>
      </c>
    </row>
    <row r="1853" customFormat="false" ht="15" hidden="false" customHeight="false" outlineLevel="0" collapsed="false">
      <c r="A1853" s="2" t="s">
        <v>2636</v>
      </c>
      <c r="B1853" s="2" t="s">
        <v>2629</v>
      </c>
      <c r="C1853" s="10" t="n">
        <v>45978</v>
      </c>
      <c r="D1853" s="2" t="s">
        <v>91</v>
      </c>
      <c r="E1853" s="2" t="s">
        <v>69</v>
      </c>
      <c r="F1853" s="2" t="s">
        <v>73</v>
      </c>
      <c r="G1853" s="2" t="s">
        <v>104</v>
      </c>
      <c r="H1853" s="2" t="n">
        <v>3</v>
      </c>
      <c r="I1853" s="2" t="n">
        <v>5500</v>
      </c>
      <c r="J1853" s="2" t="n">
        <v>0.05</v>
      </c>
      <c r="K1853" s="2" t="n">
        <v>3600</v>
      </c>
    </row>
    <row r="1854" customFormat="false" ht="15" hidden="false" customHeight="false" outlineLevel="0" collapsed="false">
      <c r="A1854" s="2" t="s">
        <v>2637</v>
      </c>
      <c r="B1854" s="2" t="s">
        <v>2629</v>
      </c>
      <c r="C1854" s="10" t="n">
        <v>45818</v>
      </c>
      <c r="D1854" s="2" t="s">
        <v>91</v>
      </c>
      <c r="E1854" s="2" t="s">
        <v>69</v>
      </c>
      <c r="F1854" s="2" t="s">
        <v>65</v>
      </c>
      <c r="G1854" s="2" t="s">
        <v>82</v>
      </c>
      <c r="H1854" s="2" t="n">
        <v>5</v>
      </c>
      <c r="I1854" s="2" t="n">
        <v>250</v>
      </c>
      <c r="J1854" s="2" t="n">
        <v>0.05</v>
      </c>
      <c r="K1854" s="2" t="n">
        <v>100</v>
      </c>
    </row>
    <row r="1855" customFormat="false" ht="15" hidden="false" customHeight="false" outlineLevel="0" collapsed="false">
      <c r="A1855" s="2" t="s">
        <v>2638</v>
      </c>
      <c r="B1855" s="2" t="s">
        <v>2629</v>
      </c>
      <c r="C1855" s="10" t="n">
        <v>45933</v>
      </c>
      <c r="D1855" s="2" t="s">
        <v>91</v>
      </c>
      <c r="E1855" s="2" t="s">
        <v>69</v>
      </c>
      <c r="F1855" s="2" t="s">
        <v>70</v>
      </c>
      <c r="G1855" s="2" t="s">
        <v>97</v>
      </c>
      <c r="H1855" s="2" t="n">
        <v>3</v>
      </c>
      <c r="I1855" s="2" t="n">
        <v>3000</v>
      </c>
      <c r="J1855" s="2" t="n">
        <v>0.05</v>
      </c>
      <c r="K1855" s="2" t="n">
        <v>2000</v>
      </c>
    </row>
    <row r="1856" customFormat="false" ht="15" hidden="false" customHeight="false" outlineLevel="0" collapsed="false">
      <c r="A1856" s="2" t="s">
        <v>2639</v>
      </c>
      <c r="B1856" s="2" t="s">
        <v>2640</v>
      </c>
      <c r="C1856" s="10" t="n">
        <v>45690</v>
      </c>
      <c r="D1856" s="2" t="s">
        <v>91</v>
      </c>
      <c r="E1856" s="2" t="s">
        <v>92</v>
      </c>
      <c r="F1856" s="2" t="s">
        <v>70</v>
      </c>
      <c r="G1856" s="2" t="s">
        <v>122</v>
      </c>
      <c r="H1856" s="2" t="n">
        <v>8</v>
      </c>
      <c r="I1856" s="2" t="n">
        <v>1500</v>
      </c>
      <c r="J1856" s="2" t="n">
        <v>0.05</v>
      </c>
      <c r="K1856" s="2" t="n">
        <v>900</v>
      </c>
    </row>
    <row r="1857" customFormat="false" ht="15" hidden="false" customHeight="false" outlineLevel="0" collapsed="false">
      <c r="A1857" s="2" t="s">
        <v>2641</v>
      </c>
      <c r="B1857" s="2" t="s">
        <v>2640</v>
      </c>
      <c r="C1857" s="10" t="n">
        <v>45725</v>
      </c>
      <c r="D1857" s="2" t="s">
        <v>91</v>
      </c>
      <c r="E1857" s="2" t="s">
        <v>92</v>
      </c>
      <c r="F1857" s="2" t="s">
        <v>73</v>
      </c>
      <c r="G1857" s="2" t="s">
        <v>104</v>
      </c>
      <c r="H1857" s="2" t="n">
        <v>8</v>
      </c>
      <c r="I1857" s="2" t="n">
        <v>5500</v>
      </c>
      <c r="J1857" s="2" t="n">
        <v>0.05</v>
      </c>
      <c r="K1857" s="2" t="n">
        <v>3600</v>
      </c>
    </row>
    <row r="1858" customFormat="false" ht="15" hidden="false" customHeight="false" outlineLevel="0" collapsed="false">
      <c r="A1858" s="2" t="s">
        <v>2642</v>
      </c>
      <c r="B1858" s="2" t="s">
        <v>2640</v>
      </c>
      <c r="C1858" s="10" t="n">
        <v>45952</v>
      </c>
      <c r="D1858" s="2" t="s">
        <v>91</v>
      </c>
      <c r="E1858" s="2" t="s">
        <v>92</v>
      </c>
      <c r="F1858" s="2" t="s">
        <v>70</v>
      </c>
      <c r="G1858" s="2" t="s">
        <v>97</v>
      </c>
      <c r="H1858" s="2" t="n">
        <v>5</v>
      </c>
      <c r="I1858" s="2" t="n">
        <v>3000</v>
      </c>
      <c r="J1858" s="2" t="n">
        <v>0.15</v>
      </c>
      <c r="K1858" s="2" t="n">
        <v>2000</v>
      </c>
    </row>
    <row r="1859" customFormat="false" ht="15" hidden="false" customHeight="false" outlineLevel="0" collapsed="false">
      <c r="A1859" s="2" t="s">
        <v>2643</v>
      </c>
      <c r="B1859" s="2" t="s">
        <v>2644</v>
      </c>
      <c r="C1859" s="10" t="n">
        <v>45852</v>
      </c>
      <c r="D1859" s="2" t="s">
        <v>63</v>
      </c>
      <c r="E1859" s="2" t="s">
        <v>64</v>
      </c>
      <c r="F1859" s="2" t="s">
        <v>70</v>
      </c>
      <c r="G1859" s="2" t="s">
        <v>71</v>
      </c>
      <c r="H1859" s="2" t="n">
        <v>1</v>
      </c>
      <c r="I1859" s="2" t="n">
        <v>2500</v>
      </c>
      <c r="J1859" s="2" t="n">
        <v>0</v>
      </c>
      <c r="K1859" s="2" t="n">
        <v>1600</v>
      </c>
    </row>
    <row r="1860" customFormat="false" ht="15" hidden="false" customHeight="false" outlineLevel="0" collapsed="false">
      <c r="A1860" s="2" t="s">
        <v>2645</v>
      </c>
      <c r="B1860" s="2" t="s">
        <v>2644</v>
      </c>
      <c r="C1860" s="10" t="n">
        <v>45772</v>
      </c>
      <c r="D1860" s="2" t="s">
        <v>63</v>
      </c>
      <c r="E1860" s="2" t="s">
        <v>64</v>
      </c>
      <c r="F1860" s="2" t="s">
        <v>70</v>
      </c>
      <c r="G1860" s="2" t="s">
        <v>71</v>
      </c>
      <c r="H1860" s="2" t="n">
        <v>1</v>
      </c>
      <c r="I1860" s="2" t="n">
        <v>2500</v>
      </c>
      <c r="J1860" s="2" t="n">
        <v>0</v>
      </c>
      <c r="K1860" s="2" t="n">
        <v>1600</v>
      </c>
    </row>
    <row r="1861" customFormat="false" ht="15" hidden="false" customHeight="false" outlineLevel="0" collapsed="false">
      <c r="A1861" s="2" t="s">
        <v>2646</v>
      </c>
      <c r="B1861" s="2" t="s">
        <v>2644</v>
      </c>
      <c r="C1861" s="10" t="n">
        <v>45683</v>
      </c>
      <c r="D1861" s="2" t="s">
        <v>63</v>
      </c>
      <c r="E1861" s="2" t="s">
        <v>64</v>
      </c>
      <c r="F1861" s="2" t="s">
        <v>65</v>
      </c>
      <c r="G1861" s="2" t="s">
        <v>66</v>
      </c>
      <c r="H1861" s="2" t="n">
        <v>8</v>
      </c>
      <c r="I1861" s="2" t="n">
        <v>600</v>
      </c>
      <c r="J1861" s="2" t="n">
        <v>0</v>
      </c>
      <c r="K1861" s="2" t="n">
        <v>300</v>
      </c>
    </row>
    <row r="1862" customFormat="false" ht="15" hidden="false" customHeight="false" outlineLevel="0" collapsed="false">
      <c r="A1862" s="2" t="s">
        <v>2647</v>
      </c>
      <c r="B1862" s="2" t="s">
        <v>2648</v>
      </c>
      <c r="C1862" s="10" t="n">
        <v>45969</v>
      </c>
      <c r="D1862" s="2" t="s">
        <v>81</v>
      </c>
      <c r="E1862" s="2" t="s">
        <v>64</v>
      </c>
      <c r="F1862" s="2" t="s">
        <v>70</v>
      </c>
      <c r="G1862" s="2" t="s">
        <v>71</v>
      </c>
      <c r="H1862" s="2" t="n">
        <v>3</v>
      </c>
      <c r="I1862" s="2" t="n">
        <v>2500</v>
      </c>
      <c r="J1862" s="2" t="n">
        <v>0.05</v>
      </c>
      <c r="K1862" s="2" t="n">
        <v>1600</v>
      </c>
    </row>
    <row r="1863" customFormat="false" ht="15" hidden="false" customHeight="false" outlineLevel="0" collapsed="false">
      <c r="A1863" s="2" t="s">
        <v>2649</v>
      </c>
      <c r="B1863" s="2" t="s">
        <v>2648</v>
      </c>
      <c r="C1863" s="10" t="n">
        <v>45676</v>
      </c>
      <c r="D1863" s="2" t="s">
        <v>81</v>
      </c>
      <c r="E1863" s="2" t="s">
        <v>64</v>
      </c>
      <c r="F1863" s="2" t="s">
        <v>65</v>
      </c>
      <c r="G1863" s="2" t="s">
        <v>82</v>
      </c>
      <c r="H1863" s="2" t="n">
        <v>8</v>
      </c>
      <c r="I1863" s="2" t="n">
        <v>250</v>
      </c>
      <c r="J1863" s="2" t="n">
        <v>0.05</v>
      </c>
      <c r="K1863" s="2" t="n">
        <v>100</v>
      </c>
    </row>
    <row r="1864" customFormat="false" ht="15" hidden="false" customHeight="false" outlineLevel="0" collapsed="false">
      <c r="A1864" s="2" t="s">
        <v>2650</v>
      </c>
      <c r="B1864" s="2" t="s">
        <v>2651</v>
      </c>
      <c r="C1864" s="10" t="n">
        <v>45933</v>
      </c>
      <c r="D1864" s="2" t="s">
        <v>63</v>
      </c>
      <c r="E1864" s="2" t="s">
        <v>64</v>
      </c>
      <c r="F1864" s="2" t="s">
        <v>65</v>
      </c>
      <c r="G1864" s="2" t="s">
        <v>82</v>
      </c>
      <c r="H1864" s="2" t="n">
        <v>3</v>
      </c>
      <c r="I1864" s="2" t="n">
        <v>250</v>
      </c>
      <c r="J1864" s="2" t="n">
        <v>0.1</v>
      </c>
      <c r="K1864" s="2" t="n">
        <v>100</v>
      </c>
    </row>
    <row r="1865" customFormat="false" ht="15" hidden="false" customHeight="false" outlineLevel="0" collapsed="false">
      <c r="A1865" s="2" t="s">
        <v>2652</v>
      </c>
      <c r="B1865" s="2" t="s">
        <v>2651</v>
      </c>
      <c r="C1865" s="10" t="n">
        <v>45830</v>
      </c>
      <c r="D1865" s="2"/>
      <c r="E1865" s="2" t="s">
        <v>64</v>
      </c>
      <c r="F1865" s="2" t="s">
        <v>65</v>
      </c>
      <c r="G1865" s="2" t="s">
        <v>78</v>
      </c>
      <c r="H1865" s="2" t="n">
        <v>6</v>
      </c>
      <c r="I1865" s="2" t="n">
        <v>400</v>
      </c>
      <c r="J1865" s="2" t="n">
        <v>0.05</v>
      </c>
      <c r="K1865" s="2" t="n">
        <v>200</v>
      </c>
    </row>
    <row r="1866" customFormat="false" ht="15" hidden="false" customHeight="false" outlineLevel="0" collapsed="false">
      <c r="A1866" s="2" t="s">
        <v>2653</v>
      </c>
      <c r="B1866" s="2" t="s">
        <v>2654</v>
      </c>
      <c r="C1866" s="10" t="n">
        <v>45682</v>
      </c>
      <c r="D1866" s="2" t="s">
        <v>91</v>
      </c>
      <c r="E1866" s="2" t="s">
        <v>69</v>
      </c>
      <c r="F1866" s="2" t="s">
        <v>70</v>
      </c>
      <c r="G1866" s="2" t="s">
        <v>126</v>
      </c>
      <c r="H1866" s="2" t="n">
        <v>2</v>
      </c>
      <c r="I1866" s="2" t="n">
        <v>4500</v>
      </c>
      <c r="J1866" s="2" t="n">
        <v>0</v>
      </c>
      <c r="K1866" s="2" t="n">
        <v>3300</v>
      </c>
    </row>
    <row r="1867" customFormat="false" ht="15" hidden="false" customHeight="false" outlineLevel="0" collapsed="false">
      <c r="A1867" s="2" t="s">
        <v>2655</v>
      </c>
      <c r="B1867" s="2" t="s">
        <v>2656</v>
      </c>
      <c r="C1867" s="10" t="n">
        <v>45981</v>
      </c>
      <c r="D1867" s="2" t="s">
        <v>77</v>
      </c>
      <c r="E1867" s="2" t="s">
        <v>64</v>
      </c>
      <c r="F1867" s="2" t="s">
        <v>70</v>
      </c>
      <c r="G1867" s="2" t="s">
        <v>71</v>
      </c>
      <c r="H1867" s="2" t="n">
        <v>3</v>
      </c>
      <c r="I1867" s="2" t="n">
        <v>2500</v>
      </c>
      <c r="J1867" s="2" t="n">
        <v>0.15</v>
      </c>
      <c r="K1867" s="2" t="n">
        <v>1600</v>
      </c>
    </row>
    <row r="1868" customFormat="false" ht="15" hidden="false" customHeight="false" outlineLevel="0" collapsed="false">
      <c r="A1868" s="2" t="s">
        <v>2657</v>
      </c>
      <c r="B1868" s="2" t="s">
        <v>2658</v>
      </c>
      <c r="C1868" s="10" t="n">
        <v>45989</v>
      </c>
      <c r="D1868" s="2" t="s">
        <v>81</v>
      </c>
      <c r="E1868" s="2" t="s">
        <v>64</v>
      </c>
      <c r="F1868" s="2" t="s">
        <v>65</v>
      </c>
      <c r="G1868" s="2" t="s">
        <v>66</v>
      </c>
      <c r="H1868" s="2" t="n">
        <v>4</v>
      </c>
      <c r="I1868" s="2" t="n">
        <v>600</v>
      </c>
      <c r="J1868" s="2" t="n">
        <v>0.1</v>
      </c>
      <c r="K1868" s="2" t="n">
        <v>300</v>
      </c>
    </row>
    <row r="1869" customFormat="false" ht="15" hidden="false" customHeight="false" outlineLevel="0" collapsed="false">
      <c r="A1869" s="2" t="s">
        <v>2659</v>
      </c>
      <c r="B1869" s="2" t="s">
        <v>2660</v>
      </c>
      <c r="C1869" s="10" t="n">
        <v>45733</v>
      </c>
      <c r="D1869" s="2" t="s">
        <v>77</v>
      </c>
      <c r="E1869" s="2" t="s">
        <v>64</v>
      </c>
      <c r="F1869" s="2" t="s">
        <v>70</v>
      </c>
      <c r="G1869" s="2" t="s">
        <v>122</v>
      </c>
      <c r="H1869" s="2" t="n">
        <v>3</v>
      </c>
      <c r="I1869" s="2" t="n">
        <v>1500</v>
      </c>
      <c r="J1869" s="2" t="n">
        <v>0.1</v>
      </c>
      <c r="K1869" s="2" t="n">
        <v>900</v>
      </c>
    </row>
    <row r="1870" customFormat="false" ht="15" hidden="false" customHeight="false" outlineLevel="0" collapsed="false">
      <c r="A1870" s="2" t="s">
        <v>2661</v>
      </c>
      <c r="B1870" s="2" t="s">
        <v>2662</v>
      </c>
      <c r="C1870" s="10" t="n">
        <v>45769</v>
      </c>
      <c r="D1870" s="2" t="s">
        <v>526</v>
      </c>
      <c r="E1870" s="2" t="s">
        <v>69</v>
      </c>
      <c r="F1870" s="2" t="s">
        <v>73</v>
      </c>
      <c r="G1870" s="2" t="s">
        <v>74</v>
      </c>
      <c r="H1870" s="2" t="n">
        <v>5</v>
      </c>
      <c r="I1870" s="2" t="n">
        <v>7000</v>
      </c>
      <c r="J1870" s="2" t="n">
        <v>0</v>
      </c>
      <c r="K1870" s="2" t="n">
        <v>4800</v>
      </c>
    </row>
    <row r="1871" customFormat="false" ht="15" hidden="false" customHeight="false" outlineLevel="0" collapsed="false">
      <c r="A1871" s="2" t="s">
        <v>2663</v>
      </c>
      <c r="B1871" s="2" t="s">
        <v>2662</v>
      </c>
      <c r="C1871" s="10" t="n">
        <v>45796</v>
      </c>
      <c r="D1871" s="2" t="s">
        <v>77</v>
      </c>
      <c r="E1871" s="2" t="s">
        <v>69</v>
      </c>
      <c r="F1871" s="2" t="s">
        <v>65</v>
      </c>
      <c r="G1871" s="2" t="s">
        <v>78</v>
      </c>
      <c r="H1871" s="2" t="n">
        <v>20</v>
      </c>
      <c r="I1871" s="2" t="n">
        <v>400</v>
      </c>
      <c r="J1871" s="2" t="n">
        <v>0</v>
      </c>
      <c r="K1871" s="2" t="n">
        <v>200</v>
      </c>
    </row>
    <row r="1872" customFormat="false" ht="15" hidden="false" customHeight="false" outlineLevel="0" collapsed="false">
      <c r="A1872" s="2" t="s">
        <v>2664</v>
      </c>
      <c r="B1872" s="2" t="s">
        <v>2665</v>
      </c>
      <c r="C1872" s="10" t="n">
        <v>46017</v>
      </c>
      <c r="D1872" s="2" t="s">
        <v>63</v>
      </c>
      <c r="E1872" s="2" t="s">
        <v>64</v>
      </c>
      <c r="F1872" s="2" t="s">
        <v>73</v>
      </c>
      <c r="G1872" s="2" t="s">
        <v>85</v>
      </c>
      <c r="H1872" s="2" t="n">
        <v>2</v>
      </c>
      <c r="I1872" s="2" t="n">
        <v>1200</v>
      </c>
      <c r="J1872" s="2" t="n">
        <v>0.15</v>
      </c>
      <c r="K1872" s="2" t="n">
        <v>600</v>
      </c>
    </row>
    <row r="1873" customFormat="false" ht="15" hidden="false" customHeight="false" outlineLevel="0" collapsed="false">
      <c r="A1873" s="2" t="s">
        <v>2666</v>
      </c>
      <c r="B1873" s="2" t="s">
        <v>2667</v>
      </c>
      <c r="C1873" s="10" t="n">
        <v>45982</v>
      </c>
      <c r="D1873" s="2" t="s">
        <v>651</v>
      </c>
      <c r="E1873" s="2" t="s">
        <v>64</v>
      </c>
      <c r="F1873" s="2" t="s">
        <v>73</v>
      </c>
      <c r="G1873" s="2" t="s">
        <v>85</v>
      </c>
      <c r="H1873" s="2" t="n">
        <v>2</v>
      </c>
      <c r="I1873" s="2" t="n">
        <v>1200</v>
      </c>
      <c r="J1873" s="2" t="n">
        <v>0.05</v>
      </c>
      <c r="K1873" s="2" t="n">
        <v>600</v>
      </c>
    </row>
    <row r="1874" customFormat="false" ht="15" hidden="false" customHeight="false" outlineLevel="0" collapsed="false">
      <c r="A1874" s="2" t="s">
        <v>2668</v>
      </c>
      <c r="B1874" s="2" t="s">
        <v>2667</v>
      </c>
      <c r="C1874" s="10" t="n">
        <v>45770</v>
      </c>
      <c r="D1874" s="2" t="s">
        <v>77</v>
      </c>
      <c r="E1874" s="2" t="s">
        <v>64</v>
      </c>
      <c r="F1874" s="2" t="s">
        <v>70</v>
      </c>
      <c r="G1874" s="2" t="s">
        <v>71</v>
      </c>
      <c r="H1874" s="2" t="n">
        <v>3</v>
      </c>
      <c r="I1874" s="2" t="n">
        <v>2500</v>
      </c>
      <c r="J1874" s="2" t="n">
        <v>0</v>
      </c>
      <c r="K1874" s="2" t="n">
        <v>1600</v>
      </c>
    </row>
    <row r="1875" customFormat="false" ht="15" hidden="false" customHeight="false" outlineLevel="0" collapsed="false">
      <c r="A1875" s="2" t="s">
        <v>2669</v>
      </c>
      <c r="B1875" s="2" t="s">
        <v>2667</v>
      </c>
      <c r="C1875" s="10" t="n">
        <v>45763</v>
      </c>
      <c r="D1875" s="2" t="s">
        <v>77</v>
      </c>
      <c r="E1875" s="2" t="s">
        <v>64</v>
      </c>
      <c r="F1875" s="2" t="s">
        <v>65</v>
      </c>
      <c r="G1875" s="2" t="s">
        <v>66</v>
      </c>
      <c r="H1875" s="2" t="n">
        <v>2</v>
      </c>
      <c r="I1875" s="2" t="n">
        <v>600</v>
      </c>
      <c r="J1875" s="2" t="n">
        <v>0</v>
      </c>
      <c r="K1875" s="2" t="n">
        <v>300</v>
      </c>
    </row>
    <row r="1876" customFormat="false" ht="15" hidden="false" customHeight="false" outlineLevel="0" collapsed="false">
      <c r="A1876" s="2" t="s">
        <v>2670</v>
      </c>
      <c r="B1876" s="2" t="s">
        <v>2667</v>
      </c>
      <c r="C1876" s="10" t="n">
        <v>45889</v>
      </c>
      <c r="D1876" s="2" t="s">
        <v>77</v>
      </c>
      <c r="E1876" s="2" t="s">
        <v>64</v>
      </c>
      <c r="F1876" s="2" t="s">
        <v>70</v>
      </c>
      <c r="G1876" s="2" t="s">
        <v>71</v>
      </c>
      <c r="H1876" s="2" t="n">
        <v>1</v>
      </c>
      <c r="I1876" s="2" t="n">
        <v>2500</v>
      </c>
      <c r="J1876" s="2" t="n">
        <v>0</v>
      </c>
      <c r="K1876" s="2" t="n">
        <v>1600</v>
      </c>
    </row>
    <row r="1877" customFormat="false" ht="15" hidden="false" customHeight="false" outlineLevel="0" collapsed="false">
      <c r="A1877" s="2" t="s">
        <v>2671</v>
      </c>
      <c r="B1877" s="2" t="s">
        <v>2667</v>
      </c>
      <c r="C1877" s="10" t="n">
        <v>45927</v>
      </c>
      <c r="D1877" s="2" t="s">
        <v>77</v>
      </c>
      <c r="E1877" s="2" t="s">
        <v>64</v>
      </c>
      <c r="F1877" s="2" t="s">
        <v>65</v>
      </c>
      <c r="G1877" s="2" t="s">
        <v>66</v>
      </c>
      <c r="H1877" s="2" t="n">
        <v>8</v>
      </c>
      <c r="I1877" s="2" t="n">
        <v>600</v>
      </c>
      <c r="J1877" s="2" t="n">
        <v>0</v>
      </c>
      <c r="K1877" s="2" t="n">
        <v>300</v>
      </c>
    </row>
    <row r="1878" customFormat="false" ht="15" hidden="false" customHeight="false" outlineLevel="0" collapsed="false">
      <c r="A1878" s="2" t="s">
        <v>2672</v>
      </c>
      <c r="B1878" s="2" t="s">
        <v>2667</v>
      </c>
      <c r="C1878" s="10" t="n">
        <v>45661</v>
      </c>
      <c r="D1878" s="2" t="s">
        <v>77</v>
      </c>
      <c r="E1878" s="2" t="s">
        <v>64</v>
      </c>
      <c r="F1878" s="2" t="s">
        <v>73</v>
      </c>
      <c r="G1878" s="2" t="s">
        <v>74</v>
      </c>
      <c r="H1878" s="2" t="n">
        <v>3</v>
      </c>
      <c r="I1878" s="2" t="n">
        <v>7000</v>
      </c>
      <c r="J1878" s="2" t="n">
        <v>0</v>
      </c>
      <c r="K1878" s="2" t="n">
        <v>4800</v>
      </c>
    </row>
    <row r="1879" customFormat="false" ht="15" hidden="false" customHeight="false" outlineLevel="0" collapsed="false">
      <c r="A1879" s="2" t="s">
        <v>2673</v>
      </c>
      <c r="B1879" s="2" t="s">
        <v>2674</v>
      </c>
      <c r="C1879" s="10" t="n">
        <v>45957</v>
      </c>
      <c r="D1879" s="2" t="s">
        <v>77</v>
      </c>
      <c r="E1879" s="2" t="s">
        <v>64</v>
      </c>
      <c r="F1879" s="2" t="s">
        <v>73</v>
      </c>
      <c r="G1879" s="2" t="s">
        <v>74</v>
      </c>
      <c r="H1879" s="2" t="n">
        <v>3</v>
      </c>
      <c r="I1879" s="2" t="n">
        <v>7000</v>
      </c>
      <c r="J1879" s="2" t="n">
        <v>0.1</v>
      </c>
      <c r="K1879" s="2" t="n">
        <v>4800</v>
      </c>
    </row>
    <row r="1880" customFormat="false" ht="15" hidden="false" customHeight="false" outlineLevel="0" collapsed="false">
      <c r="A1880" s="2" t="s">
        <v>2675</v>
      </c>
      <c r="B1880" s="2" t="s">
        <v>2676</v>
      </c>
      <c r="C1880" s="10" t="n">
        <v>45660</v>
      </c>
      <c r="D1880" s="2" t="s">
        <v>81</v>
      </c>
      <c r="E1880" s="2" t="s">
        <v>64</v>
      </c>
      <c r="F1880" s="2" t="s">
        <v>65</v>
      </c>
      <c r="G1880" s="2" t="s">
        <v>82</v>
      </c>
      <c r="H1880" s="2" t="n">
        <v>7</v>
      </c>
      <c r="I1880" s="2" t="n">
        <v>250</v>
      </c>
      <c r="J1880" s="2" t="n">
        <v>0.05</v>
      </c>
      <c r="K1880" s="2" t="n">
        <v>100</v>
      </c>
    </row>
    <row r="1881" customFormat="false" ht="15" hidden="false" customHeight="false" outlineLevel="0" collapsed="false">
      <c r="A1881" s="2" t="s">
        <v>2677</v>
      </c>
      <c r="B1881" s="2" t="s">
        <v>2678</v>
      </c>
      <c r="C1881" s="10" t="n">
        <v>45908</v>
      </c>
      <c r="D1881" s="2" t="s">
        <v>77</v>
      </c>
      <c r="E1881" s="2" t="s">
        <v>64</v>
      </c>
      <c r="F1881" s="2" t="s">
        <v>65</v>
      </c>
      <c r="G1881" s="2" t="s">
        <v>107</v>
      </c>
      <c r="H1881" s="2" t="n">
        <v>2</v>
      </c>
      <c r="I1881" s="2" t="n">
        <v>500</v>
      </c>
      <c r="J1881" s="2" t="n">
        <v>0</v>
      </c>
      <c r="K1881" s="2" t="n">
        <v>250</v>
      </c>
    </row>
    <row r="1882" customFormat="false" ht="15" hidden="false" customHeight="false" outlineLevel="0" collapsed="false">
      <c r="A1882" s="2" t="s">
        <v>2679</v>
      </c>
      <c r="B1882" s="2" t="s">
        <v>2678</v>
      </c>
      <c r="C1882" s="10" t="n">
        <v>45883</v>
      </c>
      <c r="D1882" s="2" t="s">
        <v>77</v>
      </c>
      <c r="E1882" s="2" t="s">
        <v>64</v>
      </c>
      <c r="F1882" s="2" t="s">
        <v>65</v>
      </c>
      <c r="G1882" s="2" t="s">
        <v>82</v>
      </c>
      <c r="H1882" s="2" t="n">
        <v>8</v>
      </c>
      <c r="I1882" s="2" t="n">
        <v>250</v>
      </c>
      <c r="J1882" s="2" t="n">
        <v>0</v>
      </c>
      <c r="K1882" s="2" t="n">
        <v>100</v>
      </c>
    </row>
    <row r="1883" customFormat="false" ht="15" hidden="false" customHeight="false" outlineLevel="0" collapsed="false">
      <c r="A1883" s="2" t="s">
        <v>2680</v>
      </c>
      <c r="B1883" s="2" t="s">
        <v>2678</v>
      </c>
      <c r="C1883" s="10" t="n">
        <v>45999</v>
      </c>
      <c r="D1883" s="2" t="s">
        <v>77</v>
      </c>
      <c r="E1883" s="2" t="s">
        <v>64</v>
      </c>
      <c r="F1883" s="2" t="s">
        <v>73</v>
      </c>
      <c r="G1883" s="2" t="s">
        <v>87</v>
      </c>
      <c r="H1883" s="2" t="n">
        <v>3</v>
      </c>
      <c r="I1883" s="2" t="n">
        <v>9000</v>
      </c>
      <c r="J1883" s="2" t="n">
        <v>0.1</v>
      </c>
      <c r="K1883" s="2" t="n">
        <v>6200</v>
      </c>
    </row>
    <row r="1884" customFormat="false" ht="15" hidden="false" customHeight="false" outlineLevel="0" collapsed="false">
      <c r="A1884" s="2" t="s">
        <v>2681</v>
      </c>
      <c r="B1884" s="2" t="s">
        <v>2678</v>
      </c>
      <c r="C1884" s="10" t="n">
        <v>45906</v>
      </c>
      <c r="D1884" s="2" t="s">
        <v>77</v>
      </c>
      <c r="E1884" s="2" t="s">
        <v>64</v>
      </c>
      <c r="F1884" s="2" t="s">
        <v>65</v>
      </c>
      <c r="G1884" s="2" t="s">
        <v>107</v>
      </c>
      <c r="H1884" s="2" t="n">
        <v>5</v>
      </c>
      <c r="I1884" s="2" t="n">
        <v>500</v>
      </c>
      <c r="J1884" s="2" t="n">
        <v>0.1</v>
      </c>
      <c r="K1884" s="2" t="n">
        <v>250</v>
      </c>
    </row>
    <row r="1885" customFormat="false" ht="15" hidden="false" customHeight="false" outlineLevel="0" collapsed="false">
      <c r="A1885" s="2" t="s">
        <v>2682</v>
      </c>
      <c r="B1885" s="2" t="s">
        <v>2683</v>
      </c>
      <c r="C1885" s="10" t="n">
        <v>45754</v>
      </c>
      <c r="D1885" s="2" t="s">
        <v>77</v>
      </c>
      <c r="E1885" s="2" t="s">
        <v>69</v>
      </c>
      <c r="F1885" s="2" t="s">
        <v>70</v>
      </c>
      <c r="G1885" s="2" t="s">
        <v>71</v>
      </c>
      <c r="H1885" s="2" t="n">
        <v>5</v>
      </c>
      <c r="I1885" s="2" t="n">
        <v>2500</v>
      </c>
      <c r="J1885" s="2" t="n">
        <v>0.1</v>
      </c>
      <c r="K1885" s="2" t="n">
        <v>1600</v>
      </c>
    </row>
    <row r="1886" customFormat="false" ht="15" hidden="false" customHeight="false" outlineLevel="0" collapsed="false">
      <c r="A1886" s="2" t="s">
        <v>2684</v>
      </c>
      <c r="B1886" s="2" t="s">
        <v>2683</v>
      </c>
      <c r="C1886" s="10" t="n">
        <v>45847</v>
      </c>
      <c r="D1886" s="2" t="s">
        <v>77</v>
      </c>
      <c r="E1886" s="2" t="s">
        <v>69</v>
      </c>
      <c r="F1886" s="2" t="s">
        <v>70</v>
      </c>
      <c r="G1886" s="2" t="s">
        <v>97</v>
      </c>
      <c r="H1886" s="2" t="n">
        <v>5</v>
      </c>
      <c r="I1886" s="2" t="n">
        <v>3000</v>
      </c>
      <c r="J1886" s="2" t="n">
        <v>0</v>
      </c>
      <c r="K1886" s="2" t="n">
        <v>2000</v>
      </c>
    </row>
    <row r="1887" customFormat="false" ht="15" hidden="false" customHeight="false" outlineLevel="0" collapsed="false">
      <c r="A1887" s="2" t="s">
        <v>2685</v>
      </c>
      <c r="B1887" s="2" t="s">
        <v>2686</v>
      </c>
      <c r="C1887" s="10" t="n">
        <v>45701</v>
      </c>
      <c r="D1887" s="2" t="s">
        <v>77</v>
      </c>
      <c r="E1887" s="2" t="s">
        <v>64</v>
      </c>
      <c r="F1887" s="2" t="s">
        <v>70</v>
      </c>
      <c r="G1887" s="2" t="s">
        <v>126</v>
      </c>
      <c r="H1887" s="2" t="n">
        <v>3</v>
      </c>
      <c r="I1887" s="2" t="n">
        <v>4500</v>
      </c>
      <c r="J1887" s="2" t="n">
        <v>0</v>
      </c>
      <c r="K1887" s="2" t="n">
        <v>3300</v>
      </c>
    </row>
    <row r="1888" customFormat="false" ht="15" hidden="false" customHeight="false" outlineLevel="0" collapsed="false">
      <c r="A1888" s="2" t="s">
        <v>2687</v>
      </c>
      <c r="B1888" s="2" t="s">
        <v>2688</v>
      </c>
      <c r="C1888" s="10" t="n">
        <v>45823</v>
      </c>
      <c r="D1888" s="2" t="s">
        <v>81</v>
      </c>
      <c r="E1888" s="2" t="s">
        <v>92</v>
      </c>
      <c r="F1888" s="2" t="s">
        <v>70</v>
      </c>
      <c r="G1888" s="2" t="s">
        <v>126</v>
      </c>
      <c r="H1888" s="2" t="n">
        <v>6</v>
      </c>
      <c r="I1888" s="2" t="n">
        <v>4500</v>
      </c>
      <c r="J1888" s="2" t="n">
        <v>0</v>
      </c>
      <c r="K1888" s="2" t="n">
        <v>3300</v>
      </c>
    </row>
    <row r="1889" customFormat="false" ht="15" hidden="false" customHeight="false" outlineLevel="0" collapsed="false">
      <c r="A1889" s="2" t="s">
        <v>2689</v>
      </c>
      <c r="B1889" s="2" t="s">
        <v>2688</v>
      </c>
      <c r="C1889" s="10" t="n">
        <v>45830</v>
      </c>
      <c r="D1889" s="2" t="s">
        <v>81</v>
      </c>
      <c r="E1889" s="2" t="s">
        <v>92</v>
      </c>
      <c r="F1889" s="2" t="s">
        <v>73</v>
      </c>
      <c r="G1889" s="2" t="s">
        <v>85</v>
      </c>
      <c r="H1889" s="2" t="n">
        <v>2</v>
      </c>
      <c r="I1889" s="2" t="n">
        <v>1200</v>
      </c>
      <c r="J1889" s="2" t="n">
        <v>0</v>
      </c>
      <c r="K1889" s="2" t="n">
        <v>600</v>
      </c>
    </row>
    <row r="1890" customFormat="false" ht="15" hidden="false" customHeight="false" outlineLevel="0" collapsed="false">
      <c r="A1890" s="2" t="s">
        <v>2690</v>
      </c>
      <c r="B1890" s="2" t="s">
        <v>2688</v>
      </c>
      <c r="C1890" s="10" t="n">
        <v>45757</v>
      </c>
      <c r="D1890" s="2" t="s">
        <v>81</v>
      </c>
      <c r="E1890" s="2" t="s">
        <v>92</v>
      </c>
      <c r="F1890" s="2" t="s">
        <v>70</v>
      </c>
      <c r="G1890" s="2" t="s">
        <v>97</v>
      </c>
      <c r="H1890" s="2" t="n">
        <v>5</v>
      </c>
      <c r="I1890" s="2" t="n">
        <v>3000</v>
      </c>
      <c r="J1890" s="2" t="n">
        <v>0.1</v>
      </c>
      <c r="K1890" s="2" t="n">
        <v>2000</v>
      </c>
    </row>
    <row r="1891" customFormat="false" ht="15" hidden="false" customHeight="false" outlineLevel="0" collapsed="false">
      <c r="A1891" s="2" t="s">
        <v>2691</v>
      </c>
      <c r="B1891" s="2" t="s">
        <v>2688</v>
      </c>
      <c r="C1891" s="10" t="n">
        <v>45785</v>
      </c>
      <c r="D1891" s="2" t="s">
        <v>81</v>
      </c>
      <c r="E1891" s="2" t="s">
        <v>92</v>
      </c>
      <c r="F1891" s="2" t="s">
        <v>73</v>
      </c>
      <c r="G1891" s="2" t="s">
        <v>104</v>
      </c>
      <c r="H1891" s="2" t="n">
        <v>4</v>
      </c>
      <c r="I1891" s="2" t="n">
        <v>5500</v>
      </c>
      <c r="J1891" s="2" t="n">
        <v>0.15</v>
      </c>
      <c r="K1891" s="2" t="n">
        <v>3600</v>
      </c>
    </row>
    <row r="1892" customFormat="false" ht="15" hidden="false" customHeight="false" outlineLevel="0" collapsed="false">
      <c r="A1892" s="2" t="s">
        <v>2692</v>
      </c>
      <c r="B1892" s="2" t="s">
        <v>2688</v>
      </c>
      <c r="C1892" s="10" t="n">
        <v>45875</v>
      </c>
      <c r="D1892" s="2" t="s">
        <v>81</v>
      </c>
      <c r="E1892" s="2" t="s">
        <v>92</v>
      </c>
      <c r="F1892" s="2" t="s">
        <v>73</v>
      </c>
      <c r="G1892" s="2" t="s">
        <v>104</v>
      </c>
      <c r="H1892" s="2" t="n">
        <v>7</v>
      </c>
      <c r="I1892" s="2" t="n">
        <v>5500</v>
      </c>
      <c r="J1892" s="2" t="n">
        <v>0.1</v>
      </c>
      <c r="K1892" s="2" t="n">
        <v>3600</v>
      </c>
    </row>
    <row r="1893" customFormat="false" ht="15" hidden="false" customHeight="false" outlineLevel="0" collapsed="false">
      <c r="A1893" s="2" t="s">
        <v>2693</v>
      </c>
      <c r="B1893" s="2" t="s">
        <v>2688</v>
      </c>
      <c r="C1893" s="10" t="n">
        <v>45923</v>
      </c>
      <c r="D1893" s="2" t="s">
        <v>81</v>
      </c>
      <c r="E1893" s="2" t="s">
        <v>92</v>
      </c>
      <c r="F1893" s="2" t="s">
        <v>73</v>
      </c>
      <c r="G1893" s="2" t="s">
        <v>104</v>
      </c>
      <c r="H1893" s="2" t="n">
        <v>2</v>
      </c>
      <c r="I1893" s="2" t="n">
        <v>5500</v>
      </c>
      <c r="J1893" s="2" t="n">
        <v>0.1</v>
      </c>
      <c r="K1893" s="2" t="n">
        <v>3600</v>
      </c>
    </row>
    <row r="1894" customFormat="false" ht="15" hidden="false" customHeight="false" outlineLevel="0" collapsed="false">
      <c r="A1894" s="2" t="s">
        <v>2694</v>
      </c>
      <c r="B1894" s="2" t="s">
        <v>2695</v>
      </c>
      <c r="C1894" s="10" t="n">
        <v>45700</v>
      </c>
      <c r="D1894" s="2" t="s">
        <v>91</v>
      </c>
      <c r="E1894" s="2" t="s">
        <v>64</v>
      </c>
      <c r="F1894" s="2" t="s">
        <v>70</v>
      </c>
      <c r="G1894" s="2" t="s">
        <v>126</v>
      </c>
      <c r="H1894" s="2" t="n">
        <v>2</v>
      </c>
      <c r="I1894" s="2" t="n">
        <v>4500</v>
      </c>
      <c r="J1894" s="2" t="n">
        <v>0.05</v>
      </c>
      <c r="K1894" s="2" t="n">
        <v>3300</v>
      </c>
    </row>
    <row r="1895" customFormat="false" ht="15" hidden="false" customHeight="false" outlineLevel="0" collapsed="false">
      <c r="A1895" s="2" t="s">
        <v>2696</v>
      </c>
      <c r="B1895" s="2" t="s">
        <v>2697</v>
      </c>
      <c r="C1895" s="10" t="n">
        <v>45886</v>
      </c>
      <c r="D1895" s="2" t="s">
        <v>77</v>
      </c>
      <c r="E1895" s="2" t="s">
        <v>64</v>
      </c>
      <c r="F1895" s="2" t="s">
        <v>65</v>
      </c>
      <c r="G1895" s="2" t="s">
        <v>66</v>
      </c>
      <c r="H1895" s="2" t="n">
        <v>5</v>
      </c>
      <c r="I1895" s="2" t="n">
        <v>600</v>
      </c>
      <c r="J1895" s="2" t="n">
        <v>0.05</v>
      </c>
      <c r="K1895" s="2" t="n">
        <v>300</v>
      </c>
    </row>
    <row r="1896" customFormat="false" ht="15" hidden="false" customHeight="false" outlineLevel="0" collapsed="false">
      <c r="A1896" s="2" t="s">
        <v>2698</v>
      </c>
      <c r="B1896" s="2" t="s">
        <v>2699</v>
      </c>
      <c r="C1896" s="10" t="n">
        <v>45871</v>
      </c>
      <c r="D1896" s="2" t="s">
        <v>77</v>
      </c>
      <c r="E1896" s="2" t="s">
        <v>69</v>
      </c>
      <c r="F1896" s="2" t="s">
        <v>73</v>
      </c>
      <c r="G1896" s="2" t="s">
        <v>104</v>
      </c>
      <c r="H1896" s="2" t="n">
        <v>3</v>
      </c>
      <c r="I1896" s="2" t="n">
        <v>5500</v>
      </c>
      <c r="J1896" s="2" t="n">
        <v>0</v>
      </c>
      <c r="K1896" s="2" t="n">
        <v>3600</v>
      </c>
    </row>
    <row r="1897" customFormat="false" ht="15" hidden="false" customHeight="false" outlineLevel="0" collapsed="false">
      <c r="A1897" s="2" t="s">
        <v>2700</v>
      </c>
      <c r="B1897" s="2" t="s">
        <v>2699</v>
      </c>
      <c r="C1897" s="10" t="n">
        <v>45977</v>
      </c>
      <c r="D1897" s="2" t="s">
        <v>77</v>
      </c>
      <c r="E1897" s="2" t="s">
        <v>69</v>
      </c>
      <c r="F1897" s="2" t="s">
        <v>70</v>
      </c>
      <c r="G1897" s="2" t="s">
        <v>126</v>
      </c>
      <c r="H1897" s="2" t="n">
        <v>3</v>
      </c>
      <c r="I1897" s="2" t="n">
        <v>4500</v>
      </c>
      <c r="J1897" s="2" t="n">
        <v>0.1</v>
      </c>
      <c r="K1897" s="2" t="n">
        <v>3300</v>
      </c>
    </row>
    <row r="1898" customFormat="false" ht="15" hidden="false" customHeight="false" outlineLevel="0" collapsed="false">
      <c r="A1898" s="2" t="s">
        <v>2701</v>
      </c>
      <c r="B1898" s="2" t="s">
        <v>2699</v>
      </c>
      <c r="C1898" s="10" t="n">
        <v>45911</v>
      </c>
      <c r="D1898" s="2" t="s">
        <v>77</v>
      </c>
      <c r="E1898" s="2" t="s">
        <v>69</v>
      </c>
      <c r="F1898" s="2" t="s">
        <v>65</v>
      </c>
      <c r="G1898" s="2" t="s">
        <v>82</v>
      </c>
      <c r="H1898" s="2" t="n">
        <v>18</v>
      </c>
      <c r="I1898" s="2" t="n">
        <v>250</v>
      </c>
      <c r="J1898" s="2" t="n">
        <v>0</v>
      </c>
      <c r="K1898" s="2" t="n">
        <v>100</v>
      </c>
    </row>
    <row r="1899" customFormat="false" ht="15" hidden="false" customHeight="false" outlineLevel="0" collapsed="false">
      <c r="A1899" s="2" t="s">
        <v>2702</v>
      </c>
      <c r="B1899" s="2" t="s">
        <v>2699</v>
      </c>
      <c r="C1899" s="10" t="n">
        <v>45894</v>
      </c>
      <c r="D1899" s="2" t="s">
        <v>77</v>
      </c>
      <c r="E1899" s="2" t="s">
        <v>69</v>
      </c>
      <c r="F1899" s="2" t="s">
        <v>65</v>
      </c>
      <c r="G1899" s="2" t="s">
        <v>78</v>
      </c>
      <c r="H1899" s="2" t="n">
        <v>13</v>
      </c>
      <c r="I1899" s="2" t="n">
        <v>400</v>
      </c>
      <c r="J1899" s="2" t="n">
        <v>0</v>
      </c>
      <c r="K1899" s="2" t="n">
        <v>200</v>
      </c>
    </row>
    <row r="1900" customFormat="false" ht="15" hidden="false" customHeight="false" outlineLevel="0" collapsed="false">
      <c r="A1900" s="2" t="s">
        <v>2703</v>
      </c>
      <c r="B1900" s="2" t="s">
        <v>2699</v>
      </c>
      <c r="C1900" s="10" t="n">
        <v>45782</v>
      </c>
      <c r="D1900" s="2" t="s">
        <v>77</v>
      </c>
      <c r="E1900" s="2" t="s">
        <v>69</v>
      </c>
      <c r="F1900" s="2" t="s">
        <v>73</v>
      </c>
      <c r="G1900" s="2" t="s">
        <v>104</v>
      </c>
      <c r="H1900" s="2" t="n">
        <v>2</v>
      </c>
      <c r="I1900" s="2" t="n">
        <v>5500</v>
      </c>
      <c r="J1900" s="2" t="n">
        <v>0.05</v>
      </c>
      <c r="K1900" s="2" t="n">
        <v>3600</v>
      </c>
    </row>
    <row r="1901" customFormat="false" ht="15" hidden="false" customHeight="false" outlineLevel="0" collapsed="false">
      <c r="A1901" s="2" t="s">
        <v>2704</v>
      </c>
      <c r="B1901" s="2" t="s">
        <v>2699</v>
      </c>
      <c r="C1901" s="10" t="n">
        <v>45659</v>
      </c>
      <c r="D1901" s="2" t="s">
        <v>77</v>
      </c>
      <c r="E1901" s="2" t="s">
        <v>69</v>
      </c>
      <c r="F1901" s="2" t="s">
        <v>65</v>
      </c>
      <c r="G1901" s="2" t="s">
        <v>78</v>
      </c>
      <c r="H1901" s="2" t="n">
        <v>5</v>
      </c>
      <c r="I1901" s="2" t="n">
        <v>400</v>
      </c>
      <c r="J1901" s="2" t="n">
        <v>0</v>
      </c>
      <c r="K1901" s="2" t="n">
        <v>200</v>
      </c>
    </row>
    <row r="1902" customFormat="false" ht="15" hidden="false" customHeight="false" outlineLevel="0" collapsed="false">
      <c r="A1902" s="2" t="s">
        <v>2705</v>
      </c>
      <c r="B1902" s="2" t="s">
        <v>2699</v>
      </c>
      <c r="C1902" s="10" t="n">
        <v>45981</v>
      </c>
      <c r="D1902" s="2" t="s">
        <v>77</v>
      </c>
      <c r="E1902" s="2" t="s">
        <v>69</v>
      </c>
      <c r="F1902" s="2" t="s">
        <v>73</v>
      </c>
      <c r="G1902" s="2" t="s">
        <v>74</v>
      </c>
      <c r="H1902" s="2" t="n">
        <v>4</v>
      </c>
      <c r="I1902" s="2" t="n">
        <v>7000</v>
      </c>
      <c r="J1902" s="2" t="n">
        <v>0.05</v>
      </c>
      <c r="K1902" s="2" t="n">
        <v>4800</v>
      </c>
    </row>
    <row r="1903" customFormat="false" ht="15" hidden="false" customHeight="false" outlineLevel="0" collapsed="false">
      <c r="A1903" s="2" t="s">
        <v>2706</v>
      </c>
      <c r="B1903" s="2" t="s">
        <v>2699</v>
      </c>
      <c r="C1903" s="10" t="n">
        <v>45936</v>
      </c>
      <c r="D1903" s="2" t="s">
        <v>77</v>
      </c>
      <c r="E1903" s="2" t="s">
        <v>69</v>
      </c>
      <c r="F1903" s="2" t="s">
        <v>65</v>
      </c>
      <c r="G1903" s="2" t="s">
        <v>78</v>
      </c>
      <c r="H1903" s="2" t="n">
        <v>12</v>
      </c>
      <c r="I1903" s="2" t="n">
        <v>400</v>
      </c>
      <c r="J1903" s="2" t="n">
        <v>0.05</v>
      </c>
      <c r="K1903" s="2" t="n">
        <v>200</v>
      </c>
    </row>
    <row r="1904" customFormat="false" ht="15" hidden="false" customHeight="false" outlineLevel="0" collapsed="false">
      <c r="A1904" s="2" t="s">
        <v>2707</v>
      </c>
      <c r="B1904" s="2" t="s">
        <v>2699</v>
      </c>
      <c r="C1904" s="10" t="n">
        <v>46015</v>
      </c>
      <c r="D1904" s="2" t="s">
        <v>77</v>
      </c>
      <c r="E1904" s="2" t="s">
        <v>69</v>
      </c>
      <c r="F1904" s="2" t="s">
        <v>73</v>
      </c>
      <c r="G1904" s="2" t="s">
        <v>87</v>
      </c>
      <c r="H1904" s="2" t="n">
        <v>1</v>
      </c>
      <c r="I1904" s="2" t="n">
        <v>9000</v>
      </c>
      <c r="J1904" s="2" t="n">
        <v>0.15</v>
      </c>
      <c r="K1904" s="2" t="n">
        <v>6200</v>
      </c>
    </row>
    <row r="1905" customFormat="false" ht="15" hidden="false" customHeight="false" outlineLevel="0" collapsed="false">
      <c r="A1905" s="2" t="s">
        <v>2708</v>
      </c>
      <c r="B1905" s="2" t="s">
        <v>2699</v>
      </c>
      <c r="C1905" s="10" t="n">
        <v>45749</v>
      </c>
      <c r="D1905" s="2" t="s">
        <v>77</v>
      </c>
      <c r="E1905" s="2" t="s">
        <v>69</v>
      </c>
      <c r="F1905" s="2" t="s">
        <v>70</v>
      </c>
      <c r="G1905" s="2" t="s">
        <v>71</v>
      </c>
      <c r="H1905" s="2" t="n">
        <v>2</v>
      </c>
      <c r="I1905" s="2" t="n">
        <v>2500</v>
      </c>
      <c r="J1905" s="2" t="n">
        <v>0</v>
      </c>
      <c r="K1905" s="2" t="n">
        <v>1600</v>
      </c>
    </row>
    <row r="1906" customFormat="false" ht="15" hidden="false" customHeight="false" outlineLevel="0" collapsed="false">
      <c r="A1906" s="2" t="s">
        <v>2709</v>
      </c>
      <c r="B1906" s="2" t="s">
        <v>2710</v>
      </c>
      <c r="C1906" s="10" t="n">
        <v>45860</v>
      </c>
      <c r="D1906" s="2" t="s">
        <v>81</v>
      </c>
      <c r="E1906" s="2" t="s">
        <v>64</v>
      </c>
      <c r="F1906" s="2" t="s">
        <v>73</v>
      </c>
      <c r="G1906" s="2" t="s">
        <v>74</v>
      </c>
      <c r="H1906" s="2" t="n">
        <v>2</v>
      </c>
      <c r="I1906" s="2" t="n">
        <v>7000</v>
      </c>
      <c r="J1906" s="2" t="n">
        <v>0</v>
      </c>
      <c r="K1906" s="2" t="n">
        <v>4800</v>
      </c>
    </row>
    <row r="1907" customFormat="false" ht="15" hidden="false" customHeight="false" outlineLevel="0" collapsed="false">
      <c r="A1907" s="2" t="s">
        <v>2711</v>
      </c>
      <c r="B1907" s="2" t="s">
        <v>2710</v>
      </c>
      <c r="C1907" s="10" t="n">
        <v>45904</v>
      </c>
      <c r="D1907" s="2" t="s">
        <v>81</v>
      </c>
      <c r="E1907" s="2" t="s">
        <v>64</v>
      </c>
      <c r="F1907" s="2" t="s">
        <v>65</v>
      </c>
      <c r="G1907" s="2" t="s">
        <v>82</v>
      </c>
      <c r="H1907" s="2" t="n">
        <v>2</v>
      </c>
      <c r="I1907" s="2" t="n">
        <v>250</v>
      </c>
      <c r="J1907" s="2" t="n">
        <v>0</v>
      </c>
      <c r="K1907" s="2" t="n">
        <v>100</v>
      </c>
    </row>
    <row r="1908" customFormat="false" ht="15" hidden="false" customHeight="false" outlineLevel="0" collapsed="false">
      <c r="A1908" s="2" t="s">
        <v>2712</v>
      </c>
      <c r="B1908" s="2" t="s">
        <v>2710</v>
      </c>
      <c r="C1908" s="10" t="n">
        <v>45924</v>
      </c>
      <c r="D1908" s="2" t="s">
        <v>81</v>
      </c>
      <c r="E1908" s="2" t="s">
        <v>64</v>
      </c>
      <c r="F1908" s="2" t="s">
        <v>70</v>
      </c>
      <c r="G1908" s="2" t="s">
        <v>71</v>
      </c>
      <c r="H1908" s="2" t="n">
        <v>3</v>
      </c>
      <c r="I1908" s="2" t="n">
        <v>2500</v>
      </c>
      <c r="J1908" s="2" t="n">
        <v>0</v>
      </c>
      <c r="K1908" s="2" t="n">
        <v>1600</v>
      </c>
    </row>
    <row r="1909" customFormat="false" ht="15" hidden="false" customHeight="false" outlineLevel="0" collapsed="false">
      <c r="A1909" s="2" t="s">
        <v>2713</v>
      </c>
      <c r="B1909" s="2" t="s">
        <v>2710</v>
      </c>
      <c r="C1909" s="10" t="n">
        <v>45674</v>
      </c>
      <c r="D1909" s="2" t="s">
        <v>81</v>
      </c>
      <c r="E1909" s="2" t="s">
        <v>64</v>
      </c>
      <c r="F1909" s="2" t="s">
        <v>65</v>
      </c>
      <c r="G1909" s="2" t="s">
        <v>78</v>
      </c>
      <c r="H1909" s="2" t="n">
        <v>2</v>
      </c>
      <c r="I1909" s="2" t="n">
        <v>400</v>
      </c>
      <c r="J1909" s="2" t="n">
        <v>0</v>
      </c>
      <c r="K1909" s="2" t="n">
        <v>200</v>
      </c>
    </row>
    <row r="1910" customFormat="false" ht="15" hidden="false" customHeight="false" outlineLevel="0" collapsed="false">
      <c r="A1910" s="2" t="s">
        <v>2714</v>
      </c>
      <c r="B1910" s="2" t="s">
        <v>2710</v>
      </c>
      <c r="C1910" s="10" t="n">
        <v>45895</v>
      </c>
      <c r="D1910" s="2" t="s">
        <v>81</v>
      </c>
      <c r="E1910" s="2" t="s">
        <v>64</v>
      </c>
      <c r="F1910" s="2" t="s">
        <v>70</v>
      </c>
      <c r="G1910" s="2" t="s">
        <v>126</v>
      </c>
      <c r="H1910" s="2" t="n">
        <v>2</v>
      </c>
      <c r="I1910" s="2" t="n">
        <v>4500</v>
      </c>
      <c r="J1910" s="2" t="n">
        <v>0</v>
      </c>
      <c r="K1910" s="2" t="n">
        <v>3300</v>
      </c>
    </row>
    <row r="1911" customFormat="false" ht="15" hidden="false" customHeight="false" outlineLevel="0" collapsed="false">
      <c r="A1911" s="2" t="s">
        <v>2715</v>
      </c>
      <c r="B1911" s="2" t="s">
        <v>2716</v>
      </c>
      <c r="C1911" s="10" t="n">
        <v>45980</v>
      </c>
      <c r="D1911" s="2" t="s">
        <v>77</v>
      </c>
      <c r="E1911" s="2" t="s">
        <v>64</v>
      </c>
      <c r="F1911" s="2" t="s">
        <v>73</v>
      </c>
      <c r="G1911" s="2" t="s">
        <v>74</v>
      </c>
      <c r="H1911" s="2" t="n">
        <v>1</v>
      </c>
      <c r="I1911" s="2" t="n">
        <v>7000</v>
      </c>
      <c r="J1911" s="2" t="n">
        <v>0.05</v>
      </c>
      <c r="K1911" s="2" t="n">
        <v>4800</v>
      </c>
    </row>
    <row r="1912" customFormat="false" ht="15" hidden="false" customHeight="false" outlineLevel="0" collapsed="false">
      <c r="A1912" s="2" t="s">
        <v>2717</v>
      </c>
      <c r="B1912" s="2" t="s">
        <v>2716</v>
      </c>
      <c r="C1912" s="10" t="n">
        <v>45739</v>
      </c>
      <c r="D1912" s="2" t="s">
        <v>77</v>
      </c>
      <c r="E1912" s="2" t="s">
        <v>64</v>
      </c>
      <c r="F1912" s="2" t="s">
        <v>70</v>
      </c>
      <c r="G1912" s="2" t="s">
        <v>97</v>
      </c>
      <c r="H1912" s="2" t="n">
        <v>3</v>
      </c>
      <c r="I1912" s="2" t="n">
        <v>3000</v>
      </c>
      <c r="J1912" s="2" t="n">
        <v>0.1</v>
      </c>
      <c r="K1912" s="2" t="n">
        <v>2000</v>
      </c>
    </row>
    <row r="1913" customFormat="false" ht="15" hidden="false" customHeight="false" outlineLevel="0" collapsed="false">
      <c r="A1913" s="2" t="s">
        <v>2718</v>
      </c>
      <c r="B1913" s="2" t="s">
        <v>2716</v>
      </c>
      <c r="C1913" s="10" t="n">
        <v>45829</v>
      </c>
      <c r="D1913" s="2" t="s">
        <v>77</v>
      </c>
      <c r="E1913" s="2" t="s">
        <v>64</v>
      </c>
      <c r="F1913" s="2" t="s">
        <v>70</v>
      </c>
      <c r="G1913" s="2" t="s">
        <v>71</v>
      </c>
      <c r="H1913" s="2" t="n">
        <v>1</v>
      </c>
      <c r="I1913" s="2" t="n">
        <v>2500</v>
      </c>
      <c r="J1913" s="2" t="n">
        <v>0.05</v>
      </c>
      <c r="K1913" s="2" t="n">
        <v>1600</v>
      </c>
    </row>
    <row r="1914" customFormat="false" ht="15" hidden="false" customHeight="false" outlineLevel="0" collapsed="false">
      <c r="A1914" s="2" t="s">
        <v>2719</v>
      </c>
      <c r="B1914" s="2" t="s">
        <v>2720</v>
      </c>
      <c r="C1914" s="10" t="n">
        <v>45684</v>
      </c>
      <c r="D1914" s="2" t="s">
        <v>77</v>
      </c>
      <c r="E1914" s="2" t="s">
        <v>92</v>
      </c>
      <c r="F1914" s="2" t="s">
        <v>65</v>
      </c>
      <c r="G1914" s="2" t="s">
        <v>66</v>
      </c>
      <c r="H1914" s="2" t="n">
        <v>10</v>
      </c>
      <c r="I1914" s="2" t="n">
        <v>600</v>
      </c>
      <c r="J1914" s="2" t="n">
        <v>0.05</v>
      </c>
      <c r="K1914" s="2" t="n">
        <v>300</v>
      </c>
    </row>
    <row r="1915" customFormat="false" ht="15" hidden="false" customHeight="false" outlineLevel="0" collapsed="false">
      <c r="A1915" s="2" t="s">
        <v>2721</v>
      </c>
      <c r="B1915" s="2" t="s">
        <v>2720</v>
      </c>
      <c r="C1915" s="10" t="n">
        <v>45678</v>
      </c>
      <c r="D1915" s="2" t="s">
        <v>77</v>
      </c>
      <c r="E1915" s="2" t="s">
        <v>92</v>
      </c>
      <c r="F1915" s="2" t="s">
        <v>73</v>
      </c>
      <c r="G1915" s="2" t="s">
        <v>104</v>
      </c>
      <c r="H1915" s="2" t="n">
        <v>7</v>
      </c>
      <c r="I1915" s="2" t="n">
        <v>5500</v>
      </c>
      <c r="J1915" s="2" t="n">
        <v>0.15</v>
      </c>
      <c r="K1915" s="2" t="n">
        <v>3600</v>
      </c>
    </row>
    <row r="1916" customFormat="false" ht="15" hidden="false" customHeight="false" outlineLevel="0" collapsed="false">
      <c r="A1916" s="2" t="s">
        <v>2722</v>
      </c>
      <c r="B1916" s="2" t="s">
        <v>2720</v>
      </c>
      <c r="C1916" s="10" t="n">
        <v>45944</v>
      </c>
      <c r="D1916" s="2" t="s">
        <v>77</v>
      </c>
      <c r="E1916" s="2" t="s">
        <v>92</v>
      </c>
      <c r="F1916" s="2" t="s">
        <v>70</v>
      </c>
      <c r="G1916" s="2" t="s">
        <v>97</v>
      </c>
      <c r="H1916" s="2" t="n">
        <v>3</v>
      </c>
      <c r="I1916" s="2" t="n">
        <v>3000</v>
      </c>
      <c r="J1916" s="2" t="n">
        <v>0.15</v>
      </c>
      <c r="K1916" s="2" t="n">
        <v>2000</v>
      </c>
    </row>
    <row r="1917" customFormat="false" ht="15" hidden="false" customHeight="false" outlineLevel="0" collapsed="false">
      <c r="A1917" s="2" t="s">
        <v>2723</v>
      </c>
      <c r="B1917" s="2" t="s">
        <v>2720</v>
      </c>
      <c r="C1917" s="10" t="n">
        <v>45716</v>
      </c>
      <c r="D1917" s="2" t="s">
        <v>77</v>
      </c>
      <c r="E1917" s="2" t="s">
        <v>92</v>
      </c>
      <c r="F1917" s="2" t="s">
        <v>70</v>
      </c>
      <c r="G1917" s="2" t="s">
        <v>126</v>
      </c>
      <c r="H1917" s="2" t="n">
        <v>2</v>
      </c>
      <c r="I1917" s="2" t="n">
        <v>4500</v>
      </c>
      <c r="J1917" s="2" t="n">
        <v>0.05</v>
      </c>
      <c r="K1917" s="2" t="n">
        <v>3300</v>
      </c>
    </row>
    <row r="1918" customFormat="false" ht="15" hidden="false" customHeight="false" outlineLevel="0" collapsed="false">
      <c r="A1918" s="2" t="s">
        <v>2724</v>
      </c>
      <c r="B1918" s="2" t="s">
        <v>2725</v>
      </c>
      <c r="C1918" s="10" t="n">
        <v>45999</v>
      </c>
      <c r="D1918" s="2" t="s">
        <v>63</v>
      </c>
      <c r="E1918" s="2" t="s">
        <v>64</v>
      </c>
      <c r="F1918" s="2" t="s">
        <v>70</v>
      </c>
      <c r="G1918" s="2" t="s">
        <v>122</v>
      </c>
      <c r="H1918" s="2" t="n">
        <v>3</v>
      </c>
      <c r="I1918" s="2" t="n">
        <v>1500</v>
      </c>
      <c r="J1918" s="2" t="n">
        <v>0.1</v>
      </c>
      <c r="K1918" s="2" t="n">
        <v>900</v>
      </c>
    </row>
    <row r="1919" customFormat="false" ht="15" hidden="false" customHeight="false" outlineLevel="0" collapsed="false">
      <c r="A1919" s="2" t="s">
        <v>2726</v>
      </c>
      <c r="B1919" s="2" t="s">
        <v>2725</v>
      </c>
      <c r="C1919" s="10" t="n">
        <v>46016</v>
      </c>
      <c r="D1919" s="2" t="s">
        <v>63</v>
      </c>
      <c r="E1919" s="2" t="s">
        <v>64</v>
      </c>
      <c r="F1919" s="2" t="s">
        <v>70</v>
      </c>
      <c r="G1919" s="2" t="s">
        <v>126</v>
      </c>
      <c r="H1919" s="2" t="n">
        <v>1</v>
      </c>
      <c r="I1919" s="2" t="n">
        <v>4500</v>
      </c>
      <c r="J1919" s="2" t="n">
        <v>0.05</v>
      </c>
      <c r="K1919" s="2" t="n">
        <v>3300</v>
      </c>
    </row>
    <row r="1920" customFormat="false" ht="15" hidden="false" customHeight="false" outlineLevel="0" collapsed="false">
      <c r="A1920" s="2" t="s">
        <v>2727</v>
      </c>
      <c r="B1920" s="2" t="s">
        <v>2728</v>
      </c>
      <c r="C1920" s="10" t="n">
        <v>45673</v>
      </c>
      <c r="D1920" s="2" t="s">
        <v>77</v>
      </c>
      <c r="E1920" s="2" t="s">
        <v>69</v>
      </c>
      <c r="F1920" s="2" t="s">
        <v>73</v>
      </c>
      <c r="G1920" s="2" t="s">
        <v>85</v>
      </c>
      <c r="H1920" s="2" t="n">
        <v>2</v>
      </c>
      <c r="I1920" s="2" t="n">
        <v>1200</v>
      </c>
      <c r="J1920" s="2" t="n">
        <v>0.1</v>
      </c>
      <c r="K1920" s="2" t="n">
        <v>600</v>
      </c>
    </row>
    <row r="1921" customFormat="false" ht="15" hidden="false" customHeight="false" outlineLevel="0" collapsed="false">
      <c r="A1921" s="2" t="s">
        <v>2729</v>
      </c>
      <c r="B1921" s="2" t="s">
        <v>2730</v>
      </c>
      <c r="C1921" s="10" t="n">
        <v>45967</v>
      </c>
      <c r="D1921" s="2" t="s">
        <v>63</v>
      </c>
      <c r="E1921" s="2" t="s">
        <v>64</v>
      </c>
      <c r="F1921" s="2" t="s">
        <v>65</v>
      </c>
      <c r="G1921" s="2" t="s">
        <v>78</v>
      </c>
      <c r="H1921" s="2" t="n">
        <v>4</v>
      </c>
      <c r="I1921" s="2" t="n">
        <v>400</v>
      </c>
      <c r="J1921" s="2" t="n">
        <v>0.15</v>
      </c>
      <c r="K1921" s="2" t="n">
        <v>200</v>
      </c>
    </row>
    <row r="1922" customFormat="false" ht="15" hidden="false" customHeight="false" outlineLevel="0" collapsed="false">
      <c r="A1922" s="2" t="s">
        <v>2731</v>
      </c>
      <c r="B1922" s="2" t="s">
        <v>2732</v>
      </c>
      <c r="C1922" s="10" t="n">
        <v>45888</v>
      </c>
      <c r="D1922" s="2" t="s">
        <v>81</v>
      </c>
      <c r="E1922" s="2" t="s">
        <v>64</v>
      </c>
      <c r="F1922" s="2" t="s">
        <v>73</v>
      </c>
      <c r="G1922" s="2" t="s">
        <v>85</v>
      </c>
      <c r="H1922" s="2" t="n">
        <v>2</v>
      </c>
      <c r="I1922" s="2" t="n">
        <v>1200</v>
      </c>
      <c r="J1922" s="2" t="n">
        <v>0.1</v>
      </c>
      <c r="K1922" s="2" t="n">
        <v>600</v>
      </c>
    </row>
    <row r="1923" customFormat="false" ht="15" hidden="false" customHeight="false" outlineLevel="0" collapsed="false">
      <c r="A1923" s="2" t="s">
        <v>2733</v>
      </c>
      <c r="B1923" s="2" t="s">
        <v>2732</v>
      </c>
      <c r="C1923" s="10" t="n">
        <v>45662</v>
      </c>
      <c r="D1923" s="2" t="s">
        <v>81</v>
      </c>
      <c r="E1923" s="2" t="s">
        <v>64</v>
      </c>
      <c r="F1923" s="2" t="s">
        <v>70</v>
      </c>
      <c r="G1923" s="2" t="s">
        <v>126</v>
      </c>
      <c r="H1923" s="2" t="n">
        <v>1</v>
      </c>
      <c r="I1923" s="2" t="n">
        <v>4500</v>
      </c>
      <c r="J1923" s="2" t="n">
        <v>0.1</v>
      </c>
      <c r="K1923" s="2" t="n">
        <v>3300</v>
      </c>
    </row>
    <row r="1924" customFormat="false" ht="15" hidden="false" customHeight="false" outlineLevel="0" collapsed="false">
      <c r="A1924" s="2" t="s">
        <v>2734</v>
      </c>
      <c r="B1924" s="2" t="s">
        <v>2732</v>
      </c>
      <c r="C1924" s="10" t="n">
        <v>46000</v>
      </c>
      <c r="D1924" s="2" t="s">
        <v>81</v>
      </c>
      <c r="E1924" s="2" t="s">
        <v>64</v>
      </c>
      <c r="F1924" s="2" t="s">
        <v>73</v>
      </c>
      <c r="G1924" s="2" t="s">
        <v>87</v>
      </c>
      <c r="H1924" s="2" t="n">
        <v>1</v>
      </c>
      <c r="I1924" s="2" t="n">
        <v>9000</v>
      </c>
      <c r="J1924" s="2" t="n">
        <v>0.15</v>
      </c>
      <c r="K1924" s="2" t="n">
        <v>6200</v>
      </c>
    </row>
    <row r="1925" customFormat="false" ht="15" hidden="false" customHeight="false" outlineLevel="0" collapsed="false">
      <c r="A1925" s="2" t="s">
        <v>2735</v>
      </c>
      <c r="B1925" s="2" t="s">
        <v>2732</v>
      </c>
      <c r="C1925" s="10" t="n">
        <v>45713</v>
      </c>
      <c r="D1925" s="2" t="s">
        <v>81</v>
      </c>
      <c r="E1925" s="2" t="s">
        <v>64</v>
      </c>
      <c r="F1925" s="2" t="s">
        <v>73</v>
      </c>
      <c r="G1925" s="2" t="s">
        <v>85</v>
      </c>
      <c r="H1925" s="2" t="n">
        <v>2</v>
      </c>
      <c r="I1925" s="2" t="n">
        <v>1200</v>
      </c>
      <c r="J1925" s="2" t="n">
        <v>0</v>
      </c>
      <c r="K1925" s="2" t="n">
        <v>600</v>
      </c>
    </row>
    <row r="1926" customFormat="false" ht="15" hidden="false" customHeight="false" outlineLevel="0" collapsed="false">
      <c r="A1926" s="2" t="s">
        <v>2736</v>
      </c>
      <c r="B1926" s="2" t="s">
        <v>2732</v>
      </c>
      <c r="C1926" s="10" t="n">
        <v>45667</v>
      </c>
      <c r="D1926" s="2" t="s">
        <v>81</v>
      </c>
      <c r="E1926" s="2" t="s">
        <v>64</v>
      </c>
      <c r="F1926" s="2" t="s">
        <v>65</v>
      </c>
      <c r="G1926" s="2" t="s">
        <v>78</v>
      </c>
      <c r="H1926" s="2" t="n">
        <v>2</v>
      </c>
      <c r="I1926" s="2" t="n">
        <v>400</v>
      </c>
      <c r="J1926" s="2" t="n">
        <v>0</v>
      </c>
      <c r="K1926" s="2" t="n">
        <v>200</v>
      </c>
    </row>
    <row r="1927" customFormat="false" ht="15" hidden="false" customHeight="false" outlineLevel="0" collapsed="false">
      <c r="A1927" s="2" t="s">
        <v>2737</v>
      </c>
      <c r="B1927" s="2" t="s">
        <v>2732</v>
      </c>
      <c r="C1927" s="10" t="n">
        <v>45705</v>
      </c>
      <c r="D1927" s="2" t="s">
        <v>81</v>
      </c>
      <c r="E1927" s="2" t="s">
        <v>64</v>
      </c>
      <c r="F1927" s="2" t="s">
        <v>73</v>
      </c>
      <c r="G1927" s="2" t="s">
        <v>85</v>
      </c>
      <c r="H1927" s="2" t="n">
        <v>3</v>
      </c>
      <c r="I1927" s="2" t="n">
        <v>1200</v>
      </c>
      <c r="J1927" s="2" t="n">
        <v>0</v>
      </c>
      <c r="K1927" s="2" t="n">
        <v>600</v>
      </c>
    </row>
    <row r="1928" customFormat="false" ht="15" hidden="false" customHeight="false" outlineLevel="0" collapsed="false">
      <c r="A1928" s="2" t="s">
        <v>2738</v>
      </c>
      <c r="B1928" s="2" t="s">
        <v>2739</v>
      </c>
      <c r="C1928" s="10" t="n">
        <v>45773</v>
      </c>
      <c r="D1928" s="2" t="s">
        <v>91</v>
      </c>
      <c r="E1928" s="2" t="s">
        <v>69</v>
      </c>
      <c r="F1928" s="2" t="s">
        <v>65</v>
      </c>
      <c r="G1928" s="2" t="s">
        <v>78</v>
      </c>
      <c r="H1928" s="2" t="n">
        <v>15</v>
      </c>
      <c r="I1928" s="2" t="n">
        <v>400</v>
      </c>
      <c r="J1928" s="2" t="n">
        <v>0</v>
      </c>
      <c r="K1928" s="2" t="n">
        <v>200</v>
      </c>
    </row>
    <row r="1929" customFormat="false" ht="15" hidden="false" customHeight="false" outlineLevel="0" collapsed="false">
      <c r="A1929" s="2" t="s">
        <v>2740</v>
      </c>
      <c r="B1929" s="2" t="s">
        <v>2741</v>
      </c>
      <c r="C1929" s="10" t="n">
        <v>45721</v>
      </c>
      <c r="D1929" s="2" t="s">
        <v>91</v>
      </c>
      <c r="E1929" s="2" t="s">
        <v>64</v>
      </c>
      <c r="F1929" s="2" t="s">
        <v>70</v>
      </c>
      <c r="G1929" s="2" t="s">
        <v>126</v>
      </c>
      <c r="H1929" s="2" t="n">
        <v>1</v>
      </c>
      <c r="I1929" s="2" t="n">
        <v>4500</v>
      </c>
      <c r="J1929" s="2" t="n">
        <v>0.05</v>
      </c>
      <c r="K1929" s="2" t="n">
        <v>3300</v>
      </c>
    </row>
    <row r="1930" customFormat="false" ht="15" hidden="false" customHeight="false" outlineLevel="0" collapsed="false">
      <c r="A1930" s="2" t="s">
        <v>2742</v>
      </c>
      <c r="B1930" s="2" t="s">
        <v>2743</v>
      </c>
      <c r="C1930" s="10" t="n">
        <v>45702</v>
      </c>
      <c r="D1930" s="2" t="s">
        <v>81</v>
      </c>
      <c r="E1930" s="2" t="s">
        <v>64</v>
      </c>
      <c r="F1930" s="2" t="s">
        <v>65</v>
      </c>
      <c r="G1930" s="2" t="s">
        <v>66</v>
      </c>
      <c r="H1930" s="2" t="n">
        <v>6</v>
      </c>
      <c r="I1930" s="2" t="n">
        <v>600</v>
      </c>
      <c r="J1930" s="2" t="n">
        <v>0.05</v>
      </c>
      <c r="K1930" s="2" t="n">
        <v>300</v>
      </c>
    </row>
    <row r="1931" customFormat="false" ht="15" hidden="false" customHeight="false" outlineLevel="0" collapsed="false">
      <c r="A1931" s="2" t="s">
        <v>2744</v>
      </c>
      <c r="B1931" s="2" t="s">
        <v>2743</v>
      </c>
      <c r="C1931" s="10" t="n">
        <v>45873</v>
      </c>
      <c r="D1931" s="2" t="s">
        <v>81</v>
      </c>
      <c r="E1931" s="2" t="s">
        <v>64</v>
      </c>
      <c r="F1931" s="2" t="s">
        <v>65</v>
      </c>
      <c r="G1931" s="2" t="s">
        <v>78</v>
      </c>
      <c r="H1931" s="2" t="n">
        <v>2</v>
      </c>
      <c r="I1931" s="2" t="n">
        <v>400</v>
      </c>
      <c r="J1931" s="2" t="n">
        <v>0</v>
      </c>
      <c r="K1931" s="2" t="n">
        <v>200</v>
      </c>
    </row>
    <row r="1932" customFormat="false" ht="15" hidden="false" customHeight="false" outlineLevel="0" collapsed="false">
      <c r="A1932" s="2" t="s">
        <v>2745</v>
      </c>
      <c r="B1932" s="2" t="s">
        <v>2743</v>
      </c>
      <c r="C1932" s="10" t="n">
        <v>45947</v>
      </c>
      <c r="D1932" s="2" t="s">
        <v>81</v>
      </c>
      <c r="E1932" s="2" t="s">
        <v>64</v>
      </c>
      <c r="F1932" s="2" t="s">
        <v>70</v>
      </c>
      <c r="G1932" s="2" t="s">
        <v>126</v>
      </c>
      <c r="H1932" s="2" t="n">
        <v>1</v>
      </c>
      <c r="I1932" s="2" t="n">
        <v>4500</v>
      </c>
      <c r="J1932" s="2" t="n">
        <v>0.15</v>
      </c>
      <c r="K1932" s="2" t="n">
        <v>3300</v>
      </c>
    </row>
    <row r="1933" customFormat="false" ht="15" hidden="false" customHeight="false" outlineLevel="0" collapsed="false">
      <c r="A1933" s="2" t="s">
        <v>2746</v>
      </c>
      <c r="B1933" s="2" t="s">
        <v>2747</v>
      </c>
      <c r="C1933" s="10" t="n">
        <v>45720</v>
      </c>
      <c r="D1933" s="2" t="s">
        <v>63</v>
      </c>
      <c r="E1933" s="2" t="s">
        <v>64</v>
      </c>
      <c r="F1933" s="2" t="s">
        <v>70</v>
      </c>
      <c r="G1933" s="2" t="s">
        <v>122</v>
      </c>
      <c r="H1933" s="2" t="n">
        <v>3</v>
      </c>
      <c r="I1933" s="2" t="n">
        <v>1500</v>
      </c>
      <c r="J1933" s="2" t="n">
        <v>0.1</v>
      </c>
      <c r="K1933" s="2" t="n">
        <v>900</v>
      </c>
    </row>
    <row r="1934" customFormat="false" ht="15" hidden="false" customHeight="false" outlineLevel="0" collapsed="false">
      <c r="A1934" s="2" t="s">
        <v>2748</v>
      </c>
      <c r="B1934" s="2" t="s">
        <v>2747</v>
      </c>
      <c r="C1934" s="10" t="n">
        <v>45994</v>
      </c>
      <c r="D1934" s="2" t="s">
        <v>63</v>
      </c>
      <c r="E1934" s="2" t="s">
        <v>64</v>
      </c>
      <c r="F1934" s="2" t="s">
        <v>73</v>
      </c>
      <c r="G1934" s="2" t="s">
        <v>87</v>
      </c>
      <c r="H1934" s="2" t="n">
        <v>3</v>
      </c>
      <c r="I1934" s="2" t="n">
        <v>9000</v>
      </c>
      <c r="J1934" s="2" t="n">
        <v>0.05</v>
      </c>
      <c r="K1934" s="2" t="n">
        <v>6200</v>
      </c>
    </row>
    <row r="1935" customFormat="false" ht="15" hidden="false" customHeight="false" outlineLevel="0" collapsed="false">
      <c r="A1935" s="2" t="s">
        <v>2749</v>
      </c>
      <c r="B1935" s="2" t="s">
        <v>2750</v>
      </c>
      <c r="C1935" s="10" t="n">
        <v>45950</v>
      </c>
      <c r="D1935" s="2" t="s">
        <v>63</v>
      </c>
      <c r="E1935" s="2" t="s">
        <v>64</v>
      </c>
      <c r="F1935" s="2" t="s">
        <v>65</v>
      </c>
      <c r="G1935" s="2" t="s">
        <v>107</v>
      </c>
      <c r="H1935" s="2" t="n">
        <v>7</v>
      </c>
      <c r="I1935" s="2" t="n">
        <v>500</v>
      </c>
      <c r="J1935" s="2" t="n">
        <v>0.05</v>
      </c>
      <c r="K1935" s="2" t="n">
        <v>250</v>
      </c>
    </row>
    <row r="1936" customFormat="false" ht="15" hidden="false" customHeight="false" outlineLevel="0" collapsed="false">
      <c r="A1936" s="2" t="s">
        <v>2751</v>
      </c>
      <c r="B1936" s="2" t="s">
        <v>2750</v>
      </c>
      <c r="C1936" s="10" t="n">
        <v>45856</v>
      </c>
      <c r="D1936" s="2" t="s">
        <v>63</v>
      </c>
      <c r="E1936" s="2" t="s">
        <v>64</v>
      </c>
      <c r="F1936" s="2" t="s">
        <v>70</v>
      </c>
      <c r="G1936" s="2" t="s">
        <v>126</v>
      </c>
      <c r="H1936" s="2" t="n">
        <v>1</v>
      </c>
      <c r="I1936" s="2" t="n">
        <v>4500</v>
      </c>
      <c r="J1936" s="2" t="n">
        <v>0.1</v>
      </c>
      <c r="K1936" s="2" t="n">
        <v>3300</v>
      </c>
    </row>
    <row r="1937" customFormat="false" ht="15" hidden="false" customHeight="false" outlineLevel="0" collapsed="false">
      <c r="A1937" s="2" t="s">
        <v>2752</v>
      </c>
      <c r="B1937" s="2" t="s">
        <v>2753</v>
      </c>
      <c r="C1937" s="10" t="n">
        <v>46009</v>
      </c>
      <c r="D1937" s="2" t="s">
        <v>63</v>
      </c>
      <c r="E1937" s="2" t="s">
        <v>64</v>
      </c>
      <c r="F1937" s="2" t="s">
        <v>65</v>
      </c>
      <c r="G1937" s="2" t="s">
        <v>78</v>
      </c>
      <c r="H1937" s="2" t="n">
        <v>8</v>
      </c>
      <c r="I1937" s="2" t="n">
        <v>400</v>
      </c>
      <c r="J1937" s="2" t="n">
        <v>0.05</v>
      </c>
      <c r="K1937" s="2" t="n">
        <v>200</v>
      </c>
    </row>
    <row r="1938" customFormat="false" ht="15" hidden="false" customHeight="false" outlineLevel="0" collapsed="false">
      <c r="A1938" s="2" t="s">
        <v>2754</v>
      </c>
      <c r="B1938" s="2" t="s">
        <v>2755</v>
      </c>
      <c r="C1938" s="10" t="n">
        <v>45909</v>
      </c>
      <c r="D1938" s="2" t="s">
        <v>77</v>
      </c>
      <c r="E1938" s="2" t="s">
        <v>64</v>
      </c>
      <c r="F1938" s="2" t="s">
        <v>70</v>
      </c>
      <c r="G1938" s="2" t="s">
        <v>122</v>
      </c>
      <c r="H1938" s="2" t="n">
        <v>2</v>
      </c>
      <c r="I1938" s="2" t="n">
        <v>1500</v>
      </c>
      <c r="J1938" s="2" t="n">
        <v>0.05</v>
      </c>
      <c r="K1938" s="2" t="n">
        <v>900</v>
      </c>
    </row>
    <row r="1939" customFormat="false" ht="15" hidden="false" customHeight="false" outlineLevel="0" collapsed="false">
      <c r="A1939" s="2" t="s">
        <v>2756</v>
      </c>
      <c r="B1939" s="2" t="s">
        <v>2757</v>
      </c>
      <c r="C1939" s="10" t="n">
        <v>45872</v>
      </c>
      <c r="D1939" s="2" t="s">
        <v>63</v>
      </c>
      <c r="E1939" s="2" t="s">
        <v>92</v>
      </c>
      <c r="F1939" s="2" t="s">
        <v>65</v>
      </c>
      <c r="G1939" s="2" t="s">
        <v>107</v>
      </c>
      <c r="H1939" s="2" t="n">
        <v>11</v>
      </c>
      <c r="I1939" s="2" t="n">
        <v>500</v>
      </c>
      <c r="J1939" s="2" t="n">
        <v>0.15</v>
      </c>
      <c r="K1939" s="2" t="n">
        <v>250</v>
      </c>
    </row>
    <row r="1940" customFormat="false" ht="15" hidden="false" customHeight="false" outlineLevel="0" collapsed="false">
      <c r="A1940" s="2" t="s">
        <v>2758</v>
      </c>
      <c r="B1940" s="2" t="s">
        <v>2757</v>
      </c>
      <c r="C1940" s="10" t="n">
        <v>45773</v>
      </c>
      <c r="D1940" s="2" t="s">
        <v>756</v>
      </c>
      <c r="E1940" s="2" t="s">
        <v>92</v>
      </c>
      <c r="F1940" s="2" t="s">
        <v>73</v>
      </c>
      <c r="G1940" s="2" t="s">
        <v>85</v>
      </c>
      <c r="H1940" s="2" t="n">
        <v>5</v>
      </c>
      <c r="I1940" s="2" t="n">
        <v>1200</v>
      </c>
      <c r="J1940" s="2" t="n">
        <v>0.1</v>
      </c>
      <c r="K1940" s="2" t="n">
        <v>600</v>
      </c>
    </row>
    <row r="1941" customFormat="false" ht="15" hidden="false" customHeight="false" outlineLevel="0" collapsed="false">
      <c r="A1941" s="2" t="s">
        <v>2759</v>
      </c>
      <c r="B1941" s="2" t="s">
        <v>2757</v>
      </c>
      <c r="C1941" s="10" t="n">
        <v>45923</v>
      </c>
      <c r="D1941" s="2" t="s">
        <v>63</v>
      </c>
      <c r="E1941" s="2" t="s">
        <v>92</v>
      </c>
      <c r="F1941" s="2" t="s">
        <v>73</v>
      </c>
      <c r="G1941" s="2" t="s">
        <v>85</v>
      </c>
      <c r="H1941" s="2" t="n">
        <v>5</v>
      </c>
      <c r="I1941" s="2" t="n">
        <v>1200</v>
      </c>
      <c r="J1941" s="2" t="n">
        <v>0</v>
      </c>
      <c r="K1941" s="2" t="n">
        <v>600</v>
      </c>
    </row>
    <row r="1942" customFormat="false" ht="15" hidden="false" customHeight="false" outlineLevel="0" collapsed="false">
      <c r="A1942" s="2" t="s">
        <v>2760</v>
      </c>
      <c r="B1942" s="2" t="s">
        <v>2757</v>
      </c>
      <c r="C1942" s="10" t="n">
        <v>45888</v>
      </c>
      <c r="D1942" s="2" t="s">
        <v>63</v>
      </c>
      <c r="E1942" s="2" t="s">
        <v>92</v>
      </c>
      <c r="F1942" s="2" t="s">
        <v>73</v>
      </c>
      <c r="G1942" s="2" t="s">
        <v>87</v>
      </c>
      <c r="H1942" s="2" t="n">
        <v>3</v>
      </c>
      <c r="I1942" s="2" t="n">
        <v>9000</v>
      </c>
      <c r="J1942" s="2" t="n">
        <v>0</v>
      </c>
      <c r="K1942" s="2" t="n">
        <v>6200</v>
      </c>
    </row>
    <row r="1943" customFormat="false" ht="15" hidden="false" customHeight="false" outlineLevel="0" collapsed="false">
      <c r="A1943" s="2" t="s">
        <v>2761</v>
      </c>
      <c r="B1943" s="2" t="s">
        <v>2762</v>
      </c>
      <c r="C1943" s="10" t="n">
        <v>45901</v>
      </c>
      <c r="D1943" s="2" t="s">
        <v>63</v>
      </c>
      <c r="E1943" s="2" t="s">
        <v>64</v>
      </c>
      <c r="F1943" s="2" t="s">
        <v>70</v>
      </c>
      <c r="G1943" s="2" t="s">
        <v>126</v>
      </c>
      <c r="H1943" s="2" t="n">
        <v>1</v>
      </c>
      <c r="I1943" s="2" t="n">
        <v>4500</v>
      </c>
      <c r="J1943" s="2" t="n">
        <v>0</v>
      </c>
      <c r="K1943" s="2" t="n">
        <v>3300</v>
      </c>
    </row>
    <row r="1944" customFormat="false" ht="15" hidden="false" customHeight="false" outlineLevel="0" collapsed="false">
      <c r="A1944" s="2" t="s">
        <v>2763</v>
      </c>
      <c r="B1944" s="2" t="s">
        <v>2764</v>
      </c>
      <c r="C1944" s="10" t="n">
        <v>46011</v>
      </c>
      <c r="D1944" s="2" t="s">
        <v>91</v>
      </c>
      <c r="E1944" s="2" t="s">
        <v>69</v>
      </c>
      <c r="F1944" s="2" t="s">
        <v>70</v>
      </c>
      <c r="G1944" s="2" t="s">
        <v>71</v>
      </c>
      <c r="H1944" s="2" t="n">
        <v>3</v>
      </c>
      <c r="I1944" s="2" t="n">
        <v>2500</v>
      </c>
      <c r="J1944" s="2" t="n">
        <v>0.05</v>
      </c>
      <c r="K1944" s="2" t="n">
        <v>1600</v>
      </c>
    </row>
    <row r="1945" customFormat="false" ht="15" hidden="false" customHeight="false" outlineLevel="0" collapsed="false">
      <c r="A1945" s="2" t="s">
        <v>2765</v>
      </c>
      <c r="B1945" s="2" t="s">
        <v>2766</v>
      </c>
      <c r="C1945" s="10" t="n">
        <v>45986</v>
      </c>
      <c r="D1945" s="2" t="s">
        <v>756</v>
      </c>
      <c r="E1945" s="2" t="s">
        <v>64</v>
      </c>
      <c r="F1945" s="2" t="s">
        <v>70</v>
      </c>
      <c r="G1945" s="2" t="s">
        <v>97</v>
      </c>
      <c r="H1945" s="2" t="n">
        <v>1</v>
      </c>
      <c r="I1945" s="2" t="n">
        <v>3000</v>
      </c>
      <c r="J1945" s="2" t="n">
        <v>0.05</v>
      </c>
      <c r="K1945" s="2" t="n">
        <v>2000</v>
      </c>
    </row>
    <row r="1946" customFormat="false" ht="15" hidden="false" customHeight="false" outlineLevel="0" collapsed="false">
      <c r="A1946" s="2" t="s">
        <v>2767</v>
      </c>
      <c r="B1946" s="2" t="s">
        <v>2766</v>
      </c>
      <c r="C1946" s="10" t="n">
        <v>45764</v>
      </c>
      <c r="D1946" s="2" t="s">
        <v>77</v>
      </c>
      <c r="E1946" s="2" t="s">
        <v>64</v>
      </c>
      <c r="F1946" s="2" t="s">
        <v>73</v>
      </c>
      <c r="G1946" s="2" t="s">
        <v>104</v>
      </c>
      <c r="H1946" s="2" t="n">
        <v>1</v>
      </c>
      <c r="I1946" s="2" t="n">
        <v>5500</v>
      </c>
      <c r="J1946" s="2" t="n">
        <v>0</v>
      </c>
      <c r="K1946" s="2" t="n">
        <v>3600</v>
      </c>
    </row>
    <row r="1947" customFormat="false" ht="15" hidden="false" customHeight="false" outlineLevel="0" collapsed="false">
      <c r="A1947" s="2" t="s">
        <v>2768</v>
      </c>
      <c r="B1947" s="2" t="s">
        <v>2766</v>
      </c>
      <c r="C1947" s="10" t="n">
        <v>45973</v>
      </c>
      <c r="D1947" s="2" t="s">
        <v>77</v>
      </c>
      <c r="E1947" s="2" t="s">
        <v>64</v>
      </c>
      <c r="F1947" s="2" t="s">
        <v>65</v>
      </c>
      <c r="G1947" s="2" t="s">
        <v>107</v>
      </c>
      <c r="H1947" s="2" t="n">
        <v>6</v>
      </c>
      <c r="I1947" s="2" t="n">
        <v>500</v>
      </c>
      <c r="J1947" s="2" t="n">
        <v>0.15</v>
      </c>
      <c r="K1947" s="2" t="n">
        <v>250</v>
      </c>
    </row>
    <row r="1948" customFormat="false" ht="15" hidden="false" customHeight="false" outlineLevel="0" collapsed="false">
      <c r="A1948" s="2" t="s">
        <v>2769</v>
      </c>
      <c r="B1948" s="2" t="s">
        <v>2766</v>
      </c>
      <c r="C1948" s="10" t="n">
        <v>45713</v>
      </c>
      <c r="D1948" s="2" t="s">
        <v>77</v>
      </c>
      <c r="E1948" s="2" t="s">
        <v>64</v>
      </c>
      <c r="F1948" s="2" t="s">
        <v>70</v>
      </c>
      <c r="G1948" s="2" t="s">
        <v>126</v>
      </c>
      <c r="H1948" s="2" t="n">
        <v>2</v>
      </c>
      <c r="I1948" s="2" t="n">
        <v>4500</v>
      </c>
      <c r="J1948" s="2" t="n">
        <v>0</v>
      </c>
      <c r="K1948" s="2" t="n">
        <v>3300</v>
      </c>
    </row>
    <row r="1949" customFormat="false" ht="15" hidden="false" customHeight="false" outlineLevel="0" collapsed="false">
      <c r="A1949" s="2" t="s">
        <v>2770</v>
      </c>
      <c r="B1949" s="2" t="s">
        <v>2766</v>
      </c>
      <c r="C1949" s="10" t="n">
        <v>45696</v>
      </c>
      <c r="D1949" s="2" t="s">
        <v>77</v>
      </c>
      <c r="E1949" s="2" t="s">
        <v>64</v>
      </c>
      <c r="F1949" s="2" t="s">
        <v>65</v>
      </c>
      <c r="G1949" s="2" t="s">
        <v>107</v>
      </c>
      <c r="H1949" s="2" t="n">
        <v>5</v>
      </c>
      <c r="I1949" s="2" t="n">
        <v>500</v>
      </c>
      <c r="J1949" s="2" t="n">
        <v>0</v>
      </c>
      <c r="K1949" s="2" t="n">
        <v>250</v>
      </c>
    </row>
    <row r="1950" customFormat="false" ht="15" hidden="false" customHeight="false" outlineLevel="0" collapsed="false">
      <c r="A1950" s="2" t="s">
        <v>2771</v>
      </c>
      <c r="B1950" s="2" t="s">
        <v>2772</v>
      </c>
      <c r="C1950" s="10" t="n">
        <v>46007</v>
      </c>
      <c r="D1950" s="2" t="s">
        <v>63</v>
      </c>
      <c r="E1950" s="2" t="s">
        <v>64</v>
      </c>
      <c r="F1950" s="2" t="s">
        <v>65</v>
      </c>
      <c r="G1950" s="2" t="s">
        <v>78</v>
      </c>
      <c r="H1950" s="2" t="n">
        <v>6</v>
      </c>
      <c r="I1950" s="2" t="n">
        <v>400</v>
      </c>
      <c r="J1950" s="2" t="n">
        <v>0.05</v>
      </c>
      <c r="K1950" s="2" t="n">
        <v>200</v>
      </c>
    </row>
    <row r="1951" customFormat="false" ht="15" hidden="false" customHeight="false" outlineLevel="0" collapsed="false">
      <c r="A1951" s="2" t="s">
        <v>2773</v>
      </c>
      <c r="B1951" s="2" t="s">
        <v>2772</v>
      </c>
      <c r="C1951" s="10" t="n">
        <v>45916</v>
      </c>
      <c r="D1951" s="2" t="s">
        <v>63</v>
      </c>
      <c r="E1951" s="2" t="s">
        <v>64</v>
      </c>
      <c r="F1951" s="2" t="s">
        <v>73</v>
      </c>
      <c r="G1951" s="2" t="s">
        <v>104</v>
      </c>
      <c r="H1951" s="2" t="n">
        <v>3</v>
      </c>
      <c r="I1951" s="2" t="n">
        <v>5500</v>
      </c>
      <c r="J1951" s="2" t="n">
        <v>0.05</v>
      </c>
      <c r="K1951" s="2" t="n">
        <v>3600</v>
      </c>
    </row>
    <row r="1952" customFormat="false" ht="15" hidden="false" customHeight="false" outlineLevel="0" collapsed="false">
      <c r="A1952" s="2" t="s">
        <v>2774</v>
      </c>
      <c r="B1952" s="2" t="s">
        <v>2772</v>
      </c>
      <c r="C1952" s="10" t="n">
        <v>45835</v>
      </c>
      <c r="D1952" s="2" t="s">
        <v>63</v>
      </c>
      <c r="E1952" s="2" t="s">
        <v>64</v>
      </c>
      <c r="F1952" s="2" t="s">
        <v>70</v>
      </c>
      <c r="G1952" s="2" t="s">
        <v>126</v>
      </c>
      <c r="H1952" s="2" t="n">
        <v>1</v>
      </c>
      <c r="I1952" s="2" t="n">
        <v>4500</v>
      </c>
      <c r="J1952" s="2" t="n">
        <v>0</v>
      </c>
      <c r="K1952" s="2" t="n">
        <v>3300</v>
      </c>
    </row>
    <row r="1953" customFormat="false" ht="15" hidden="false" customHeight="false" outlineLevel="0" collapsed="false">
      <c r="A1953" s="2" t="s">
        <v>2775</v>
      </c>
      <c r="B1953" s="2" t="s">
        <v>2776</v>
      </c>
      <c r="C1953" s="10" t="n">
        <v>45801</v>
      </c>
      <c r="D1953" s="2" t="s">
        <v>77</v>
      </c>
      <c r="E1953" s="2" t="s">
        <v>64</v>
      </c>
      <c r="F1953" s="2" t="s">
        <v>70</v>
      </c>
      <c r="G1953" s="2" t="s">
        <v>71</v>
      </c>
      <c r="H1953" s="2" t="n">
        <v>2</v>
      </c>
      <c r="I1953" s="2" t="n">
        <v>2500</v>
      </c>
      <c r="J1953" s="2" t="n">
        <v>0.05</v>
      </c>
      <c r="K1953" s="2" t="n">
        <v>1600</v>
      </c>
    </row>
    <row r="1954" customFormat="false" ht="15" hidden="false" customHeight="false" outlineLevel="0" collapsed="false">
      <c r="A1954" s="2" t="s">
        <v>2777</v>
      </c>
      <c r="B1954" s="2" t="s">
        <v>2776</v>
      </c>
      <c r="C1954" s="10" t="n">
        <v>45843</v>
      </c>
      <c r="D1954" s="2" t="s">
        <v>77</v>
      </c>
      <c r="E1954" s="2" t="s">
        <v>64</v>
      </c>
      <c r="F1954" s="2" t="s">
        <v>65</v>
      </c>
      <c r="G1954" s="2" t="s">
        <v>82</v>
      </c>
      <c r="H1954" s="2" t="n">
        <v>8</v>
      </c>
      <c r="I1954" s="2" t="n">
        <v>250</v>
      </c>
      <c r="J1954" s="2" t="n">
        <v>0.1</v>
      </c>
      <c r="K1954" s="2" t="n">
        <v>100</v>
      </c>
    </row>
    <row r="1955" customFormat="false" ht="15" hidden="false" customHeight="false" outlineLevel="0" collapsed="false">
      <c r="A1955" s="2" t="s">
        <v>2778</v>
      </c>
      <c r="B1955" s="2" t="s">
        <v>2779</v>
      </c>
      <c r="C1955" s="10" t="n">
        <v>45950</v>
      </c>
      <c r="D1955" s="2" t="s">
        <v>81</v>
      </c>
      <c r="E1955" s="2" t="s">
        <v>64</v>
      </c>
      <c r="F1955" s="2" t="s">
        <v>73</v>
      </c>
      <c r="G1955" s="2" t="s">
        <v>104</v>
      </c>
      <c r="H1955" s="2" t="n">
        <v>1</v>
      </c>
      <c r="I1955" s="2" t="n">
        <v>5500</v>
      </c>
      <c r="J1955" s="2" t="n">
        <v>0.1</v>
      </c>
      <c r="K1955" s="2" t="n">
        <v>3600</v>
      </c>
    </row>
    <row r="1956" customFormat="false" ht="15" hidden="false" customHeight="false" outlineLevel="0" collapsed="false">
      <c r="A1956" s="2" t="s">
        <v>2780</v>
      </c>
      <c r="B1956" s="2" t="s">
        <v>2781</v>
      </c>
      <c r="C1956" s="10" t="n">
        <v>45935</v>
      </c>
      <c r="D1956" s="2" t="s">
        <v>77</v>
      </c>
      <c r="E1956" s="2" t="s">
        <v>69</v>
      </c>
      <c r="F1956" s="2" t="s">
        <v>73</v>
      </c>
      <c r="G1956" s="2" t="s">
        <v>104</v>
      </c>
      <c r="H1956" s="2" t="n">
        <v>1</v>
      </c>
      <c r="I1956" s="2" t="n">
        <v>5500</v>
      </c>
      <c r="J1956" s="2" t="n">
        <v>0.05</v>
      </c>
      <c r="K1956" s="2" t="n">
        <v>3600</v>
      </c>
    </row>
    <row r="1957" customFormat="false" ht="15" hidden="false" customHeight="false" outlineLevel="0" collapsed="false">
      <c r="A1957" s="2" t="s">
        <v>2782</v>
      </c>
      <c r="B1957" s="2" t="s">
        <v>2781</v>
      </c>
      <c r="C1957" s="10" t="n">
        <v>45729</v>
      </c>
      <c r="D1957" s="2" t="s">
        <v>77</v>
      </c>
      <c r="E1957" s="2" t="s">
        <v>69</v>
      </c>
      <c r="F1957" s="2" t="s">
        <v>73</v>
      </c>
      <c r="G1957" s="2" t="s">
        <v>85</v>
      </c>
      <c r="H1957" s="2" t="n">
        <v>1</v>
      </c>
      <c r="I1957" s="2" t="n">
        <v>1200</v>
      </c>
      <c r="J1957" s="2" t="n">
        <v>0</v>
      </c>
      <c r="K1957" s="2" t="n">
        <v>600</v>
      </c>
    </row>
    <row r="1958" customFormat="false" ht="15" hidden="false" customHeight="false" outlineLevel="0" collapsed="false">
      <c r="A1958" s="2" t="s">
        <v>2783</v>
      </c>
      <c r="B1958" s="2" t="s">
        <v>2784</v>
      </c>
      <c r="C1958" s="10" t="n">
        <v>45697</v>
      </c>
      <c r="D1958" s="2" t="s">
        <v>63</v>
      </c>
      <c r="E1958" s="2" t="s">
        <v>69</v>
      </c>
      <c r="F1958" s="2" t="s">
        <v>73</v>
      </c>
      <c r="G1958" s="2" t="s">
        <v>87</v>
      </c>
      <c r="H1958" s="2" t="n">
        <v>3</v>
      </c>
      <c r="I1958" s="2" t="n">
        <v>9000</v>
      </c>
      <c r="J1958" s="2" t="n">
        <v>0.1</v>
      </c>
      <c r="K1958" s="2" t="n">
        <v>6200</v>
      </c>
    </row>
    <row r="1959" customFormat="false" ht="15" hidden="false" customHeight="false" outlineLevel="0" collapsed="false">
      <c r="A1959" s="2" t="s">
        <v>2785</v>
      </c>
      <c r="B1959" s="2" t="s">
        <v>2786</v>
      </c>
      <c r="C1959" s="10" t="n">
        <v>45742</v>
      </c>
      <c r="D1959" s="2" t="s">
        <v>77</v>
      </c>
      <c r="E1959" s="2" t="s">
        <v>69</v>
      </c>
      <c r="F1959" s="2" t="s">
        <v>70</v>
      </c>
      <c r="G1959" s="2" t="s">
        <v>126</v>
      </c>
      <c r="H1959" s="2" t="n">
        <v>2</v>
      </c>
      <c r="I1959" s="2" t="n">
        <v>4500</v>
      </c>
      <c r="J1959" s="2" t="n">
        <v>0</v>
      </c>
      <c r="K1959" s="2" t="n">
        <v>3300</v>
      </c>
    </row>
    <row r="1960" customFormat="false" ht="15" hidden="false" customHeight="false" outlineLevel="0" collapsed="false">
      <c r="A1960" s="2" t="s">
        <v>2787</v>
      </c>
      <c r="B1960" s="2" t="s">
        <v>2788</v>
      </c>
      <c r="C1960" s="10" t="n">
        <v>45986</v>
      </c>
      <c r="D1960" s="2" t="s">
        <v>63</v>
      </c>
      <c r="E1960" s="2" t="s">
        <v>69</v>
      </c>
      <c r="F1960" s="2" t="s">
        <v>70</v>
      </c>
      <c r="G1960" s="2" t="s">
        <v>71</v>
      </c>
      <c r="H1960" s="2" t="n">
        <v>5</v>
      </c>
      <c r="I1960" s="2" t="n">
        <v>2500</v>
      </c>
      <c r="J1960" s="2" t="n">
        <v>0.1</v>
      </c>
      <c r="K1960" s="2" t="n">
        <v>1600</v>
      </c>
    </row>
    <row r="1961" customFormat="false" ht="15" hidden="false" customHeight="false" outlineLevel="0" collapsed="false">
      <c r="A1961" s="2" t="s">
        <v>2789</v>
      </c>
      <c r="B1961" s="2" t="s">
        <v>2788</v>
      </c>
      <c r="C1961" s="10" t="n">
        <v>46005</v>
      </c>
      <c r="D1961" s="2" t="s">
        <v>63</v>
      </c>
      <c r="E1961" s="2" t="s">
        <v>69</v>
      </c>
      <c r="F1961" s="2" t="s">
        <v>73</v>
      </c>
      <c r="G1961" s="2" t="s">
        <v>85</v>
      </c>
      <c r="H1961" s="2" t="n">
        <v>1</v>
      </c>
      <c r="I1961" s="2" t="n">
        <v>1200</v>
      </c>
      <c r="J1961" s="2" t="n">
        <v>0.05</v>
      </c>
      <c r="K1961" s="2" t="n">
        <v>600</v>
      </c>
    </row>
    <row r="1962" customFormat="false" ht="15" hidden="false" customHeight="false" outlineLevel="0" collapsed="false">
      <c r="A1962" s="2" t="s">
        <v>2790</v>
      </c>
      <c r="B1962" s="2" t="s">
        <v>2791</v>
      </c>
      <c r="C1962" s="10" t="n">
        <v>45926</v>
      </c>
      <c r="D1962" s="2" t="s">
        <v>81</v>
      </c>
      <c r="E1962" s="2" t="s">
        <v>92</v>
      </c>
      <c r="F1962" s="2" t="s">
        <v>73</v>
      </c>
      <c r="G1962" s="2" t="s">
        <v>85</v>
      </c>
      <c r="H1962" s="2" t="n">
        <v>4</v>
      </c>
      <c r="I1962" s="2" t="n">
        <v>1200</v>
      </c>
      <c r="J1962" s="2" t="n">
        <v>0.05</v>
      </c>
      <c r="K1962" s="2" t="n">
        <v>600</v>
      </c>
    </row>
    <row r="1963" customFormat="false" ht="15" hidden="false" customHeight="false" outlineLevel="0" collapsed="false">
      <c r="A1963" s="2" t="s">
        <v>2792</v>
      </c>
      <c r="B1963" s="2" t="s">
        <v>2791</v>
      </c>
      <c r="C1963" s="10" t="n">
        <v>45988</v>
      </c>
      <c r="D1963" s="2" t="s">
        <v>81</v>
      </c>
      <c r="E1963" s="2" t="s">
        <v>92</v>
      </c>
      <c r="F1963" s="2" t="s">
        <v>73</v>
      </c>
      <c r="G1963" s="2" t="s">
        <v>87</v>
      </c>
      <c r="H1963" s="2" t="n">
        <v>4</v>
      </c>
      <c r="I1963" s="2" t="n">
        <v>9000</v>
      </c>
      <c r="J1963" s="2" t="n">
        <v>0.15</v>
      </c>
      <c r="K1963" s="2" t="n">
        <v>6200</v>
      </c>
    </row>
    <row r="1964" customFormat="false" ht="15" hidden="false" customHeight="false" outlineLevel="0" collapsed="false">
      <c r="A1964" s="2" t="s">
        <v>2793</v>
      </c>
      <c r="B1964" s="2" t="s">
        <v>2791</v>
      </c>
      <c r="C1964" s="10" t="n">
        <v>45983</v>
      </c>
      <c r="D1964" s="2" t="s">
        <v>81</v>
      </c>
      <c r="E1964" s="2" t="s">
        <v>92</v>
      </c>
      <c r="F1964" s="2" t="s">
        <v>70</v>
      </c>
      <c r="G1964" s="2" t="s">
        <v>71</v>
      </c>
      <c r="H1964" s="2" t="n">
        <v>8</v>
      </c>
      <c r="I1964" s="2" t="n">
        <v>2500</v>
      </c>
      <c r="J1964" s="2" t="n">
        <v>0.05</v>
      </c>
      <c r="K1964" s="2" t="n">
        <v>1600</v>
      </c>
    </row>
    <row r="1965" customFormat="false" ht="15" hidden="false" customHeight="false" outlineLevel="0" collapsed="false">
      <c r="A1965" s="2" t="s">
        <v>2794</v>
      </c>
      <c r="B1965" s="2" t="s">
        <v>2795</v>
      </c>
      <c r="C1965" s="10" t="n">
        <v>45924</v>
      </c>
      <c r="D1965" s="2" t="s">
        <v>91</v>
      </c>
      <c r="E1965" s="2" t="s">
        <v>64</v>
      </c>
      <c r="F1965" s="2" t="s">
        <v>65</v>
      </c>
      <c r="G1965" s="2" t="s">
        <v>107</v>
      </c>
      <c r="H1965" s="2" t="n">
        <v>2</v>
      </c>
      <c r="I1965" s="2" t="n">
        <v>500</v>
      </c>
      <c r="J1965" s="2" t="n">
        <v>0.1</v>
      </c>
      <c r="K1965" s="2" t="n">
        <v>250</v>
      </c>
    </row>
    <row r="1966" customFormat="false" ht="15" hidden="false" customHeight="false" outlineLevel="0" collapsed="false">
      <c r="A1966" s="2" t="s">
        <v>2796</v>
      </c>
      <c r="B1966" s="2" t="s">
        <v>2795</v>
      </c>
      <c r="C1966" s="10" t="n">
        <v>45953</v>
      </c>
      <c r="D1966" s="2" t="s">
        <v>91</v>
      </c>
      <c r="E1966" s="2" t="s">
        <v>64</v>
      </c>
      <c r="F1966" s="2" t="s">
        <v>73</v>
      </c>
      <c r="G1966" s="2" t="s">
        <v>85</v>
      </c>
      <c r="H1966" s="2" t="n">
        <v>3</v>
      </c>
      <c r="I1966" s="2" t="n">
        <v>1200</v>
      </c>
      <c r="J1966" s="2" t="n">
        <v>0.05</v>
      </c>
      <c r="K1966" s="2" t="n">
        <v>600</v>
      </c>
    </row>
    <row r="1967" customFormat="false" ht="15" hidden="false" customHeight="false" outlineLevel="0" collapsed="false">
      <c r="A1967" s="2" t="s">
        <v>2797</v>
      </c>
      <c r="B1967" s="2" t="s">
        <v>2795</v>
      </c>
      <c r="C1967" s="10" t="n">
        <v>45761</v>
      </c>
      <c r="D1967" s="2" t="s">
        <v>91</v>
      </c>
      <c r="E1967" s="2" t="s">
        <v>64</v>
      </c>
      <c r="F1967" s="2" t="s">
        <v>65</v>
      </c>
      <c r="G1967" s="2" t="s">
        <v>66</v>
      </c>
      <c r="H1967" s="2" t="n">
        <v>6</v>
      </c>
      <c r="I1967" s="2" t="n">
        <v>600</v>
      </c>
      <c r="J1967" s="2" t="n">
        <v>0</v>
      </c>
      <c r="K1967" s="2" t="n">
        <v>300</v>
      </c>
    </row>
    <row r="1968" customFormat="false" ht="15" hidden="false" customHeight="false" outlineLevel="0" collapsed="false">
      <c r="A1968" s="2" t="s">
        <v>2798</v>
      </c>
      <c r="B1968" s="2" t="s">
        <v>2795</v>
      </c>
      <c r="C1968" s="10" t="n">
        <v>45693</v>
      </c>
      <c r="D1968" s="2" t="s">
        <v>91</v>
      </c>
      <c r="E1968" s="2" t="s">
        <v>64</v>
      </c>
      <c r="F1968" s="2" t="s">
        <v>65</v>
      </c>
      <c r="G1968" s="2" t="s">
        <v>82</v>
      </c>
      <c r="H1968" s="2" t="n">
        <v>4</v>
      </c>
      <c r="I1968" s="2" t="n">
        <v>250</v>
      </c>
      <c r="J1968" s="2" t="n">
        <v>0</v>
      </c>
      <c r="K1968" s="2" t="n">
        <v>100</v>
      </c>
    </row>
    <row r="1969" customFormat="false" ht="15" hidden="false" customHeight="false" outlineLevel="0" collapsed="false">
      <c r="A1969" s="2" t="s">
        <v>2799</v>
      </c>
      <c r="B1969" s="2" t="s">
        <v>2795</v>
      </c>
      <c r="C1969" s="10" t="n">
        <v>45717</v>
      </c>
      <c r="D1969" s="2" t="s">
        <v>91</v>
      </c>
      <c r="E1969" s="2" t="s">
        <v>64</v>
      </c>
      <c r="F1969" s="2" t="s">
        <v>73</v>
      </c>
      <c r="G1969" s="2" t="s">
        <v>104</v>
      </c>
      <c r="H1969" s="2" t="n">
        <v>2</v>
      </c>
      <c r="I1969" s="2" t="n">
        <v>5500</v>
      </c>
      <c r="J1969" s="2" t="n">
        <v>0</v>
      </c>
      <c r="K1969" s="2" t="n">
        <v>3600</v>
      </c>
    </row>
    <row r="1970" customFormat="false" ht="15" hidden="false" customHeight="false" outlineLevel="0" collapsed="false">
      <c r="A1970" s="2" t="s">
        <v>2800</v>
      </c>
      <c r="B1970" s="2" t="s">
        <v>2795</v>
      </c>
      <c r="C1970" s="10" t="n">
        <v>45692</v>
      </c>
      <c r="D1970" s="2" t="s">
        <v>91</v>
      </c>
      <c r="E1970" s="2" t="s">
        <v>64</v>
      </c>
      <c r="F1970" s="2" t="s">
        <v>73</v>
      </c>
      <c r="G1970" s="2" t="s">
        <v>87</v>
      </c>
      <c r="H1970" s="2" t="n">
        <v>1</v>
      </c>
      <c r="I1970" s="2" t="n">
        <v>9000</v>
      </c>
      <c r="J1970" s="2" t="n">
        <v>0</v>
      </c>
      <c r="K1970" s="2" t="n">
        <v>6200</v>
      </c>
    </row>
    <row r="1971" customFormat="false" ht="15" hidden="false" customHeight="false" outlineLevel="0" collapsed="false">
      <c r="A1971" s="2" t="s">
        <v>2801</v>
      </c>
      <c r="B1971" s="2" t="s">
        <v>2795</v>
      </c>
      <c r="C1971" s="10" t="n">
        <v>45956</v>
      </c>
      <c r="D1971" s="2" t="s">
        <v>91</v>
      </c>
      <c r="E1971" s="2" t="s">
        <v>64</v>
      </c>
      <c r="F1971" s="2" t="s">
        <v>70</v>
      </c>
      <c r="G1971" s="2" t="s">
        <v>126</v>
      </c>
      <c r="H1971" s="2" t="n">
        <v>3</v>
      </c>
      <c r="I1971" s="2" t="n">
        <v>4500</v>
      </c>
      <c r="J1971" s="2" t="n">
        <v>0.05</v>
      </c>
      <c r="K1971" s="2" t="n">
        <v>3300</v>
      </c>
    </row>
    <row r="1972" customFormat="false" ht="15" hidden="false" customHeight="false" outlineLevel="0" collapsed="false">
      <c r="A1972" s="2" t="s">
        <v>2802</v>
      </c>
      <c r="B1972" s="2" t="s">
        <v>2795</v>
      </c>
      <c r="C1972" s="10" t="n">
        <v>45997</v>
      </c>
      <c r="D1972" s="2" t="s">
        <v>91</v>
      </c>
      <c r="E1972" s="2" t="s">
        <v>64</v>
      </c>
      <c r="F1972" s="2" t="s">
        <v>65</v>
      </c>
      <c r="G1972" s="2" t="s">
        <v>78</v>
      </c>
      <c r="H1972" s="2" t="n">
        <v>8</v>
      </c>
      <c r="I1972" s="2" t="n">
        <v>400</v>
      </c>
      <c r="J1972" s="2" t="n">
        <v>0.05</v>
      </c>
      <c r="K1972" s="2" t="n">
        <v>200</v>
      </c>
    </row>
    <row r="1973" customFormat="false" ht="15" hidden="false" customHeight="false" outlineLevel="0" collapsed="false">
      <c r="A1973" s="2" t="s">
        <v>2803</v>
      </c>
      <c r="B1973" s="2" t="s">
        <v>2804</v>
      </c>
      <c r="C1973" s="10" t="n">
        <v>45796</v>
      </c>
      <c r="D1973" s="2" t="s">
        <v>63</v>
      </c>
      <c r="E1973" s="2" t="s">
        <v>69</v>
      </c>
      <c r="F1973" s="2" t="s">
        <v>70</v>
      </c>
      <c r="G1973" s="2" t="s">
        <v>71</v>
      </c>
      <c r="H1973" s="2" t="n">
        <v>2</v>
      </c>
      <c r="I1973" s="2" t="n">
        <v>2500</v>
      </c>
      <c r="J1973" s="2" t="n">
        <v>0.1</v>
      </c>
      <c r="K1973" s="2" t="n">
        <v>1600</v>
      </c>
    </row>
    <row r="1974" customFormat="false" ht="15" hidden="false" customHeight="false" outlineLevel="0" collapsed="false">
      <c r="A1974" s="2" t="s">
        <v>2805</v>
      </c>
      <c r="B1974" s="2" t="s">
        <v>2804</v>
      </c>
      <c r="C1974" s="10" t="n">
        <v>45832</v>
      </c>
      <c r="D1974" s="2" t="s">
        <v>63</v>
      </c>
      <c r="E1974" s="2" t="s">
        <v>69</v>
      </c>
      <c r="F1974" s="2" t="s">
        <v>70</v>
      </c>
      <c r="G1974" s="2" t="s">
        <v>126</v>
      </c>
      <c r="H1974" s="2" t="n">
        <v>3</v>
      </c>
      <c r="I1974" s="2" t="n">
        <v>4500</v>
      </c>
      <c r="J1974" s="2" t="n">
        <v>0</v>
      </c>
      <c r="K1974" s="2" t="n">
        <v>3300</v>
      </c>
    </row>
    <row r="1975" customFormat="false" ht="15" hidden="false" customHeight="false" outlineLevel="0" collapsed="false">
      <c r="A1975" s="2" t="s">
        <v>2806</v>
      </c>
      <c r="B1975" s="2" t="s">
        <v>2804</v>
      </c>
      <c r="C1975" s="10" t="n">
        <v>45861</v>
      </c>
      <c r="D1975" s="2" t="s">
        <v>63</v>
      </c>
      <c r="E1975" s="2" t="s">
        <v>69</v>
      </c>
      <c r="F1975" s="2" t="s">
        <v>73</v>
      </c>
      <c r="G1975" s="2" t="s">
        <v>85</v>
      </c>
      <c r="H1975" s="2" t="n">
        <v>2</v>
      </c>
      <c r="I1975" s="2" t="n">
        <v>1200</v>
      </c>
      <c r="J1975" s="2" t="n">
        <v>0</v>
      </c>
      <c r="K1975" s="2" t="n">
        <v>600</v>
      </c>
    </row>
    <row r="1976" customFormat="false" ht="15" hidden="false" customHeight="false" outlineLevel="0" collapsed="false">
      <c r="A1976" s="2" t="s">
        <v>2807</v>
      </c>
      <c r="B1976" s="2" t="s">
        <v>2804</v>
      </c>
      <c r="C1976" s="10" t="n">
        <v>45797</v>
      </c>
      <c r="D1976" s="2" t="s">
        <v>63</v>
      </c>
      <c r="E1976" s="2" t="s">
        <v>69</v>
      </c>
      <c r="F1976" s="2" t="s">
        <v>73</v>
      </c>
      <c r="G1976" s="2" t="s">
        <v>104</v>
      </c>
      <c r="H1976" s="2" t="n">
        <v>3</v>
      </c>
      <c r="I1976" s="2" t="n">
        <v>5500</v>
      </c>
      <c r="J1976" s="2" t="n">
        <v>0.05</v>
      </c>
      <c r="K1976" s="2" t="n">
        <v>3600</v>
      </c>
    </row>
    <row r="1977" customFormat="false" ht="15" hidden="false" customHeight="false" outlineLevel="0" collapsed="false">
      <c r="A1977" s="2" t="s">
        <v>2808</v>
      </c>
      <c r="B1977" s="2" t="s">
        <v>2809</v>
      </c>
      <c r="C1977" s="10" t="n">
        <v>45690</v>
      </c>
      <c r="D1977" s="2" t="s">
        <v>77</v>
      </c>
      <c r="E1977" s="2" t="s">
        <v>64</v>
      </c>
      <c r="F1977" s="2" t="s">
        <v>70</v>
      </c>
      <c r="G1977" s="2" t="s">
        <v>126</v>
      </c>
      <c r="H1977" s="2" t="n">
        <v>3</v>
      </c>
      <c r="I1977" s="2" t="n">
        <v>4500</v>
      </c>
      <c r="J1977" s="2" t="n">
        <v>0</v>
      </c>
      <c r="K1977" s="2" t="n">
        <v>3300</v>
      </c>
    </row>
    <row r="1978" customFormat="false" ht="15" hidden="false" customHeight="false" outlineLevel="0" collapsed="false">
      <c r="A1978" s="2" t="s">
        <v>2810</v>
      </c>
      <c r="B1978" s="2" t="s">
        <v>2811</v>
      </c>
      <c r="C1978" s="10" t="n">
        <v>45883</v>
      </c>
      <c r="D1978" s="2" t="s">
        <v>91</v>
      </c>
      <c r="E1978" s="2" t="s">
        <v>64</v>
      </c>
      <c r="F1978" s="2" t="s">
        <v>70</v>
      </c>
      <c r="G1978" s="2" t="s">
        <v>97</v>
      </c>
      <c r="H1978" s="2" t="n">
        <v>1</v>
      </c>
      <c r="I1978" s="2" t="n">
        <v>3000</v>
      </c>
      <c r="J1978" s="2" t="n">
        <v>0</v>
      </c>
      <c r="K1978" s="2" t="n">
        <v>2000</v>
      </c>
    </row>
    <row r="1979" customFormat="false" ht="15" hidden="false" customHeight="false" outlineLevel="0" collapsed="false">
      <c r="A1979" s="2" t="s">
        <v>2812</v>
      </c>
      <c r="B1979" s="2" t="s">
        <v>2813</v>
      </c>
      <c r="C1979" s="10" t="n">
        <v>45907</v>
      </c>
      <c r="D1979" s="2" t="s">
        <v>81</v>
      </c>
      <c r="E1979" s="2" t="s">
        <v>64</v>
      </c>
      <c r="F1979" s="2" t="s">
        <v>65</v>
      </c>
      <c r="G1979" s="2" t="s">
        <v>78</v>
      </c>
      <c r="H1979" s="2" t="n">
        <v>8</v>
      </c>
      <c r="I1979" s="2" t="n">
        <v>400</v>
      </c>
      <c r="J1979" s="2" t="n">
        <v>0</v>
      </c>
      <c r="K1979" s="2" t="n">
        <v>200</v>
      </c>
    </row>
    <row r="1980" customFormat="false" ht="15" hidden="false" customHeight="false" outlineLevel="0" collapsed="false">
      <c r="A1980" s="2" t="s">
        <v>2814</v>
      </c>
      <c r="B1980" s="2" t="s">
        <v>2815</v>
      </c>
      <c r="C1980" s="10" t="n">
        <v>45880</v>
      </c>
      <c r="D1980" s="2" t="s">
        <v>63</v>
      </c>
      <c r="E1980" s="2" t="s">
        <v>69</v>
      </c>
      <c r="F1980" s="2" t="s">
        <v>70</v>
      </c>
      <c r="G1980" s="2" t="s">
        <v>97</v>
      </c>
      <c r="H1980" s="2" t="n">
        <v>3</v>
      </c>
      <c r="I1980" s="2" t="n">
        <v>3000</v>
      </c>
      <c r="J1980" s="2" t="n">
        <v>0</v>
      </c>
      <c r="K1980" s="2" t="n">
        <v>2000</v>
      </c>
    </row>
    <row r="1981" customFormat="false" ht="15" hidden="false" customHeight="false" outlineLevel="0" collapsed="false">
      <c r="A1981" s="2" t="s">
        <v>2816</v>
      </c>
      <c r="B1981" s="2" t="s">
        <v>2817</v>
      </c>
      <c r="C1981" s="10" t="n">
        <v>45736</v>
      </c>
      <c r="D1981" s="2" t="s">
        <v>63</v>
      </c>
      <c r="E1981" s="2" t="s">
        <v>69</v>
      </c>
      <c r="F1981" s="2" t="s">
        <v>70</v>
      </c>
      <c r="G1981" s="2" t="s">
        <v>71</v>
      </c>
      <c r="H1981" s="2" t="n">
        <v>1</v>
      </c>
      <c r="I1981" s="2" t="n">
        <v>2500</v>
      </c>
      <c r="J1981" s="2" t="n">
        <v>0.1</v>
      </c>
      <c r="K1981" s="2" t="n">
        <v>1600</v>
      </c>
    </row>
    <row r="1982" customFormat="false" ht="15" hidden="false" customHeight="false" outlineLevel="0" collapsed="false">
      <c r="A1982" s="2" t="s">
        <v>2818</v>
      </c>
      <c r="B1982" s="2" t="s">
        <v>2817</v>
      </c>
      <c r="C1982" s="10" t="n">
        <v>45755</v>
      </c>
      <c r="D1982" s="2" t="s">
        <v>63</v>
      </c>
      <c r="E1982" s="2" t="s">
        <v>69</v>
      </c>
      <c r="F1982" s="2" t="s">
        <v>65</v>
      </c>
      <c r="G1982" s="2" t="s">
        <v>82</v>
      </c>
      <c r="H1982" s="2" t="n">
        <v>6</v>
      </c>
      <c r="I1982" s="2" t="n">
        <v>250</v>
      </c>
      <c r="J1982" s="2" t="n">
        <v>0</v>
      </c>
      <c r="K1982" s="2" t="n">
        <v>100</v>
      </c>
    </row>
    <row r="1983" customFormat="false" ht="15" hidden="false" customHeight="false" outlineLevel="0" collapsed="false">
      <c r="A1983" s="2" t="s">
        <v>2819</v>
      </c>
      <c r="B1983" s="2" t="s">
        <v>2820</v>
      </c>
      <c r="C1983" s="10" t="n">
        <v>45823</v>
      </c>
      <c r="D1983" s="2" t="s">
        <v>77</v>
      </c>
      <c r="E1983" s="2" t="s">
        <v>64</v>
      </c>
      <c r="F1983" s="2" t="s">
        <v>70</v>
      </c>
      <c r="G1983" s="2" t="s">
        <v>126</v>
      </c>
      <c r="H1983" s="2" t="n">
        <v>1</v>
      </c>
      <c r="I1983" s="2" t="n">
        <v>4500</v>
      </c>
      <c r="J1983" s="2" t="n">
        <v>0</v>
      </c>
      <c r="K1983" s="2" t="n">
        <v>3300</v>
      </c>
    </row>
    <row r="1984" customFormat="false" ht="15" hidden="false" customHeight="false" outlineLevel="0" collapsed="false">
      <c r="A1984" s="2" t="s">
        <v>2821</v>
      </c>
      <c r="B1984" s="2" t="s">
        <v>2822</v>
      </c>
      <c r="C1984" s="10" t="n">
        <v>45909</v>
      </c>
      <c r="D1984" s="2" t="s">
        <v>63</v>
      </c>
      <c r="E1984" s="2" t="s">
        <v>64</v>
      </c>
      <c r="F1984" s="2" t="s">
        <v>73</v>
      </c>
      <c r="G1984" s="2" t="s">
        <v>85</v>
      </c>
      <c r="H1984" s="2" t="n">
        <v>1</v>
      </c>
      <c r="I1984" s="2" t="n">
        <v>1200</v>
      </c>
      <c r="J1984" s="2" t="n">
        <v>0</v>
      </c>
      <c r="K1984" s="2" t="n">
        <v>600</v>
      </c>
    </row>
    <row r="1985" customFormat="false" ht="15" hidden="false" customHeight="false" outlineLevel="0" collapsed="false">
      <c r="A1985" s="2" t="s">
        <v>2823</v>
      </c>
      <c r="B1985" s="2" t="s">
        <v>2824</v>
      </c>
      <c r="C1985" s="10" t="n">
        <v>45983</v>
      </c>
      <c r="D1985" s="2" t="s">
        <v>91</v>
      </c>
      <c r="E1985" s="2" t="s">
        <v>64</v>
      </c>
      <c r="F1985" s="2" t="s">
        <v>70</v>
      </c>
      <c r="G1985" s="2" t="s">
        <v>97</v>
      </c>
      <c r="H1985" s="2" t="n">
        <v>2</v>
      </c>
      <c r="I1985" s="2" t="n">
        <v>3000</v>
      </c>
      <c r="J1985" s="2" t="n">
        <v>0.15</v>
      </c>
      <c r="K1985" s="2" t="n">
        <v>2000</v>
      </c>
    </row>
    <row r="1986" customFormat="false" ht="15" hidden="false" customHeight="false" outlineLevel="0" collapsed="false">
      <c r="A1986" s="2" t="s">
        <v>2825</v>
      </c>
      <c r="B1986" s="2" t="s">
        <v>2824</v>
      </c>
      <c r="C1986" s="10" t="n">
        <v>45816</v>
      </c>
      <c r="D1986" s="2" t="s">
        <v>91</v>
      </c>
      <c r="E1986" s="2" t="s">
        <v>64</v>
      </c>
      <c r="F1986" s="2" t="s">
        <v>65</v>
      </c>
      <c r="G1986" s="2" t="s">
        <v>107</v>
      </c>
      <c r="H1986" s="2" t="n">
        <v>4</v>
      </c>
      <c r="I1986" s="2" t="n">
        <v>500</v>
      </c>
      <c r="J1986" s="2" t="n">
        <v>0.05</v>
      </c>
      <c r="K1986" s="2" t="n">
        <v>250</v>
      </c>
    </row>
    <row r="1987" customFormat="false" ht="15" hidden="false" customHeight="false" outlineLevel="0" collapsed="false">
      <c r="A1987" s="2" t="s">
        <v>2826</v>
      </c>
      <c r="B1987" s="2" t="s">
        <v>2827</v>
      </c>
      <c r="C1987" s="10" t="n">
        <v>45910</v>
      </c>
      <c r="D1987" s="2" t="s">
        <v>77</v>
      </c>
      <c r="E1987" s="2" t="s">
        <v>64</v>
      </c>
      <c r="F1987" s="2" t="s">
        <v>65</v>
      </c>
      <c r="G1987" s="2" t="s">
        <v>66</v>
      </c>
      <c r="H1987" s="2" t="n">
        <v>4</v>
      </c>
      <c r="I1987" s="2" t="n">
        <v>600</v>
      </c>
      <c r="J1987" s="2" t="n">
        <v>0.05</v>
      </c>
      <c r="K1987" s="2" t="n">
        <v>300</v>
      </c>
    </row>
    <row r="1988" customFormat="false" ht="15" hidden="false" customHeight="false" outlineLevel="0" collapsed="false">
      <c r="A1988" s="2" t="s">
        <v>2828</v>
      </c>
      <c r="B1988" s="2" t="s">
        <v>2827</v>
      </c>
      <c r="C1988" s="10" t="n">
        <v>45955</v>
      </c>
      <c r="D1988" s="2" t="s">
        <v>77</v>
      </c>
      <c r="E1988" s="2" t="s">
        <v>64</v>
      </c>
      <c r="F1988" s="2" t="s">
        <v>65</v>
      </c>
      <c r="G1988" s="2" t="s">
        <v>82</v>
      </c>
      <c r="H1988" s="2" t="n">
        <v>3</v>
      </c>
      <c r="I1988" s="2" t="n">
        <v>250</v>
      </c>
      <c r="J1988" s="2" t="n">
        <v>0.05</v>
      </c>
      <c r="K1988" s="2" t="n">
        <v>100</v>
      </c>
    </row>
    <row r="1989" customFormat="false" ht="15" hidden="false" customHeight="false" outlineLevel="0" collapsed="false">
      <c r="A1989" s="2" t="s">
        <v>2829</v>
      </c>
      <c r="B1989" s="2" t="s">
        <v>2827</v>
      </c>
      <c r="C1989" s="10" t="n">
        <v>45829</v>
      </c>
      <c r="D1989" s="2" t="s">
        <v>77</v>
      </c>
      <c r="E1989" s="2" t="s">
        <v>64</v>
      </c>
      <c r="F1989" s="2" t="s">
        <v>70</v>
      </c>
      <c r="G1989" s="2" t="s">
        <v>126</v>
      </c>
      <c r="H1989" s="2" t="n">
        <v>2</v>
      </c>
      <c r="I1989" s="2" t="n">
        <v>4500</v>
      </c>
      <c r="J1989" s="2" t="n">
        <v>0</v>
      </c>
      <c r="K1989" s="2" t="n">
        <v>3300</v>
      </c>
    </row>
    <row r="1990" customFormat="false" ht="15" hidden="false" customHeight="false" outlineLevel="0" collapsed="false">
      <c r="A1990" s="2" t="s">
        <v>2830</v>
      </c>
      <c r="B1990" s="2" t="s">
        <v>2827</v>
      </c>
      <c r="C1990" s="10" t="n">
        <v>45951</v>
      </c>
      <c r="D1990" s="2" t="s">
        <v>77</v>
      </c>
      <c r="E1990" s="2" t="s">
        <v>64</v>
      </c>
      <c r="F1990" s="2" t="s">
        <v>73</v>
      </c>
      <c r="G1990" s="2" t="s">
        <v>87</v>
      </c>
      <c r="H1990" s="2" t="n">
        <v>2</v>
      </c>
      <c r="I1990" s="2" t="n">
        <v>9000</v>
      </c>
      <c r="J1990" s="2" t="n">
        <v>0.05</v>
      </c>
      <c r="K1990" s="2" t="n">
        <v>6200</v>
      </c>
    </row>
    <row r="1991" customFormat="false" ht="15" hidden="false" customHeight="false" outlineLevel="0" collapsed="false">
      <c r="A1991" s="2" t="s">
        <v>2831</v>
      </c>
      <c r="B1991" s="2" t="s">
        <v>2827</v>
      </c>
      <c r="C1991" s="10" t="n">
        <v>45879</v>
      </c>
      <c r="D1991" s="2" t="s">
        <v>77</v>
      </c>
      <c r="E1991" s="2" t="s">
        <v>64</v>
      </c>
      <c r="F1991" s="2" t="s">
        <v>65</v>
      </c>
      <c r="G1991" s="2" t="s">
        <v>107</v>
      </c>
      <c r="H1991" s="2" t="n">
        <v>7</v>
      </c>
      <c r="I1991" s="2" t="n">
        <v>500</v>
      </c>
      <c r="J1991" s="2" t="n">
        <v>0.1</v>
      </c>
      <c r="K1991" s="2" t="n">
        <v>250</v>
      </c>
    </row>
    <row r="1992" customFormat="false" ht="15" hidden="false" customHeight="false" outlineLevel="0" collapsed="false">
      <c r="A1992" s="2" t="s">
        <v>2832</v>
      </c>
      <c r="B1992" s="2" t="s">
        <v>2827</v>
      </c>
      <c r="C1992" s="10" t="n">
        <v>45943</v>
      </c>
      <c r="D1992" s="2" t="s">
        <v>77</v>
      </c>
      <c r="E1992" s="2" t="s">
        <v>64</v>
      </c>
      <c r="F1992" s="2" t="s">
        <v>70</v>
      </c>
      <c r="G1992" s="2" t="s">
        <v>71</v>
      </c>
      <c r="H1992" s="2" t="n">
        <v>1</v>
      </c>
      <c r="I1992" s="2" t="n">
        <v>2500</v>
      </c>
      <c r="J1992" s="2" t="n">
        <v>0.05</v>
      </c>
      <c r="K1992" s="2" t="n">
        <v>1600</v>
      </c>
    </row>
    <row r="1993" customFormat="false" ht="15" hidden="false" customHeight="false" outlineLevel="0" collapsed="false">
      <c r="A1993" s="2" t="s">
        <v>2833</v>
      </c>
      <c r="B1993" s="2" t="s">
        <v>2834</v>
      </c>
      <c r="C1993" s="10" t="n">
        <v>45816</v>
      </c>
      <c r="D1993" s="2" t="s">
        <v>77</v>
      </c>
      <c r="E1993" s="2" t="s">
        <v>64</v>
      </c>
      <c r="F1993" s="2" t="s">
        <v>70</v>
      </c>
      <c r="G1993" s="2" t="s">
        <v>97</v>
      </c>
      <c r="H1993" s="2" t="n">
        <v>1</v>
      </c>
      <c r="I1993" s="2" t="n">
        <v>3000</v>
      </c>
      <c r="J1993" s="2" t="n">
        <v>0</v>
      </c>
      <c r="K1993" s="2" t="n">
        <v>2000</v>
      </c>
    </row>
    <row r="1994" customFormat="false" ht="15" hidden="false" customHeight="false" outlineLevel="0" collapsed="false">
      <c r="A1994" s="2" t="s">
        <v>2835</v>
      </c>
      <c r="B1994" s="2" t="s">
        <v>2834</v>
      </c>
      <c r="C1994" s="10" t="n">
        <v>45977</v>
      </c>
      <c r="D1994" s="2" t="s">
        <v>77</v>
      </c>
      <c r="E1994" s="2" t="s">
        <v>64</v>
      </c>
      <c r="F1994" s="2" t="s">
        <v>70</v>
      </c>
      <c r="G1994" s="2" t="s">
        <v>122</v>
      </c>
      <c r="H1994" s="2" t="n">
        <v>3</v>
      </c>
      <c r="I1994" s="2" t="n">
        <v>1500</v>
      </c>
      <c r="J1994" s="2" t="n">
        <v>0.15</v>
      </c>
      <c r="K1994" s="2" t="n">
        <v>900</v>
      </c>
    </row>
    <row r="1995" customFormat="false" ht="15" hidden="false" customHeight="false" outlineLevel="0" collapsed="false">
      <c r="A1995" s="2" t="s">
        <v>2836</v>
      </c>
      <c r="B1995" s="2" t="s">
        <v>2834</v>
      </c>
      <c r="C1995" s="10" t="n">
        <v>45773</v>
      </c>
      <c r="D1995" s="2" t="s">
        <v>77</v>
      </c>
      <c r="E1995" s="2" t="s">
        <v>64</v>
      </c>
      <c r="F1995" s="2" t="s">
        <v>70</v>
      </c>
      <c r="G1995" s="2" t="s">
        <v>71</v>
      </c>
      <c r="H1995" s="2" t="n">
        <v>2</v>
      </c>
      <c r="I1995" s="2" t="n">
        <v>2500</v>
      </c>
      <c r="J1995" s="2" t="n">
        <v>0.1</v>
      </c>
      <c r="K1995" s="2" t="n">
        <v>1600</v>
      </c>
    </row>
    <row r="1996" customFormat="false" ht="15" hidden="false" customHeight="false" outlineLevel="0" collapsed="false">
      <c r="A1996" s="2" t="s">
        <v>2837</v>
      </c>
      <c r="B1996" s="2" t="s">
        <v>2834</v>
      </c>
      <c r="C1996" s="10" t="n">
        <v>45927</v>
      </c>
      <c r="D1996" s="2" t="s">
        <v>77</v>
      </c>
      <c r="E1996" s="2" t="s">
        <v>64</v>
      </c>
      <c r="F1996" s="2" t="s">
        <v>65</v>
      </c>
      <c r="G1996" s="2" t="s">
        <v>78</v>
      </c>
      <c r="H1996" s="2" t="n">
        <v>5</v>
      </c>
      <c r="I1996" s="2" t="n">
        <v>400</v>
      </c>
      <c r="J1996" s="2" t="n">
        <v>0</v>
      </c>
      <c r="K1996" s="2" t="n">
        <v>200</v>
      </c>
    </row>
    <row r="1997" customFormat="false" ht="15" hidden="false" customHeight="false" outlineLevel="0" collapsed="false">
      <c r="A1997" s="2" t="s">
        <v>2838</v>
      </c>
      <c r="B1997" s="2" t="s">
        <v>2839</v>
      </c>
      <c r="C1997" s="10" t="n">
        <v>45927</v>
      </c>
      <c r="D1997" s="2" t="s">
        <v>81</v>
      </c>
      <c r="E1997" s="2" t="s">
        <v>69</v>
      </c>
      <c r="F1997" s="2" t="s">
        <v>73</v>
      </c>
      <c r="G1997" s="2" t="s">
        <v>87</v>
      </c>
      <c r="H1997" s="2" t="n">
        <v>4</v>
      </c>
      <c r="I1997" s="2" t="n">
        <v>9000</v>
      </c>
      <c r="J1997" s="2" t="n">
        <v>0</v>
      </c>
      <c r="K1997" s="2" t="n">
        <v>6200</v>
      </c>
    </row>
    <row r="1998" customFormat="false" ht="15" hidden="false" customHeight="false" outlineLevel="0" collapsed="false">
      <c r="A1998" s="2" t="s">
        <v>2840</v>
      </c>
      <c r="B1998" s="2" t="s">
        <v>2841</v>
      </c>
      <c r="C1998" s="10" t="n">
        <v>45926</v>
      </c>
      <c r="D1998" s="2" t="s">
        <v>63</v>
      </c>
      <c r="E1998" s="2" t="s">
        <v>64</v>
      </c>
      <c r="F1998" s="2" t="s">
        <v>65</v>
      </c>
      <c r="G1998" s="2" t="s">
        <v>78</v>
      </c>
      <c r="H1998" s="2" t="n">
        <v>4</v>
      </c>
      <c r="I1998" s="2" t="n">
        <v>400</v>
      </c>
      <c r="J1998" s="2" t="n">
        <v>0.05</v>
      </c>
      <c r="K1998" s="2" t="n">
        <v>200</v>
      </c>
    </row>
    <row r="1999" customFormat="false" ht="15" hidden="false" customHeight="false" outlineLevel="0" collapsed="false">
      <c r="A1999" s="2" t="s">
        <v>2842</v>
      </c>
      <c r="B1999" s="2" t="s">
        <v>2843</v>
      </c>
      <c r="C1999" s="10" t="n">
        <v>45880</v>
      </c>
      <c r="D1999" s="2" t="s">
        <v>77</v>
      </c>
      <c r="E1999" s="2" t="s">
        <v>64</v>
      </c>
      <c r="F1999" s="2" t="s">
        <v>70</v>
      </c>
      <c r="G1999" s="2" t="s">
        <v>97</v>
      </c>
      <c r="H1999" s="2" t="n">
        <v>1</v>
      </c>
      <c r="I1999" s="2" t="n">
        <v>3000</v>
      </c>
      <c r="J1999" s="2" t="n">
        <v>0</v>
      </c>
      <c r="K1999" s="2" t="n">
        <v>2000</v>
      </c>
    </row>
    <row r="2000" customFormat="false" ht="15" hidden="false" customHeight="false" outlineLevel="0" collapsed="false">
      <c r="A2000" s="2" t="s">
        <v>2844</v>
      </c>
      <c r="B2000" s="2"/>
      <c r="C2000" s="10" t="n">
        <v>45953</v>
      </c>
      <c r="D2000" s="2" t="s">
        <v>77</v>
      </c>
      <c r="E2000" s="2" t="s">
        <v>64</v>
      </c>
      <c r="F2000" s="2" t="s">
        <v>70</v>
      </c>
      <c r="G2000" s="2" t="s">
        <v>71</v>
      </c>
      <c r="H2000" s="2" t="n">
        <v>3</v>
      </c>
      <c r="I2000" s="2" t="n">
        <v>2500</v>
      </c>
      <c r="J2000" s="2" t="n">
        <v>0.15</v>
      </c>
      <c r="K2000" s="2" t="n">
        <v>1600</v>
      </c>
    </row>
    <row r="2001" customFormat="false" ht="15" hidden="false" customHeight="false" outlineLevel="0" collapsed="false">
      <c r="A2001" s="2" t="s">
        <v>2845</v>
      </c>
      <c r="B2001" s="2" t="s">
        <v>2846</v>
      </c>
      <c r="C2001" s="10" t="n">
        <v>45759</v>
      </c>
      <c r="D2001" s="2" t="s">
        <v>63</v>
      </c>
      <c r="E2001" s="2" t="s">
        <v>69</v>
      </c>
      <c r="F2001" s="2" t="s">
        <v>70</v>
      </c>
      <c r="G2001" s="2" t="s">
        <v>122</v>
      </c>
      <c r="H2001" s="2" t="n">
        <v>3</v>
      </c>
      <c r="I2001" s="2" t="n">
        <v>1500</v>
      </c>
      <c r="J2001" s="2" t="n">
        <v>0</v>
      </c>
      <c r="K2001" s="2" t="n">
        <v>900</v>
      </c>
    </row>
    <row r="2002" customFormat="false" ht="15" hidden="false" customHeight="false" outlineLevel="0" collapsed="false">
      <c r="A2002" s="2" t="s">
        <v>2847</v>
      </c>
      <c r="B2002" s="2" t="s">
        <v>2846</v>
      </c>
      <c r="C2002" s="10" t="n">
        <v>45986</v>
      </c>
      <c r="D2002" s="2" t="s">
        <v>63</v>
      </c>
      <c r="E2002" s="2" t="s">
        <v>69</v>
      </c>
      <c r="F2002" s="2" t="s">
        <v>73</v>
      </c>
      <c r="G2002" s="2" t="s">
        <v>87</v>
      </c>
      <c r="H2002" s="2" t="n">
        <v>4</v>
      </c>
      <c r="I2002" s="2" t="n">
        <v>9000</v>
      </c>
      <c r="J2002" s="2" t="n">
        <v>0.05</v>
      </c>
      <c r="K2002" s="2" t="n">
        <v>6200</v>
      </c>
    </row>
    <row r="2003" customFormat="false" ht="15" hidden="false" customHeight="false" outlineLevel="0" collapsed="false">
      <c r="A2003" s="2" t="s">
        <v>2848</v>
      </c>
      <c r="B2003" s="2" t="s">
        <v>2846</v>
      </c>
      <c r="C2003" s="10" t="n">
        <v>45752</v>
      </c>
      <c r="D2003" s="2" t="s">
        <v>63</v>
      </c>
      <c r="E2003" s="2" t="s">
        <v>69</v>
      </c>
      <c r="F2003" s="2" t="s">
        <v>70</v>
      </c>
      <c r="G2003" s="2" t="s">
        <v>122</v>
      </c>
      <c r="H2003" s="2" t="n">
        <v>4</v>
      </c>
      <c r="I2003" s="2" t="n">
        <v>1500</v>
      </c>
      <c r="J2003" s="2" t="n">
        <v>0.05</v>
      </c>
      <c r="K2003" s="2" t="n">
        <v>900</v>
      </c>
    </row>
    <row r="2004" customFormat="false" ht="15" hidden="false" customHeight="false" outlineLevel="0" collapsed="false">
      <c r="A2004" s="2" t="s">
        <v>2849</v>
      </c>
      <c r="B2004" s="2" t="s">
        <v>2846</v>
      </c>
      <c r="C2004" s="10" t="n">
        <v>45883</v>
      </c>
      <c r="D2004" s="2" t="s">
        <v>63</v>
      </c>
      <c r="E2004" s="2" t="s">
        <v>69</v>
      </c>
      <c r="F2004" s="2" t="s">
        <v>73</v>
      </c>
      <c r="G2004" s="2" t="s">
        <v>104</v>
      </c>
      <c r="H2004" s="2" t="n">
        <v>5</v>
      </c>
      <c r="I2004" s="2" t="n">
        <v>5500</v>
      </c>
      <c r="J2004" s="2" t="n">
        <v>0</v>
      </c>
      <c r="K2004" s="2" t="n">
        <v>3600</v>
      </c>
    </row>
    <row r="2005" customFormat="false" ht="15" hidden="false" customHeight="false" outlineLevel="0" collapsed="false">
      <c r="A2005" s="2" t="s">
        <v>2850</v>
      </c>
      <c r="B2005" s="2" t="s">
        <v>2846</v>
      </c>
      <c r="C2005" s="10" t="n">
        <v>45835</v>
      </c>
      <c r="D2005" s="2" t="s">
        <v>63</v>
      </c>
      <c r="E2005" s="2" t="s">
        <v>69</v>
      </c>
      <c r="F2005" s="2" t="s">
        <v>65</v>
      </c>
      <c r="G2005" s="2" t="s">
        <v>78</v>
      </c>
      <c r="H2005" s="2" t="n">
        <v>17</v>
      </c>
      <c r="I2005" s="2" t="n">
        <v>400</v>
      </c>
      <c r="J2005" s="2" t="n">
        <v>0.1</v>
      </c>
      <c r="K2005" s="2" t="n">
        <v>200</v>
      </c>
    </row>
    <row r="2006" customFormat="false" ht="15" hidden="false" customHeight="false" outlineLevel="0" collapsed="false">
      <c r="A2006" s="2" t="s">
        <v>2851</v>
      </c>
      <c r="B2006" s="2" t="s">
        <v>2846</v>
      </c>
      <c r="C2006" s="10" t="n">
        <v>45819</v>
      </c>
      <c r="D2006" s="2" t="s">
        <v>63</v>
      </c>
      <c r="E2006" s="2" t="s">
        <v>69</v>
      </c>
      <c r="F2006" s="2" t="s">
        <v>65</v>
      </c>
      <c r="G2006" s="2" t="s">
        <v>78</v>
      </c>
      <c r="H2006" s="2" t="n">
        <v>11</v>
      </c>
      <c r="I2006" s="2" t="n">
        <v>400</v>
      </c>
      <c r="J2006" s="2" t="n">
        <v>0.05</v>
      </c>
      <c r="K2006" s="2" t="n">
        <v>200</v>
      </c>
    </row>
    <row r="2007" customFormat="false" ht="15" hidden="false" customHeight="false" outlineLevel="0" collapsed="false">
      <c r="A2007" s="2" t="s">
        <v>2852</v>
      </c>
      <c r="B2007" s="2" t="s">
        <v>2853</v>
      </c>
      <c r="C2007" s="10" t="n">
        <v>45859</v>
      </c>
      <c r="D2007" s="2" t="s">
        <v>91</v>
      </c>
      <c r="E2007" s="2" t="s">
        <v>69</v>
      </c>
      <c r="F2007" s="2" t="s">
        <v>73</v>
      </c>
      <c r="G2007" s="2" t="s">
        <v>74</v>
      </c>
      <c r="H2007" s="2" t="n">
        <v>2</v>
      </c>
      <c r="I2007" s="2" t="n">
        <v>7000</v>
      </c>
      <c r="J2007" s="2" t="n">
        <v>0</v>
      </c>
      <c r="K2007" s="2" t="n">
        <v>4800</v>
      </c>
    </row>
    <row r="2008" customFormat="false" ht="15" hidden="false" customHeight="false" outlineLevel="0" collapsed="false">
      <c r="A2008" s="2" t="s">
        <v>2854</v>
      </c>
      <c r="B2008" s="2" t="s">
        <v>2855</v>
      </c>
      <c r="C2008" s="10" t="n">
        <v>45697</v>
      </c>
      <c r="D2008" s="2" t="s">
        <v>81</v>
      </c>
      <c r="E2008" s="2" t="s">
        <v>64</v>
      </c>
      <c r="F2008" s="2" t="s">
        <v>73</v>
      </c>
      <c r="G2008" s="2" t="s">
        <v>87</v>
      </c>
      <c r="H2008" s="2" t="n">
        <v>1</v>
      </c>
      <c r="I2008" s="2" t="n">
        <v>9000</v>
      </c>
      <c r="J2008" s="2" t="n">
        <v>0</v>
      </c>
      <c r="K2008" s="2" t="n">
        <v>6200</v>
      </c>
    </row>
    <row r="2009" customFormat="false" ht="15" hidden="false" customHeight="false" outlineLevel="0" collapsed="false">
      <c r="A2009" s="2" t="s">
        <v>2856</v>
      </c>
      <c r="B2009" s="2" t="s">
        <v>2855</v>
      </c>
      <c r="C2009" s="10" t="n">
        <v>45713</v>
      </c>
      <c r="D2009" s="2" t="s">
        <v>81</v>
      </c>
      <c r="E2009" s="2" t="s">
        <v>64</v>
      </c>
      <c r="F2009" s="2" t="s">
        <v>65</v>
      </c>
      <c r="G2009" s="2" t="s">
        <v>66</v>
      </c>
      <c r="H2009" s="2" t="n">
        <v>7</v>
      </c>
      <c r="I2009" s="2" t="n">
        <v>600</v>
      </c>
      <c r="J2009" s="2" t="n">
        <v>0</v>
      </c>
      <c r="K2009" s="2" t="n">
        <v>300</v>
      </c>
    </row>
    <row r="2010" customFormat="false" ht="15" hidden="false" customHeight="false" outlineLevel="0" collapsed="false">
      <c r="A2010" s="2" t="s">
        <v>2857</v>
      </c>
      <c r="B2010" s="2" t="s">
        <v>2855</v>
      </c>
      <c r="C2010" s="10" t="n">
        <v>45918</v>
      </c>
      <c r="D2010" s="2" t="s">
        <v>81</v>
      </c>
      <c r="E2010" s="2" t="s">
        <v>64</v>
      </c>
      <c r="F2010" s="2" t="s">
        <v>73</v>
      </c>
      <c r="G2010" s="2" t="s">
        <v>104</v>
      </c>
      <c r="H2010" s="2" t="n">
        <v>3</v>
      </c>
      <c r="I2010" s="2" t="n">
        <v>5500</v>
      </c>
      <c r="J2010" s="2" t="n">
        <v>0.05</v>
      </c>
      <c r="K2010" s="2" t="n">
        <v>3600</v>
      </c>
    </row>
    <row r="2011" customFormat="false" ht="15" hidden="false" customHeight="false" outlineLevel="0" collapsed="false">
      <c r="A2011" s="2" t="s">
        <v>2858</v>
      </c>
      <c r="B2011" s="2" t="s">
        <v>2859</v>
      </c>
      <c r="C2011" s="10" t="n">
        <v>45999</v>
      </c>
      <c r="D2011" s="2" t="s">
        <v>63</v>
      </c>
      <c r="E2011" s="2" t="s">
        <v>64</v>
      </c>
      <c r="F2011" s="2" t="s">
        <v>70</v>
      </c>
      <c r="G2011" s="2" t="s">
        <v>122</v>
      </c>
      <c r="H2011" s="2" t="n">
        <v>2</v>
      </c>
      <c r="I2011" s="2" t="n">
        <v>1500</v>
      </c>
      <c r="J2011" s="2" t="n">
        <v>0.05</v>
      </c>
      <c r="K2011" s="2" t="n">
        <v>900</v>
      </c>
    </row>
    <row r="2012" customFormat="false" ht="15" hidden="false" customHeight="false" outlineLevel="0" collapsed="false">
      <c r="A2012" s="2" t="s">
        <v>2860</v>
      </c>
      <c r="B2012" s="2" t="s">
        <v>2859</v>
      </c>
      <c r="C2012" s="10" t="n">
        <v>45703</v>
      </c>
      <c r="D2012" s="2" t="s">
        <v>63</v>
      </c>
      <c r="E2012" s="2" t="s">
        <v>64</v>
      </c>
      <c r="F2012" s="2" t="s">
        <v>65</v>
      </c>
      <c r="G2012" s="2" t="s">
        <v>107</v>
      </c>
      <c r="H2012" s="2" t="n">
        <v>7</v>
      </c>
      <c r="I2012" s="2" t="n">
        <v>500</v>
      </c>
      <c r="J2012" s="2" t="n">
        <v>0</v>
      </c>
      <c r="K2012" s="2" t="n">
        <v>250</v>
      </c>
    </row>
    <row r="2013" customFormat="false" ht="15" hidden="false" customHeight="false" outlineLevel="0" collapsed="false">
      <c r="A2013" s="2" t="s">
        <v>2861</v>
      </c>
      <c r="B2013" s="2" t="s">
        <v>2862</v>
      </c>
      <c r="C2013" s="10" t="n">
        <v>45785</v>
      </c>
      <c r="D2013" s="2" t="s">
        <v>77</v>
      </c>
      <c r="E2013" s="2" t="s">
        <v>69</v>
      </c>
      <c r="F2013" s="2" t="s">
        <v>65</v>
      </c>
      <c r="G2013" s="2" t="s">
        <v>107</v>
      </c>
      <c r="H2013" s="2" t="n">
        <v>20</v>
      </c>
      <c r="I2013" s="2" t="n">
        <v>500</v>
      </c>
      <c r="J2013" s="2" t="n">
        <v>0</v>
      </c>
      <c r="K2013" s="2" t="n">
        <v>250</v>
      </c>
    </row>
    <row r="2014" customFormat="false" ht="15" hidden="false" customHeight="false" outlineLevel="0" collapsed="false">
      <c r="A2014" s="2" t="s">
        <v>2863</v>
      </c>
      <c r="B2014" s="2" t="s">
        <v>2862</v>
      </c>
      <c r="C2014" s="10" t="n">
        <v>45779</v>
      </c>
      <c r="D2014" s="2" t="s">
        <v>77</v>
      </c>
      <c r="E2014" s="2" t="s">
        <v>69</v>
      </c>
      <c r="F2014" s="2" t="s">
        <v>65</v>
      </c>
      <c r="G2014" s="2" t="s">
        <v>107</v>
      </c>
      <c r="H2014" s="2" t="n">
        <v>11</v>
      </c>
      <c r="I2014" s="2" t="n">
        <v>500</v>
      </c>
      <c r="J2014" s="2" t="n">
        <v>0</v>
      </c>
      <c r="K2014" s="2" t="n">
        <v>250</v>
      </c>
    </row>
    <row r="2015" customFormat="false" ht="15" hidden="false" customHeight="false" outlineLevel="0" collapsed="false">
      <c r="A2015" s="2" t="s">
        <v>2864</v>
      </c>
      <c r="B2015" s="2" t="s">
        <v>2865</v>
      </c>
      <c r="C2015" s="10" t="n">
        <v>45946</v>
      </c>
      <c r="D2015" s="2" t="s">
        <v>77</v>
      </c>
      <c r="E2015" s="2" t="s">
        <v>69</v>
      </c>
      <c r="F2015" s="2" t="s">
        <v>73</v>
      </c>
      <c r="G2015" s="2" t="s">
        <v>104</v>
      </c>
      <c r="H2015" s="2" t="n">
        <v>4</v>
      </c>
      <c r="I2015" s="2" t="n">
        <v>5500</v>
      </c>
      <c r="J2015" s="2" t="n">
        <v>0.05</v>
      </c>
      <c r="K2015" s="2" t="n">
        <v>3600</v>
      </c>
    </row>
    <row r="2016" customFormat="false" ht="15" hidden="false" customHeight="false" outlineLevel="0" collapsed="false">
      <c r="A2016" s="2" t="s">
        <v>2866</v>
      </c>
      <c r="B2016" s="2" t="s">
        <v>2865</v>
      </c>
      <c r="C2016" s="10" t="n">
        <v>46010</v>
      </c>
      <c r="D2016" s="2" t="s">
        <v>77</v>
      </c>
      <c r="E2016" s="2" t="s">
        <v>69</v>
      </c>
      <c r="F2016" s="2" t="s">
        <v>73</v>
      </c>
      <c r="G2016" s="2" t="s">
        <v>104</v>
      </c>
      <c r="H2016" s="2" t="n">
        <v>5</v>
      </c>
      <c r="I2016" s="2" t="n">
        <v>5500</v>
      </c>
      <c r="J2016" s="2" t="n">
        <v>0.05</v>
      </c>
      <c r="K2016" s="2" t="n">
        <v>3600</v>
      </c>
    </row>
    <row r="2017" customFormat="false" ht="15" hidden="false" customHeight="false" outlineLevel="0" collapsed="false">
      <c r="A2017" s="2" t="s">
        <v>2867</v>
      </c>
      <c r="B2017" s="2" t="s">
        <v>2865</v>
      </c>
      <c r="C2017" s="10" t="n">
        <v>45760</v>
      </c>
      <c r="D2017" s="2" t="s">
        <v>77</v>
      </c>
      <c r="E2017" s="2" t="s">
        <v>69</v>
      </c>
      <c r="F2017" s="2" t="s">
        <v>65</v>
      </c>
      <c r="G2017" s="2" t="s">
        <v>82</v>
      </c>
      <c r="H2017" s="2" t="n">
        <v>9</v>
      </c>
      <c r="I2017" s="2" t="n">
        <v>250</v>
      </c>
      <c r="J2017" s="2" t="n">
        <v>0</v>
      </c>
      <c r="K2017" s="2" t="n">
        <v>100</v>
      </c>
    </row>
    <row r="2018" customFormat="false" ht="15" hidden="false" customHeight="false" outlineLevel="0" collapsed="false">
      <c r="A2018" s="2" t="s">
        <v>2868</v>
      </c>
      <c r="B2018" s="2" t="s">
        <v>2865</v>
      </c>
      <c r="C2018" s="10" t="n">
        <v>45827</v>
      </c>
      <c r="D2018" s="2" t="s">
        <v>77</v>
      </c>
      <c r="E2018" s="2" t="s">
        <v>69</v>
      </c>
      <c r="F2018" s="2" t="s">
        <v>73</v>
      </c>
      <c r="G2018" s="2" t="s">
        <v>87</v>
      </c>
      <c r="H2018" s="2" t="n">
        <v>4</v>
      </c>
      <c r="I2018" s="2" t="n">
        <v>9000</v>
      </c>
      <c r="J2018" s="2" t="n">
        <v>0</v>
      </c>
      <c r="K2018" s="2" t="n">
        <v>6200</v>
      </c>
    </row>
    <row r="2019" customFormat="false" ht="15" hidden="false" customHeight="false" outlineLevel="0" collapsed="false">
      <c r="A2019" s="2" t="s">
        <v>2869</v>
      </c>
      <c r="B2019" s="2" t="s">
        <v>2870</v>
      </c>
      <c r="C2019" s="10" t="n">
        <v>45730</v>
      </c>
      <c r="D2019" s="2" t="s">
        <v>91</v>
      </c>
      <c r="E2019" s="2" t="s">
        <v>64</v>
      </c>
      <c r="F2019" s="2" t="s">
        <v>65</v>
      </c>
      <c r="G2019" s="2" t="s">
        <v>78</v>
      </c>
      <c r="H2019" s="2" t="n">
        <v>7</v>
      </c>
      <c r="I2019" s="2" t="n">
        <v>400</v>
      </c>
      <c r="J2019" s="2" t="n">
        <v>0</v>
      </c>
      <c r="K2019" s="2" t="n">
        <v>200</v>
      </c>
    </row>
    <row r="2020" customFormat="false" ht="15" hidden="false" customHeight="false" outlineLevel="0" collapsed="false">
      <c r="A2020" s="2" t="s">
        <v>2871</v>
      </c>
      <c r="B2020" s="2" t="s">
        <v>2872</v>
      </c>
      <c r="C2020" s="10" t="n">
        <v>45816</v>
      </c>
      <c r="D2020" s="2" t="s">
        <v>81</v>
      </c>
      <c r="E2020" s="2" t="s">
        <v>69</v>
      </c>
      <c r="F2020" s="2" t="s">
        <v>65</v>
      </c>
      <c r="G2020" s="2" t="s">
        <v>66</v>
      </c>
      <c r="H2020" s="2" t="n">
        <v>9</v>
      </c>
      <c r="I2020" s="2" t="n">
        <v>600</v>
      </c>
      <c r="J2020" s="2" t="n">
        <v>0.05</v>
      </c>
      <c r="K2020" s="2" t="n">
        <v>300</v>
      </c>
    </row>
    <row r="2021" customFormat="false" ht="15" hidden="false" customHeight="false" outlineLevel="0" collapsed="false">
      <c r="A2021" s="2" t="s">
        <v>2873</v>
      </c>
      <c r="B2021" s="2" t="s">
        <v>2874</v>
      </c>
      <c r="C2021" s="10" t="n">
        <v>45946</v>
      </c>
      <c r="D2021" s="2"/>
      <c r="E2021" s="2" t="s">
        <v>64</v>
      </c>
      <c r="F2021" s="2" t="s">
        <v>73</v>
      </c>
      <c r="G2021" s="2" t="s">
        <v>104</v>
      </c>
      <c r="H2021" s="2" t="n">
        <v>2</v>
      </c>
      <c r="I2021" s="2" t="n">
        <v>5500</v>
      </c>
      <c r="J2021" s="2" t="n">
        <v>0.05</v>
      </c>
      <c r="K2021" s="2" t="n">
        <v>3600</v>
      </c>
    </row>
    <row r="2022" customFormat="false" ht="15" hidden="false" customHeight="false" outlineLevel="0" collapsed="false">
      <c r="A2022" s="2" t="s">
        <v>2875</v>
      </c>
      <c r="B2022" s="2" t="s">
        <v>2874</v>
      </c>
      <c r="C2022" s="10" t="n">
        <v>45693</v>
      </c>
      <c r="D2022" s="2" t="s">
        <v>91</v>
      </c>
      <c r="E2022" s="2" t="s">
        <v>64</v>
      </c>
      <c r="F2022" s="2" t="s">
        <v>70</v>
      </c>
      <c r="G2022" s="2" t="s">
        <v>126</v>
      </c>
      <c r="H2022" s="2" t="n">
        <v>1</v>
      </c>
      <c r="I2022" s="2" t="n">
        <v>4500</v>
      </c>
      <c r="J2022" s="2" t="n">
        <v>0</v>
      </c>
      <c r="K2022" s="2" t="n">
        <v>3300</v>
      </c>
    </row>
    <row r="2023" customFormat="false" ht="15" hidden="false" customHeight="false" outlineLevel="0" collapsed="false">
      <c r="A2023" s="2" t="s">
        <v>2876</v>
      </c>
      <c r="B2023" s="2" t="s">
        <v>2874</v>
      </c>
      <c r="C2023" s="10" t="n">
        <v>45812</v>
      </c>
      <c r="D2023" s="2" t="s">
        <v>91</v>
      </c>
      <c r="E2023" s="2" t="s">
        <v>64</v>
      </c>
      <c r="F2023" s="2" t="s">
        <v>70</v>
      </c>
      <c r="G2023" s="2" t="s">
        <v>71</v>
      </c>
      <c r="H2023" s="2" t="n">
        <v>1</v>
      </c>
      <c r="I2023" s="2" t="n">
        <v>2500</v>
      </c>
      <c r="J2023" s="2" t="n">
        <v>0</v>
      </c>
      <c r="K2023" s="2" t="n">
        <v>1600</v>
      </c>
    </row>
    <row r="2024" customFormat="false" ht="15" hidden="false" customHeight="false" outlineLevel="0" collapsed="false">
      <c r="A2024" s="2" t="s">
        <v>2877</v>
      </c>
      <c r="B2024" s="2" t="s">
        <v>2878</v>
      </c>
      <c r="C2024" s="10" t="n">
        <v>45771</v>
      </c>
      <c r="D2024" s="2" t="s">
        <v>81</v>
      </c>
      <c r="E2024" s="2" t="s">
        <v>64</v>
      </c>
      <c r="F2024" s="2" t="s">
        <v>70</v>
      </c>
      <c r="G2024" s="2" t="s">
        <v>122</v>
      </c>
      <c r="H2024" s="2" t="n">
        <v>2</v>
      </c>
      <c r="I2024" s="2" t="n">
        <v>1500</v>
      </c>
      <c r="J2024" s="2" t="n">
        <v>0</v>
      </c>
      <c r="K2024" s="2" t="n">
        <v>900</v>
      </c>
    </row>
    <row r="2025" customFormat="false" ht="15" hidden="false" customHeight="false" outlineLevel="0" collapsed="false">
      <c r="A2025" s="2" t="s">
        <v>2879</v>
      </c>
      <c r="B2025" s="2" t="s">
        <v>2880</v>
      </c>
      <c r="C2025" s="10" t="n">
        <v>45941</v>
      </c>
      <c r="D2025" s="2" t="s">
        <v>81</v>
      </c>
      <c r="E2025" s="2" t="s">
        <v>64</v>
      </c>
      <c r="F2025" s="2" t="s">
        <v>65</v>
      </c>
      <c r="G2025" s="2" t="s">
        <v>78</v>
      </c>
      <c r="H2025" s="2" t="n">
        <v>7</v>
      </c>
      <c r="I2025" s="2" t="n">
        <v>400</v>
      </c>
      <c r="J2025" s="2" t="n">
        <v>0.15</v>
      </c>
      <c r="K2025" s="2" t="n">
        <v>200</v>
      </c>
    </row>
    <row r="2026" customFormat="false" ht="15" hidden="false" customHeight="false" outlineLevel="0" collapsed="false">
      <c r="A2026" s="2" t="s">
        <v>2881</v>
      </c>
      <c r="B2026" s="2" t="s">
        <v>2882</v>
      </c>
      <c r="C2026" s="10" t="n">
        <v>45784</v>
      </c>
      <c r="D2026" s="2" t="s">
        <v>77</v>
      </c>
      <c r="E2026" s="2" t="s">
        <v>69</v>
      </c>
      <c r="F2026" s="2" t="s">
        <v>65</v>
      </c>
      <c r="G2026" s="2" t="s">
        <v>82</v>
      </c>
      <c r="H2026" s="2" t="n">
        <v>17</v>
      </c>
      <c r="I2026" s="2" t="n">
        <v>250</v>
      </c>
      <c r="J2026" s="2" t="n">
        <v>0</v>
      </c>
      <c r="K2026" s="2" t="n">
        <v>100</v>
      </c>
    </row>
    <row r="2027" customFormat="false" ht="15" hidden="false" customHeight="false" outlineLevel="0" collapsed="false">
      <c r="A2027" s="2" t="s">
        <v>2883</v>
      </c>
      <c r="B2027" s="2" t="s">
        <v>2884</v>
      </c>
      <c r="C2027" s="10" t="n">
        <v>45714</v>
      </c>
      <c r="D2027" s="2" t="s">
        <v>91</v>
      </c>
      <c r="E2027" s="2" t="s">
        <v>92</v>
      </c>
      <c r="F2027" s="2" t="s">
        <v>73</v>
      </c>
      <c r="G2027" s="2" t="s">
        <v>85</v>
      </c>
      <c r="H2027" s="2" t="n">
        <v>5</v>
      </c>
      <c r="I2027" s="2" t="n">
        <v>1200</v>
      </c>
      <c r="J2027" s="2" t="n">
        <v>0.1</v>
      </c>
      <c r="K2027" s="2" t="n">
        <v>600</v>
      </c>
    </row>
    <row r="2028" customFormat="false" ht="15" hidden="false" customHeight="false" outlineLevel="0" collapsed="false">
      <c r="A2028" s="2" t="s">
        <v>2885</v>
      </c>
      <c r="B2028" s="2" t="s">
        <v>2884</v>
      </c>
      <c r="C2028" s="10" t="n">
        <v>45701</v>
      </c>
      <c r="D2028" s="2" t="s">
        <v>91</v>
      </c>
      <c r="E2028" s="2" t="s">
        <v>92</v>
      </c>
      <c r="F2028" s="2" t="s">
        <v>70</v>
      </c>
      <c r="G2028" s="2" t="s">
        <v>126</v>
      </c>
      <c r="H2028" s="2" t="n">
        <v>8</v>
      </c>
      <c r="I2028" s="2" t="n">
        <v>4500</v>
      </c>
      <c r="J2028" s="2" t="n">
        <v>0</v>
      </c>
      <c r="K2028" s="2" t="n">
        <v>3300</v>
      </c>
    </row>
    <row r="2029" customFormat="false" ht="15" hidden="false" customHeight="false" outlineLevel="0" collapsed="false">
      <c r="A2029" s="2" t="s">
        <v>2886</v>
      </c>
      <c r="B2029" s="2" t="s">
        <v>2884</v>
      </c>
      <c r="C2029" s="10" t="n">
        <v>45953</v>
      </c>
      <c r="D2029" s="2" t="s">
        <v>91</v>
      </c>
      <c r="E2029" s="2" t="s">
        <v>92</v>
      </c>
      <c r="F2029" s="2" t="s">
        <v>70</v>
      </c>
      <c r="G2029" s="2" t="s">
        <v>122</v>
      </c>
      <c r="H2029" s="2" t="n">
        <v>8</v>
      </c>
      <c r="I2029" s="2" t="n">
        <v>1500</v>
      </c>
      <c r="J2029" s="2" t="n">
        <v>0.15</v>
      </c>
      <c r="K2029" s="2" t="n">
        <v>900</v>
      </c>
    </row>
    <row r="2030" customFormat="false" ht="15" hidden="false" customHeight="false" outlineLevel="0" collapsed="false">
      <c r="A2030" s="2" t="s">
        <v>2887</v>
      </c>
      <c r="B2030" s="2" t="s">
        <v>2884</v>
      </c>
      <c r="C2030" s="10" t="n">
        <v>45931</v>
      </c>
      <c r="D2030" s="2" t="s">
        <v>91</v>
      </c>
      <c r="E2030" s="2" t="s">
        <v>92</v>
      </c>
      <c r="F2030" s="2" t="s">
        <v>70</v>
      </c>
      <c r="G2030" s="2" t="s">
        <v>126</v>
      </c>
      <c r="H2030" s="2" t="n">
        <v>5</v>
      </c>
      <c r="I2030" s="2" t="n">
        <v>4500</v>
      </c>
      <c r="J2030" s="2" t="n">
        <v>0.1</v>
      </c>
      <c r="K2030" s="2" t="n">
        <v>3300</v>
      </c>
    </row>
    <row r="2031" customFormat="false" ht="15" hidden="false" customHeight="false" outlineLevel="0" collapsed="false">
      <c r="A2031" s="2" t="s">
        <v>2888</v>
      </c>
      <c r="B2031" s="2" t="s">
        <v>2889</v>
      </c>
      <c r="C2031" s="10" t="n">
        <v>45935</v>
      </c>
      <c r="D2031" s="2" t="s">
        <v>77</v>
      </c>
      <c r="E2031" s="2" t="s">
        <v>64</v>
      </c>
      <c r="F2031" s="2" t="s">
        <v>73</v>
      </c>
      <c r="G2031" s="2" t="s">
        <v>104</v>
      </c>
      <c r="H2031" s="2" t="n">
        <v>3</v>
      </c>
      <c r="I2031" s="2" t="n">
        <v>5500</v>
      </c>
      <c r="J2031" s="2" t="n">
        <v>0.05</v>
      </c>
      <c r="K2031" s="2" t="n">
        <v>3600</v>
      </c>
    </row>
    <row r="2032" customFormat="false" ht="15" hidden="false" customHeight="false" outlineLevel="0" collapsed="false">
      <c r="A2032" s="2" t="s">
        <v>2890</v>
      </c>
      <c r="B2032" s="2" t="s">
        <v>2891</v>
      </c>
      <c r="C2032" s="10" t="n">
        <v>45831</v>
      </c>
      <c r="D2032" s="2" t="s">
        <v>91</v>
      </c>
      <c r="E2032" s="2" t="s">
        <v>69</v>
      </c>
      <c r="F2032" s="2" t="s">
        <v>73</v>
      </c>
      <c r="G2032" s="2" t="s">
        <v>74</v>
      </c>
      <c r="H2032" s="2" t="n">
        <v>4</v>
      </c>
      <c r="I2032" s="2" t="n">
        <v>7000</v>
      </c>
      <c r="J2032" s="2" t="n">
        <v>0</v>
      </c>
      <c r="K2032" s="2" t="n">
        <v>4800</v>
      </c>
    </row>
    <row r="2033" customFormat="false" ht="15" hidden="false" customHeight="false" outlineLevel="0" collapsed="false">
      <c r="A2033" s="2" t="s">
        <v>2892</v>
      </c>
      <c r="B2033" s="2" t="s">
        <v>2893</v>
      </c>
      <c r="C2033" s="10" t="n">
        <v>45946</v>
      </c>
      <c r="D2033" s="2" t="s">
        <v>81</v>
      </c>
      <c r="E2033" s="2" t="s">
        <v>64</v>
      </c>
      <c r="F2033" s="2" t="s">
        <v>65</v>
      </c>
      <c r="G2033" s="2" t="s">
        <v>66</v>
      </c>
      <c r="H2033" s="2" t="n">
        <v>8</v>
      </c>
      <c r="I2033" s="2" t="n">
        <v>600</v>
      </c>
      <c r="J2033" s="2" t="n">
        <v>0.05</v>
      </c>
      <c r="K2033" s="2" t="n">
        <v>300</v>
      </c>
    </row>
    <row r="2034" customFormat="false" ht="15" hidden="false" customHeight="false" outlineLevel="0" collapsed="false">
      <c r="A2034" s="2" t="s">
        <v>2894</v>
      </c>
      <c r="B2034" s="2" t="s">
        <v>2893</v>
      </c>
      <c r="C2034" s="10" t="n">
        <v>45844</v>
      </c>
      <c r="D2034" s="2" t="s">
        <v>81</v>
      </c>
      <c r="E2034" s="2" t="s">
        <v>64</v>
      </c>
      <c r="F2034" s="2" t="s">
        <v>65</v>
      </c>
      <c r="G2034" s="2" t="s">
        <v>78</v>
      </c>
      <c r="H2034" s="2" t="n">
        <v>3</v>
      </c>
      <c r="I2034" s="2" t="n">
        <v>400</v>
      </c>
      <c r="J2034" s="2" t="n">
        <v>0.1</v>
      </c>
      <c r="K2034" s="2" t="n">
        <v>200</v>
      </c>
    </row>
    <row r="2035" customFormat="false" ht="15" hidden="false" customHeight="false" outlineLevel="0" collapsed="false">
      <c r="A2035" s="2" t="s">
        <v>2895</v>
      </c>
      <c r="B2035" s="2" t="s">
        <v>2893</v>
      </c>
      <c r="C2035" s="10" t="n">
        <v>45885</v>
      </c>
      <c r="D2035" s="2" t="s">
        <v>81</v>
      </c>
      <c r="E2035" s="2" t="s">
        <v>64</v>
      </c>
      <c r="F2035" s="2" t="s">
        <v>70</v>
      </c>
      <c r="G2035" s="2" t="s">
        <v>97</v>
      </c>
      <c r="H2035" s="2" t="n">
        <v>2</v>
      </c>
      <c r="I2035" s="2" t="n">
        <v>3000</v>
      </c>
      <c r="J2035" s="2" t="n">
        <v>0.1</v>
      </c>
      <c r="K2035" s="2" t="n">
        <v>2000</v>
      </c>
    </row>
    <row r="2036" customFormat="false" ht="15" hidden="false" customHeight="false" outlineLevel="0" collapsed="false">
      <c r="A2036" s="2" t="s">
        <v>2896</v>
      </c>
      <c r="B2036" s="2" t="s">
        <v>2893</v>
      </c>
      <c r="C2036" s="10" t="n">
        <v>45974</v>
      </c>
      <c r="D2036" s="2" t="s">
        <v>81</v>
      </c>
      <c r="E2036" s="2" t="s">
        <v>64</v>
      </c>
      <c r="F2036" s="2" t="s">
        <v>73</v>
      </c>
      <c r="G2036" s="2" t="s">
        <v>85</v>
      </c>
      <c r="H2036" s="2" t="n">
        <v>2</v>
      </c>
      <c r="I2036" s="2" t="n">
        <v>1200</v>
      </c>
      <c r="J2036" s="2" t="n">
        <v>0.05</v>
      </c>
      <c r="K2036" s="2" t="n">
        <v>600</v>
      </c>
    </row>
    <row r="2037" customFormat="false" ht="15" hidden="false" customHeight="false" outlineLevel="0" collapsed="false">
      <c r="A2037" s="2" t="s">
        <v>2897</v>
      </c>
      <c r="B2037" s="2" t="s">
        <v>2893</v>
      </c>
      <c r="C2037" s="10" t="n">
        <v>45685</v>
      </c>
      <c r="D2037" s="2" t="s">
        <v>81</v>
      </c>
      <c r="E2037" s="2" t="s">
        <v>64</v>
      </c>
      <c r="F2037" s="2" t="s">
        <v>65</v>
      </c>
      <c r="G2037" s="2" t="s">
        <v>107</v>
      </c>
      <c r="H2037" s="2" t="n">
        <v>2</v>
      </c>
      <c r="I2037" s="2" t="n">
        <v>500</v>
      </c>
      <c r="J2037" s="2" t="n">
        <v>0</v>
      </c>
      <c r="K2037" s="2" t="n">
        <v>250</v>
      </c>
    </row>
    <row r="2038" customFormat="false" ht="15" hidden="false" customHeight="false" outlineLevel="0" collapsed="false">
      <c r="A2038" s="2" t="s">
        <v>2898</v>
      </c>
      <c r="B2038" s="2" t="s">
        <v>2899</v>
      </c>
      <c r="C2038" s="10" t="n">
        <v>45940</v>
      </c>
      <c r="D2038" s="2" t="s">
        <v>77</v>
      </c>
      <c r="E2038" s="2" t="s">
        <v>64</v>
      </c>
      <c r="F2038" s="2" t="s">
        <v>70</v>
      </c>
      <c r="G2038" s="2" t="s">
        <v>97</v>
      </c>
      <c r="H2038" s="2" t="n">
        <v>3</v>
      </c>
      <c r="I2038" s="2" t="n">
        <v>3000</v>
      </c>
      <c r="J2038" s="2" t="n">
        <v>0.15</v>
      </c>
      <c r="K2038" s="2" t="n">
        <v>2000</v>
      </c>
    </row>
    <row r="2039" customFormat="false" ht="15" hidden="false" customHeight="false" outlineLevel="0" collapsed="false">
      <c r="A2039" s="2" t="s">
        <v>2900</v>
      </c>
      <c r="B2039" s="2" t="s">
        <v>2901</v>
      </c>
      <c r="C2039" s="10" t="n">
        <v>45954</v>
      </c>
      <c r="D2039" s="2" t="s">
        <v>63</v>
      </c>
      <c r="E2039" s="2" t="s">
        <v>64</v>
      </c>
      <c r="F2039" s="2" t="s">
        <v>73</v>
      </c>
      <c r="G2039" s="2" t="s">
        <v>74</v>
      </c>
      <c r="H2039" s="2" t="n">
        <v>3</v>
      </c>
      <c r="I2039" s="2" t="n">
        <v>7000</v>
      </c>
      <c r="J2039" s="2" t="n">
        <v>0.1</v>
      </c>
      <c r="K2039" s="2" t="n">
        <v>4800</v>
      </c>
    </row>
    <row r="2040" customFormat="false" ht="15" hidden="false" customHeight="false" outlineLevel="0" collapsed="false">
      <c r="A2040" s="2" t="s">
        <v>2902</v>
      </c>
      <c r="B2040" s="2" t="s">
        <v>2903</v>
      </c>
      <c r="C2040" s="10" t="n">
        <v>45815</v>
      </c>
      <c r="D2040" s="2" t="s">
        <v>81</v>
      </c>
      <c r="E2040" s="2" t="s">
        <v>64</v>
      </c>
      <c r="F2040" s="2" t="s">
        <v>73</v>
      </c>
      <c r="G2040" s="2" t="s">
        <v>74</v>
      </c>
      <c r="H2040" s="2" t="n">
        <v>2</v>
      </c>
      <c r="I2040" s="2" t="n">
        <v>7000</v>
      </c>
      <c r="J2040" s="2" t="n">
        <v>0</v>
      </c>
      <c r="K2040" s="2" t="n">
        <v>4800</v>
      </c>
    </row>
    <row r="2041" customFormat="false" ht="15" hidden="false" customHeight="false" outlineLevel="0" collapsed="false">
      <c r="A2041" s="2" t="s">
        <v>2904</v>
      </c>
      <c r="B2041" s="2" t="s">
        <v>2903</v>
      </c>
      <c r="C2041" s="10" t="n">
        <v>45762</v>
      </c>
      <c r="D2041" s="2" t="s">
        <v>81</v>
      </c>
      <c r="E2041" s="2" t="s">
        <v>64</v>
      </c>
      <c r="F2041" s="2" t="s">
        <v>65</v>
      </c>
      <c r="G2041" s="2" t="s">
        <v>82</v>
      </c>
      <c r="H2041" s="2" t="n">
        <v>7</v>
      </c>
      <c r="I2041" s="2" t="n">
        <v>250</v>
      </c>
      <c r="J2041" s="2" t="n">
        <v>0.05</v>
      </c>
      <c r="K2041" s="2" t="n">
        <v>100</v>
      </c>
    </row>
    <row r="2042" customFormat="false" ht="15" hidden="false" customHeight="false" outlineLevel="0" collapsed="false">
      <c r="A2042" s="2" t="s">
        <v>2905</v>
      </c>
      <c r="B2042" s="2" t="s">
        <v>2903</v>
      </c>
      <c r="C2042" s="10" t="n">
        <v>45678</v>
      </c>
      <c r="D2042" s="2" t="s">
        <v>81</v>
      </c>
      <c r="E2042" s="2" t="s">
        <v>64</v>
      </c>
      <c r="F2042" s="2" t="s">
        <v>70</v>
      </c>
      <c r="G2042" s="2" t="s">
        <v>122</v>
      </c>
      <c r="H2042" s="2" t="n">
        <v>2</v>
      </c>
      <c r="I2042" s="2" t="n">
        <v>1500</v>
      </c>
      <c r="J2042" s="2" t="n">
        <v>0.05</v>
      </c>
      <c r="K2042" s="2" t="n">
        <v>900</v>
      </c>
    </row>
    <row r="2043" customFormat="false" ht="15" hidden="false" customHeight="false" outlineLevel="0" collapsed="false">
      <c r="A2043" s="2" t="s">
        <v>2906</v>
      </c>
      <c r="B2043" s="2" t="s">
        <v>2907</v>
      </c>
      <c r="C2043" s="10" t="n">
        <v>45882</v>
      </c>
      <c r="D2043" s="2" t="s">
        <v>81</v>
      </c>
      <c r="E2043" s="2" t="s">
        <v>64</v>
      </c>
      <c r="F2043" s="2" t="s">
        <v>70</v>
      </c>
      <c r="G2043" s="2" t="s">
        <v>126</v>
      </c>
      <c r="H2043" s="2" t="n">
        <v>3</v>
      </c>
      <c r="I2043" s="2" t="n">
        <v>4500</v>
      </c>
      <c r="J2043" s="2" t="n">
        <v>0</v>
      </c>
      <c r="K2043" s="2" t="n">
        <v>3300</v>
      </c>
    </row>
    <row r="2044" customFormat="false" ht="15" hidden="false" customHeight="false" outlineLevel="0" collapsed="false">
      <c r="A2044" s="2" t="s">
        <v>2908</v>
      </c>
      <c r="B2044" s="2" t="s">
        <v>2907</v>
      </c>
      <c r="C2044" s="10" t="n">
        <v>45759</v>
      </c>
      <c r="D2044" s="2" t="s">
        <v>81</v>
      </c>
      <c r="E2044" s="2" t="s">
        <v>64</v>
      </c>
      <c r="F2044" s="2" t="s">
        <v>73</v>
      </c>
      <c r="G2044" s="2" t="s">
        <v>104</v>
      </c>
      <c r="H2044" s="2" t="n">
        <v>2</v>
      </c>
      <c r="I2044" s="2" t="n">
        <v>5500</v>
      </c>
      <c r="J2044" s="2" t="n">
        <v>0</v>
      </c>
      <c r="K2044" s="2" t="n">
        <v>3600</v>
      </c>
    </row>
    <row r="2045" customFormat="false" ht="15" hidden="false" customHeight="false" outlineLevel="0" collapsed="false">
      <c r="A2045" s="2" t="s">
        <v>2909</v>
      </c>
      <c r="B2045" s="2" t="s">
        <v>2907</v>
      </c>
      <c r="C2045" s="10" t="n">
        <v>45931</v>
      </c>
      <c r="D2045" s="2" t="s">
        <v>81</v>
      </c>
      <c r="E2045" s="2" t="s">
        <v>64</v>
      </c>
      <c r="F2045" s="2" t="s">
        <v>70</v>
      </c>
      <c r="G2045" s="2" t="s">
        <v>97</v>
      </c>
      <c r="H2045" s="2" t="n">
        <v>3</v>
      </c>
      <c r="I2045" s="2" t="n">
        <v>3000</v>
      </c>
      <c r="J2045" s="2" t="n">
        <v>0.05</v>
      </c>
      <c r="K2045" s="2" t="n">
        <v>2000</v>
      </c>
    </row>
    <row r="2046" customFormat="false" ht="15" hidden="false" customHeight="false" outlineLevel="0" collapsed="false">
      <c r="A2046" s="2" t="s">
        <v>2910</v>
      </c>
      <c r="B2046" s="2" t="s">
        <v>2907</v>
      </c>
      <c r="C2046" s="10" t="n">
        <v>45957</v>
      </c>
      <c r="D2046" s="2" t="s">
        <v>81</v>
      </c>
      <c r="E2046" s="2" t="s">
        <v>64</v>
      </c>
      <c r="F2046" s="2" t="s">
        <v>65</v>
      </c>
      <c r="G2046" s="2" t="s">
        <v>66</v>
      </c>
      <c r="H2046" s="2" t="n">
        <v>2</v>
      </c>
      <c r="I2046" s="2" t="n">
        <v>600</v>
      </c>
      <c r="J2046" s="2" t="n">
        <v>0.05</v>
      </c>
      <c r="K2046" s="2" t="n">
        <v>300</v>
      </c>
    </row>
    <row r="2047" customFormat="false" ht="15" hidden="false" customHeight="false" outlineLevel="0" collapsed="false">
      <c r="A2047" s="2" t="s">
        <v>2911</v>
      </c>
      <c r="B2047" s="2" t="s">
        <v>2912</v>
      </c>
      <c r="C2047" s="10" t="n">
        <v>45985</v>
      </c>
      <c r="D2047" s="2" t="s">
        <v>81</v>
      </c>
      <c r="E2047" s="2" t="s">
        <v>69</v>
      </c>
      <c r="F2047" s="2" t="s">
        <v>73</v>
      </c>
      <c r="G2047" s="2" t="s">
        <v>85</v>
      </c>
      <c r="H2047" s="2" t="n">
        <v>4</v>
      </c>
      <c r="I2047" s="2" t="n">
        <v>1200</v>
      </c>
      <c r="J2047" s="2" t="n">
        <v>0.1</v>
      </c>
      <c r="K2047" s="2" t="n">
        <v>600</v>
      </c>
    </row>
    <row r="2048" customFormat="false" ht="15" hidden="false" customHeight="false" outlineLevel="0" collapsed="false">
      <c r="A2048" s="2" t="s">
        <v>2913</v>
      </c>
      <c r="B2048" s="2" t="s">
        <v>2912</v>
      </c>
      <c r="C2048" s="10" t="n">
        <v>45727</v>
      </c>
      <c r="D2048" s="2" t="s">
        <v>81</v>
      </c>
      <c r="E2048" s="2" t="s">
        <v>69</v>
      </c>
      <c r="F2048" s="2" t="s">
        <v>73</v>
      </c>
      <c r="G2048" s="2" t="s">
        <v>87</v>
      </c>
      <c r="H2048" s="2" t="n">
        <v>4</v>
      </c>
      <c r="I2048" s="2" t="n">
        <v>9000</v>
      </c>
      <c r="J2048" s="2" t="n">
        <v>0</v>
      </c>
      <c r="K2048" s="2" t="n">
        <v>6200</v>
      </c>
    </row>
    <row r="2049" customFormat="false" ht="15" hidden="false" customHeight="false" outlineLevel="0" collapsed="false">
      <c r="A2049" s="2" t="s">
        <v>2914</v>
      </c>
      <c r="B2049" s="2" t="s">
        <v>2912</v>
      </c>
      <c r="C2049" s="10" t="n">
        <v>45875</v>
      </c>
      <c r="D2049" s="2" t="s">
        <v>81</v>
      </c>
      <c r="E2049" s="2" t="s">
        <v>69</v>
      </c>
      <c r="F2049" s="2" t="s">
        <v>65</v>
      </c>
      <c r="G2049" s="2" t="s">
        <v>82</v>
      </c>
      <c r="H2049" s="2" t="n">
        <v>11</v>
      </c>
      <c r="I2049" s="2" t="n">
        <v>250</v>
      </c>
      <c r="J2049" s="2" t="n">
        <v>0</v>
      </c>
      <c r="K2049" s="2" t="n">
        <v>100</v>
      </c>
    </row>
    <row r="2050" customFormat="false" ht="15" hidden="false" customHeight="false" outlineLevel="0" collapsed="false">
      <c r="A2050" s="2" t="s">
        <v>2915</v>
      </c>
      <c r="B2050" s="2" t="s">
        <v>2916</v>
      </c>
      <c r="C2050" s="10" t="n">
        <v>46001</v>
      </c>
      <c r="D2050" s="2" t="s">
        <v>63</v>
      </c>
      <c r="E2050" s="2" t="s">
        <v>69</v>
      </c>
      <c r="F2050" s="2" t="s">
        <v>70</v>
      </c>
      <c r="G2050" s="2" t="s">
        <v>71</v>
      </c>
      <c r="H2050" s="2" t="n">
        <v>5</v>
      </c>
      <c r="I2050" s="2" t="n">
        <v>2500</v>
      </c>
      <c r="J2050" s="2" t="n">
        <v>0.15</v>
      </c>
      <c r="K2050" s="2" t="n">
        <v>1600</v>
      </c>
    </row>
    <row r="2051" customFormat="false" ht="15" hidden="false" customHeight="false" outlineLevel="0" collapsed="false">
      <c r="A2051" s="2" t="s">
        <v>2917</v>
      </c>
      <c r="B2051" s="2" t="s">
        <v>2916</v>
      </c>
      <c r="C2051" s="10" t="n">
        <v>46016</v>
      </c>
      <c r="D2051" s="2" t="s">
        <v>63</v>
      </c>
      <c r="E2051" s="2" t="s">
        <v>69</v>
      </c>
      <c r="F2051" s="2" t="s">
        <v>73</v>
      </c>
      <c r="G2051" s="2" t="s">
        <v>87</v>
      </c>
      <c r="H2051" s="2" t="n">
        <v>4</v>
      </c>
      <c r="I2051" s="2" t="n">
        <v>9000</v>
      </c>
      <c r="J2051" s="2" t="n">
        <v>0.05</v>
      </c>
      <c r="K2051" s="2" t="n">
        <v>6200</v>
      </c>
    </row>
    <row r="2052" customFormat="false" ht="15" hidden="false" customHeight="false" outlineLevel="0" collapsed="false">
      <c r="A2052" s="2" t="s">
        <v>2918</v>
      </c>
      <c r="B2052" s="2" t="s">
        <v>2916</v>
      </c>
      <c r="C2052" s="10" t="n">
        <v>45778</v>
      </c>
      <c r="D2052" s="2" t="s">
        <v>63</v>
      </c>
      <c r="E2052" s="2" t="s">
        <v>69</v>
      </c>
      <c r="F2052" s="2" t="s">
        <v>65</v>
      </c>
      <c r="G2052" s="2" t="s">
        <v>66</v>
      </c>
      <c r="H2052" s="2" t="n">
        <v>19</v>
      </c>
      <c r="I2052" s="2" t="n">
        <v>600</v>
      </c>
      <c r="J2052" s="2" t="n">
        <v>0</v>
      </c>
      <c r="K2052" s="2" t="n">
        <v>300</v>
      </c>
    </row>
    <row r="2053" customFormat="false" ht="15" hidden="false" customHeight="false" outlineLevel="0" collapsed="false">
      <c r="A2053" s="2" t="s">
        <v>2919</v>
      </c>
      <c r="B2053" s="2" t="s">
        <v>2916</v>
      </c>
      <c r="C2053" s="10" t="n">
        <v>45675</v>
      </c>
      <c r="D2053" s="2" t="s">
        <v>63</v>
      </c>
      <c r="E2053" s="2" t="s">
        <v>69</v>
      </c>
      <c r="F2053" s="2" t="s">
        <v>65</v>
      </c>
      <c r="G2053" s="2" t="s">
        <v>66</v>
      </c>
      <c r="H2053" s="2" t="n">
        <v>13</v>
      </c>
      <c r="I2053" s="2" t="n">
        <v>600</v>
      </c>
      <c r="J2053" s="2" t="n">
        <v>0</v>
      </c>
      <c r="K2053" s="2" t="n">
        <v>300</v>
      </c>
    </row>
    <row r="2054" customFormat="false" ht="15" hidden="false" customHeight="false" outlineLevel="0" collapsed="false">
      <c r="A2054" s="2" t="s">
        <v>2920</v>
      </c>
      <c r="B2054" s="2" t="s">
        <v>2916</v>
      </c>
      <c r="C2054" s="10" t="n">
        <v>45985</v>
      </c>
      <c r="D2054" s="2" t="s">
        <v>63</v>
      </c>
      <c r="E2054" s="2" t="s">
        <v>69</v>
      </c>
      <c r="F2054" s="2" t="s">
        <v>73</v>
      </c>
      <c r="G2054" s="2" t="s">
        <v>74</v>
      </c>
      <c r="H2054" s="2" t="n">
        <v>3</v>
      </c>
      <c r="I2054" s="2" t="n">
        <v>7000</v>
      </c>
      <c r="J2054" s="2" t="n">
        <v>0.05</v>
      </c>
      <c r="K2054" s="2" t="n">
        <v>4800</v>
      </c>
    </row>
    <row r="2055" customFormat="false" ht="15" hidden="false" customHeight="false" outlineLevel="0" collapsed="false">
      <c r="A2055" s="2" t="s">
        <v>2921</v>
      </c>
      <c r="B2055" s="2" t="s">
        <v>2916</v>
      </c>
      <c r="C2055" s="10" t="n">
        <v>45949</v>
      </c>
      <c r="D2055" s="2" t="s">
        <v>63</v>
      </c>
      <c r="E2055" s="2" t="s">
        <v>69</v>
      </c>
      <c r="F2055" s="2" t="s">
        <v>70</v>
      </c>
      <c r="G2055" s="2" t="s">
        <v>126</v>
      </c>
      <c r="H2055" s="2" t="n">
        <v>4</v>
      </c>
      <c r="I2055" s="2" t="n">
        <v>4500</v>
      </c>
      <c r="J2055" s="2" t="n">
        <v>0.05</v>
      </c>
      <c r="K2055" s="2" t="n">
        <v>3300</v>
      </c>
    </row>
    <row r="2056" customFormat="false" ht="15" hidden="false" customHeight="false" outlineLevel="0" collapsed="false">
      <c r="A2056" s="2" t="s">
        <v>2922</v>
      </c>
      <c r="B2056" s="2" t="s">
        <v>2916</v>
      </c>
      <c r="C2056" s="10" t="n">
        <v>45830</v>
      </c>
      <c r="D2056" s="2" t="s">
        <v>63</v>
      </c>
      <c r="E2056" s="2" t="s">
        <v>69</v>
      </c>
      <c r="F2056" s="2" t="s">
        <v>65</v>
      </c>
      <c r="G2056" s="2" t="s">
        <v>78</v>
      </c>
      <c r="H2056" s="2" t="n">
        <v>18</v>
      </c>
      <c r="I2056" s="2" t="n">
        <v>400</v>
      </c>
      <c r="J2056" s="2" t="n">
        <v>0.1</v>
      </c>
      <c r="K2056" s="2" t="n">
        <v>200</v>
      </c>
    </row>
    <row r="2057" customFormat="false" ht="15" hidden="false" customHeight="false" outlineLevel="0" collapsed="false">
      <c r="A2057" s="2" t="s">
        <v>2923</v>
      </c>
      <c r="B2057" s="2" t="s">
        <v>2916</v>
      </c>
      <c r="C2057" s="10" t="n">
        <v>45827</v>
      </c>
      <c r="D2057" s="2" t="s">
        <v>63</v>
      </c>
      <c r="E2057" s="2" t="s">
        <v>69</v>
      </c>
      <c r="F2057" s="2" t="s">
        <v>70</v>
      </c>
      <c r="G2057" s="2" t="s">
        <v>97</v>
      </c>
      <c r="H2057" s="2" t="n">
        <v>5</v>
      </c>
      <c r="I2057" s="2" t="n">
        <v>3000</v>
      </c>
      <c r="J2057" s="2" t="n">
        <v>0.1</v>
      </c>
      <c r="K2057" s="2" t="n">
        <v>2000</v>
      </c>
    </row>
    <row r="2058" customFormat="false" ht="15" hidden="false" customHeight="false" outlineLevel="0" collapsed="false">
      <c r="A2058" s="2" t="s">
        <v>2924</v>
      </c>
      <c r="B2058" s="2" t="s">
        <v>2925</v>
      </c>
      <c r="C2058" s="10" t="n">
        <v>45875</v>
      </c>
      <c r="D2058" s="2" t="s">
        <v>63</v>
      </c>
      <c r="E2058" s="2" t="s">
        <v>69</v>
      </c>
      <c r="F2058" s="2" t="s">
        <v>70</v>
      </c>
      <c r="G2058" s="2" t="s">
        <v>97</v>
      </c>
      <c r="H2058" s="2" t="n">
        <v>2</v>
      </c>
      <c r="I2058" s="2" t="n">
        <v>3000</v>
      </c>
      <c r="J2058" s="2" t="n">
        <v>0.1</v>
      </c>
      <c r="K2058" s="2" t="n">
        <v>2000</v>
      </c>
    </row>
    <row r="2059" customFormat="false" ht="15" hidden="false" customHeight="false" outlineLevel="0" collapsed="false">
      <c r="A2059" s="2" t="s">
        <v>2926</v>
      </c>
      <c r="B2059" s="2" t="s">
        <v>2927</v>
      </c>
      <c r="C2059" s="10" t="n">
        <v>45987</v>
      </c>
      <c r="D2059" s="2" t="s">
        <v>77</v>
      </c>
      <c r="E2059" s="2" t="s">
        <v>69</v>
      </c>
      <c r="F2059" s="2" t="s">
        <v>65</v>
      </c>
      <c r="G2059" s="2" t="s">
        <v>78</v>
      </c>
      <c r="H2059" s="2" t="n">
        <v>10</v>
      </c>
      <c r="I2059" s="2" t="n">
        <v>400</v>
      </c>
      <c r="J2059" s="2" t="n">
        <v>0.15</v>
      </c>
      <c r="K2059" s="2" t="n">
        <v>200</v>
      </c>
    </row>
    <row r="2060" customFormat="false" ht="15" hidden="false" customHeight="false" outlineLevel="0" collapsed="false">
      <c r="A2060" s="2" t="s">
        <v>2928</v>
      </c>
      <c r="B2060" s="2" t="s">
        <v>2929</v>
      </c>
      <c r="C2060" s="10" t="n">
        <v>45909</v>
      </c>
      <c r="D2060" s="2" t="s">
        <v>91</v>
      </c>
      <c r="E2060" s="2" t="s">
        <v>64</v>
      </c>
      <c r="F2060" s="2" t="s">
        <v>73</v>
      </c>
      <c r="G2060" s="2" t="s">
        <v>87</v>
      </c>
      <c r="H2060" s="2" t="n">
        <v>2</v>
      </c>
      <c r="I2060" s="2" t="n">
        <v>9000</v>
      </c>
      <c r="J2060" s="2" t="n">
        <v>0</v>
      </c>
      <c r="K2060" s="2" t="n">
        <v>6200</v>
      </c>
    </row>
    <row r="2061" customFormat="false" ht="15" hidden="false" customHeight="false" outlineLevel="0" collapsed="false">
      <c r="A2061" s="2" t="s">
        <v>2930</v>
      </c>
      <c r="B2061" s="2" t="s">
        <v>2929</v>
      </c>
      <c r="C2061" s="10" t="n">
        <v>45941</v>
      </c>
      <c r="D2061" s="2" t="s">
        <v>91</v>
      </c>
      <c r="E2061" s="2" t="s">
        <v>64</v>
      </c>
      <c r="F2061" s="2" t="s">
        <v>73</v>
      </c>
      <c r="G2061" s="2" t="s">
        <v>74</v>
      </c>
      <c r="H2061" s="2" t="n">
        <v>1</v>
      </c>
      <c r="I2061" s="2" t="n">
        <v>7000</v>
      </c>
      <c r="J2061" s="2" t="n">
        <v>0.05</v>
      </c>
      <c r="K2061" s="2" t="n">
        <v>4800</v>
      </c>
    </row>
    <row r="2062" customFormat="false" ht="15" hidden="false" customHeight="false" outlineLevel="0" collapsed="false">
      <c r="A2062" s="2" t="s">
        <v>2931</v>
      </c>
      <c r="B2062" s="2" t="s">
        <v>2929</v>
      </c>
      <c r="C2062" s="10" t="n">
        <v>45750</v>
      </c>
      <c r="D2062" s="2" t="s">
        <v>91</v>
      </c>
      <c r="E2062" s="2" t="s">
        <v>64</v>
      </c>
      <c r="F2062" s="2" t="s">
        <v>70</v>
      </c>
      <c r="G2062" s="2" t="s">
        <v>126</v>
      </c>
      <c r="H2062" s="2" t="n">
        <v>2</v>
      </c>
      <c r="I2062" s="2" t="n">
        <v>4500</v>
      </c>
      <c r="J2062" s="2" t="n">
        <v>0</v>
      </c>
      <c r="K2062" s="2" t="n">
        <v>3300</v>
      </c>
    </row>
    <row r="2063" customFormat="false" ht="15" hidden="false" customHeight="false" outlineLevel="0" collapsed="false">
      <c r="A2063" s="2" t="s">
        <v>2932</v>
      </c>
      <c r="B2063" s="2" t="s">
        <v>2929</v>
      </c>
      <c r="C2063" s="10" t="n">
        <v>45840</v>
      </c>
      <c r="D2063" s="2" t="s">
        <v>91</v>
      </c>
      <c r="E2063" s="2" t="s">
        <v>64</v>
      </c>
      <c r="F2063" s="2" t="s">
        <v>70</v>
      </c>
      <c r="G2063" s="2" t="s">
        <v>122</v>
      </c>
      <c r="H2063" s="2" t="n">
        <v>2</v>
      </c>
      <c r="I2063" s="2" t="n">
        <v>1500</v>
      </c>
      <c r="J2063" s="2" t="n">
        <v>0</v>
      </c>
      <c r="K2063" s="2" t="n">
        <v>900</v>
      </c>
    </row>
    <row r="2064" customFormat="false" ht="15" hidden="false" customHeight="false" outlineLevel="0" collapsed="false">
      <c r="A2064" s="2" t="s">
        <v>2933</v>
      </c>
      <c r="B2064" s="2" t="s">
        <v>2934</v>
      </c>
      <c r="C2064" s="10" t="n">
        <v>45813</v>
      </c>
      <c r="D2064" s="2" t="s">
        <v>63</v>
      </c>
      <c r="E2064" s="2" t="s">
        <v>69</v>
      </c>
      <c r="F2064" s="2" t="s">
        <v>70</v>
      </c>
      <c r="G2064" s="2" t="s">
        <v>97</v>
      </c>
      <c r="H2064" s="2" t="n">
        <v>4</v>
      </c>
      <c r="I2064" s="2" t="n">
        <v>3000</v>
      </c>
      <c r="J2064" s="2" t="n">
        <v>0</v>
      </c>
      <c r="K2064" s="2" t="n">
        <v>2000</v>
      </c>
    </row>
    <row r="2065" customFormat="false" ht="15" hidden="false" customHeight="false" outlineLevel="0" collapsed="false">
      <c r="A2065" s="2" t="s">
        <v>2935</v>
      </c>
      <c r="B2065" s="2" t="s">
        <v>2934</v>
      </c>
      <c r="C2065" s="10" t="n">
        <v>45843</v>
      </c>
      <c r="D2065" s="2" t="s">
        <v>63</v>
      </c>
      <c r="E2065" s="2" t="s">
        <v>69</v>
      </c>
      <c r="F2065" s="2" t="s">
        <v>73</v>
      </c>
      <c r="G2065" s="2" t="s">
        <v>74</v>
      </c>
      <c r="H2065" s="2" t="n">
        <v>3</v>
      </c>
      <c r="I2065" s="2" t="n">
        <v>7000</v>
      </c>
      <c r="J2065" s="2" t="n">
        <v>0</v>
      </c>
      <c r="K2065" s="2" t="n">
        <v>4800</v>
      </c>
    </row>
    <row r="2066" customFormat="false" ht="15" hidden="false" customHeight="false" outlineLevel="0" collapsed="false">
      <c r="A2066" s="2" t="s">
        <v>2936</v>
      </c>
      <c r="B2066" s="2" t="s">
        <v>2934</v>
      </c>
      <c r="C2066" s="10" t="n">
        <v>45691</v>
      </c>
      <c r="D2066" s="2" t="s">
        <v>63</v>
      </c>
      <c r="E2066" s="2" t="s">
        <v>69</v>
      </c>
      <c r="F2066" s="2" t="s">
        <v>65</v>
      </c>
      <c r="G2066" s="2" t="s">
        <v>78</v>
      </c>
      <c r="H2066" s="2" t="n">
        <v>17</v>
      </c>
      <c r="I2066" s="2" t="n">
        <v>400</v>
      </c>
      <c r="J2066" s="2" t="n">
        <v>0</v>
      </c>
      <c r="K2066" s="2" t="n">
        <v>200</v>
      </c>
    </row>
    <row r="2067" customFormat="false" ht="15" hidden="false" customHeight="false" outlineLevel="0" collapsed="false">
      <c r="A2067" s="2" t="s">
        <v>2937</v>
      </c>
      <c r="B2067" s="2" t="s">
        <v>2934</v>
      </c>
      <c r="C2067" s="10" t="n">
        <v>46008</v>
      </c>
      <c r="D2067" s="2" t="s">
        <v>63</v>
      </c>
      <c r="E2067" s="2" t="s">
        <v>69</v>
      </c>
      <c r="F2067" s="2" t="s">
        <v>73</v>
      </c>
      <c r="G2067" s="2" t="s">
        <v>104</v>
      </c>
      <c r="H2067" s="2" t="n">
        <v>4</v>
      </c>
      <c r="I2067" s="2" t="n">
        <v>5500</v>
      </c>
      <c r="J2067" s="2" t="n">
        <v>0.05</v>
      </c>
      <c r="K2067" s="2" t="n">
        <v>3600</v>
      </c>
    </row>
    <row r="2068" customFormat="false" ht="15" hidden="false" customHeight="false" outlineLevel="0" collapsed="false">
      <c r="A2068" s="2" t="s">
        <v>2938</v>
      </c>
      <c r="B2068" s="2" t="s">
        <v>2934</v>
      </c>
      <c r="C2068" s="10" t="n">
        <v>45891</v>
      </c>
      <c r="D2068" s="2" t="s">
        <v>63</v>
      </c>
      <c r="E2068" s="2" t="s">
        <v>69</v>
      </c>
      <c r="F2068" s="2" t="s">
        <v>70</v>
      </c>
      <c r="G2068" s="2" t="s">
        <v>97</v>
      </c>
      <c r="H2068" s="2" t="n">
        <v>3</v>
      </c>
      <c r="I2068" s="2" t="n">
        <v>3000</v>
      </c>
      <c r="J2068" s="2" t="n">
        <v>0.1</v>
      </c>
      <c r="K2068" s="2" t="n">
        <v>2000</v>
      </c>
    </row>
    <row r="2069" customFormat="false" ht="15" hidden="false" customHeight="false" outlineLevel="0" collapsed="false">
      <c r="A2069" s="2" t="s">
        <v>2939</v>
      </c>
      <c r="B2069" s="2" t="s">
        <v>2934</v>
      </c>
      <c r="C2069" s="10" t="n">
        <v>45998</v>
      </c>
      <c r="D2069" s="2" t="s">
        <v>63</v>
      </c>
      <c r="E2069" s="2" t="s">
        <v>69</v>
      </c>
      <c r="F2069" s="2" t="s">
        <v>73</v>
      </c>
      <c r="G2069" s="2" t="s">
        <v>104</v>
      </c>
      <c r="H2069" s="2" t="n">
        <v>3</v>
      </c>
      <c r="I2069" s="2" t="n">
        <v>5500</v>
      </c>
      <c r="J2069" s="2" t="n">
        <v>0.1</v>
      </c>
      <c r="K2069" s="2" t="n">
        <v>3600</v>
      </c>
    </row>
    <row r="2070" customFormat="false" ht="15" hidden="false" customHeight="false" outlineLevel="0" collapsed="false">
      <c r="A2070" s="2" t="s">
        <v>2940</v>
      </c>
      <c r="B2070" s="2" t="s">
        <v>2934</v>
      </c>
      <c r="C2070" s="10" t="n">
        <v>45908</v>
      </c>
      <c r="D2070" s="2" t="s">
        <v>63</v>
      </c>
      <c r="E2070" s="2" t="s">
        <v>69</v>
      </c>
      <c r="F2070" s="2" t="s">
        <v>65</v>
      </c>
      <c r="G2070" s="2" t="s">
        <v>78</v>
      </c>
      <c r="H2070" s="2" t="n">
        <v>11</v>
      </c>
      <c r="I2070" s="2" t="n">
        <v>400</v>
      </c>
      <c r="J2070" s="2" t="n">
        <v>0.05</v>
      </c>
      <c r="K2070" s="2" t="n">
        <v>200</v>
      </c>
    </row>
    <row r="2071" customFormat="false" ht="15" hidden="false" customHeight="false" outlineLevel="0" collapsed="false">
      <c r="A2071" s="2" t="s">
        <v>2941</v>
      </c>
      <c r="B2071" s="2" t="s">
        <v>2934</v>
      </c>
      <c r="C2071" s="10" t="n">
        <v>45704</v>
      </c>
      <c r="D2071" s="2" t="s">
        <v>63</v>
      </c>
      <c r="E2071" s="2" t="s">
        <v>69</v>
      </c>
      <c r="F2071" s="2" t="s">
        <v>65</v>
      </c>
      <c r="G2071" s="2" t="s">
        <v>66</v>
      </c>
      <c r="H2071" s="2" t="n">
        <v>12</v>
      </c>
      <c r="I2071" s="2" t="n">
        <v>600</v>
      </c>
      <c r="J2071" s="2" t="n">
        <v>0.1</v>
      </c>
      <c r="K2071" s="2" t="n">
        <v>300</v>
      </c>
    </row>
    <row r="2072" customFormat="false" ht="15" hidden="false" customHeight="false" outlineLevel="0" collapsed="false">
      <c r="A2072" s="2" t="s">
        <v>2942</v>
      </c>
      <c r="B2072" s="2" t="s">
        <v>2943</v>
      </c>
      <c r="C2072" s="10" t="n">
        <v>45948</v>
      </c>
      <c r="D2072" s="2" t="s">
        <v>91</v>
      </c>
      <c r="E2072" s="2" t="s">
        <v>64</v>
      </c>
      <c r="F2072" s="2" t="s">
        <v>65</v>
      </c>
      <c r="G2072" s="2" t="s">
        <v>82</v>
      </c>
      <c r="H2072" s="2" t="n">
        <v>3</v>
      </c>
      <c r="I2072" s="2" t="n">
        <v>250</v>
      </c>
      <c r="J2072" s="2" t="n">
        <v>0.05</v>
      </c>
      <c r="K2072" s="2" t="n">
        <v>100</v>
      </c>
    </row>
    <row r="2073" customFormat="false" ht="15" hidden="false" customHeight="false" outlineLevel="0" collapsed="false">
      <c r="A2073" s="2" t="s">
        <v>2944</v>
      </c>
      <c r="B2073" s="2" t="s">
        <v>2945</v>
      </c>
      <c r="C2073" s="10" t="n">
        <v>46015</v>
      </c>
      <c r="D2073" s="2" t="s">
        <v>91</v>
      </c>
      <c r="E2073" s="2" t="s">
        <v>92</v>
      </c>
      <c r="F2073" s="2" t="s">
        <v>73</v>
      </c>
      <c r="G2073" s="2" t="s">
        <v>104</v>
      </c>
      <c r="H2073" s="2" t="n">
        <v>5</v>
      </c>
      <c r="I2073" s="2" t="n">
        <v>5500</v>
      </c>
      <c r="J2073" s="2" t="n">
        <v>0.15</v>
      </c>
      <c r="K2073" s="2" t="n">
        <v>3600</v>
      </c>
    </row>
    <row r="2074" customFormat="false" ht="15" hidden="false" customHeight="false" outlineLevel="0" collapsed="false">
      <c r="A2074" s="2" t="s">
        <v>2946</v>
      </c>
      <c r="B2074" s="2" t="s">
        <v>2945</v>
      </c>
      <c r="C2074" s="10" t="n">
        <v>45660</v>
      </c>
      <c r="D2074" s="2" t="s">
        <v>91</v>
      </c>
      <c r="E2074" s="2" t="s">
        <v>92</v>
      </c>
      <c r="F2074" s="2" t="s">
        <v>70</v>
      </c>
      <c r="G2074" s="2" t="s">
        <v>126</v>
      </c>
      <c r="H2074" s="2"/>
      <c r="I2074" s="2" t="n">
        <v>4500</v>
      </c>
      <c r="J2074" s="2" t="n">
        <v>0.15</v>
      </c>
      <c r="K2074" s="2" t="n">
        <v>3300</v>
      </c>
    </row>
    <row r="2075" customFormat="false" ht="15" hidden="false" customHeight="false" outlineLevel="0" collapsed="false">
      <c r="A2075" s="2" t="s">
        <v>2947</v>
      </c>
      <c r="B2075" s="2" t="s">
        <v>2945</v>
      </c>
      <c r="C2075" s="10" t="n">
        <v>45794</v>
      </c>
      <c r="D2075" s="2" t="s">
        <v>91</v>
      </c>
      <c r="E2075" s="2" t="s">
        <v>92</v>
      </c>
      <c r="F2075" s="2" t="s">
        <v>70</v>
      </c>
      <c r="G2075" s="2" t="s">
        <v>97</v>
      </c>
      <c r="H2075" s="2" t="n">
        <v>8</v>
      </c>
      <c r="I2075" s="2" t="n">
        <v>3000</v>
      </c>
      <c r="J2075" s="2" t="n">
        <v>0.1</v>
      </c>
      <c r="K2075" s="2" t="n">
        <v>2000</v>
      </c>
    </row>
    <row r="2076" customFormat="false" ht="15" hidden="false" customHeight="false" outlineLevel="0" collapsed="false">
      <c r="A2076" s="2" t="s">
        <v>2948</v>
      </c>
      <c r="B2076" s="2" t="s">
        <v>2945</v>
      </c>
      <c r="C2076" s="10" t="n">
        <v>45987</v>
      </c>
      <c r="D2076" s="2" t="s">
        <v>651</v>
      </c>
      <c r="E2076" s="2" t="s">
        <v>92</v>
      </c>
      <c r="F2076" s="2" t="s">
        <v>73</v>
      </c>
      <c r="G2076" s="2" t="s">
        <v>85</v>
      </c>
      <c r="H2076" s="2" t="n">
        <v>3</v>
      </c>
      <c r="I2076" s="2" t="n">
        <v>1200</v>
      </c>
      <c r="J2076" s="2" t="n">
        <v>0.15</v>
      </c>
      <c r="K2076" s="2" t="n">
        <v>600</v>
      </c>
    </row>
    <row r="2077" customFormat="false" ht="15" hidden="false" customHeight="false" outlineLevel="0" collapsed="false">
      <c r="A2077" s="2" t="s">
        <v>2949</v>
      </c>
      <c r="B2077" s="2" t="s">
        <v>2950</v>
      </c>
      <c r="C2077" s="10" t="n">
        <v>45818</v>
      </c>
      <c r="D2077" s="2" t="s">
        <v>63</v>
      </c>
      <c r="E2077" s="2" t="s">
        <v>64</v>
      </c>
      <c r="F2077" s="2" t="s">
        <v>73</v>
      </c>
      <c r="G2077" s="2" t="s">
        <v>85</v>
      </c>
      <c r="H2077" s="2" t="n">
        <v>3</v>
      </c>
      <c r="I2077" s="2" t="n">
        <v>1200</v>
      </c>
      <c r="J2077" s="2" t="n">
        <v>0</v>
      </c>
      <c r="K2077" s="2" t="n">
        <v>600</v>
      </c>
    </row>
    <row r="2078" customFormat="false" ht="15" hidden="false" customHeight="false" outlineLevel="0" collapsed="false">
      <c r="A2078" s="2" t="s">
        <v>2951</v>
      </c>
      <c r="B2078" s="2" t="s">
        <v>2952</v>
      </c>
      <c r="C2078" s="10" t="n">
        <v>45994</v>
      </c>
      <c r="D2078" s="2" t="s">
        <v>81</v>
      </c>
      <c r="E2078" s="2" t="s">
        <v>69</v>
      </c>
      <c r="F2078" s="2" t="s">
        <v>65</v>
      </c>
      <c r="G2078" s="2" t="s">
        <v>78</v>
      </c>
      <c r="H2078" s="2" t="n">
        <v>12</v>
      </c>
      <c r="I2078" s="2" t="n">
        <v>400</v>
      </c>
      <c r="J2078" s="2" t="n">
        <v>0.05</v>
      </c>
      <c r="K2078" s="2" t="n">
        <v>200</v>
      </c>
    </row>
    <row r="2079" customFormat="false" ht="15" hidden="false" customHeight="false" outlineLevel="0" collapsed="false">
      <c r="A2079" s="2" t="s">
        <v>2953</v>
      </c>
      <c r="B2079" s="2" t="s">
        <v>2954</v>
      </c>
      <c r="C2079" s="10" t="n">
        <v>46016</v>
      </c>
      <c r="D2079" s="2" t="s">
        <v>77</v>
      </c>
      <c r="E2079" s="2" t="s">
        <v>64</v>
      </c>
      <c r="F2079" s="2" t="s">
        <v>65</v>
      </c>
      <c r="G2079" s="2" t="s">
        <v>78</v>
      </c>
      <c r="H2079" s="2" t="n">
        <v>2</v>
      </c>
      <c r="I2079" s="2" t="n">
        <v>400</v>
      </c>
      <c r="J2079" s="2" t="n">
        <v>0.1</v>
      </c>
      <c r="K2079" s="2" t="n">
        <v>200</v>
      </c>
    </row>
    <row r="2080" customFormat="false" ht="15" hidden="false" customHeight="false" outlineLevel="0" collapsed="false">
      <c r="A2080" s="2" t="s">
        <v>2955</v>
      </c>
      <c r="B2080" s="2" t="s">
        <v>2954</v>
      </c>
      <c r="C2080" s="10" t="n">
        <v>45911</v>
      </c>
      <c r="D2080" s="2" t="s">
        <v>77</v>
      </c>
      <c r="E2080" s="2" t="s">
        <v>64</v>
      </c>
      <c r="F2080" s="2" t="s">
        <v>73</v>
      </c>
      <c r="G2080" s="2" t="s">
        <v>85</v>
      </c>
      <c r="H2080" s="2" t="n">
        <v>2</v>
      </c>
      <c r="I2080" s="2" t="n">
        <v>1200</v>
      </c>
      <c r="J2080" s="2" t="n">
        <v>0.1</v>
      </c>
      <c r="K2080" s="2" t="n">
        <v>600</v>
      </c>
    </row>
    <row r="2081" customFormat="false" ht="15" hidden="false" customHeight="false" outlineLevel="0" collapsed="false">
      <c r="A2081" s="2" t="s">
        <v>2956</v>
      </c>
      <c r="B2081" s="2"/>
      <c r="C2081" s="10" t="n">
        <v>45928</v>
      </c>
      <c r="D2081" s="2" t="s">
        <v>77</v>
      </c>
      <c r="E2081" s="2" t="s">
        <v>64</v>
      </c>
      <c r="F2081" s="2" t="s">
        <v>73</v>
      </c>
      <c r="G2081" s="2" t="s">
        <v>87</v>
      </c>
      <c r="H2081" s="2" t="n">
        <v>3</v>
      </c>
      <c r="I2081" s="2" t="n">
        <v>9000</v>
      </c>
      <c r="J2081" s="2" t="n">
        <v>0.05</v>
      </c>
      <c r="K2081" s="2" t="n">
        <v>6200</v>
      </c>
    </row>
    <row r="2082" customFormat="false" ht="15" hidden="false" customHeight="false" outlineLevel="0" collapsed="false">
      <c r="A2082" s="2" t="s">
        <v>2957</v>
      </c>
      <c r="B2082" s="2" t="s">
        <v>2958</v>
      </c>
      <c r="C2082" s="10" t="n">
        <v>45871</v>
      </c>
      <c r="D2082" s="2" t="s">
        <v>63</v>
      </c>
      <c r="E2082" s="2" t="s">
        <v>64</v>
      </c>
      <c r="F2082" s="2" t="s">
        <v>65</v>
      </c>
      <c r="G2082" s="2" t="s">
        <v>78</v>
      </c>
      <c r="H2082" s="2" t="n">
        <v>8</v>
      </c>
      <c r="I2082" s="2" t="n">
        <v>400</v>
      </c>
      <c r="J2082" s="2" t="n">
        <v>0.1</v>
      </c>
      <c r="K2082" s="2" t="n">
        <v>200</v>
      </c>
    </row>
    <row r="2083" customFormat="false" ht="15" hidden="false" customHeight="false" outlineLevel="0" collapsed="false">
      <c r="A2083" s="2" t="s">
        <v>2959</v>
      </c>
      <c r="B2083" s="2" t="s">
        <v>2958</v>
      </c>
      <c r="C2083" s="10" t="n">
        <v>45933</v>
      </c>
      <c r="D2083" s="2" t="s">
        <v>63</v>
      </c>
      <c r="E2083" s="2" t="s">
        <v>64</v>
      </c>
      <c r="F2083" s="2" t="s">
        <v>73</v>
      </c>
      <c r="G2083" s="2" t="s">
        <v>74</v>
      </c>
      <c r="H2083" s="2" t="n">
        <v>1</v>
      </c>
      <c r="I2083" s="2" t="n">
        <v>7000</v>
      </c>
      <c r="J2083" s="2" t="n">
        <v>0.05</v>
      </c>
      <c r="K2083" s="2" t="n">
        <v>4800</v>
      </c>
    </row>
    <row r="2084" customFormat="false" ht="15" hidden="false" customHeight="false" outlineLevel="0" collapsed="false">
      <c r="A2084" s="2" t="s">
        <v>2960</v>
      </c>
      <c r="B2084" s="2" t="s">
        <v>2958</v>
      </c>
      <c r="C2084" s="10" t="n">
        <v>45893</v>
      </c>
      <c r="D2084" s="2" t="s">
        <v>63</v>
      </c>
      <c r="E2084" s="2" t="s">
        <v>64</v>
      </c>
      <c r="F2084" s="2" t="s">
        <v>70</v>
      </c>
      <c r="G2084" s="2" t="s">
        <v>71</v>
      </c>
      <c r="H2084" s="2" t="n">
        <v>3</v>
      </c>
      <c r="I2084" s="2" t="n">
        <v>2500</v>
      </c>
      <c r="J2084" s="2" t="n">
        <v>0</v>
      </c>
      <c r="K2084" s="2" t="n">
        <v>1600</v>
      </c>
    </row>
    <row r="2085" customFormat="false" ht="15" hidden="false" customHeight="false" outlineLevel="0" collapsed="false">
      <c r="A2085" s="2" t="s">
        <v>2961</v>
      </c>
      <c r="B2085" s="2" t="s">
        <v>2962</v>
      </c>
      <c r="C2085" s="10" t="n">
        <v>45758</v>
      </c>
      <c r="D2085" s="2" t="s">
        <v>63</v>
      </c>
      <c r="E2085" s="2" t="s">
        <v>92</v>
      </c>
      <c r="F2085" s="2" t="s">
        <v>73</v>
      </c>
      <c r="G2085" s="2" t="s">
        <v>87</v>
      </c>
      <c r="H2085" s="2" t="n">
        <v>2</v>
      </c>
      <c r="I2085" s="2" t="n">
        <v>9000</v>
      </c>
      <c r="J2085" s="2" t="n">
        <v>0</v>
      </c>
      <c r="K2085" s="2" t="n">
        <v>6200</v>
      </c>
    </row>
    <row r="2086" customFormat="false" ht="15" hidden="false" customHeight="false" outlineLevel="0" collapsed="false">
      <c r="A2086" s="2" t="s">
        <v>2963</v>
      </c>
      <c r="B2086" s="2" t="s">
        <v>2962</v>
      </c>
      <c r="C2086" s="10" t="n">
        <v>45751</v>
      </c>
      <c r="D2086" s="2" t="s">
        <v>63</v>
      </c>
      <c r="E2086" s="2" t="s">
        <v>92</v>
      </c>
      <c r="F2086" s="2" t="s">
        <v>70</v>
      </c>
      <c r="G2086" s="2" t="s">
        <v>126</v>
      </c>
      <c r="H2086" s="2" t="n">
        <v>3</v>
      </c>
      <c r="I2086" s="2" t="n">
        <v>4500</v>
      </c>
      <c r="J2086" s="2" t="n">
        <v>0</v>
      </c>
      <c r="K2086" s="2" t="n">
        <v>3300</v>
      </c>
    </row>
    <row r="2087" customFormat="false" ht="15" hidden="false" customHeight="false" outlineLevel="0" collapsed="false">
      <c r="A2087" s="2" t="s">
        <v>2964</v>
      </c>
      <c r="B2087" s="2" t="s">
        <v>2962</v>
      </c>
      <c r="C2087" s="10" t="n">
        <v>45699</v>
      </c>
      <c r="D2087" s="2" t="s">
        <v>63</v>
      </c>
      <c r="E2087" s="2" t="s">
        <v>92</v>
      </c>
      <c r="F2087" s="2" t="s">
        <v>70</v>
      </c>
      <c r="G2087" s="2" t="s">
        <v>126</v>
      </c>
      <c r="H2087" s="2" t="n">
        <v>4</v>
      </c>
      <c r="I2087" s="2" t="n">
        <v>4500</v>
      </c>
      <c r="J2087" s="2" t="n">
        <v>0.15</v>
      </c>
      <c r="K2087" s="2" t="n">
        <v>3300</v>
      </c>
    </row>
    <row r="2088" customFormat="false" ht="15" hidden="false" customHeight="false" outlineLevel="0" collapsed="false">
      <c r="A2088" s="2" t="s">
        <v>2965</v>
      </c>
      <c r="B2088" s="2" t="s">
        <v>2966</v>
      </c>
      <c r="C2088" s="10" t="n">
        <v>45682</v>
      </c>
      <c r="D2088" s="2" t="s">
        <v>77</v>
      </c>
      <c r="E2088" s="2" t="s">
        <v>64</v>
      </c>
      <c r="F2088" s="2" t="s">
        <v>65</v>
      </c>
      <c r="G2088" s="2" t="s">
        <v>107</v>
      </c>
      <c r="H2088" s="2" t="n">
        <v>6</v>
      </c>
      <c r="I2088" s="2" t="n">
        <v>500</v>
      </c>
      <c r="J2088" s="2" t="n">
        <v>0.1</v>
      </c>
      <c r="K2088" s="2" t="n">
        <v>250</v>
      </c>
    </row>
    <row r="2089" customFormat="false" ht="15" hidden="false" customHeight="false" outlineLevel="0" collapsed="false">
      <c r="A2089" s="2" t="s">
        <v>2967</v>
      </c>
      <c r="B2089" s="2" t="s">
        <v>2968</v>
      </c>
      <c r="C2089" s="10" t="n">
        <v>45689</v>
      </c>
      <c r="D2089" s="2" t="s">
        <v>63</v>
      </c>
      <c r="E2089" s="2" t="s">
        <v>64</v>
      </c>
      <c r="F2089" s="2" t="s">
        <v>65</v>
      </c>
      <c r="G2089" s="2" t="s">
        <v>66</v>
      </c>
      <c r="H2089" s="2" t="n">
        <v>4</v>
      </c>
      <c r="I2089" s="2" t="n">
        <v>600</v>
      </c>
      <c r="J2089" s="2" t="n">
        <v>0</v>
      </c>
      <c r="K2089" s="2" t="n">
        <v>300</v>
      </c>
    </row>
    <row r="2090" customFormat="false" ht="15" hidden="false" customHeight="false" outlineLevel="0" collapsed="false">
      <c r="A2090" s="2" t="s">
        <v>2969</v>
      </c>
      <c r="B2090" s="2" t="s">
        <v>2968</v>
      </c>
      <c r="C2090" s="10" t="n">
        <v>45661</v>
      </c>
      <c r="D2090" s="2" t="s">
        <v>63</v>
      </c>
      <c r="E2090" s="2" t="s">
        <v>64</v>
      </c>
      <c r="F2090" s="2" t="s">
        <v>70</v>
      </c>
      <c r="G2090" s="2" t="s">
        <v>126</v>
      </c>
      <c r="H2090" s="2" t="n">
        <v>2</v>
      </c>
      <c r="I2090" s="2" t="n">
        <v>4500</v>
      </c>
      <c r="J2090" s="2" t="n">
        <v>0</v>
      </c>
      <c r="K2090" s="2" t="n">
        <v>3300</v>
      </c>
    </row>
    <row r="2091" customFormat="false" ht="15" hidden="false" customHeight="false" outlineLevel="0" collapsed="false">
      <c r="A2091" s="2" t="s">
        <v>2970</v>
      </c>
      <c r="B2091" s="2" t="s">
        <v>2968</v>
      </c>
      <c r="C2091" s="10" t="n">
        <v>45890</v>
      </c>
      <c r="D2091" s="2" t="s">
        <v>63</v>
      </c>
      <c r="E2091" s="2" t="s">
        <v>64</v>
      </c>
      <c r="F2091" s="2" t="s">
        <v>70</v>
      </c>
      <c r="G2091" s="2" t="s">
        <v>122</v>
      </c>
      <c r="H2091" s="2" t="n">
        <v>3</v>
      </c>
      <c r="I2091" s="2" t="n">
        <v>1500</v>
      </c>
      <c r="J2091" s="2" t="n">
        <v>0</v>
      </c>
      <c r="K2091" s="2" t="n">
        <v>900</v>
      </c>
    </row>
    <row r="2092" customFormat="false" ht="15" hidden="false" customHeight="false" outlineLevel="0" collapsed="false">
      <c r="A2092" s="2" t="s">
        <v>2971</v>
      </c>
      <c r="B2092" s="2" t="s">
        <v>2968</v>
      </c>
      <c r="C2092" s="10" t="n">
        <v>45934</v>
      </c>
      <c r="D2092" s="2" t="s">
        <v>63</v>
      </c>
      <c r="E2092" s="2" t="s">
        <v>64</v>
      </c>
      <c r="F2092" s="2" t="s">
        <v>73</v>
      </c>
      <c r="G2092" s="2" t="s">
        <v>85</v>
      </c>
      <c r="H2092" s="2" t="n">
        <v>1</v>
      </c>
      <c r="I2092" s="2" t="n">
        <v>1200</v>
      </c>
      <c r="J2092" s="2" t="n">
        <v>0.15</v>
      </c>
      <c r="K2092" s="2" t="n">
        <v>600</v>
      </c>
    </row>
    <row r="2093" customFormat="false" ht="15" hidden="false" customHeight="false" outlineLevel="0" collapsed="false">
      <c r="A2093" s="2" t="s">
        <v>2972</v>
      </c>
      <c r="B2093" s="2" t="s">
        <v>2968</v>
      </c>
      <c r="C2093" s="10" t="n">
        <v>45946</v>
      </c>
      <c r="D2093" s="2" t="s">
        <v>63</v>
      </c>
      <c r="E2093" s="2" t="s">
        <v>64</v>
      </c>
      <c r="F2093" s="2" t="s">
        <v>65</v>
      </c>
      <c r="G2093" s="2" t="s">
        <v>66</v>
      </c>
      <c r="H2093" s="2" t="n">
        <v>8</v>
      </c>
      <c r="I2093" s="2" t="n">
        <v>600</v>
      </c>
      <c r="J2093" s="2" t="n">
        <v>0.15</v>
      </c>
      <c r="K2093" s="2" t="n">
        <v>300</v>
      </c>
    </row>
    <row r="2094" customFormat="false" ht="15" hidden="false" customHeight="false" outlineLevel="0" collapsed="false">
      <c r="A2094" s="2" t="s">
        <v>2973</v>
      </c>
      <c r="B2094" s="2" t="s">
        <v>2968</v>
      </c>
      <c r="C2094" s="10" t="n">
        <v>45659</v>
      </c>
      <c r="D2094" s="2" t="s">
        <v>63</v>
      </c>
      <c r="E2094" s="2" t="s">
        <v>64</v>
      </c>
      <c r="F2094" s="2" t="s">
        <v>70</v>
      </c>
      <c r="G2094" s="2" t="s">
        <v>126</v>
      </c>
      <c r="H2094" s="2" t="n">
        <v>2</v>
      </c>
      <c r="I2094" s="2" t="n">
        <v>4500</v>
      </c>
      <c r="J2094" s="2" t="n">
        <v>0</v>
      </c>
      <c r="K2094" s="2" t="n">
        <v>3300</v>
      </c>
    </row>
    <row r="2095" customFormat="false" ht="15" hidden="false" customHeight="false" outlineLevel="0" collapsed="false">
      <c r="A2095" s="2" t="s">
        <v>2974</v>
      </c>
      <c r="B2095" s="2" t="s">
        <v>2968</v>
      </c>
      <c r="C2095" s="10" t="n">
        <v>45667</v>
      </c>
      <c r="D2095" s="2" t="s">
        <v>63</v>
      </c>
      <c r="E2095" s="2" t="s">
        <v>64</v>
      </c>
      <c r="F2095" s="2" t="s">
        <v>65</v>
      </c>
      <c r="G2095" s="2" t="s">
        <v>66</v>
      </c>
      <c r="H2095" s="2" t="n">
        <v>3</v>
      </c>
      <c r="I2095" s="2" t="n">
        <v>600</v>
      </c>
      <c r="J2095" s="2" t="n">
        <v>0</v>
      </c>
      <c r="K2095" s="2" t="n">
        <v>300</v>
      </c>
    </row>
    <row r="2096" customFormat="false" ht="15" hidden="false" customHeight="false" outlineLevel="0" collapsed="false">
      <c r="A2096" s="2" t="s">
        <v>2975</v>
      </c>
      <c r="B2096" s="2" t="s">
        <v>2968</v>
      </c>
      <c r="C2096" s="10" t="n">
        <v>45791</v>
      </c>
      <c r="D2096" s="2" t="s">
        <v>63</v>
      </c>
      <c r="E2096" s="2" t="s">
        <v>64</v>
      </c>
      <c r="F2096" s="2" t="s">
        <v>73</v>
      </c>
      <c r="G2096" s="2" t="s">
        <v>87</v>
      </c>
      <c r="H2096" s="2" t="n">
        <v>2</v>
      </c>
      <c r="I2096" s="2" t="n">
        <v>9000</v>
      </c>
      <c r="J2096" s="2" t="n">
        <v>0</v>
      </c>
      <c r="K2096" s="2" t="n">
        <v>6200</v>
      </c>
    </row>
    <row r="2097" customFormat="false" ht="15" hidden="false" customHeight="false" outlineLevel="0" collapsed="false">
      <c r="A2097" s="2" t="s">
        <v>2976</v>
      </c>
      <c r="B2097" s="2" t="s">
        <v>2977</v>
      </c>
      <c r="C2097" s="10" t="n">
        <v>45986</v>
      </c>
      <c r="D2097" s="2" t="s">
        <v>81</v>
      </c>
      <c r="E2097" s="2" t="s">
        <v>69</v>
      </c>
      <c r="F2097" s="2" t="s">
        <v>73</v>
      </c>
      <c r="G2097" s="2" t="s">
        <v>74</v>
      </c>
      <c r="H2097" s="2" t="n">
        <v>3</v>
      </c>
      <c r="I2097" s="2" t="n">
        <v>7000</v>
      </c>
      <c r="J2097" s="2" t="n">
        <v>0.05</v>
      </c>
      <c r="K2097" s="2" t="n">
        <v>4800</v>
      </c>
    </row>
    <row r="2098" customFormat="false" ht="15" hidden="false" customHeight="false" outlineLevel="0" collapsed="false">
      <c r="A2098" s="2" t="s">
        <v>2978</v>
      </c>
      <c r="B2098" s="2" t="s">
        <v>2977</v>
      </c>
      <c r="C2098" s="10" t="n">
        <v>45902</v>
      </c>
      <c r="D2098" s="2" t="s">
        <v>81</v>
      </c>
      <c r="E2098" s="2" t="s">
        <v>69</v>
      </c>
      <c r="F2098" s="2" t="s">
        <v>73</v>
      </c>
      <c r="G2098" s="2" t="s">
        <v>87</v>
      </c>
      <c r="H2098" s="2" t="n">
        <v>5</v>
      </c>
      <c r="I2098" s="2" t="n">
        <v>9000</v>
      </c>
      <c r="J2098" s="2" t="n">
        <v>0.1</v>
      </c>
      <c r="K2098" s="2" t="n">
        <v>6200</v>
      </c>
    </row>
    <row r="2099" customFormat="false" ht="15" hidden="false" customHeight="false" outlineLevel="0" collapsed="false">
      <c r="A2099" s="2" t="s">
        <v>2979</v>
      </c>
      <c r="B2099" s="2" t="s">
        <v>2980</v>
      </c>
      <c r="C2099" s="10" t="n">
        <v>45787</v>
      </c>
      <c r="D2099" s="2" t="s">
        <v>77</v>
      </c>
      <c r="E2099" s="2" t="s">
        <v>92</v>
      </c>
      <c r="F2099" s="2" t="s">
        <v>73</v>
      </c>
      <c r="G2099" s="2" t="s">
        <v>104</v>
      </c>
      <c r="H2099" s="2" t="n">
        <v>6</v>
      </c>
      <c r="I2099" s="2" t="n">
        <v>5500</v>
      </c>
      <c r="J2099" s="2" t="n">
        <v>0</v>
      </c>
      <c r="K2099" s="2" t="n">
        <v>3600</v>
      </c>
    </row>
    <row r="2100" customFormat="false" ht="15" hidden="false" customHeight="false" outlineLevel="0" collapsed="false">
      <c r="A2100" s="2" t="s">
        <v>2981</v>
      </c>
      <c r="B2100" s="2" t="s">
        <v>2980</v>
      </c>
      <c r="C2100" s="10" t="n">
        <v>45661</v>
      </c>
      <c r="D2100" s="2" t="s">
        <v>77</v>
      </c>
      <c r="E2100" s="2" t="s">
        <v>92</v>
      </c>
      <c r="F2100" s="2" t="s">
        <v>73</v>
      </c>
      <c r="G2100" s="2" t="s">
        <v>104</v>
      </c>
      <c r="H2100" s="2" t="n">
        <v>4</v>
      </c>
      <c r="I2100" s="2" t="n">
        <v>5500</v>
      </c>
      <c r="J2100" s="2" t="n">
        <v>0.1</v>
      </c>
      <c r="K2100" s="2" t="n">
        <v>3600</v>
      </c>
    </row>
    <row r="2101" customFormat="false" ht="15" hidden="false" customHeight="false" outlineLevel="0" collapsed="false">
      <c r="A2101" s="2" t="s">
        <v>2982</v>
      </c>
      <c r="B2101" s="2" t="s">
        <v>2980</v>
      </c>
      <c r="C2101" s="10" t="n">
        <v>45859</v>
      </c>
      <c r="D2101" s="2" t="s">
        <v>77</v>
      </c>
      <c r="E2101" s="2" t="s">
        <v>92</v>
      </c>
      <c r="F2101" s="2" t="s">
        <v>70</v>
      </c>
      <c r="G2101" s="2" t="s">
        <v>97</v>
      </c>
      <c r="H2101" s="2" t="n">
        <v>7</v>
      </c>
      <c r="I2101" s="2" t="n">
        <v>3000</v>
      </c>
      <c r="J2101" s="2" t="n">
        <v>0.15</v>
      </c>
      <c r="K2101" s="2" t="n">
        <v>2000</v>
      </c>
    </row>
    <row r="2102" customFormat="false" ht="15" hidden="false" customHeight="false" outlineLevel="0" collapsed="false">
      <c r="A2102" s="2" t="s">
        <v>2983</v>
      </c>
      <c r="B2102" s="2" t="s">
        <v>2980</v>
      </c>
      <c r="C2102" s="10" t="n">
        <v>45723</v>
      </c>
      <c r="D2102" s="2" t="s">
        <v>77</v>
      </c>
      <c r="E2102" s="2" t="s">
        <v>92</v>
      </c>
      <c r="F2102" s="2" t="s">
        <v>65</v>
      </c>
      <c r="G2102" s="2" t="s">
        <v>78</v>
      </c>
      <c r="H2102" s="2" t="n">
        <v>34</v>
      </c>
      <c r="I2102" s="2" t="n">
        <v>400</v>
      </c>
      <c r="J2102" s="2" t="n">
        <v>0.05</v>
      </c>
      <c r="K2102" s="2" t="n">
        <v>200</v>
      </c>
    </row>
    <row r="2103" customFormat="false" ht="15" hidden="false" customHeight="false" outlineLevel="0" collapsed="false">
      <c r="A2103" s="2" t="s">
        <v>2984</v>
      </c>
      <c r="B2103" s="2" t="s">
        <v>2985</v>
      </c>
      <c r="C2103" s="10" t="n">
        <v>45957</v>
      </c>
      <c r="D2103" s="2" t="s">
        <v>77</v>
      </c>
      <c r="E2103" s="2" t="s">
        <v>69</v>
      </c>
      <c r="F2103" s="2" t="s">
        <v>65</v>
      </c>
      <c r="G2103" s="2" t="s">
        <v>78</v>
      </c>
      <c r="H2103" s="2" t="n">
        <v>7</v>
      </c>
      <c r="I2103" s="2" t="n">
        <v>400</v>
      </c>
      <c r="J2103" s="2" t="n">
        <v>0.15</v>
      </c>
      <c r="K2103" s="2" t="n">
        <v>200</v>
      </c>
    </row>
    <row r="2104" customFormat="false" ht="15" hidden="false" customHeight="false" outlineLevel="0" collapsed="false">
      <c r="A2104" s="2" t="s">
        <v>2986</v>
      </c>
      <c r="B2104" s="2" t="s">
        <v>2987</v>
      </c>
      <c r="C2104" s="10" t="n">
        <v>45741</v>
      </c>
      <c r="D2104" s="2"/>
      <c r="E2104" s="2" t="s">
        <v>92</v>
      </c>
      <c r="F2104" s="2" t="s">
        <v>73</v>
      </c>
      <c r="G2104" s="2" t="s">
        <v>74</v>
      </c>
      <c r="H2104" s="2" t="n">
        <v>5</v>
      </c>
      <c r="I2104" s="2" t="n">
        <v>7000</v>
      </c>
      <c r="J2104" s="2" t="n">
        <v>0.05</v>
      </c>
      <c r="K2104" s="2" t="n">
        <v>4800</v>
      </c>
    </row>
    <row r="2105" customFormat="false" ht="15" hidden="false" customHeight="false" outlineLevel="0" collapsed="false">
      <c r="A2105" s="2" t="s">
        <v>2988</v>
      </c>
      <c r="B2105" s="2" t="s">
        <v>2987</v>
      </c>
      <c r="C2105" s="10" t="n">
        <v>45797</v>
      </c>
      <c r="D2105" s="2" t="s">
        <v>91</v>
      </c>
      <c r="E2105" s="2" t="s">
        <v>92</v>
      </c>
      <c r="F2105" s="2" t="s">
        <v>70</v>
      </c>
      <c r="G2105" s="2" t="s">
        <v>97</v>
      </c>
      <c r="H2105" s="2" t="n">
        <v>5</v>
      </c>
      <c r="I2105" s="2" t="n">
        <v>3000</v>
      </c>
      <c r="J2105" s="2" t="n">
        <v>0.1</v>
      </c>
      <c r="K2105" s="2" t="n">
        <v>2000</v>
      </c>
    </row>
    <row r="2106" customFormat="false" ht="15" hidden="false" customHeight="false" outlineLevel="0" collapsed="false">
      <c r="A2106" s="2" t="s">
        <v>2989</v>
      </c>
      <c r="B2106" s="2" t="s">
        <v>2987</v>
      </c>
      <c r="C2106" s="10" t="n">
        <v>45679</v>
      </c>
      <c r="D2106" s="2" t="s">
        <v>91</v>
      </c>
      <c r="E2106" s="2" t="s">
        <v>92</v>
      </c>
      <c r="F2106" s="2" t="s">
        <v>73</v>
      </c>
      <c r="G2106" s="2" t="s">
        <v>104</v>
      </c>
      <c r="H2106" s="2" t="n">
        <v>7</v>
      </c>
      <c r="I2106" s="2" t="n">
        <v>5500</v>
      </c>
      <c r="J2106" s="2" t="n">
        <v>0.1</v>
      </c>
      <c r="K2106" s="2" t="n">
        <v>3600</v>
      </c>
    </row>
    <row r="2107" customFormat="false" ht="15" hidden="false" customHeight="false" outlineLevel="0" collapsed="false">
      <c r="A2107" s="2" t="s">
        <v>2990</v>
      </c>
      <c r="B2107" s="2" t="s">
        <v>2987</v>
      </c>
      <c r="C2107" s="10" t="n">
        <v>45752</v>
      </c>
      <c r="D2107" s="2" t="s">
        <v>91</v>
      </c>
      <c r="E2107" s="2" t="s">
        <v>92</v>
      </c>
      <c r="F2107" s="2" t="s">
        <v>73</v>
      </c>
      <c r="G2107" s="2" t="s">
        <v>74</v>
      </c>
      <c r="H2107" s="2" t="n">
        <v>7</v>
      </c>
      <c r="I2107" s="2" t="n">
        <v>7000</v>
      </c>
      <c r="J2107" s="2" t="n">
        <v>0.1</v>
      </c>
      <c r="K2107" s="2" t="n">
        <v>4800</v>
      </c>
    </row>
    <row r="2108" customFormat="false" ht="15" hidden="false" customHeight="false" outlineLevel="0" collapsed="false">
      <c r="A2108" s="2" t="s">
        <v>2991</v>
      </c>
      <c r="B2108" s="2" t="s">
        <v>2987</v>
      </c>
      <c r="C2108" s="10" t="n">
        <v>45971</v>
      </c>
      <c r="D2108" s="2" t="s">
        <v>91</v>
      </c>
      <c r="E2108" s="2" t="s">
        <v>92</v>
      </c>
      <c r="F2108" s="2" t="s">
        <v>73</v>
      </c>
      <c r="G2108" s="2" t="s">
        <v>74</v>
      </c>
      <c r="H2108" s="2" t="n">
        <v>8</v>
      </c>
      <c r="I2108" s="2" t="n">
        <v>7000</v>
      </c>
      <c r="J2108" s="2" t="n">
        <v>0.05</v>
      </c>
      <c r="K2108" s="2" t="n">
        <v>4800</v>
      </c>
    </row>
    <row r="2109" customFormat="false" ht="15" hidden="false" customHeight="false" outlineLevel="0" collapsed="false">
      <c r="A2109" s="2" t="s">
        <v>2992</v>
      </c>
      <c r="B2109" s="2" t="s">
        <v>2993</v>
      </c>
      <c r="C2109" s="10" t="n">
        <v>45963</v>
      </c>
      <c r="D2109" s="2" t="s">
        <v>91</v>
      </c>
      <c r="E2109" s="2" t="s">
        <v>92</v>
      </c>
      <c r="F2109" s="2" t="s">
        <v>70</v>
      </c>
      <c r="G2109" s="2" t="s">
        <v>122</v>
      </c>
      <c r="H2109" s="2" t="n">
        <v>6</v>
      </c>
      <c r="I2109" s="2" t="n">
        <v>1500</v>
      </c>
      <c r="J2109" s="2" t="n">
        <v>0.15</v>
      </c>
      <c r="K2109" s="2" t="n">
        <v>900</v>
      </c>
    </row>
    <row r="2110" customFormat="false" ht="15" hidden="false" customHeight="false" outlineLevel="0" collapsed="false">
      <c r="A2110" s="2" t="s">
        <v>2994</v>
      </c>
      <c r="B2110" s="2" t="s">
        <v>2993</v>
      </c>
      <c r="C2110" s="10" t="n">
        <v>45998</v>
      </c>
      <c r="D2110" s="2" t="s">
        <v>91</v>
      </c>
      <c r="E2110" s="2" t="s">
        <v>92</v>
      </c>
      <c r="F2110" s="2" t="s">
        <v>73</v>
      </c>
      <c r="G2110" s="2" t="s">
        <v>104</v>
      </c>
      <c r="H2110" s="2" t="n">
        <v>6</v>
      </c>
      <c r="I2110" s="2" t="n">
        <v>5500</v>
      </c>
      <c r="J2110" s="2" t="n">
        <v>0.15</v>
      </c>
      <c r="K2110" s="2" t="n">
        <v>3600</v>
      </c>
    </row>
    <row r="2111" customFormat="false" ht="15" hidden="false" customHeight="false" outlineLevel="0" collapsed="false">
      <c r="A2111" s="2" t="s">
        <v>2995</v>
      </c>
      <c r="B2111" s="2" t="s">
        <v>2993</v>
      </c>
      <c r="C2111" s="10" t="n">
        <v>45904</v>
      </c>
      <c r="D2111" s="2" t="s">
        <v>91</v>
      </c>
      <c r="E2111" s="2" t="s">
        <v>92</v>
      </c>
      <c r="F2111" s="2" t="s">
        <v>65</v>
      </c>
      <c r="G2111" s="2" t="s">
        <v>78</v>
      </c>
      <c r="H2111" s="2" t="n">
        <v>30</v>
      </c>
      <c r="I2111" s="2" t="n">
        <v>400</v>
      </c>
      <c r="J2111" s="2" t="n">
        <v>0.15</v>
      </c>
      <c r="K2111" s="2" t="n">
        <v>200</v>
      </c>
    </row>
    <row r="2112" customFormat="false" ht="15" hidden="false" customHeight="false" outlineLevel="0" collapsed="false">
      <c r="A2112" s="2" t="s">
        <v>2996</v>
      </c>
      <c r="B2112" s="2" t="s">
        <v>2993</v>
      </c>
      <c r="C2112" s="10" t="n">
        <v>45992</v>
      </c>
      <c r="D2112" s="2" t="s">
        <v>91</v>
      </c>
      <c r="E2112" s="2" t="s">
        <v>92</v>
      </c>
      <c r="F2112" s="2" t="s">
        <v>70</v>
      </c>
      <c r="G2112" s="2" t="s">
        <v>126</v>
      </c>
      <c r="H2112" s="2" t="n">
        <v>3</v>
      </c>
      <c r="I2112" s="2" t="n">
        <v>4500</v>
      </c>
      <c r="J2112" s="2" t="n">
        <v>0.15</v>
      </c>
      <c r="K2112" s="2" t="n">
        <v>3300</v>
      </c>
    </row>
    <row r="2113" customFormat="false" ht="15" hidden="false" customHeight="false" outlineLevel="0" collapsed="false">
      <c r="A2113" s="2" t="s">
        <v>2997</v>
      </c>
      <c r="B2113" s="2" t="s">
        <v>2998</v>
      </c>
      <c r="C2113" s="10" t="n">
        <v>46009</v>
      </c>
      <c r="D2113" s="2" t="s">
        <v>77</v>
      </c>
      <c r="E2113" s="2" t="s">
        <v>64</v>
      </c>
      <c r="F2113" s="2" t="s">
        <v>65</v>
      </c>
      <c r="G2113" s="2" t="s">
        <v>107</v>
      </c>
      <c r="H2113" s="2" t="n">
        <v>8</v>
      </c>
      <c r="I2113" s="2" t="n">
        <v>500</v>
      </c>
      <c r="J2113" s="2" t="n">
        <v>0.15</v>
      </c>
      <c r="K2113" s="2" t="n">
        <v>250</v>
      </c>
    </row>
    <row r="2114" customFormat="false" ht="15" hidden="false" customHeight="false" outlineLevel="0" collapsed="false">
      <c r="A2114" s="2" t="s">
        <v>403</v>
      </c>
      <c r="B2114" s="2" t="s">
        <v>404</v>
      </c>
      <c r="C2114" s="10" t="n">
        <v>45810</v>
      </c>
      <c r="D2114" s="2" t="s">
        <v>91</v>
      </c>
      <c r="E2114" s="2" t="s">
        <v>64</v>
      </c>
      <c r="F2114" s="2" t="s">
        <v>73</v>
      </c>
      <c r="G2114" s="2" t="s">
        <v>87</v>
      </c>
      <c r="H2114" s="2" t="n">
        <v>2</v>
      </c>
      <c r="I2114" s="2" t="n">
        <v>9000</v>
      </c>
      <c r="J2114" s="2" t="n">
        <v>0.1</v>
      </c>
      <c r="K2114" s="2" t="n">
        <v>6200</v>
      </c>
    </row>
    <row r="2115" customFormat="false" ht="15" hidden="false" customHeight="false" outlineLevel="0" collapsed="false">
      <c r="A2115" s="2" t="s">
        <v>1661</v>
      </c>
      <c r="B2115" s="2" t="s">
        <v>1655</v>
      </c>
      <c r="C2115" s="10" t="n">
        <v>45996</v>
      </c>
      <c r="D2115" s="2" t="s">
        <v>91</v>
      </c>
      <c r="E2115" s="2" t="s">
        <v>64</v>
      </c>
      <c r="F2115" s="2" t="s">
        <v>70</v>
      </c>
      <c r="G2115" s="2" t="s">
        <v>71</v>
      </c>
      <c r="H2115" s="2" t="n">
        <v>3</v>
      </c>
      <c r="I2115" s="2" t="n">
        <v>2500</v>
      </c>
      <c r="J2115" s="2" t="n">
        <v>0.1</v>
      </c>
      <c r="K2115" s="2" t="n">
        <v>1600</v>
      </c>
    </row>
    <row r="2116" customFormat="false" ht="15" hidden="false" customHeight="false" outlineLevel="0" collapsed="false">
      <c r="A2116" s="2" t="s">
        <v>498</v>
      </c>
      <c r="B2116" s="2" t="s">
        <v>492</v>
      </c>
      <c r="C2116" s="10" t="n">
        <v>45685</v>
      </c>
      <c r="D2116" s="2" t="s">
        <v>77</v>
      </c>
      <c r="E2116" s="2" t="s">
        <v>64</v>
      </c>
      <c r="F2116" s="2" t="s">
        <v>65</v>
      </c>
      <c r="G2116" s="2" t="s">
        <v>66</v>
      </c>
      <c r="H2116" s="2" t="n">
        <v>6</v>
      </c>
      <c r="I2116" s="2" t="n">
        <v>600</v>
      </c>
      <c r="J2116" s="2" t="n">
        <v>0</v>
      </c>
      <c r="K2116" s="2" t="n">
        <v>300</v>
      </c>
    </row>
    <row r="2117" customFormat="false" ht="15" hidden="false" customHeight="false" outlineLevel="0" collapsed="false">
      <c r="A2117" s="2" t="s">
        <v>1583</v>
      </c>
      <c r="B2117" s="2" t="s">
        <v>1579</v>
      </c>
      <c r="C2117" s="10" t="n">
        <v>45967</v>
      </c>
      <c r="D2117" s="2" t="s">
        <v>77</v>
      </c>
      <c r="E2117" s="2" t="s">
        <v>92</v>
      </c>
      <c r="F2117" s="2" t="s">
        <v>70</v>
      </c>
      <c r="G2117" s="2" t="s">
        <v>126</v>
      </c>
      <c r="H2117" s="2" t="n">
        <v>2</v>
      </c>
      <c r="I2117" s="2" t="n">
        <v>4500</v>
      </c>
      <c r="J2117" s="2" t="n">
        <v>0.05</v>
      </c>
      <c r="K2117" s="2" t="n">
        <v>3300</v>
      </c>
    </row>
    <row r="2118" customFormat="false" ht="15" hidden="false" customHeight="false" outlineLevel="0" collapsed="false">
      <c r="A2118" s="2" t="s">
        <v>1384</v>
      </c>
      <c r="B2118" s="2" t="s">
        <v>1382</v>
      </c>
      <c r="C2118" s="10" t="n">
        <v>45782</v>
      </c>
      <c r="D2118" s="2" t="s">
        <v>63</v>
      </c>
      <c r="E2118" s="2" t="s">
        <v>92</v>
      </c>
      <c r="F2118" s="2" t="s">
        <v>73</v>
      </c>
      <c r="G2118" s="2" t="s">
        <v>87</v>
      </c>
      <c r="H2118" s="2" t="n">
        <v>3</v>
      </c>
      <c r="I2118" s="2" t="n">
        <v>9000</v>
      </c>
      <c r="J2118" s="2" t="n">
        <v>0.1</v>
      </c>
      <c r="K2118" s="2" t="n">
        <v>6200</v>
      </c>
    </row>
    <row r="2119" customFormat="false" ht="15" hidden="false" customHeight="false" outlineLevel="0" collapsed="false">
      <c r="A2119" s="2" t="s">
        <v>2960</v>
      </c>
      <c r="B2119" s="2" t="s">
        <v>2958</v>
      </c>
      <c r="C2119" s="10" t="n">
        <v>45893</v>
      </c>
      <c r="D2119" s="2" t="s">
        <v>63</v>
      </c>
      <c r="E2119" s="2" t="s">
        <v>64</v>
      </c>
      <c r="F2119" s="2" t="s">
        <v>70</v>
      </c>
      <c r="G2119" s="2" t="s">
        <v>71</v>
      </c>
      <c r="H2119" s="2" t="n">
        <v>3</v>
      </c>
      <c r="I2119" s="2" t="n">
        <v>2500</v>
      </c>
      <c r="J2119" s="2" t="n">
        <v>0</v>
      </c>
      <c r="K2119" s="2" t="n">
        <v>1600</v>
      </c>
    </row>
    <row r="2120" customFormat="false" ht="15" hidden="false" customHeight="false" outlineLevel="0" collapsed="false">
      <c r="A2120" s="2" t="s">
        <v>2844</v>
      </c>
      <c r="B2120" s="2"/>
      <c r="C2120" s="10" t="n">
        <v>45953</v>
      </c>
      <c r="D2120" s="2" t="s">
        <v>77</v>
      </c>
      <c r="E2120" s="2" t="s">
        <v>64</v>
      </c>
      <c r="F2120" s="2" t="s">
        <v>70</v>
      </c>
      <c r="G2120" s="2" t="s">
        <v>71</v>
      </c>
      <c r="H2120" s="2" t="n">
        <v>3</v>
      </c>
      <c r="I2120" s="2" t="n">
        <v>2500</v>
      </c>
      <c r="J2120" s="2" t="n">
        <v>0.15</v>
      </c>
      <c r="K2120" s="2" t="n">
        <v>1600</v>
      </c>
    </row>
    <row r="2121" customFormat="false" ht="15" hidden="false" customHeight="false" outlineLevel="0" collapsed="false">
      <c r="A2121" s="2" t="s">
        <v>1326</v>
      </c>
      <c r="B2121" s="2" t="s">
        <v>1319</v>
      </c>
      <c r="C2121" s="10" t="n">
        <v>45669</v>
      </c>
      <c r="D2121" s="2" t="s">
        <v>77</v>
      </c>
      <c r="E2121" s="2" t="s">
        <v>92</v>
      </c>
      <c r="F2121" s="2" t="s">
        <v>73</v>
      </c>
      <c r="G2121" s="2" t="s">
        <v>74</v>
      </c>
      <c r="H2121" s="2" t="n">
        <v>7</v>
      </c>
      <c r="I2121" s="2" t="n">
        <v>7000</v>
      </c>
      <c r="J2121" s="2" t="n">
        <v>0.1</v>
      </c>
      <c r="K2121" s="2" t="n">
        <v>4800</v>
      </c>
    </row>
    <row r="2122" customFormat="false" ht="15" hidden="false" customHeight="false" outlineLevel="0" collapsed="false">
      <c r="A2122" s="2" t="s">
        <v>315</v>
      </c>
      <c r="B2122" s="2" t="s">
        <v>310</v>
      </c>
      <c r="C2122" s="10" t="n">
        <v>45896</v>
      </c>
      <c r="D2122" s="2" t="s">
        <v>91</v>
      </c>
      <c r="E2122" s="2" t="s">
        <v>69</v>
      </c>
      <c r="F2122" s="2" t="s">
        <v>73</v>
      </c>
      <c r="G2122" s="2" t="s">
        <v>85</v>
      </c>
      <c r="H2122" s="2" t="n">
        <v>3</v>
      </c>
      <c r="I2122" s="2" t="n">
        <v>1200</v>
      </c>
      <c r="J2122" s="2" t="n">
        <v>0.05</v>
      </c>
      <c r="K2122" s="2" t="n">
        <v>600</v>
      </c>
    </row>
    <row r="2123" customFormat="false" ht="15" hidden="false" customHeight="false" outlineLevel="0" collapsed="false">
      <c r="A2123" s="2" t="s">
        <v>1660</v>
      </c>
      <c r="B2123" s="2" t="s">
        <v>1655</v>
      </c>
      <c r="C2123" s="10" t="n">
        <v>45706</v>
      </c>
      <c r="D2123" s="2" t="s">
        <v>91</v>
      </c>
      <c r="E2123" s="2" t="s">
        <v>64</v>
      </c>
      <c r="F2123" s="2" t="s">
        <v>70</v>
      </c>
      <c r="G2123" s="2" t="s">
        <v>71</v>
      </c>
      <c r="H2123" s="2" t="n">
        <v>3</v>
      </c>
      <c r="I2123" s="2" t="n">
        <v>2500</v>
      </c>
      <c r="J2123" s="2" t="n">
        <v>0.05</v>
      </c>
      <c r="K2123" s="2" t="n">
        <v>1600</v>
      </c>
    </row>
    <row r="2124" customFormat="false" ht="15" hidden="false" customHeight="false" outlineLevel="0" collapsed="false">
      <c r="A2124" s="2" t="s">
        <v>2947</v>
      </c>
      <c r="B2124" s="2" t="s">
        <v>2945</v>
      </c>
      <c r="C2124" s="10" t="n">
        <v>45794</v>
      </c>
      <c r="D2124" s="2" t="s">
        <v>91</v>
      </c>
      <c r="E2124" s="2" t="s">
        <v>92</v>
      </c>
      <c r="F2124" s="2" t="s">
        <v>70</v>
      </c>
      <c r="G2124" s="2" t="s">
        <v>97</v>
      </c>
      <c r="H2124" s="2" t="n">
        <v>8</v>
      </c>
      <c r="I2124" s="2" t="n">
        <v>3000</v>
      </c>
      <c r="J2124" s="2" t="n">
        <v>0.1</v>
      </c>
      <c r="K2124" s="2" t="n">
        <v>2000</v>
      </c>
    </row>
    <row r="2125" customFormat="false" ht="15" hidden="false" customHeight="false" outlineLevel="0" collapsed="false">
      <c r="A2125" s="2" t="s">
        <v>1867</v>
      </c>
      <c r="B2125" s="2" t="s">
        <v>1861</v>
      </c>
      <c r="C2125" s="10" t="n">
        <v>45757</v>
      </c>
      <c r="D2125" s="2" t="s">
        <v>81</v>
      </c>
      <c r="E2125" s="2" t="s">
        <v>92</v>
      </c>
      <c r="F2125" s="2" t="s">
        <v>70</v>
      </c>
      <c r="G2125" s="2" t="s">
        <v>71</v>
      </c>
      <c r="H2125" s="2" t="n">
        <v>6</v>
      </c>
      <c r="I2125" s="2" t="n">
        <v>2500</v>
      </c>
      <c r="J2125" s="2" t="n">
        <v>0.15</v>
      </c>
      <c r="K2125" s="2" t="n">
        <v>1600</v>
      </c>
    </row>
    <row r="2126" customFormat="false" ht="15" hidden="false" customHeight="false" outlineLevel="0" collapsed="false">
      <c r="A2126" s="2" t="s">
        <v>1876</v>
      </c>
      <c r="B2126" s="2" t="s">
        <v>1877</v>
      </c>
      <c r="C2126" s="10" t="n">
        <v>45834</v>
      </c>
      <c r="D2126" s="2" t="s">
        <v>77</v>
      </c>
      <c r="E2126" s="2" t="s">
        <v>64</v>
      </c>
      <c r="F2126" s="2" t="s">
        <v>73</v>
      </c>
      <c r="G2126" s="2" t="s">
        <v>87</v>
      </c>
      <c r="H2126" s="2" t="n">
        <v>2</v>
      </c>
      <c r="I2126" s="2" t="n">
        <v>9000</v>
      </c>
      <c r="J2126" s="2" t="n">
        <v>0.1</v>
      </c>
      <c r="K2126" s="2" t="n">
        <v>6200</v>
      </c>
    </row>
    <row r="2127" customFormat="false" ht="15" hidden="false" customHeight="false" outlineLevel="0" collapsed="false">
      <c r="A2127" s="2" t="s">
        <v>1905</v>
      </c>
      <c r="B2127" s="2" t="s">
        <v>1901</v>
      </c>
      <c r="C2127" s="10" t="n">
        <v>45723</v>
      </c>
      <c r="D2127" s="2" t="s">
        <v>63</v>
      </c>
      <c r="E2127" s="2" t="s">
        <v>64</v>
      </c>
      <c r="F2127" s="2" t="s">
        <v>73</v>
      </c>
      <c r="G2127" s="2" t="s">
        <v>85</v>
      </c>
      <c r="H2127" s="2" t="n">
        <v>2</v>
      </c>
      <c r="I2127" s="2" t="n">
        <v>1200</v>
      </c>
      <c r="J2127" s="2" t="n">
        <v>0</v>
      </c>
      <c r="K2127" s="2" t="n">
        <v>600</v>
      </c>
    </row>
    <row r="2128" customFormat="false" ht="15" hidden="false" customHeight="false" outlineLevel="0" collapsed="false">
      <c r="A2128" s="2" t="s">
        <v>1019</v>
      </c>
      <c r="B2128" s="2" t="s">
        <v>1016</v>
      </c>
      <c r="C2128" s="10" t="n">
        <v>45847</v>
      </c>
      <c r="D2128" s="2" t="s">
        <v>81</v>
      </c>
      <c r="E2128" s="2" t="s">
        <v>64</v>
      </c>
      <c r="F2128" s="2" t="s">
        <v>65</v>
      </c>
      <c r="G2128" s="2" t="s">
        <v>66</v>
      </c>
      <c r="H2128" s="2" t="n">
        <v>3</v>
      </c>
      <c r="I2128" s="2" t="n">
        <v>600</v>
      </c>
      <c r="J2128" s="2" t="n">
        <v>0</v>
      </c>
      <c r="K2128" s="2" t="n">
        <v>300</v>
      </c>
    </row>
    <row r="2129" customFormat="false" ht="15" hidden="false" customHeight="false" outlineLevel="0" collapsed="false">
      <c r="A2129" s="2" t="s">
        <v>199</v>
      </c>
      <c r="B2129" s="2" t="s">
        <v>196</v>
      </c>
      <c r="C2129" s="10" t="n">
        <v>45803</v>
      </c>
      <c r="D2129" s="2" t="s">
        <v>77</v>
      </c>
      <c r="E2129" s="2" t="s">
        <v>64</v>
      </c>
      <c r="F2129" s="2" t="s">
        <v>73</v>
      </c>
      <c r="G2129" s="2" t="s">
        <v>85</v>
      </c>
      <c r="H2129" s="2" t="n">
        <v>3</v>
      </c>
      <c r="I2129" s="2" t="n">
        <v>1200</v>
      </c>
      <c r="J2129" s="2" t="n">
        <v>0</v>
      </c>
      <c r="K2129" s="2" t="n">
        <v>600</v>
      </c>
    </row>
    <row r="2130" customFormat="false" ht="15" hidden="false" customHeight="false" outlineLevel="0" collapsed="false">
      <c r="A2130" s="2" t="s">
        <v>1024</v>
      </c>
      <c r="B2130" s="2" t="s">
        <v>1023</v>
      </c>
      <c r="C2130" s="10" t="n">
        <v>45680</v>
      </c>
      <c r="D2130" s="2" t="s">
        <v>77</v>
      </c>
      <c r="E2130" s="2" t="s">
        <v>92</v>
      </c>
      <c r="F2130" s="2" t="s">
        <v>70</v>
      </c>
      <c r="G2130" s="2" t="s">
        <v>97</v>
      </c>
      <c r="H2130" s="2" t="n">
        <v>6</v>
      </c>
      <c r="I2130" s="2" t="n">
        <v>3000</v>
      </c>
      <c r="J2130" s="2" t="n">
        <v>0.1</v>
      </c>
      <c r="K2130" s="2" t="n">
        <v>2000</v>
      </c>
    </row>
    <row r="2131" customFormat="false" ht="15" hidden="false" customHeight="false" outlineLevel="0" collapsed="false">
      <c r="A2131" s="2" t="s">
        <v>234</v>
      </c>
      <c r="B2131" s="2" t="s">
        <v>232</v>
      </c>
      <c r="C2131" s="10" t="n">
        <v>45682</v>
      </c>
      <c r="D2131" s="2" t="s">
        <v>77</v>
      </c>
      <c r="E2131" s="2" t="s">
        <v>64</v>
      </c>
      <c r="F2131" s="2" t="s">
        <v>73</v>
      </c>
      <c r="G2131" s="2" t="s">
        <v>85</v>
      </c>
      <c r="H2131" s="2" t="n">
        <v>1</v>
      </c>
      <c r="I2131" s="2" t="n">
        <v>1200</v>
      </c>
      <c r="J2131" s="2" t="n">
        <v>0</v>
      </c>
      <c r="K2131" s="2" t="n">
        <v>600</v>
      </c>
    </row>
    <row r="2132" customFormat="false" ht="15" hidden="false" customHeight="false" outlineLevel="0" collapsed="false">
      <c r="A2132" s="2" t="s">
        <v>1196</v>
      </c>
      <c r="B2132" s="2" t="s">
        <v>1195</v>
      </c>
      <c r="C2132" s="10" t="n">
        <v>45773</v>
      </c>
      <c r="D2132" s="2" t="s">
        <v>337</v>
      </c>
      <c r="E2132" s="2" t="s">
        <v>92</v>
      </c>
      <c r="F2132" s="2" t="s">
        <v>73</v>
      </c>
      <c r="G2132" s="2" t="s">
        <v>87</v>
      </c>
      <c r="H2132" s="2" t="n">
        <v>8</v>
      </c>
      <c r="I2132" s="2" t="n">
        <v>9000</v>
      </c>
      <c r="J2132" s="2" t="n">
        <v>0</v>
      </c>
      <c r="K2132" s="2" t="n">
        <v>6200</v>
      </c>
    </row>
    <row r="2133" customFormat="false" ht="15" hidden="false" customHeight="false" outlineLevel="0" collapsed="false">
      <c r="A2133" s="2" t="s">
        <v>1859</v>
      </c>
      <c r="B2133" s="2" t="s">
        <v>1856</v>
      </c>
      <c r="C2133" s="10" t="n">
        <v>45676</v>
      </c>
      <c r="D2133" s="2" t="s">
        <v>81</v>
      </c>
      <c r="E2133" s="2" t="s">
        <v>92</v>
      </c>
      <c r="F2133" s="2" t="s">
        <v>70</v>
      </c>
      <c r="G2133" s="2" t="s">
        <v>71</v>
      </c>
      <c r="H2133" s="2" t="n">
        <v>5</v>
      </c>
      <c r="I2133" s="2" t="n">
        <v>2500</v>
      </c>
      <c r="J2133" s="2" t="n">
        <v>0.1</v>
      </c>
      <c r="K2133" s="2" t="n">
        <v>1600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80"/>
    <col collapsed="false" customWidth="true" hidden="false" outlineLevel="0" max="3" min="3" style="0" width="14"/>
  </cols>
  <sheetData>
    <row r="1" customFormat="false" ht="26.85" hidden="false" customHeight="false" outlineLevel="0" collapsed="false">
      <c r="A1" s="9" t="s">
        <v>2999</v>
      </c>
      <c r="B1" s="9" t="s">
        <v>3000</v>
      </c>
      <c r="C1" s="9" t="s">
        <v>3001</v>
      </c>
    </row>
    <row r="2" customFormat="false" ht="15" hidden="false" customHeight="false" outlineLevel="0" collapsed="false">
      <c r="A2" s="2" t="s">
        <v>3002</v>
      </c>
      <c r="B2" s="2" t="s">
        <v>3003</v>
      </c>
      <c r="C2" s="2" t="n">
        <v>2132</v>
      </c>
    </row>
    <row r="3" customFormat="false" ht="15" hidden="false" customHeight="false" outlineLevel="0" collapsed="false">
      <c r="A3" s="2" t="s">
        <v>3004</v>
      </c>
      <c r="B3" s="2" t="s">
        <v>3005</v>
      </c>
      <c r="C3" s="2" t="n">
        <v>20</v>
      </c>
    </row>
    <row r="4" customFormat="false" ht="15" hidden="false" customHeight="false" outlineLevel="0" collapsed="false">
      <c r="A4" s="2" t="s">
        <v>3006</v>
      </c>
      <c r="B4" s="2" t="s">
        <v>3007</v>
      </c>
      <c r="C4" s="2" t="n">
        <v>26</v>
      </c>
    </row>
    <row r="5" customFormat="false" ht="15" hidden="false" customHeight="false" outlineLevel="0" collapsed="false">
      <c r="A5" s="2" t="s">
        <v>3008</v>
      </c>
      <c r="B5" s="2" t="s">
        <v>3009</v>
      </c>
      <c r="C5" s="2" t="n">
        <v>10</v>
      </c>
    </row>
    <row r="6" customFormat="false" ht="15" hidden="false" customHeight="false" outlineLevel="0" collapsed="false">
      <c r="A6" s="2" t="s">
        <v>3010</v>
      </c>
      <c r="B6" s="2" t="s">
        <v>3011</v>
      </c>
      <c r="C6" s="2" t="n">
        <v>15</v>
      </c>
    </row>
    <row r="7" customFormat="false" ht="15" hidden="false" customHeight="false" outlineLevel="0" collapsed="false">
      <c r="A7" s="2" t="s">
        <v>3012</v>
      </c>
      <c r="B7" s="2" t="s">
        <v>3013</v>
      </c>
      <c r="C7" s="2" t="n">
        <v>12</v>
      </c>
    </row>
    <row r="8" customFormat="false" ht="15" hidden="false" customHeight="false" outlineLevel="0" collapsed="false">
      <c r="A8" s="2" t="s">
        <v>3014</v>
      </c>
      <c r="B8" s="2" t="s">
        <v>3015</v>
      </c>
      <c r="C8" s="2" t="n">
        <v>2085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9"/>
    <col collapsed="false" customWidth="true" hidden="false" outlineLevel="0" max="9" min="9" style="0" width="6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4" min="13" style="0" width="12"/>
  </cols>
  <sheetData>
    <row r="1" customFormat="false" ht="26.85" hidden="false" customHeight="false" outlineLevel="0" collapsed="false">
      <c r="A1" s="9" t="s">
        <v>50</v>
      </c>
      <c r="B1" s="9" t="s">
        <v>51</v>
      </c>
      <c r="C1" s="9" t="s">
        <v>52</v>
      </c>
      <c r="D1" s="9" t="s">
        <v>3016</v>
      </c>
      <c r="E1" s="9" t="s">
        <v>53</v>
      </c>
      <c r="F1" s="9" t="s">
        <v>54</v>
      </c>
      <c r="G1" s="9" t="s">
        <v>55</v>
      </c>
      <c r="H1" s="9" t="s">
        <v>56</v>
      </c>
      <c r="I1" s="9" t="s">
        <v>57</v>
      </c>
      <c r="J1" s="9" t="s">
        <v>58</v>
      </c>
      <c r="K1" s="9" t="s">
        <v>59</v>
      </c>
      <c r="L1" s="9" t="s">
        <v>60</v>
      </c>
      <c r="M1" s="9" t="s">
        <v>3017</v>
      </c>
      <c r="N1" s="9" t="s">
        <v>3018</v>
      </c>
    </row>
    <row r="2" customFormat="false" ht="15" hidden="false" customHeight="false" outlineLevel="0" collapsed="false">
      <c r="A2" s="2" t="s">
        <v>436</v>
      </c>
      <c r="B2" s="2" t="s">
        <v>437</v>
      </c>
      <c r="C2" s="10" t="n">
        <v>45658</v>
      </c>
      <c r="D2" s="2" t="n">
        <f aca="false">MONTH(C2)</f>
        <v>1</v>
      </c>
      <c r="E2" s="2" t="s">
        <v>77</v>
      </c>
      <c r="F2" s="2" t="s">
        <v>69</v>
      </c>
      <c r="G2" s="2" t="s">
        <v>70</v>
      </c>
      <c r="H2" s="2" t="s">
        <v>71</v>
      </c>
      <c r="I2" s="2" t="n">
        <v>4</v>
      </c>
      <c r="J2" s="11" t="n">
        <v>2500</v>
      </c>
      <c r="K2" s="12" t="n">
        <v>0.1</v>
      </c>
      <c r="L2" s="11" t="n">
        <v>1600</v>
      </c>
      <c r="M2" s="11" t="n">
        <f aca="false">I2*J2*(1-K2)</f>
        <v>9000</v>
      </c>
      <c r="N2" s="11" t="n">
        <f aca="false">M2-I2*L2</f>
        <v>2600</v>
      </c>
    </row>
    <row r="3" customFormat="false" ht="15" hidden="false" customHeight="false" outlineLevel="0" collapsed="false">
      <c r="A3" s="2" t="s">
        <v>1242</v>
      </c>
      <c r="B3" s="2" t="s">
        <v>1243</v>
      </c>
      <c r="C3" s="10" t="n">
        <v>45658</v>
      </c>
      <c r="D3" s="2" t="n">
        <f aca="false">MONTH(C3)</f>
        <v>1</v>
      </c>
      <c r="E3" s="2" t="s">
        <v>77</v>
      </c>
      <c r="F3" s="2" t="s">
        <v>69</v>
      </c>
      <c r="G3" s="2" t="s">
        <v>65</v>
      </c>
      <c r="H3" s="2" t="s">
        <v>82</v>
      </c>
      <c r="I3" s="2" t="n">
        <v>5</v>
      </c>
      <c r="J3" s="11" t="n">
        <v>250</v>
      </c>
      <c r="K3" s="12" t="n">
        <v>0</v>
      </c>
      <c r="L3" s="11" t="n">
        <v>100</v>
      </c>
      <c r="M3" s="11" t="n">
        <f aca="false">I3*J3*(1-K3)</f>
        <v>1250</v>
      </c>
      <c r="N3" s="11" t="n">
        <f aca="false">M3-I3*L3</f>
        <v>750</v>
      </c>
    </row>
    <row r="4" customFormat="false" ht="15" hidden="false" customHeight="false" outlineLevel="0" collapsed="false">
      <c r="A4" s="2" t="s">
        <v>1253</v>
      </c>
      <c r="B4" s="2" t="s">
        <v>1252</v>
      </c>
      <c r="C4" s="10" t="n">
        <v>45658</v>
      </c>
      <c r="D4" s="2" t="n">
        <f aca="false">MONTH(C4)</f>
        <v>1</v>
      </c>
      <c r="E4" s="2" t="s">
        <v>81</v>
      </c>
      <c r="F4" s="2" t="s">
        <v>64</v>
      </c>
      <c r="G4" s="2" t="s">
        <v>73</v>
      </c>
      <c r="H4" s="2" t="s">
        <v>87</v>
      </c>
      <c r="I4" s="2" t="n">
        <v>2</v>
      </c>
      <c r="J4" s="11" t="n">
        <v>9000</v>
      </c>
      <c r="K4" s="12" t="n">
        <v>0.1</v>
      </c>
      <c r="L4" s="11" t="n">
        <v>6200</v>
      </c>
      <c r="M4" s="11" t="n">
        <f aca="false">I4*J4*(1-K4)</f>
        <v>16200</v>
      </c>
      <c r="N4" s="11" t="n">
        <f aca="false">M4-I4*L4</f>
        <v>3800</v>
      </c>
    </row>
    <row r="5" customFormat="false" ht="15" hidden="false" customHeight="false" outlineLevel="0" collapsed="false">
      <c r="A5" s="2" t="s">
        <v>1532</v>
      </c>
      <c r="B5" s="2" t="s">
        <v>1531</v>
      </c>
      <c r="C5" s="10" t="n">
        <v>45658</v>
      </c>
      <c r="D5" s="2" t="n">
        <f aca="false">MONTH(C5)</f>
        <v>1</v>
      </c>
      <c r="E5" s="2" t="s">
        <v>81</v>
      </c>
      <c r="F5" s="2" t="s">
        <v>69</v>
      </c>
      <c r="G5" s="2" t="s">
        <v>70</v>
      </c>
      <c r="H5" s="2" t="s">
        <v>122</v>
      </c>
      <c r="I5" s="2" t="n">
        <v>1</v>
      </c>
      <c r="J5" s="11" t="n">
        <v>1500</v>
      </c>
      <c r="K5" s="12" t="n">
        <v>0.1</v>
      </c>
      <c r="L5" s="11" t="n">
        <v>900</v>
      </c>
      <c r="M5" s="11" t="n">
        <f aca="false">I5*J5*(1-K5)</f>
        <v>1350</v>
      </c>
      <c r="N5" s="11" t="n">
        <f aca="false">M5-I5*L5</f>
        <v>450</v>
      </c>
    </row>
    <row r="6" customFormat="false" ht="15" hidden="false" customHeight="false" outlineLevel="0" collapsed="false">
      <c r="A6" s="2" t="s">
        <v>1922</v>
      </c>
      <c r="B6" s="2" t="s">
        <v>1920</v>
      </c>
      <c r="C6" s="10" t="n">
        <v>45658</v>
      </c>
      <c r="D6" s="2" t="n">
        <f aca="false">MONTH(C6)</f>
        <v>1</v>
      </c>
      <c r="E6" s="2" t="s">
        <v>77</v>
      </c>
      <c r="F6" s="2" t="s">
        <v>92</v>
      </c>
      <c r="G6" s="2" t="s">
        <v>73</v>
      </c>
      <c r="H6" s="2" t="s">
        <v>85</v>
      </c>
      <c r="I6" s="2" t="n">
        <v>5</v>
      </c>
      <c r="J6" s="11" t="n">
        <v>1200</v>
      </c>
      <c r="K6" s="12" t="n">
        <v>0</v>
      </c>
      <c r="L6" s="11" t="n">
        <v>600</v>
      </c>
      <c r="M6" s="11" t="n">
        <f aca="false">I6*J6*(1-K6)</f>
        <v>6000</v>
      </c>
      <c r="N6" s="11" t="n">
        <f aca="false">M6-I6*L6</f>
        <v>3000</v>
      </c>
    </row>
    <row r="7" customFormat="false" ht="15" hidden="false" customHeight="false" outlineLevel="0" collapsed="false">
      <c r="A7" s="2" t="s">
        <v>912</v>
      </c>
      <c r="B7" s="2" t="s">
        <v>910</v>
      </c>
      <c r="C7" s="10" t="n">
        <v>45659</v>
      </c>
      <c r="D7" s="2" t="n">
        <f aca="false">MONTH(C7)</f>
        <v>1</v>
      </c>
      <c r="E7" s="2" t="s">
        <v>91</v>
      </c>
      <c r="F7" s="2" t="s">
        <v>69</v>
      </c>
      <c r="G7" s="2" t="s">
        <v>73</v>
      </c>
      <c r="H7" s="2" t="s">
        <v>85</v>
      </c>
      <c r="I7" s="2" t="n">
        <v>2</v>
      </c>
      <c r="J7" s="11" t="n">
        <v>1200</v>
      </c>
      <c r="K7" s="12" t="n">
        <v>0.1</v>
      </c>
      <c r="L7" s="11" t="n">
        <v>600</v>
      </c>
      <c r="M7" s="11" t="n">
        <f aca="false">I7*J7*(1-K7)</f>
        <v>2160</v>
      </c>
      <c r="N7" s="11" t="n">
        <f aca="false">M7-I7*L7</f>
        <v>960</v>
      </c>
    </row>
    <row r="8" customFormat="false" ht="15" hidden="false" customHeight="false" outlineLevel="0" collapsed="false">
      <c r="A8" s="2" t="s">
        <v>1098</v>
      </c>
      <c r="B8" s="2" t="s">
        <v>1099</v>
      </c>
      <c r="C8" s="10" t="n">
        <v>45659</v>
      </c>
      <c r="D8" s="2" t="n">
        <f aca="false">MONTH(C8)</f>
        <v>1</v>
      </c>
      <c r="E8" s="2" t="s">
        <v>81</v>
      </c>
      <c r="F8" s="2" t="s">
        <v>64</v>
      </c>
      <c r="G8" s="2" t="s">
        <v>73</v>
      </c>
      <c r="H8" s="2" t="s">
        <v>74</v>
      </c>
      <c r="I8" s="2" t="n">
        <v>2</v>
      </c>
      <c r="J8" s="11" t="n">
        <v>7000</v>
      </c>
      <c r="K8" s="12" t="n">
        <v>0</v>
      </c>
      <c r="L8" s="11" t="n">
        <v>4800</v>
      </c>
      <c r="M8" s="11" t="n">
        <f aca="false">I8*J8*(1-K8)</f>
        <v>14000</v>
      </c>
      <c r="N8" s="11" t="n">
        <f aca="false">M8-I8*L8</f>
        <v>4400</v>
      </c>
    </row>
    <row r="9" customFormat="false" ht="15" hidden="false" customHeight="false" outlineLevel="0" collapsed="false">
      <c r="A9" s="2" t="s">
        <v>1926</v>
      </c>
      <c r="B9" s="2" t="s">
        <v>1924</v>
      </c>
      <c r="C9" s="10" t="n">
        <v>45659</v>
      </c>
      <c r="D9" s="2" t="n">
        <f aca="false">MONTH(C9)</f>
        <v>1</v>
      </c>
      <c r="E9" s="2" t="s">
        <v>91</v>
      </c>
      <c r="F9" s="2" t="s">
        <v>64</v>
      </c>
      <c r="G9" s="2" t="s">
        <v>70</v>
      </c>
      <c r="H9" s="2" t="s">
        <v>122</v>
      </c>
      <c r="I9" s="2" t="n">
        <v>2</v>
      </c>
      <c r="J9" s="11" t="n">
        <v>1500</v>
      </c>
      <c r="K9" s="12" t="n">
        <v>0.05</v>
      </c>
      <c r="L9" s="11" t="n">
        <v>900</v>
      </c>
      <c r="M9" s="11" t="n">
        <f aca="false">I9*J9*(1-K9)</f>
        <v>2850</v>
      </c>
      <c r="N9" s="11" t="n">
        <f aca="false">M9-I9*L9</f>
        <v>1050</v>
      </c>
    </row>
    <row r="10" customFormat="false" ht="15" hidden="false" customHeight="false" outlineLevel="0" collapsed="false">
      <c r="A10" s="2" t="s">
        <v>2090</v>
      </c>
      <c r="B10" s="2" t="s">
        <v>2089</v>
      </c>
      <c r="C10" s="10" t="n">
        <v>45659</v>
      </c>
      <c r="D10" s="2" t="n">
        <f aca="false">MONTH(C10)</f>
        <v>1</v>
      </c>
      <c r="E10" s="2" t="s">
        <v>77</v>
      </c>
      <c r="F10" s="2" t="s">
        <v>69</v>
      </c>
      <c r="G10" s="2" t="s">
        <v>65</v>
      </c>
      <c r="H10" s="2" t="s">
        <v>66</v>
      </c>
      <c r="I10" s="2" t="n">
        <v>15</v>
      </c>
      <c r="J10" s="11" t="n">
        <v>600</v>
      </c>
      <c r="K10" s="12" t="n">
        <v>0</v>
      </c>
      <c r="L10" s="11" t="n">
        <v>300</v>
      </c>
      <c r="M10" s="11" t="n">
        <f aca="false">I10*J10*(1-K10)</f>
        <v>9000</v>
      </c>
      <c r="N10" s="11" t="n">
        <f aca="false">M10-I10*L10</f>
        <v>4500</v>
      </c>
    </row>
    <row r="11" customFormat="false" ht="15" hidden="false" customHeight="false" outlineLevel="0" collapsed="false">
      <c r="A11" s="2" t="s">
        <v>2278</v>
      </c>
      <c r="B11" s="2" t="s">
        <v>2275</v>
      </c>
      <c r="C11" s="10" t="n">
        <v>45659</v>
      </c>
      <c r="D11" s="2" t="n">
        <f aca="false">MONTH(C11)</f>
        <v>1</v>
      </c>
      <c r="E11" s="2" t="s">
        <v>77</v>
      </c>
      <c r="F11" s="2" t="s">
        <v>64</v>
      </c>
      <c r="G11" s="2" t="s">
        <v>65</v>
      </c>
      <c r="H11" s="2" t="s">
        <v>107</v>
      </c>
      <c r="I11" s="2" t="n">
        <v>2</v>
      </c>
      <c r="J11" s="11" t="n">
        <v>500</v>
      </c>
      <c r="K11" s="12" t="n">
        <v>0.1</v>
      </c>
      <c r="L11" s="11" t="n">
        <v>250</v>
      </c>
      <c r="M11" s="11" t="n">
        <f aca="false">I11*J11*(1-K11)</f>
        <v>900</v>
      </c>
      <c r="N11" s="11" t="n">
        <f aca="false">M11-I11*L11</f>
        <v>400</v>
      </c>
    </row>
    <row r="12" customFormat="false" ht="15" hidden="false" customHeight="false" outlineLevel="0" collapsed="false">
      <c r="A12" s="2" t="s">
        <v>2704</v>
      </c>
      <c r="B12" s="2" t="s">
        <v>2699</v>
      </c>
      <c r="C12" s="10" t="n">
        <v>45659</v>
      </c>
      <c r="D12" s="2" t="n">
        <f aca="false">MONTH(C12)</f>
        <v>1</v>
      </c>
      <c r="E12" s="2" t="s">
        <v>77</v>
      </c>
      <c r="F12" s="2" t="s">
        <v>69</v>
      </c>
      <c r="G12" s="2" t="s">
        <v>65</v>
      </c>
      <c r="H12" s="2" t="s">
        <v>78</v>
      </c>
      <c r="I12" s="2" t="n">
        <v>5</v>
      </c>
      <c r="J12" s="11" t="n">
        <v>400</v>
      </c>
      <c r="K12" s="12" t="n">
        <v>0</v>
      </c>
      <c r="L12" s="11" t="n">
        <v>200</v>
      </c>
      <c r="M12" s="11" t="n">
        <f aca="false">I12*J12*(1-K12)</f>
        <v>2000</v>
      </c>
      <c r="N12" s="11" t="n">
        <f aca="false">M12-I12*L12</f>
        <v>1000</v>
      </c>
    </row>
    <row r="13" customFormat="false" ht="15" hidden="false" customHeight="false" outlineLevel="0" collapsed="false">
      <c r="A13" s="2" t="s">
        <v>2973</v>
      </c>
      <c r="B13" s="2" t="s">
        <v>2968</v>
      </c>
      <c r="C13" s="10" t="n">
        <v>45659</v>
      </c>
      <c r="D13" s="2" t="n">
        <f aca="false">MONTH(C13)</f>
        <v>1</v>
      </c>
      <c r="E13" s="2" t="s">
        <v>63</v>
      </c>
      <c r="F13" s="2" t="s">
        <v>64</v>
      </c>
      <c r="G13" s="2" t="s">
        <v>70</v>
      </c>
      <c r="H13" s="2" t="s">
        <v>126</v>
      </c>
      <c r="I13" s="2" t="n">
        <v>2</v>
      </c>
      <c r="J13" s="11" t="n">
        <v>4500</v>
      </c>
      <c r="K13" s="12" t="n">
        <v>0</v>
      </c>
      <c r="L13" s="11" t="n">
        <v>3300</v>
      </c>
      <c r="M13" s="11" t="n">
        <f aca="false">I13*J13*(1-K13)</f>
        <v>9000</v>
      </c>
      <c r="N13" s="11" t="n">
        <f aca="false">M13-I13*L13</f>
        <v>2400</v>
      </c>
    </row>
    <row r="14" customFormat="false" ht="15" hidden="false" customHeight="false" outlineLevel="0" collapsed="false">
      <c r="A14" s="2" t="s">
        <v>1666</v>
      </c>
      <c r="B14" s="2" t="s">
        <v>1664</v>
      </c>
      <c r="C14" s="10" t="n">
        <v>45660</v>
      </c>
      <c r="D14" s="2" t="n">
        <f aca="false">MONTH(C14)</f>
        <v>1</v>
      </c>
      <c r="E14" s="2" t="s">
        <v>81</v>
      </c>
      <c r="F14" s="2" t="s">
        <v>92</v>
      </c>
      <c r="G14" s="2" t="s">
        <v>73</v>
      </c>
      <c r="H14" s="2" t="s">
        <v>87</v>
      </c>
      <c r="I14" s="2" t="n">
        <v>3</v>
      </c>
      <c r="J14" s="11" t="n">
        <v>9000</v>
      </c>
      <c r="K14" s="12" t="n">
        <v>0.05</v>
      </c>
      <c r="L14" s="11" t="n">
        <v>6200</v>
      </c>
      <c r="M14" s="11" t="n">
        <f aca="false">I14*J14*(1-K14)</f>
        <v>25650</v>
      </c>
      <c r="N14" s="11" t="n">
        <f aca="false">M14-I14*L14</f>
        <v>7050</v>
      </c>
    </row>
    <row r="15" customFormat="false" ht="15" hidden="false" customHeight="false" outlineLevel="0" collapsed="false">
      <c r="A15" s="2" t="s">
        <v>1764</v>
      </c>
      <c r="B15" s="2" t="s">
        <v>1763</v>
      </c>
      <c r="C15" s="10" t="n">
        <v>45660</v>
      </c>
      <c r="D15" s="2" t="n">
        <f aca="false">MONTH(C15)</f>
        <v>1</v>
      </c>
      <c r="E15" s="2" t="s">
        <v>81</v>
      </c>
      <c r="F15" s="2" t="s">
        <v>64</v>
      </c>
      <c r="G15" s="2" t="s">
        <v>65</v>
      </c>
      <c r="H15" s="2" t="s">
        <v>107</v>
      </c>
      <c r="I15" s="2" t="n">
        <v>8</v>
      </c>
      <c r="J15" s="11" t="n">
        <v>500</v>
      </c>
      <c r="K15" s="12" t="n">
        <v>0</v>
      </c>
      <c r="L15" s="11" t="n">
        <v>250</v>
      </c>
      <c r="M15" s="11" t="n">
        <f aca="false">I15*J15*(1-K15)</f>
        <v>4000</v>
      </c>
      <c r="N15" s="11" t="n">
        <f aca="false">M15-I15*L15</f>
        <v>2000</v>
      </c>
    </row>
    <row r="16" customFormat="false" ht="15" hidden="false" customHeight="false" outlineLevel="0" collapsed="false">
      <c r="A16" s="2" t="s">
        <v>2443</v>
      </c>
      <c r="B16" s="2" t="s">
        <v>2444</v>
      </c>
      <c r="C16" s="10" t="n">
        <v>45660</v>
      </c>
      <c r="D16" s="2" t="n">
        <f aca="false">MONTH(C16)</f>
        <v>1</v>
      </c>
      <c r="E16" s="2" t="s">
        <v>77</v>
      </c>
      <c r="F16" s="2" t="s">
        <v>64</v>
      </c>
      <c r="G16" s="2" t="s">
        <v>65</v>
      </c>
      <c r="H16" s="2" t="s">
        <v>107</v>
      </c>
      <c r="I16" s="2" t="n">
        <v>2</v>
      </c>
      <c r="J16" s="11" t="n">
        <v>500</v>
      </c>
      <c r="K16" s="12" t="n">
        <v>0</v>
      </c>
      <c r="L16" s="11" t="n">
        <v>250</v>
      </c>
      <c r="M16" s="11" t="n">
        <f aca="false">I16*J16*(1-K16)</f>
        <v>1000</v>
      </c>
      <c r="N16" s="11" t="n">
        <f aca="false">M16-I16*L16</f>
        <v>500</v>
      </c>
    </row>
    <row r="17" customFormat="false" ht="15" hidden="false" customHeight="false" outlineLevel="0" collapsed="false">
      <c r="A17" s="2" t="s">
        <v>2558</v>
      </c>
      <c r="B17" s="2" t="s">
        <v>2549</v>
      </c>
      <c r="C17" s="10" t="n">
        <v>45660</v>
      </c>
      <c r="D17" s="2" t="n">
        <f aca="false">MONTH(C17)</f>
        <v>1</v>
      </c>
      <c r="E17" s="2" t="s">
        <v>91</v>
      </c>
      <c r="F17" s="2" t="s">
        <v>64</v>
      </c>
      <c r="G17" s="2" t="s">
        <v>73</v>
      </c>
      <c r="H17" s="2" t="s">
        <v>85</v>
      </c>
      <c r="I17" s="2" t="n">
        <v>1</v>
      </c>
      <c r="J17" s="11" t="n">
        <v>1200</v>
      </c>
      <c r="K17" s="12" t="n">
        <v>0.05</v>
      </c>
      <c r="L17" s="11" t="n">
        <v>600</v>
      </c>
      <c r="M17" s="11" t="n">
        <f aca="false">I17*J17*(1-K17)</f>
        <v>1140</v>
      </c>
      <c r="N17" s="11" t="n">
        <f aca="false">M17-I17*L17</f>
        <v>540</v>
      </c>
    </row>
    <row r="18" customFormat="false" ht="15" hidden="false" customHeight="false" outlineLevel="0" collapsed="false">
      <c r="A18" s="2" t="s">
        <v>2675</v>
      </c>
      <c r="B18" s="2" t="s">
        <v>2676</v>
      </c>
      <c r="C18" s="10" t="n">
        <v>45660</v>
      </c>
      <c r="D18" s="2" t="n">
        <f aca="false">MONTH(C18)</f>
        <v>1</v>
      </c>
      <c r="E18" s="2" t="s">
        <v>81</v>
      </c>
      <c r="F18" s="2" t="s">
        <v>64</v>
      </c>
      <c r="G18" s="2" t="s">
        <v>65</v>
      </c>
      <c r="H18" s="2" t="s">
        <v>82</v>
      </c>
      <c r="I18" s="2" t="n">
        <v>7</v>
      </c>
      <c r="J18" s="11" t="n">
        <v>250</v>
      </c>
      <c r="K18" s="12" t="n">
        <v>0.05</v>
      </c>
      <c r="L18" s="11" t="n">
        <v>100</v>
      </c>
      <c r="M18" s="11" t="n">
        <f aca="false">I18*J18*(1-K18)</f>
        <v>1662.5</v>
      </c>
      <c r="N18" s="11" t="n">
        <f aca="false">M18-I18*L18</f>
        <v>962.5</v>
      </c>
    </row>
    <row r="19" customFormat="false" ht="15" hidden="false" customHeight="false" outlineLevel="0" collapsed="false">
      <c r="A19" s="2" t="s">
        <v>2407</v>
      </c>
      <c r="B19" s="2" t="s">
        <v>2406</v>
      </c>
      <c r="C19" s="10" t="n">
        <v>45661</v>
      </c>
      <c r="D19" s="2" t="n">
        <f aca="false">MONTH(C19)</f>
        <v>1</v>
      </c>
      <c r="E19" s="2" t="s">
        <v>81</v>
      </c>
      <c r="F19" s="2" t="s">
        <v>69</v>
      </c>
      <c r="G19" s="2" t="s">
        <v>70</v>
      </c>
      <c r="H19" s="2" t="s">
        <v>122</v>
      </c>
      <c r="I19" s="2" t="n">
        <v>1</v>
      </c>
      <c r="J19" s="11" t="n">
        <v>1500</v>
      </c>
      <c r="K19" s="12" t="n">
        <v>0.05</v>
      </c>
      <c r="L19" s="11" t="n">
        <v>900</v>
      </c>
      <c r="M19" s="11" t="n">
        <f aca="false">I19*J19*(1-K19)</f>
        <v>1425</v>
      </c>
      <c r="N19" s="11" t="n">
        <f aca="false">M19-I19*L19</f>
        <v>525</v>
      </c>
    </row>
    <row r="20" customFormat="false" ht="15" hidden="false" customHeight="false" outlineLevel="0" collapsed="false">
      <c r="A20" s="2" t="s">
        <v>2672</v>
      </c>
      <c r="B20" s="2" t="s">
        <v>2667</v>
      </c>
      <c r="C20" s="10" t="n">
        <v>45661</v>
      </c>
      <c r="D20" s="2" t="n">
        <f aca="false">MONTH(C20)</f>
        <v>1</v>
      </c>
      <c r="E20" s="2" t="s">
        <v>77</v>
      </c>
      <c r="F20" s="2" t="s">
        <v>64</v>
      </c>
      <c r="G20" s="2" t="s">
        <v>73</v>
      </c>
      <c r="H20" s="2" t="s">
        <v>74</v>
      </c>
      <c r="I20" s="2" t="n">
        <v>3</v>
      </c>
      <c r="J20" s="11" t="n">
        <v>7000</v>
      </c>
      <c r="K20" s="12" t="n">
        <v>0</v>
      </c>
      <c r="L20" s="11" t="n">
        <v>4800</v>
      </c>
      <c r="M20" s="11" t="n">
        <f aca="false">I20*J20*(1-K20)</f>
        <v>21000</v>
      </c>
      <c r="N20" s="11" t="n">
        <f aca="false">M20-I20*L20</f>
        <v>6600</v>
      </c>
    </row>
    <row r="21" customFormat="false" ht="15" hidden="false" customHeight="false" outlineLevel="0" collapsed="false">
      <c r="A21" s="2" t="s">
        <v>2969</v>
      </c>
      <c r="B21" s="2" t="s">
        <v>2968</v>
      </c>
      <c r="C21" s="10" t="n">
        <v>45661</v>
      </c>
      <c r="D21" s="2" t="n">
        <f aca="false">MONTH(C21)</f>
        <v>1</v>
      </c>
      <c r="E21" s="2" t="s">
        <v>63</v>
      </c>
      <c r="F21" s="2" t="s">
        <v>64</v>
      </c>
      <c r="G21" s="2" t="s">
        <v>70</v>
      </c>
      <c r="H21" s="2" t="s">
        <v>126</v>
      </c>
      <c r="I21" s="2" t="n">
        <v>2</v>
      </c>
      <c r="J21" s="11" t="n">
        <v>4500</v>
      </c>
      <c r="K21" s="12" t="n">
        <v>0</v>
      </c>
      <c r="L21" s="11" t="n">
        <v>3300</v>
      </c>
      <c r="M21" s="11" t="n">
        <f aca="false">I21*J21*(1-K21)</f>
        <v>9000</v>
      </c>
      <c r="N21" s="11" t="n">
        <f aca="false">M21-I21*L21</f>
        <v>2400</v>
      </c>
    </row>
    <row r="22" customFormat="false" ht="15" hidden="false" customHeight="false" outlineLevel="0" collapsed="false">
      <c r="A22" s="2" t="s">
        <v>2981</v>
      </c>
      <c r="B22" s="2" t="s">
        <v>2980</v>
      </c>
      <c r="C22" s="10" t="n">
        <v>45661</v>
      </c>
      <c r="D22" s="2" t="n">
        <f aca="false">MONTH(C22)</f>
        <v>1</v>
      </c>
      <c r="E22" s="2" t="s">
        <v>77</v>
      </c>
      <c r="F22" s="2" t="s">
        <v>92</v>
      </c>
      <c r="G22" s="2" t="s">
        <v>73</v>
      </c>
      <c r="H22" s="2" t="s">
        <v>104</v>
      </c>
      <c r="I22" s="2" t="n">
        <v>4</v>
      </c>
      <c r="J22" s="11" t="n">
        <v>5500</v>
      </c>
      <c r="K22" s="12" t="n">
        <v>0.1</v>
      </c>
      <c r="L22" s="11" t="n">
        <v>3600</v>
      </c>
      <c r="M22" s="11" t="n">
        <f aca="false">I22*J22*(1-K22)</f>
        <v>19800</v>
      </c>
      <c r="N22" s="11" t="n">
        <f aca="false">M22-I22*L22</f>
        <v>5400</v>
      </c>
    </row>
    <row r="23" customFormat="false" ht="15" hidden="false" customHeight="false" outlineLevel="0" collapsed="false">
      <c r="A23" s="2" t="s">
        <v>549</v>
      </c>
      <c r="B23" s="2" t="s">
        <v>548</v>
      </c>
      <c r="C23" s="10" t="n">
        <v>45662</v>
      </c>
      <c r="D23" s="2" t="n">
        <f aca="false">MONTH(C23)</f>
        <v>1</v>
      </c>
      <c r="E23" s="2" t="s">
        <v>77</v>
      </c>
      <c r="F23" s="2" t="s">
        <v>69</v>
      </c>
      <c r="G23" s="2" t="s">
        <v>70</v>
      </c>
      <c r="H23" s="2" t="s">
        <v>97</v>
      </c>
      <c r="I23" s="2" t="n">
        <v>1</v>
      </c>
      <c r="J23" s="11" t="n">
        <v>3000</v>
      </c>
      <c r="K23" s="12" t="n">
        <v>0.05</v>
      </c>
      <c r="L23" s="11" t="n">
        <v>2000</v>
      </c>
      <c r="M23" s="11" t="n">
        <f aca="false">I23*J23*(1-K23)</f>
        <v>2850</v>
      </c>
      <c r="N23" s="11" t="n">
        <f aca="false">M23-I23*L23</f>
        <v>850</v>
      </c>
    </row>
    <row r="24" customFormat="false" ht="15" hidden="false" customHeight="false" outlineLevel="0" collapsed="false">
      <c r="A24" s="2" t="s">
        <v>1006</v>
      </c>
      <c r="B24" s="2" t="s">
        <v>1007</v>
      </c>
      <c r="C24" s="10" t="n">
        <v>45662</v>
      </c>
      <c r="D24" s="2" t="n">
        <f aca="false">MONTH(C24)</f>
        <v>1</v>
      </c>
      <c r="E24" s="2" t="s">
        <v>77</v>
      </c>
      <c r="F24" s="2" t="s">
        <v>64</v>
      </c>
      <c r="G24" s="2" t="s">
        <v>70</v>
      </c>
      <c r="H24" s="2" t="s">
        <v>126</v>
      </c>
      <c r="I24" s="2" t="n">
        <v>2</v>
      </c>
      <c r="J24" s="11" t="n">
        <v>4500</v>
      </c>
      <c r="K24" s="12" t="n">
        <v>0</v>
      </c>
      <c r="L24" s="11" t="n">
        <v>3300</v>
      </c>
      <c r="M24" s="11" t="n">
        <f aca="false">I24*J24*(1-K24)</f>
        <v>9000</v>
      </c>
      <c r="N24" s="11" t="n">
        <f aca="false">M24-I24*L24</f>
        <v>2400</v>
      </c>
    </row>
    <row r="25" customFormat="false" ht="15" hidden="false" customHeight="false" outlineLevel="0" collapsed="false">
      <c r="A25" s="2" t="s">
        <v>1403</v>
      </c>
      <c r="B25" s="2" t="s">
        <v>1404</v>
      </c>
      <c r="C25" s="10" t="n">
        <v>45662</v>
      </c>
      <c r="D25" s="2" t="n">
        <f aca="false">MONTH(C25)</f>
        <v>1</v>
      </c>
      <c r="E25" s="2" t="s">
        <v>77</v>
      </c>
      <c r="F25" s="2" t="s">
        <v>64</v>
      </c>
      <c r="G25" s="2" t="s">
        <v>73</v>
      </c>
      <c r="H25" s="2" t="s">
        <v>104</v>
      </c>
      <c r="I25" s="2" t="n">
        <v>2</v>
      </c>
      <c r="J25" s="11" t="n">
        <v>5500</v>
      </c>
      <c r="K25" s="12" t="n">
        <v>0.1</v>
      </c>
      <c r="L25" s="11" t="n">
        <v>3600</v>
      </c>
      <c r="M25" s="11" t="n">
        <f aca="false">I25*J25*(1-K25)</f>
        <v>9900</v>
      </c>
      <c r="N25" s="11" t="n">
        <f aca="false">M25-I25*L25</f>
        <v>2700</v>
      </c>
    </row>
    <row r="26" customFormat="false" ht="15" hidden="false" customHeight="false" outlineLevel="0" collapsed="false">
      <c r="A26" s="2" t="s">
        <v>1504</v>
      </c>
      <c r="B26" s="2" t="s">
        <v>1497</v>
      </c>
      <c r="C26" s="10" t="n">
        <v>45662</v>
      </c>
      <c r="D26" s="2" t="n">
        <f aca="false">MONTH(C26)</f>
        <v>1</v>
      </c>
      <c r="E26" s="2" t="s">
        <v>81</v>
      </c>
      <c r="F26" s="2" t="s">
        <v>69</v>
      </c>
      <c r="G26" s="2" t="s">
        <v>70</v>
      </c>
      <c r="H26" s="2" t="s">
        <v>122</v>
      </c>
      <c r="I26" s="2" t="n">
        <v>4</v>
      </c>
      <c r="J26" s="11" t="n">
        <v>1500</v>
      </c>
      <c r="K26" s="12" t="n">
        <v>0</v>
      </c>
      <c r="L26" s="11" t="n">
        <v>900</v>
      </c>
      <c r="M26" s="11" t="n">
        <f aca="false">I26*J26*(1-K26)</f>
        <v>6000</v>
      </c>
      <c r="N26" s="11" t="n">
        <f aca="false">M26-I26*L26</f>
        <v>2400</v>
      </c>
    </row>
    <row r="27" customFormat="false" ht="15" hidden="false" customHeight="false" outlineLevel="0" collapsed="false">
      <c r="A27" s="2" t="s">
        <v>1606</v>
      </c>
      <c r="B27" s="2" t="s">
        <v>1607</v>
      </c>
      <c r="C27" s="10" t="n">
        <v>45662</v>
      </c>
      <c r="D27" s="2" t="n">
        <f aca="false">MONTH(C27)</f>
        <v>1</v>
      </c>
      <c r="E27" s="2" t="s">
        <v>81</v>
      </c>
      <c r="F27" s="2" t="s">
        <v>69</v>
      </c>
      <c r="G27" s="2" t="s">
        <v>73</v>
      </c>
      <c r="H27" s="2" t="s">
        <v>104</v>
      </c>
      <c r="I27" s="2" t="n">
        <v>4</v>
      </c>
      <c r="J27" s="11" t="n">
        <v>5500</v>
      </c>
      <c r="K27" s="12" t="n">
        <v>0</v>
      </c>
      <c r="L27" s="11" t="n">
        <v>3600</v>
      </c>
      <c r="M27" s="11" t="n">
        <f aca="false">I27*J27*(1-K27)</f>
        <v>22000</v>
      </c>
      <c r="N27" s="11" t="n">
        <f aca="false">M27-I27*L27</f>
        <v>7600</v>
      </c>
    </row>
    <row r="28" customFormat="false" ht="15" hidden="false" customHeight="false" outlineLevel="0" collapsed="false">
      <c r="A28" s="2" t="s">
        <v>2733</v>
      </c>
      <c r="B28" s="2" t="s">
        <v>2732</v>
      </c>
      <c r="C28" s="10" t="n">
        <v>45662</v>
      </c>
      <c r="D28" s="2" t="n">
        <f aca="false">MONTH(C28)</f>
        <v>1</v>
      </c>
      <c r="E28" s="2" t="s">
        <v>81</v>
      </c>
      <c r="F28" s="2" t="s">
        <v>64</v>
      </c>
      <c r="G28" s="2" t="s">
        <v>70</v>
      </c>
      <c r="H28" s="2" t="s">
        <v>126</v>
      </c>
      <c r="I28" s="2" t="n">
        <v>1</v>
      </c>
      <c r="J28" s="11" t="n">
        <v>4500</v>
      </c>
      <c r="K28" s="12" t="n">
        <v>0.1</v>
      </c>
      <c r="L28" s="11" t="n">
        <v>3300</v>
      </c>
      <c r="M28" s="11" t="n">
        <f aca="false">I28*J28*(1-K28)</f>
        <v>4050</v>
      </c>
      <c r="N28" s="11" t="n">
        <f aca="false">M28-I28*L28</f>
        <v>750</v>
      </c>
    </row>
    <row r="29" customFormat="false" ht="15" hidden="false" customHeight="false" outlineLevel="0" collapsed="false">
      <c r="A29" s="2" t="s">
        <v>926</v>
      </c>
      <c r="B29" s="2" t="s">
        <v>924</v>
      </c>
      <c r="C29" s="10" t="n">
        <v>45663</v>
      </c>
      <c r="D29" s="2" t="n">
        <f aca="false">MONTH(C29)</f>
        <v>1</v>
      </c>
      <c r="E29" s="2" t="s">
        <v>81</v>
      </c>
      <c r="F29" s="2" t="s">
        <v>64</v>
      </c>
      <c r="G29" s="2" t="s">
        <v>65</v>
      </c>
      <c r="H29" s="2" t="s">
        <v>78</v>
      </c>
      <c r="I29" s="2" t="n">
        <v>5</v>
      </c>
      <c r="J29" s="11" t="n">
        <v>400</v>
      </c>
      <c r="K29" s="12" t="n">
        <v>0</v>
      </c>
      <c r="L29" s="11" t="n">
        <v>200</v>
      </c>
      <c r="M29" s="11" t="n">
        <f aca="false">I29*J29*(1-K29)</f>
        <v>2000</v>
      </c>
      <c r="N29" s="11" t="n">
        <f aca="false">M29-I29*L29</f>
        <v>1000</v>
      </c>
    </row>
    <row r="30" customFormat="false" ht="15" hidden="false" customHeight="false" outlineLevel="0" collapsed="false">
      <c r="A30" s="2" t="s">
        <v>180</v>
      </c>
      <c r="B30" s="2" t="s">
        <v>175</v>
      </c>
      <c r="C30" s="10" t="n">
        <v>45664</v>
      </c>
      <c r="D30" s="2" t="n">
        <f aca="false">MONTH(C30)</f>
        <v>1</v>
      </c>
      <c r="E30" s="2" t="s">
        <v>77</v>
      </c>
      <c r="F30" s="2" t="s">
        <v>64</v>
      </c>
      <c r="G30" s="2" t="s">
        <v>65</v>
      </c>
      <c r="H30" s="2" t="s">
        <v>107</v>
      </c>
      <c r="I30" s="2" t="n">
        <v>6</v>
      </c>
      <c r="J30" s="11" t="n">
        <v>500</v>
      </c>
      <c r="K30" s="12" t="n">
        <v>0.05</v>
      </c>
      <c r="L30" s="11" t="n">
        <v>250</v>
      </c>
      <c r="M30" s="11" t="n">
        <f aca="false">I30*J30*(1-K30)</f>
        <v>2850</v>
      </c>
      <c r="N30" s="11" t="n">
        <f aca="false">M30-I30*L30</f>
        <v>1350</v>
      </c>
    </row>
    <row r="31" customFormat="false" ht="15" hidden="false" customHeight="false" outlineLevel="0" collapsed="false">
      <c r="A31" s="2" t="s">
        <v>1057</v>
      </c>
      <c r="B31" s="2" t="s">
        <v>1055</v>
      </c>
      <c r="C31" s="10" t="n">
        <v>45664</v>
      </c>
      <c r="D31" s="2" t="n">
        <f aca="false">MONTH(C31)</f>
        <v>1</v>
      </c>
      <c r="E31" s="2" t="s">
        <v>63</v>
      </c>
      <c r="F31" s="2" t="s">
        <v>92</v>
      </c>
      <c r="G31" s="2" t="s">
        <v>65</v>
      </c>
      <c r="H31" s="2" t="s">
        <v>107</v>
      </c>
      <c r="I31" s="2" t="n">
        <v>37</v>
      </c>
      <c r="J31" s="11" t="n">
        <v>500</v>
      </c>
      <c r="K31" s="12" t="n">
        <v>0</v>
      </c>
      <c r="L31" s="11" t="n">
        <v>250</v>
      </c>
      <c r="M31" s="11" t="n">
        <f aca="false">I31*J31*(1-K31)</f>
        <v>18500</v>
      </c>
      <c r="N31" s="11" t="n">
        <f aca="false">M31-I31*L31</f>
        <v>9250</v>
      </c>
    </row>
    <row r="32" customFormat="false" ht="15" hidden="false" customHeight="false" outlineLevel="0" collapsed="false">
      <c r="A32" s="2" t="s">
        <v>1085</v>
      </c>
      <c r="B32" s="2" t="s">
        <v>1084</v>
      </c>
      <c r="C32" s="10" t="n">
        <v>45664</v>
      </c>
      <c r="D32" s="2" t="n">
        <f aca="false">MONTH(C32)</f>
        <v>1</v>
      </c>
      <c r="E32" s="2" t="s">
        <v>77</v>
      </c>
      <c r="F32" s="2" t="s">
        <v>64</v>
      </c>
      <c r="G32" s="2" t="s">
        <v>65</v>
      </c>
      <c r="H32" s="2" t="s">
        <v>66</v>
      </c>
      <c r="I32" s="2" t="n">
        <v>4</v>
      </c>
      <c r="J32" s="11" t="n">
        <v>600</v>
      </c>
      <c r="K32" s="12" t="n">
        <v>0</v>
      </c>
      <c r="L32" s="11" t="n">
        <v>300</v>
      </c>
      <c r="M32" s="11" t="n">
        <f aca="false">I32*J32*(1-K32)</f>
        <v>2400</v>
      </c>
      <c r="N32" s="11" t="n">
        <f aca="false">M32-I32*L32</f>
        <v>1200</v>
      </c>
    </row>
    <row r="33" customFormat="false" ht="15" hidden="false" customHeight="false" outlineLevel="0" collapsed="false">
      <c r="A33" s="2" t="s">
        <v>1642</v>
      </c>
      <c r="B33" s="2" t="s">
        <v>1643</v>
      </c>
      <c r="C33" s="10" t="n">
        <v>45664</v>
      </c>
      <c r="D33" s="2" t="n">
        <f aca="false">MONTH(C33)</f>
        <v>1</v>
      </c>
      <c r="E33" s="2" t="s">
        <v>81</v>
      </c>
      <c r="F33" s="2" t="s">
        <v>92</v>
      </c>
      <c r="G33" s="2" t="s">
        <v>73</v>
      </c>
      <c r="H33" s="2" t="s">
        <v>74</v>
      </c>
      <c r="I33" s="2" t="n">
        <v>3</v>
      </c>
      <c r="J33" s="11" t="n">
        <v>7000</v>
      </c>
      <c r="K33" s="12" t="n">
        <v>0</v>
      </c>
      <c r="L33" s="11" t="n">
        <v>4800</v>
      </c>
      <c r="M33" s="11" t="n">
        <f aca="false">I33*J33*(1-K33)</f>
        <v>21000</v>
      </c>
      <c r="N33" s="11" t="n">
        <f aca="false">M33-I33*L33</f>
        <v>6600</v>
      </c>
    </row>
    <row r="34" customFormat="false" ht="15" hidden="false" customHeight="false" outlineLevel="0" collapsed="false">
      <c r="A34" s="2" t="s">
        <v>1814</v>
      </c>
      <c r="B34" s="2" t="s">
        <v>1813</v>
      </c>
      <c r="C34" s="10" t="n">
        <v>45664</v>
      </c>
      <c r="D34" s="2" t="n">
        <f aca="false">MONTH(C34)</f>
        <v>1</v>
      </c>
      <c r="E34" s="2" t="s">
        <v>63</v>
      </c>
      <c r="F34" s="2" t="s">
        <v>64</v>
      </c>
      <c r="G34" s="2" t="s">
        <v>65</v>
      </c>
      <c r="H34" s="2" t="s">
        <v>78</v>
      </c>
      <c r="I34" s="2" t="n">
        <v>8</v>
      </c>
      <c r="J34" s="11" t="n">
        <v>400</v>
      </c>
      <c r="K34" s="12" t="n">
        <v>0.05</v>
      </c>
      <c r="L34" s="11" t="n">
        <v>200</v>
      </c>
      <c r="M34" s="11" t="n">
        <f aca="false">I34*J34*(1-K34)</f>
        <v>3040</v>
      </c>
      <c r="N34" s="11" t="n">
        <f aca="false">M34-I34*L34</f>
        <v>1440</v>
      </c>
    </row>
    <row r="35" customFormat="false" ht="15" hidden="false" customHeight="false" outlineLevel="0" collapsed="false">
      <c r="A35" s="2" t="s">
        <v>1961</v>
      </c>
      <c r="B35" s="2" t="s">
        <v>1962</v>
      </c>
      <c r="C35" s="10" t="n">
        <v>45664</v>
      </c>
      <c r="D35" s="2" t="n">
        <f aca="false">MONTH(C35)</f>
        <v>1</v>
      </c>
      <c r="E35" s="2" t="s">
        <v>63</v>
      </c>
      <c r="F35" s="2" t="s">
        <v>64</v>
      </c>
      <c r="G35" s="2" t="s">
        <v>65</v>
      </c>
      <c r="H35" s="2" t="s">
        <v>107</v>
      </c>
      <c r="I35" s="2" t="n">
        <v>6</v>
      </c>
      <c r="J35" s="11" t="n">
        <v>500</v>
      </c>
      <c r="K35" s="12" t="n">
        <v>0</v>
      </c>
      <c r="L35" s="11" t="n">
        <v>250</v>
      </c>
      <c r="M35" s="11" t="n">
        <f aca="false">I35*J35*(1-K35)</f>
        <v>3000</v>
      </c>
      <c r="N35" s="11" t="n">
        <f aca="false">M35-I35*L35</f>
        <v>1500</v>
      </c>
    </row>
    <row r="36" customFormat="false" ht="15" hidden="false" customHeight="false" outlineLevel="0" collapsed="false">
      <c r="A36" s="2" t="s">
        <v>2071</v>
      </c>
      <c r="B36" s="2" t="s">
        <v>2069</v>
      </c>
      <c r="C36" s="10" t="n">
        <v>45664</v>
      </c>
      <c r="D36" s="2" t="n">
        <f aca="false">MONTH(C36)</f>
        <v>1</v>
      </c>
      <c r="E36" s="2" t="s">
        <v>63</v>
      </c>
      <c r="F36" s="2" t="s">
        <v>64</v>
      </c>
      <c r="G36" s="2" t="s">
        <v>65</v>
      </c>
      <c r="H36" s="2" t="s">
        <v>78</v>
      </c>
      <c r="I36" s="2" t="n">
        <v>3</v>
      </c>
      <c r="J36" s="11" t="n">
        <v>400</v>
      </c>
      <c r="K36" s="12" t="n">
        <v>0</v>
      </c>
      <c r="L36" s="11" t="n">
        <v>200</v>
      </c>
      <c r="M36" s="11" t="n">
        <f aca="false">I36*J36*(1-K36)</f>
        <v>1200</v>
      </c>
      <c r="N36" s="11" t="n">
        <f aca="false">M36-I36*L36</f>
        <v>600</v>
      </c>
    </row>
    <row r="37" customFormat="false" ht="15" hidden="false" customHeight="false" outlineLevel="0" collapsed="false">
      <c r="A37" s="2" t="s">
        <v>258</v>
      </c>
      <c r="B37" s="2" t="s">
        <v>254</v>
      </c>
      <c r="C37" s="10" t="n">
        <v>45665</v>
      </c>
      <c r="D37" s="2" t="n">
        <f aca="false">MONTH(C37)</f>
        <v>1</v>
      </c>
      <c r="E37" s="2" t="s">
        <v>77</v>
      </c>
      <c r="F37" s="2" t="s">
        <v>64</v>
      </c>
      <c r="G37" s="2" t="s">
        <v>73</v>
      </c>
      <c r="H37" s="2" t="s">
        <v>74</v>
      </c>
      <c r="I37" s="2" t="n">
        <v>1</v>
      </c>
      <c r="J37" s="11" t="n">
        <v>7000</v>
      </c>
      <c r="K37" s="12" t="n">
        <v>0</v>
      </c>
      <c r="L37" s="11" t="n">
        <v>4800</v>
      </c>
      <c r="M37" s="11" t="n">
        <f aca="false">I37*J37*(1-K37)</f>
        <v>7000</v>
      </c>
      <c r="N37" s="11" t="n">
        <f aca="false">M37-I37*L37</f>
        <v>2200</v>
      </c>
    </row>
    <row r="38" customFormat="false" ht="15" hidden="false" customHeight="false" outlineLevel="0" collapsed="false">
      <c r="A38" s="2" t="s">
        <v>347</v>
      </c>
      <c r="B38" s="2" t="s">
        <v>345</v>
      </c>
      <c r="C38" s="10" t="n">
        <v>45665</v>
      </c>
      <c r="D38" s="2" t="n">
        <f aca="false">MONTH(C38)</f>
        <v>1</v>
      </c>
      <c r="E38" s="2" t="s">
        <v>77</v>
      </c>
      <c r="F38" s="2" t="s">
        <v>69</v>
      </c>
      <c r="G38" s="2" t="s">
        <v>70</v>
      </c>
      <c r="H38" s="2" t="s">
        <v>126</v>
      </c>
      <c r="I38" s="2" t="n">
        <v>1</v>
      </c>
      <c r="J38" s="11" t="n">
        <v>4500</v>
      </c>
      <c r="K38" s="12" t="n">
        <v>0</v>
      </c>
      <c r="L38" s="11" t="n">
        <v>3300</v>
      </c>
      <c r="M38" s="11" t="n">
        <f aca="false">I38*J38*(1-K38)</f>
        <v>4500</v>
      </c>
      <c r="N38" s="11" t="n">
        <f aca="false">M38-I38*L38</f>
        <v>1200</v>
      </c>
    </row>
    <row r="39" customFormat="false" ht="15" hidden="false" customHeight="false" outlineLevel="0" collapsed="false">
      <c r="A39" s="2" t="s">
        <v>880</v>
      </c>
      <c r="B39" s="2" t="s">
        <v>878</v>
      </c>
      <c r="C39" s="10" t="n">
        <v>45665</v>
      </c>
      <c r="D39" s="2" t="n">
        <f aca="false">MONTH(C39)</f>
        <v>1</v>
      </c>
      <c r="E39" s="2" t="s">
        <v>63</v>
      </c>
      <c r="F39" s="2" t="s">
        <v>92</v>
      </c>
      <c r="G39" s="2" t="s">
        <v>70</v>
      </c>
      <c r="H39" s="2" t="s">
        <v>126</v>
      </c>
      <c r="I39" s="2" t="n">
        <v>8</v>
      </c>
      <c r="J39" s="11" t="n">
        <v>4500</v>
      </c>
      <c r="K39" s="12" t="n">
        <v>0.1</v>
      </c>
      <c r="L39" s="11" t="n">
        <v>3300</v>
      </c>
      <c r="M39" s="11" t="n">
        <f aca="false">I39*J39*(1-K39)</f>
        <v>32400</v>
      </c>
      <c r="N39" s="11" t="n">
        <f aca="false">M39-I39*L39</f>
        <v>6000</v>
      </c>
    </row>
    <row r="40" customFormat="false" ht="15" hidden="false" customHeight="false" outlineLevel="0" collapsed="false">
      <c r="A40" s="2" t="s">
        <v>2052</v>
      </c>
      <c r="B40" s="2" t="s">
        <v>2047</v>
      </c>
      <c r="C40" s="10" t="n">
        <v>45665</v>
      </c>
      <c r="D40" s="2" t="n">
        <f aca="false">MONTH(C40)</f>
        <v>1</v>
      </c>
      <c r="E40" s="2" t="s">
        <v>77</v>
      </c>
      <c r="F40" s="2" t="s">
        <v>64</v>
      </c>
      <c r="G40" s="2" t="s">
        <v>70</v>
      </c>
      <c r="H40" s="2" t="s">
        <v>126</v>
      </c>
      <c r="I40" s="2" t="n">
        <v>2</v>
      </c>
      <c r="J40" s="11" t="n">
        <v>4500</v>
      </c>
      <c r="K40" s="12" t="n">
        <v>0</v>
      </c>
      <c r="L40" s="11" t="n">
        <v>3300</v>
      </c>
      <c r="M40" s="11" t="n">
        <f aca="false">I40*J40*(1-K40)</f>
        <v>9000</v>
      </c>
      <c r="N40" s="11" t="n">
        <f aca="false">M40-I40*L40</f>
        <v>2400</v>
      </c>
    </row>
    <row r="41" customFormat="false" ht="15" hidden="false" customHeight="false" outlineLevel="0" collapsed="false">
      <c r="A41" s="2" t="s">
        <v>2211</v>
      </c>
      <c r="B41" s="2" t="s">
        <v>2209</v>
      </c>
      <c r="C41" s="10" t="n">
        <v>45665</v>
      </c>
      <c r="D41" s="2" t="n">
        <f aca="false">MONTH(C41)</f>
        <v>1</v>
      </c>
      <c r="E41" s="2" t="s">
        <v>77</v>
      </c>
      <c r="F41" s="2" t="s">
        <v>92</v>
      </c>
      <c r="G41" s="2" t="s">
        <v>65</v>
      </c>
      <c r="H41" s="2" t="s">
        <v>107</v>
      </c>
      <c r="I41" s="2" t="n">
        <v>40</v>
      </c>
      <c r="J41" s="11" t="n">
        <v>500</v>
      </c>
      <c r="K41" s="12" t="n">
        <v>0.05</v>
      </c>
      <c r="L41" s="11" t="n">
        <v>250</v>
      </c>
      <c r="M41" s="11" t="n">
        <f aca="false">I41*J41*(1-K41)</f>
        <v>19000</v>
      </c>
      <c r="N41" s="11" t="n">
        <f aca="false">M41-I41*L41</f>
        <v>9000</v>
      </c>
    </row>
    <row r="42" customFormat="false" ht="15" hidden="false" customHeight="false" outlineLevel="0" collapsed="false">
      <c r="A42" s="2" t="s">
        <v>2333</v>
      </c>
      <c r="B42" s="2" t="s">
        <v>2332</v>
      </c>
      <c r="C42" s="10" t="n">
        <v>45665</v>
      </c>
      <c r="D42" s="2" t="n">
        <f aca="false">MONTH(C42)</f>
        <v>1</v>
      </c>
      <c r="E42" s="2" t="s">
        <v>63</v>
      </c>
      <c r="F42" s="2" t="s">
        <v>64</v>
      </c>
      <c r="G42" s="2" t="s">
        <v>73</v>
      </c>
      <c r="H42" s="2" t="s">
        <v>85</v>
      </c>
      <c r="I42" s="2" t="n">
        <v>3</v>
      </c>
      <c r="J42" s="11" t="n">
        <v>1200</v>
      </c>
      <c r="K42" s="12" t="n">
        <v>0.05</v>
      </c>
      <c r="L42" s="11" t="n">
        <v>600</v>
      </c>
      <c r="M42" s="11" t="n">
        <f aca="false">I42*J42*(1-K42)</f>
        <v>3420</v>
      </c>
      <c r="N42" s="11" t="n">
        <f aca="false">M42-I42*L42</f>
        <v>1620</v>
      </c>
    </row>
    <row r="43" customFormat="false" ht="15" hidden="false" customHeight="false" outlineLevel="0" collapsed="false">
      <c r="A43" s="2" t="s">
        <v>2535</v>
      </c>
      <c r="B43" s="2" t="s">
        <v>2528</v>
      </c>
      <c r="C43" s="10" t="n">
        <v>45665</v>
      </c>
      <c r="D43" s="2" t="n">
        <f aca="false">MONTH(C43)</f>
        <v>1</v>
      </c>
      <c r="E43" s="2" t="s">
        <v>63</v>
      </c>
      <c r="F43" s="2" t="s">
        <v>69</v>
      </c>
      <c r="G43" s="2" t="s">
        <v>70</v>
      </c>
      <c r="H43" s="2" t="s">
        <v>71</v>
      </c>
      <c r="I43" s="2" t="n">
        <v>2</v>
      </c>
      <c r="J43" s="11" t="n">
        <v>2500</v>
      </c>
      <c r="K43" s="12" t="n">
        <v>0.1</v>
      </c>
      <c r="L43" s="11" t="n">
        <v>1600</v>
      </c>
      <c r="M43" s="11" t="n">
        <f aca="false">I43*J43*(1-K43)</f>
        <v>4500</v>
      </c>
      <c r="N43" s="11" t="n">
        <f aca="false">M43-I43*L43</f>
        <v>1300</v>
      </c>
    </row>
    <row r="44" customFormat="false" ht="15" hidden="false" customHeight="false" outlineLevel="0" collapsed="false">
      <c r="A44" s="2" t="s">
        <v>255</v>
      </c>
      <c r="B44" s="2" t="s">
        <v>254</v>
      </c>
      <c r="C44" s="10" t="n">
        <v>45666</v>
      </c>
      <c r="D44" s="2" t="n">
        <f aca="false">MONTH(C44)</f>
        <v>1</v>
      </c>
      <c r="E44" s="2" t="s">
        <v>77</v>
      </c>
      <c r="F44" s="2" t="s">
        <v>64</v>
      </c>
      <c r="G44" s="2" t="s">
        <v>70</v>
      </c>
      <c r="H44" s="2" t="s">
        <v>126</v>
      </c>
      <c r="I44" s="2" t="n">
        <v>3</v>
      </c>
      <c r="J44" s="11" t="n">
        <v>4500</v>
      </c>
      <c r="K44" s="12" t="n">
        <v>0</v>
      </c>
      <c r="L44" s="11" t="n">
        <v>3300</v>
      </c>
      <c r="M44" s="11" t="n">
        <f aca="false">I44*J44*(1-K44)</f>
        <v>13500</v>
      </c>
      <c r="N44" s="11" t="n">
        <f aca="false">M44-I44*L44</f>
        <v>3600</v>
      </c>
    </row>
    <row r="45" customFormat="false" ht="15" hidden="false" customHeight="false" outlineLevel="0" collapsed="false">
      <c r="A45" s="2" t="s">
        <v>1657</v>
      </c>
      <c r="B45" s="2" t="s">
        <v>1655</v>
      </c>
      <c r="C45" s="10" t="n">
        <v>45666</v>
      </c>
      <c r="D45" s="2" t="n">
        <f aca="false">MONTH(C45)</f>
        <v>1</v>
      </c>
      <c r="E45" s="2" t="s">
        <v>91</v>
      </c>
      <c r="F45" s="2" t="s">
        <v>64</v>
      </c>
      <c r="G45" s="2" t="s">
        <v>73</v>
      </c>
      <c r="H45" s="2" t="s">
        <v>104</v>
      </c>
      <c r="I45" s="2" t="n">
        <v>3</v>
      </c>
      <c r="J45" s="11" t="n">
        <v>5500</v>
      </c>
      <c r="K45" s="12" t="n">
        <v>0</v>
      </c>
      <c r="L45" s="11" t="n">
        <v>3600</v>
      </c>
      <c r="M45" s="11" t="n">
        <f aca="false">I45*J45*(1-K45)</f>
        <v>16500</v>
      </c>
      <c r="N45" s="11" t="n">
        <f aca="false">M45-I45*L45</f>
        <v>5700</v>
      </c>
    </row>
    <row r="46" customFormat="false" ht="15" hidden="false" customHeight="false" outlineLevel="0" collapsed="false">
      <c r="A46" s="2" t="s">
        <v>2250</v>
      </c>
      <c r="B46" s="2" t="s">
        <v>2249</v>
      </c>
      <c r="C46" s="10" t="n">
        <v>45666</v>
      </c>
      <c r="D46" s="2" t="n">
        <f aca="false">MONTH(C46)</f>
        <v>1</v>
      </c>
      <c r="E46" s="2" t="s">
        <v>63</v>
      </c>
      <c r="F46" s="2" t="s">
        <v>69</v>
      </c>
      <c r="G46" s="2" t="s">
        <v>73</v>
      </c>
      <c r="H46" s="2" t="s">
        <v>74</v>
      </c>
      <c r="I46" s="2" t="n">
        <v>5</v>
      </c>
      <c r="J46" s="11" t="n">
        <v>7000</v>
      </c>
      <c r="K46" s="12" t="n">
        <v>0</v>
      </c>
      <c r="L46" s="11" t="n">
        <v>4800</v>
      </c>
      <c r="M46" s="11" t="n">
        <f aca="false">I46*J46*(1-K46)</f>
        <v>35000</v>
      </c>
      <c r="N46" s="11" t="n">
        <f aca="false">M46-I46*L46</f>
        <v>11000</v>
      </c>
    </row>
    <row r="47" customFormat="false" ht="15" hidden="false" customHeight="false" outlineLevel="0" collapsed="false">
      <c r="A47" s="2" t="s">
        <v>2534</v>
      </c>
      <c r="B47" s="2" t="s">
        <v>2528</v>
      </c>
      <c r="C47" s="10" t="n">
        <v>45666</v>
      </c>
      <c r="D47" s="2" t="n">
        <f aca="false">MONTH(C47)</f>
        <v>1</v>
      </c>
      <c r="E47" s="2" t="s">
        <v>63</v>
      </c>
      <c r="F47" s="2" t="s">
        <v>69</v>
      </c>
      <c r="G47" s="2" t="s">
        <v>73</v>
      </c>
      <c r="H47" s="2" t="s">
        <v>74</v>
      </c>
      <c r="I47" s="2" t="n">
        <v>3</v>
      </c>
      <c r="J47" s="11" t="n">
        <v>7000</v>
      </c>
      <c r="K47" s="12" t="n">
        <v>0.1</v>
      </c>
      <c r="L47" s="11" t="n">
        <v>4800</v>
      </c>
      <c r="M47" s="11" t="n">
        <f aca="false">I47*J47*(1-K47)</f>
        <v>18900</v>
      </c>
      <c r="N47" s="11" t="n">
        <f aca="false">M47-I47*L47</f>
        <v>4500</v>
      </c>
    </row>
    <row r="48" customFormat="false" ht="15" hidden="false" customHeight="false" outlineLevel="0" collapsed="false">
      <c r="A48" s="2" t="s">
        <v>381</v>
      </c>
      <c r="B48" s="2" t="s">
        <v>382</v>
      </c>
      <c r="C48" s="10" t="n">
        <v>45667</v>
      </c>
      <c r="D48" s="2" t="n">
        <f aca="false">MONTH(C48)</f>
        <v>1</v>
      </c>
      <c r="E48" s="2" t="s">
        <v>63</v>
      </c>
      <c r="F48" s="2" t="s">
        <v>69</v>
      </c>
      <c r="G48" s="2" t="s">
        <v>65</v>
      </c>
      <c r="H48" s="2" t="s">
        <v>107</v>
      </c>
      <c r="I48" s="2" t="n">
        <v>14</v>
      </c>
      <c r="J48" s="11" t="n">
        <v>500</v>
      </c>
      <c r="K48" s="12" t="n">
        <v>0.05</v>
      </c>
      <c r="L48" s="11" t="n">
        <v>250</v>
      </c>
      <c r="M48" s="11" t="n">
        <f aca="false">I48*J48*(1-K48)</f>
        <v>6650</v>
      </c>
      <c r="N48" s="11" t="n">
        <f aca="false">M48-I48*L48</f>
        <v>3150</v>
      </c>
    </row>
    <row r="49" customFormat="false" ht="15" hidden="false" customHeight="false" outlineLevel="0" collapsed="false">
      <c r="A49" s="2" t="s">
        <v>728</v>
      </c>
      <c r="B49" s="2" t="s">
        <v>725</v>
      </c>
      <c r="C49" s="10" t="n">
        <v>45667</v>
      </c>
      <c r="D49" s="2" t="n">
        <f aca="false">MONTH(C49)</f>
        <v>1</v>
      </c>
      <c r="E49" s="2" t="s">
        <v>77</v>
      </c>
      <c r="F49" s="2" t="s">
        <v>64</v>
      </c>
      <c r="G49" s="2" t="s">
        <v>73</v>
      </c>
      <c r="H49" s="2" t="s">
        <v>87</v>
      </c>
      <c r="I49" s="2" t="n">
        <v>2</v>
      </c>
      <c r="J49" s="11" t="n">
        <v>9000</v>
      </c>
      <c r="K49" s="12" t="n">
        <v>0</v>
      </c>
      <c r="L49" s="11" t="n">
        <v>6200</v>
      </c>
      <c r="M49" s="11" t="n">
        <f aca="false">I49*J49*(1-K49)</f>
        <v>18000</v>
      </c>
      <c r="N49" s="11" t="n">
        <f aca="false">M49-I49*L49</f>
        <v>5600</v>
      </c>
    </row>
    <row r="50" customFormat="false" ht="15" hidden="false" customHeight="false" outlineLevel="0" collapsed="false">
      <c r="A50" s="2" t="s">
        <v>2276</v>
      </c>
      <c r="B50" s="2" t="s">
        <v>2275</v>
      </c>
      <c r="C50" s="10" t="n">
        <v>45667</v>
      </c>
      <c r="D50" s="2" t="n">
        <f aca="false">MONTH(C50)</f>
        <v>1</v>
      </c>
      <c r="E50" s="2" t="s">
        <v>77</v>
      </c>
      <c r="F50" s="2" t="s">
        <v>64</v>
      </c>
      <c r="G50" s="2" t="s">
        <v>73</v>
      </c>
      <c r="H50" s="2" t="s">
        <v>87</v>
      </c>
      <c r="I50" s="2" t="n">
        <v>2</v>
      </c>
      <c r="J50" s="11" t="n">
        <v>9000</v>
      </c>
      <c r="K50" s="12" t="n">
        <v>0</v>
      </c>
      <c r="L50" s="11" t="n">
        <v>6200</v>
      </c>
      <c r="M50" s="11" t="n">
        <f aca="false">I50*J50*(1-K50)</f>
        <v>18000</v>
      </c>
      <c r="N50" s="11" t="n">
        <f aca="false">M50-I50*L50</f>
        <v>5600</v>
      </c>
    </row>
    <row r="51" customFormat="false" ht="15" hidden="false" customHeight="false" outlineLevel="0" collapsed="false">
      <c r="A51" s="2" t="s">
        <v>2568</v>
      </c>
      <c r="B51" s="2" t="s">
        <v>2566</v>
      </c>
      <c r="C51" s="10" t="n">
        <v>45667</v>
      </c>
      <c r="D51" s="2" t="n">
        <f aca="false">MONTH(C51)</f>
        <v>1</v>
      </c>
      <c r="E51" s="2" t="s">
        <v>91</v>
      </c>
      <c r="F51" s="2" t="s">
        <v>64</v>
      </c>
      <c r="G51" s="2" t="s">
        <v>73</v>
      </c>
      <c r="H51" s="2" t="s">
        <v>85</v>
      </c>
      <c r="I51" s="2" t="n">
        <v>3</v>
      </c>
      <c r="J51" s="11" t="n">
        <v>1200</v>
      </c>
      <c r="K51" s="12" t="n">
        <v>0.05</v>
      </c>
      <c r="L51" s="11" t="n">
        <v>600</v>
      </c>
      <c r="M51" s="11" t="n">
        <f aca="false">I51*J51*(1-K51)</f>
        <v>3420</v>
      </c>
      <c r="N51" s="11" t="n">
        <f aca="false">M51-I51*L51</f>
        <v>1620</v>
      </c>
    </row>
    <row r="52" customFormat="false" ht="15" hidden="false" customHeight="false" outlineLevel="0" collapsed="false">
      <c r="A52" s="2" t="s">
        <v>2736</v>
      </c>
      <c r="B52" s="2" t="s">
        <v>2732</v>
      </c>
      <c r="C52" s="10" t="n">
        <v>45667</v>
      </c>
      <c r="D52" s="2" t="n">
        <f aca="false">MONTH(C52)</f>
        <v>1</v>
      </c>
      <c r="E52" s="2" t="s">
        <v>81</v>
      </c>
      <c r="F52" s="2" t="s">
        <v>64</v>
      </c>
      <c r="G52" s="2" t="s">
        <v>65</v>
      </c>
      <c r="H52" s="2" t="s">
        <v>78</v>
      </c>
      <c r="I52" s="2" t="n">
        <v>2</v>
      </c>
      <c r="J52" s="11" t="n">
        <v>400</v>
      </c>
      <c r="K52" s="12" t="n">
        <v>0</v>
      </c>
      <c r="L52" s="11" t="n">
        <v>200</v>
      </c>
      <c r="M52" s="11" t="n">
        <f aca="false">I52*J52*(1-K52)</f>
        <v>800</v>
      </c>
      <c r="N52" s="11" t="n">
        <f aca="false">M52-I52*L52</f>
        <v>400</v>
      </c>
    </row>
    <row r="53" customFormat="false" ht="15" hidden="false" customHeight="false" outlineLevel="0" collapsed="false">
      <c r="A53" s="2" t="s">
        <v>2974</v>
      </c>
      <c r="B53" s="2" t="s">
        <v>2968</v>
      </c>
      <c r="C53" s="10" t="n">
        <v>45667</v>
      </c>
      <c r="D53" s="2" t="n">
        <f aca="false">MONTH(C53)</f>
        <v>1</v>
      </c>
      <c r="E53" s="2" t="s">
        <v>63</v>
      </c>
      <c r="F53" s="2" t="s">
        <v>64</v>
      </c>
      <c r="G53" s="2" t="s">
        <v>65</v>
      </c>
      <c r="H53" s="2" t="s">
        <v>66</v>
      </c>
      <c r="I53" s="2" t="n">
        <v>3</v>
      </c>
      <c r="J53" s="11" t="n">
        <v>600</v>
      </c>
      <c r="K53" s="12" t="n">
        <v>0</v>
      </c>
      <c r="L53" s="11" t="n">
        <v>300</v>
      </c>
      <c r="M53" s="11" t="n">
        <f aca="false">I53*J53*(1-K53)</f>
        <v>1800</v>
      </c>
      <c r="N53" s="11" t="n">
        <f aca="false">M53-I53*L53</f>
        <v>900</v>
      </c>
    </row>
    <row r="54" customFormat="false" ht="15" hidden="false" customHeight="false" outlineLevel="0" collapsed="false">
      <c r="A54" s="2" t="s">
        <v>659</v>
      </c>
      <c r="B54" s="2" t="s">
        <v>660</v>
      </c>
      <c r="C54" s="10" t="n">
        <v>45668</v>
      </c>
      <c r="D54" s="2" t="n">
        <f aca="false">MONTH(C54)</f>
        <v>1</v>
      </c>
      <c r="E54" s="2" t="s">
        <v>81</v>
      </c>
      <c r="F54" s="2" t="s">
        <v>92</v>
      </c>
      <c r="G54" s="2" t="s">
        <v>73</v>
      </c>
      <c r="H54" s="2" t="s">
        <v>85</v>
      </c>
      <c r="I54" s="2" t="n">
        <v>5</v>
      </c>
      <c r="J54" s="11" t="n">
        <v>1200</v>
      </c>
      <c r="K54" s="12" t="n">
        <v>0.1</v>
      </c>
      <c r="L54" s="11" t="n">
        <v>600</v>
      </c>
      <c r="M54" s="11" t="n">
        <f aca="false">I54*J54*(1-K54)</f>
        <v>5400</v>
      </c>
      <c r="N54" s="11" t="n">
        <f aca="false">M54-I54*L54</f>
        <v>2400</v>
      </c>
    </row>
    <row r="55" customFormat="false" ht="15" hidden="false" customHeight="false" outlineLevel="0" collapsed="false">
      <c r="A55" s="2" t="s">
        <v>1396</v>
      </c>
      <c r="B55" s="2" t="s">
        <v>1397</v>
      </c>
      <c r="C55" s="10" t="n">
        <v>45668</v>
      </c>
      <c r="D55" s="2" t="n">
        <f aca="false">MONTH(C55)</f>
        <v>1</v>
      </c>
      <c r="E55" s="2" t="s">
        <v>81</v>
      </c>
      <c r="F55" s="2" t="s">
        <v>64</v>
      </c>
      <c r="G55" s="2" t="s">
        <v>70</v>
      </c>
      <c r="H55" s="2" t="s">
        <v>126</v>
      </c>
      <c r="I55" s="2" t="n">
        <v>2</v>
      </c>
      <c r="J55" s="11" t="n">
        <v>4500</v>
      </c>
      <c r="K55" s="12" t="n">
        <v>0</v>
      </c>
      <c r="L55" s="11" t="n">
        <v>3300</v>
      </c>
      <c r="M55" s="11" t="n">
        <f aca="false">I55*J55*(1-K55)</f>
        <v>9000</v>
      </c>
      <c r="N55" s="11" t="n">
        <f aca="false">M55-I55*L55</f>
        <v>2400</v>
      </c>
    </row>
    <row r="56" customFormat="false" ht="15" hidden="false" customHeight="false" outlineLevel="0" collapsed="false">
      <c r="A56" s="2" t="s">
        <v>988</v>
      </c>
      <c r="B56" s="2" t="s">
        <v>987</v>
      </c>
      <c r="C56" s="10" t="n">
        <v>45669</v>
      </c>
      <c r="D56" s="2" t="n">
        <f aca="false">MONTH(C56)</f>
        <v>1</v>
      </c>
      <c r="E56" s="2" t="s">
        <v>91</v>
      </c>
      <c r="F56" s="2" t="s">
        <v>92</v>
      </c>
      <c r="G56" s="2" t="s">
        <v>73</v>
      </c>
      <c r="H56" s="2" t="s">
        <v>87</v>
      </c>
      <c r="I56" s="2" t="n">
        <v>6</v>
      </c>
      <c r="J56" s="11" t="n">
        <v>9000</v>
      </c>
      <c r="K56" s="12" t="n">
        <v>0</v>
      </c>
      <c r="L56" s="11" t="n">
        <v>6200</v>
      </c>
      <c r="M56" s="11" t="n">
        <f aca="false">I56*J56*(1-K56)</f>
        <v>54000</v>
      </c>
      <c r="N56" s="11" t="n">
        <f aca="false">M56-I56*L56</f>
        <v>16800</v>
      </c>
    </row>
    <row r="57" customFormat="false" ht="15" hidden="false" customHeight="false" outlineLevel="0" collapsed="false">
      <c r="A57" s="2" t="s">
        <v>1046</v>
      </c>
      <c r="B57" s="2" t="s">
        <v>1045</v>
      </c>
      <c r="C57" s="10" t="n">
        <v>45669</v>
      </c>
      <c r="D57" s="2" t="n">
        <f aca="false">MONTH(C57)</f>
        <v>1</v>
      </c>
      <c r="E57" s="2" t="s">
        <v>63</v>
      </c>
      <c r="F57" s="2" t="s">
        <v>69</v>
      </c>
      <c r="G57" s="2" t="s">
        <v>65</v>
      </c>
      <c r="H57" s="2" t="s">
        <v>107</v>
      </c>
      <c r="I57" s="2" t="n">
        <v>13</v>
      </c>
      <c r="J57" s="11" t="n">
        <v>500</v>
      </c>
      <c r="K57" s="12" t="n">
        <v>0</v>
      </c>
      <c r="L57" s="11" t="n">
        <v>250</v>
      </c>
      <c r="M57" s="11" t="n">
        <f aca="false">I57*J57*(1-K57)</f>
        <v>6500</v>
      </c>
      <c r="N57" s="11" t="n">
        <f aca="false">M57-I57*L57</f>
        <v>3250</v>
      </c>
    </row>
    <row r="58" customFormat="false" ht="15" hidden="false" customHeight="false" outlineLevel="0" collapsed="false">
      <c r="A58" s="2" t="s">
        <v>1211</v>
      </c>
      <c r="B58" s="2" t="s">
        <v>1210</v>
      </c>
      <c r="C58" s="10" t="n">
        <v>45669</v>
      </c>
      <c r="D58" s="2" t="n">
        <f aca="false">MONTH(C58)</f>
        <v>1</v>
      </c>
      <c r="E58" s="2" t="s">
        <v>63</v>
      </c>
      <c r="F58" s="2" t="s">
        <v>92</v>
      </c>
      <c r="G58" s="2" t="s">
        <v>73</v>
      </c>
      <c r="H58" s="2" t="s">
        <v>85</v>
      </c>
      <c r="I58" s="2" t="n">
        <v>6</v>
      </c>
      <c r="J58" s="11" t="n">
        <v>1200</v>
      </c>
      <c r="K58" s="12" t="n">
        <v>0.1</v>
      </c>
      <c r="L58" s="11" t="n">
        <v>600</v>
      </c>
      <c r="M58" s="11" t="n">
        <f aca="false">I58*J58*(1-K58)</f>
        <v>6480</v>
      </c>
      <c r="N58" s="11" t="n">
        <f aca="false">M58-I58*L58</f>
        <v>2880</v>
      </c>
    </row>
    <row r="59" customFormat="false" ht="15" hidden="false" customHeight="false" outlineLevel="0" collapsed="false">
      <c r="A59" s="2" t="s">
        <v>1326</v>
      </c>
      <c r="B59" s="2" t="s">
        <v>1319</v>
      </c>
      <c r="C59" s="10" t="n">
        <v>45669</v>
      </c>
      <c r="D59" s="2" t="n">
        <f aca="false">MONTH(C59)</f>
        <v>1</v>
      </c>
      <c r="E59" s="2" t="s">
        <v>77</v>
      </c>
      <c r="F59" s="2" t="s">
        <v>92</v>
      </c>
      <c r="G59" s="2" t="s">
        <v>73</v>
      </c>
      <c r="H59" s="2" t="s">
        <v>74</v>
      </c>
      <c r="I59" s="2" t="n">
        <v>7</v>
      </c>
      <c r="J59" s="11" t="n">
        <v>7000</v>
      </c>
      <c r="K59" s="12" t="n">
        <v>0.1</v>
      </c>
      <c r="L59" s="11" t="n">
        <v>4800</v>
      </c>
      <c r="M59" s="11" t="n">
        <f aca="false">I59*J59*(1-K59)</f>
        <v>44100</v>
      </c>
      <c r="N59" s="11" t="n">
        <f aca="false">M59-I59*L59</f>
        <v>10500</v>
      </c>
    </row>
    <row r="60" customFormat="false" ht="15" hidden="false" customHeight="false" outlineLevel="0" collapsed="false">
      <c r="A60" s="2" t="s">
        <v>1676</v>
      </c>
      <c r="B60" s="2" t="s">
        <v>1664</v>
      </c>
      <c r="C60" s="10" t="n">
        <v>45669</v>
      </c>
      <c r="D60" s="2" t="n">
        <f aca="false">MONTH(C60)</f>
        <v>1</v>
      </c>
      <c r="E60" s="2" t="s">
        <v>81</v>
      </c>
      <c r="F60" s="2" t="s">
        <v>92</v>
      </c>
      <c r="G60" s="2" t="s">
        <v>70</v>
      </c>
      <c r="H60" s="2" t="s">
        <v>126</v>
      </c>
      <c r="I60" s="2" t="n">
        <v>6</v>
      </c>
      <c r="J60" s="11" t="n">
        <v>4500</v>
      </c>
      <c r="K60" s="12" t="n">
        <v>0.1</v>
      </c>
      <c r="L60" s="11" t="n">
        <v>3300</v>
      </c>
      <c r="M60" s="11" t="n">
        <f aca="false">I60*J60*(1-K60)</f>
        <v>24300</v>
      </c>
      <c r="N60" s="11" t="n">
        <f aca="false">M60-I60*L60</f>
        <v>4500</v>
      </c>
    </row>
    <row r="61" customFormat="false" ht="15" hidden="false" customHeight="false" outlineLevel="0" collapsed="false">
      <c r="A61" s="2" t="s">
        <v>2104</v>
      </c>
      <c r="B61" s="2" t="s">
        <v>2098</v>
      </c>
      <c r="C61" s="10" t="n">
        <v>45669</v>
      </c>
      <c r="D61" s="2" t="n">
        <f aca="false">MONTH(C61)</f>
        <v>1</v>
      </c>
      <c r="E61" s="2" t="s">
        <v>91</v>
      </c>
      <c r="F61" s="2" t="s">
        <v>92</v>
      </c>
      <c r="G61" s="2" t="s">
        <v>73</v>
      </c>
      <c r="H61" s="2" t="s">
        <v>85</v>
      </c>
      <c r="I61" s="2" t="n">
        <v>6</v>
      </c>
      <c r="J61" s="11" t="n">
        <v>1200</v>
      </c>
      <c r="K61" s="12" t="n">
        <v>0</v>
      </c>
      <c r="L61" s="11" t="n">
        <v>600</v>
      </c>
      <c r="M61" s="11" t="n">
        <f aca="false">I61*J61*(1-K61)</f>
        <v>7200</v>
      </c>
      <c r="N61" s="11" t="n">
        <f aca="false">M61-I61*L61</f>
        <v>3600</v>
      </c>
    </row>
    <row r="62" customFormat="false" ht="15" hidden="false" customHeight="false" outlineLevel="0" collapsed="false">
      <c r="A62" s="2" t="s">
        <v>753</v>
      </c>
      <c r="B62" s="2" t="s">
        <v>752</v>
      </c>
      <c r="C62" s="10" t="n">
        <v>45670</v>
      </c>
      <c r="D62" s="2" t="n">
        <f aca="false">MONTH(C62)</f>
        <v>1</v>
      </c>
      <c r="E62" s="2" t="s">
        <v>81</v>
      </c>
      <c r="F62" s="2" t="s">
        <v>92</v>
      </c>
      <c r="G62" s="2" t="s">
        <v>70</v>
      </c>
      <c r="H62" s="2" t="s">
        <v>97</v>
      </c>
      <c r="I62" s="2" t="n">
        <v>4</v>
      </c>
      <c r="J62" s="11" t="n">
        <v>3000</v>
      </c>
      <c r="K62" s="12" t="n">
        <v>0.1</v>
      </c>
      <c r="L62" s="11" t="n">
        <v>2000</v>
      </c>
      <c r="M62" s="11" t="n">
        <f aca="false">I62*J62*(1-K62)</f>
        <v>10800</v>
      </c>
      <c r="N62" s="11" t="n">
        <f aca="false">M62-I62*L62</f>
        <v>2800</v>
      </c>
    </row>
    <row r="63" customFormat="false" ht="15" hidden="false" customHeight="false" outlineLevel="0" collapsed="false">
      <c r="A63" s="2" t="s">
        <v>1251</v>
      </c>
      <c r="B63" s="2" t="s">
        <v>1252</v>
      </c>
      <c r="C63" s="10" t="n">
        <v>45670</v>
      </c>
      <c r="D63" s="2" t="n">
        <f aca="false">MONTH(C63)</f>
        <v>1</v>
      </c>
      <c r="E63" s="2" t="s">
        <v>81</v>
      </c>
      <c r="F63" s="2" t="s">
        <v>64</v>
      </c>
      <c r="G63" s="2" t="s">
        <v>70</v>
      </c>
      <c r="H63" s="2" t="s">
        <v>126</v>
      </c>
      <c r="I63" s="2" t="n">
        <v>2</v>
      </c>
      <c r="J63" s="11" t="n">
        <v>4500</v>
      </c>
      <c r="K63" s="12" t="n">
        <v>0</v>
      </c>
      <c r="L63" s="11" t="n">
        <v>3300</v>
      </c>
      <c r="M63" s="11" t="n">
        <f aca="false">I63*J63*(1-K63)</f>
        <v>9000</v>
      </c>
      <c r="N63" s="11" t="n">
        <f aca="false">M63-I63*L63</f>
        <v>2400</v>
      </c>
    </row>
    <row r="64" customFormat="false" ht="15" hidden="false" customHeight="false" outlineLevel="0" collapsed="false">
      <c r="A64" s="2" t="s">
        <v>1979</v>
      </c>
      <c r="B64" s="2" t="s">
        <v>1976</v>
      </c>
      <c r="C64" s="10" t="n">
        <v>45670</v>
      </c>
      <c r="D64" s="2" t="n">
        <f aca="false">MONTH(C64)</f>
        <v>1</v>
      </c>
      <c r="E64" s="2" t="s">
        <v>63</v>
      </c>
      <c r="F64" s="2" t="s">
        <v>92</v>
      </c>
      <c r="G64" s="2" t="s">
        <v>73</v>
      </c>
      <c r="H64" s="2" t="s">
        <v>74</v>
      </c>
      <c r="I64" s="2" t="n">
        <v>2</v>
      </c>
      <c r="J64" s="11" t="n">
        <v>7000</v>
      </c>
      <c r="K64" s="12" t="n">
        <v>0</v>
      </c>
      <c r="L64" s="11" t="n">
        <v>4800</v>
      </c>
      <c r="M64" s="11" t="n">
        <f aca="false">I64*J64*(1-K64)</f>
        <v>14000</v>
      </c>
      <c r="N64" s="11" t="n">
        <f aca="false">M64-I64*L64</f>
        <v>4400</v>
      </c>
    </row>
    <row r="65" customFormat="false" ht="15" hidden="false" customHeight="false" outlineLevel="0" collapsed="false">
      <c r="A65" s="2" t="s">
        <v>2584</v>
      </c>
      <c r="B65" s="2" t="s">
        <v>2585</v>
      </c>
      <c r="C65" s="10" t="n">
        <v>45670</v>
      </c>
      <c r="D65" s="2" t="n">
        <f aca="false">MONTH(C65)</f>
        <v>1</v>
      </c>
      <c r="E65" s="2" t="s">
        <v>77</v>
      </c>
      <c r="F65" s="2" t="s">
        <v>92</v>
      </c>
      <c r="G65" s="2" t="s">
        <v>70</v>
      </c>
      <c r="H65" s="2" t="s">
        <v>126</v>
      </c>
      <c r="I65" s="2" t="n">
        <v>4</v>
      </c>
      <c r="J65" s="11" t="n">
        <v>4500</v>
      </c>
      <c r="K65" s="12" t="n">
        <v>0.15</v>
      </c>
      <c r="L65" s="11" t="n">
        <v>3300</v>
      </c>
      <c r="M65" s="11" t="n">
        <f aca="false">I65*J65*(1-K65)</f>
        <v>15300</v>
      </c>
      <c r="N65" s="11" t="n">
        <f aca="false">M65-I65*L65</f>
        <v>2100</v>
      </c>
    </row>
    <row r="66" customFormat="false" ht="15" hidden="false" customHeight="false" outlineLevel="0" collapsed="false">
      <c r="A66" s="2" t="s">
        <v>98</v>
      </c>
      <c r="B66" s="2" t="s">
        <v>99</v>
      </c>
      <c r="C66" s="10" t="n">
        <v>45671</v>
      </c>
      <c r="D66" s="2" t="n">
        <f aca="false">MONTH(C66)</f>
        <v>1</v>
      </c>
      <c r="E66" s="2" t="s">
        <v>91</v>
      </c>
      <c r="F66" s="2" t="s">
        <v>64</v>
      </c>
      <c r="G66" s="2" t="s">
        <v>73</v>
      </c>
      <c r="H66" s="2" t="s">
        <v>85</v>
      </c>
      <c r="I66" s="2" t="n">
        <v>1</v>
      </c>
      <c r="J66" s="11" t="n">
        <v>1200</v>
      </c>
      <c r="K66" s="12" t="n">
        <v>0.05</v>
      </c>
      <c r="L66" s="11" t="n">
        <v>600</v>
      </c>
      <c r="M66" s="11" t="n">
        <f aca="false">I66*J66*(1-K66)</f>
        <v>1140</v>
      </c>
      <c r="N66" s="11" t="n">
        <f aca="false">M66-I66*L66</f>
        <v>540</v>
      </c>
    </row>
    <row r="67" customFormat="false" ht="15" hidden="false" customHeight="false" outlineLevel="0" collapsed="false">
      <c r="A67" s="2" t="s">
        <v>663</v>
      </c>
      <c r="B67" s="2" t="s">
        <v>664</v>
      </c>
      <c r="C67" s="10" t="n">
        <v>45671</v>
      </c>
      <c r="D67" s="2" t="n">
        <f aca="false">MONTH(C67)</f>
        <v>1</v>
      </c>
      <c r="E67" s="2" t="s">
        <v>77</v>
      </c>
      <c r="F67" s="2" t="s">
        <v>64</v>
      </c>
      <c r="G67" s="2" t="s">
        <v>70</v>
      </c>
      <c r="H67" s="2" t="s">
        <v>126</v>
      </c>
      <c r="I67" s="2" t="n">
        <v>2</v>
      </c>
      <c r="J67" s="11" t="n">
        <v>4500</v>
      </c>
      <c r="K67" s="12" t="n">
        <v>0.05</v>
      </c>
      <c r="L67" s="11" t="n">
        <v>3300</v>
      </c>
      <c r="M67" s="11" t="n">
        <f aca="false">I67*J67*(1-K67)</f>
        <v>8550</v>
      </c>
      <c r="N67" s="11" t="n">
        <f aca="false">M67-I67*L67</f>
        <v>1950</v>
      </c>
    </row>
    <row r="68" customFormat="false" ht="15" hidden="false" customHeight="false" outlineLevel="0" collapsed="false">
      <c r="A68" s="2" t="s">
        <v>749</v>
      </c>
      <c r="B68" s="2" t="s">
        <v>750</v>
      </c>
      <c r="C68" s="10" t="n">
        <v>45671</v>
      </c>
      <c r="D68" s="2" t="n">
        <f aca="false">MONTH(C68)</f>
        <v>1</v>
      </c>
      <c r="E68" s="2" t="s">
        <v>63</v>
      </c>
      <c r="F68" s="2" t="s">
        <v>64</v>
      </c>
      <c r="G68" s="2" t="s">
        <v>70</v>
      </c>
      <c r="H68" s="2" t="s">
        <v>71</v>
      </c>
      <c r="I68" s="2" t="n">
        <v>2</v>
      </c>
      <c r="J68" s="11" t="n">
        <v>2500</v>
      </c>
      <c r="K68" s="12" t="n">
        <v>0</v>
      </c>
      <c r="L68" s="11" t="n">
        <v>1600</v>
      </c>
      <c r="M68" s="11" t="n">
        <f aca="false">I68*J68*(1-K68)</f>
        <v>5000</v>
      </c>
      <c r="N68" s="11" t="n">
        <f aca="false">M68-I68*L68</f>
        <v>1800</v>
      </c>
    </row>
    <row r="69" customFormat="false" ht="15" hidden="false" customHeight="false" outlineLevel="0" collapsed="false">
      <c r="A69" s="2" t="s">
        <v>894</v>
      </c>
      <c r="B69" s="2" t="s">
        <v>893</v>
      </c>
      <c r="C69" s="10" t="n">
        <v>45671</v>
      </c>
      <c r="D69" s="2" t="n">
        <f aca="false">MONTH(C69)</f>
        <v>1</v>
      </c>
      <c r="E69" s="2" t="s">
        <v>63</v>
      </c>
      <c r="F69" s="2" t="s">
        <v>69</v>
      </c>
      <c r="G69" s="2" t="s">
        <v>73</v>
      </c>
      <c r="H69" s="2" t="s">
        <v>74</v>
      </c>
      <c r="I69" s="2" t="n">
        <v>3</v>
      </c>
      <c r="J69" s="11" t="n">
        <v>7000</v>
      </c>
      <c r="K69" s="12" t="n">
        <v>0.05</v>
      </c>
      <c r="L69" s="11" t="n">
        <v>4800</v>
      </c>
      <c r="M69" s="11" t="n">
        <f aca="false">I69*J69*(1-K69)</f>
        <v>19950</v>
      </c>
      <c r="N69" s="11" t="n">
        <f aca="false">M69-I69*L69</f>
        <v>5550</v>
      </c>
    </row>
    <row r="70" customFormat="false" ht="15" hidden="false" customHeight="false" outlineLevel="0" collapsed="false">
      <c r="A70" s="2" t="s">
        <v>975</v>
      </c>
      <c r="B70" s="2" t="s">
        <v>976</v>
      </c>
      <c r="C70" s="10" t="n">
        <v>45671</v>
      </c>
      <c r="D70" s="2" t="n">
        <f aca="false">MONTH(C70)</f>
        <v>1</v>
      </c>
      <c r="E70" s="2" t="s">
        <v>77</v>
      </c>
      <c r="F70" s="2" t="s">
        <v>69</v>
      </c>
      <c r="G70" s="2" t="s">
        <v>65</v>
      </c>
      <c r="H70" s="2" t="s">
        <v>82</v>
      </c>
      <c r="I70" s="2" t="n">
        <v>7</v>
      </c>
      <c r="J70" s="11" t="n">
        <v>250</v>
      </c>
      <c r="K70" s="12" t="n">
        <v>0</v>
      </c>
      <c r="L70" s="11" t="n">
        <v>100</v>
      </c>
      <c r="M70" s="11" t="n">
        <f aca="false">I70*J70*(1-K70)</f>
        <v>1750</v>
      </c>
      <c r="N70" s="11" t="n">
        <f aca="false">M70-I70*L70</f>
        <v>1050</v>
      </c>
    </row>
    <row r="71" customFormat="false" ht="15" hidden="false" customHeight="false" outlineLevel="0" collapsed="false">
      <c r="A71" s="2" t="s">
        <v>1596</v>
      </c>
      <c r="B71" s="2" t="s">
        <v>1595</v>
      </c>
      <c r="C71" s="10" t="n">
        <v>45671</v>
      </c>
      <c r="D71" s="2" t="n">
        <f aca="false">MONTH(C71)</f>
        <v>1</v>
      </c>
      <c r="E71" s="2" t="s">
        <v>81</v>
      </c>
      <c r="F71" s="2" t="s">
        <v>64</v>
      </c>
      <c r="G71" s="2" t="s">
        <v>65</v>
      </c>
      <c r="H71" s="2" t="s">
        <v>78</v>
      </c>
      <c r="I71" s="2" t="n">
        <v>6</v>
      </c>
      <c r="J71" s="11" t="n">
        <v>400</v>
      </c>
      <c r="K71" s="12" t="n">
        <v>0</v>
      </c>
      <c r="L71" s="11" t="n">
        <v>200</v>
      </c>
      <c r="M71" s="11" t="n">
        <f aca="false">I71*J71*(1-K71)</f>
        <v>2400</v>
      </c>
      <c r="N71" s="11" t="n">
        <f aca="false">M71-I71*L71</f>
        <v>1200</v>
      </c>
    </row>
    <row r="72" customFormat="false" ht="15" hidden="false" customHeight="false" outlineLevel="0" collapsed="false">
      <c r="A72" s="2" t="s">
        <v>1690</v>
      </c>
      <c r="B72" s="2" t="s">
        <v>1691</v>
      </c>
      <c r="C72" s="10" t="n">
        <v>45671</v>
      </c>
      <c r="D72" s="2" t="n">
        <f aca="false">MONTH(C72)</f>
        <v>1</v>
      </c>
      <c r="E72" s="2" t="s">
        <v>77</v>
      </c>
      <c r="F72" s="2" t="s">
        <v>69</v>
      </c>
      <c r="G72" s="2" t="s">
        <v>73</v>
      </c>
      <c r="H72" s="2" t="s">
        <v>104</v>
      </c>
      <c r="I72" s="2" t="n">
        <v>2</v>
      </c>
      <c r="J72" s="11" t="n">
        <v>5500</v>
      </c>
      <c r="K72" s="12" t="n">
        <v>0</v>
      </c>
      <c r="L72" s="11" t="n">
        <v>3600</v>
      </c>
      <c r="M72" s="11" t="n">
        <f aca="false">I72*J72*(1-K72)</f>
        <v>11000</v>
      </c>
      <c r="N72" s="11" t="n">
        <f aca="false">M72-I72*L72</f>
        <v>3800</v>
      </c>
    </row>
    <row r="73" customFormat="false" ht="15" hidden="false" customHeight="false" outlineLevel="0" collapsed="false">
      <c r="A73" s="2" t="s">
        <v>1754</v>
      </c>
      <c r="B73" s="2" t="s">
        <v>1755</v>
      </c>
      <c r="C73" s="10" t="n">
        <v>45671</v>
      </c>
      <c r="D73" s="2" t="n">
        <f aca="false">MONTH(C73)</f>
        <v>1</v>
      </c>
      <c r="E73" s="2" t="s">
        <v>63</v>
      </c>
      <c r="F73" s="2" t="s">
        <v>64</v>
      </c>
      <c r="G73" s="2" t="s">
        <v>65</v>
      </c>
      <c r="H73" s="2" t="s">
        <v>66</v>
      </c>
      <c r="I73" s="2" t="n">
        <v>7</v>
      </c>
      <c r="J73" s="11" t="n">
        <v>600</v>
      </c>
      <c r="K73" s="12" t="n">
        <v>0</v>
      </c>
      <c r="L73" s="11" t="n">
        <v>300</v>
      </c>
      <c r="M73" s="11" t="n">
        <f aca="false">I73*J73*(1-K73)</f>
        <v>4200</v>
      </c>
      <c r="N73" s="11" t="n">
        <f aca="false">M73-I73*L73</f>
        <v>2100</v>
      </c>
    </row>
    <row r="74" customFormat="false" ht="15" hidden="false" customHeight="false" outlineLevel="0" collapsed="false">
      <c r="A74" s="2" t="s">
        <v>1944</v>
      </c>
      <c r="B74" s="2" t="s">
        <v>1945</v>
      </c>
      <c r="C74" s="10" t="n">
        <v>45671</v>
      </c>
      <c r="D74" s="2" t="n">
        <f aca="false">MONTH(C74)</f>
        <v>1</v>
      </c>
      <c r="E74" s="2" t="s">
        <v>77</v>
      </c>
      <c r="F74" s="2" t="s">
        <v>92</v>
      </c>
      <c r="G74" s="2" t="s">
        <v>73</v>
      </c>
      <c r="H74" s="2" t="s">
        <v>87</v>
      </c>
      <c r="I74" s="2" t="n">
        <v>6</v>
      </c>
      <c r="J74" s="11" t="n">
        <v>9000</v>
      </c>
      <c r="K74" s="12" t="n">
        <v>0</v>
      </c>
      <c r="L74" s="11" t="n">
        <v>6200</v>
      </c>
      <c r="M74" s="11" t="n">
        <f aca="false">I74*J74*(1-K74)</f>
        <v>54000</v>
      </c>
      <c r="N74" s="11" t="n">
        <f aca="false">M74-I74*L74</f>
        <v>16800</v>
      </c>
    </row>
    <row r="75" customFormat="false" ht="15" hidden="false" customHeight="false" outlineLevel="0" collapsed="false">
      <c r="A75" s="2" t="s">
        <v>2114</v>
      </c>
      <c r="B75" s="2" t="s">
        <v>2115</v>
      </c>
      <c r="C75" s="10" t="n">
        <v>45671</v>
      </c>
      <c r="D75" s="2" t="n">
        <f aca="false">MONTH(C75)</f>
        <v>1</v>
      </c>
      <c r="E75" s="2" t="s">
        <v>63</v>
      </c>
      <c r="F75" s="2" t="s">
        <v>92</v>
      </c>
      <c r="G75" s="2" t="s">
        <v>73</v>
      </c>
      <c r="H75" s="2" t="s">
        <v>74</v>
      </c>
      <c r="I75" s="2" t="n">
        <v>2</v>
      </c>
      <c r="J75" s="11" t="n">
        <v>7000</v>
      </c>
      <c r="K75" s="12" t="n">
        <v>0.15</v>
      </c>
      <c r="L75" s="11" t="n">
        <v>4800</v>
      </c>
      <c r="M75" s="11" t="n">
        <f aca="false">I75*J75*(1-K75)</f>
        <v>11900</v>
      </c>
      <c r="N75" s="11" t="n">
        <f aca="false">M75-I75*L75</f>
        <v>2300</v>
      </c>
    </row>
    <row r="76" customFormat="false" ht="15" hidden="false" customHeight="false" outlineLevel="0" collapsed="false">
      <c r="A76" s="2" t="s">
        <v>2599</v>
      </c>
      <c r="B76" s="2" t="s">
        <v>2598</v>
      </c>
      <c r="C76" s="10" t="n">
        <v>45671</v>
      </c>
      <c r="D76" s="2" t="n">
        <f aca="false">MONTH(C76)</f>
        <v>1</v>
      </c>
      <c r="E76" s="2" t="s">
        <v>63</v>
      </c>
      <c r="F76" s="2" t="s">
        <v>69</v>
      </c>
      <c r="G76" s="2" t="s">
        <v>73</v>
      </c>
      <c r="H76" s="2" t="s">
        <v>74</v>
      </c>
      <c r="I76" s="2" t="n">
        <v>2</v>
      </c>
      <c r="J76" s="11" t="n">
        <v>7000</v>
      </c>
      <c r="K76" s="12" t="n">
        <v>0.1</v>
      </c>
      <c r="L76" s="11" t="n">
        <v>4800</v>
      </c>
      <c r="M76" s="11" t="n">
        <f aca="false">I76*J76*(1-K76)</f>
        <v>12600</v>
      </c>
      <c r="N76" s="11" t="n">
        <f aca="false">M76-I76*L76</f>
        <v>3000</v>
      </c>
    </row>
    <row r="77" customFormat="false" ht="15" hidden="false" customHeight="false" outlineLevel="0" collapsed="false">
      <c r="A77" s="2" t="s">
        <v>1665</v>
      </c>
      <c r="B77" s="2" t="s">
        <v>1664</v>
      </c>
      <c r="C77" s="10" t="n">
        <v>45672</v>
      </c>
      <c r="D77" s="2" t="n">
        <f aca="false">MONTH(C77)</f>
        <v>1</v>
      </c>
      <c r="E77" s="2" t="s">
        <v>81</v>
      </c>
      <c r="F77" s="2" t="s">
        <v>92</v>
      </c>
      <c r="G77" s="2" t="s">
        <v>73</v>
      </c>
      <c r="H77" s="2" t="s">
        <v>85</v>
      </c>
      <c r="I77" s="2" t="n">
        <v>7</v>
      </c>
      <c r="J77" s="11" t="n">
        <v>1200</v>
      </c>
      <c r="K77" s="12" t="n">
        <v>0</v>
      </c>
      <c r="L77" s="11" t="n">
        <v>600</v>
      </c>
      <c r="M77" s="11" t="n">
        <f aca="false">I77*J77*(1-K77)</f>
        <v>8400</v>
      </c>
      <c r="N77" s="11" t="n">
        <f aca="false">M77-I77*L77</f>
        <v>4200</v>
      </c>
    </row>
    <row r="78" customFormat="false" ht="15" hidden="false" customHeight="false" outlineLevel="0" collapsed="false">
      <c r="A78" s="2" t="s">
        <v>1822</v>
      </c>
      <c r="B78" s="2" t="s">
        <v>1823</v>
      </c>
      <c r="C78" s="10" t="n">
        <v>45672</v>
      </c>
      <c r="D78" s="2" t="n">
        <f aca="false">MONTH(C78)</f>
        <v>1</v>
      </c>
      <c r="E78" s="2" t="s">
        <v>63</v>
      </c>
      <c r="F78" s="2" t="s">
        <v>64</v>
      </c>
      <c r="G78" s="2" t="s">
        <v>73</v>
      </c>
      <c r="H78" s="2" t="s">
        <v>85</v>
      </c>
      <c r="I78" s="2" t="n">
        <v>1</v>
      </c>
      <c r="J78" s="11" t="n">
        <v>1200</v>
      </c>
      <c r="K78" s="12" t="n">
        <v>0</v>
      </c>
      <c r="L78" s="11" t="n">
        <v>600</v>
      </c>
      <c r="M78" s="11" t="n">
        <f aca="false">I78*J78*(1-K78)</f>
        <v>1200</v>
      </c>
      <c r="N78" s="11" t="n">
        <f aca="false">M78-I78*L78</f>
        <v>600</v>
      </c>
    </row>
    <row r="79" customFormat="false" ht="15" hidden="false" customHeight="false" outlineLevel="0" collapsed="false">
      <c r="A79" s="2" t="s">
        <v>1986</v>
      </c>
      <c r="B79" s="2" t="s">
        <v>1987</v>
      </c>
      <c r="C79" s="10" t="n">
        <v>45672</v>
      </c>
      <c r="D79" s="2" t="n">
        <f aca="false">MONTH(C79)</f>
        <v>1</v>
      </c>
      <c r="E79" s="2" t="s">
        <v>81</v>
      </c>
      <c r="F79" s="2" t="s">
        <v>64</v>
      </c>
      <c r="G79" s="2" t="s">
        <v>70</v>
      </c>
      <c r="H79" s="2" t="s">
        <v>71</v>
      </c>
      <c r="I79" s="2" t="n">
        <v>1</v>
      </c>
      <c r="J79" s="11" t="n">
        <v>2500</v>
      </c>
      <c r="K79" s="12" t="n">
        <v>0.1</v>
      </c>
      <c r="L79" s="11" t="n">
        <v>1600</v>
      </c>
      <c r="M79" s="11" t="n">
        <f aca="false">I79*J79*(1-K79)</f>
        <v>2250</v>
      </c>
      <c r="N79" s="11" t="n">
        <f aca="false">M79-I79*L79</f>
        <v>650</v>
      </c>
    </row>
    <row r="80" customFormat="false" ht="15" hidden="false" customHeight="false" outlineLevel="0" collapsed="false">
      <c r="A80" s="2" t="s">
        <v>2146</v>
      </c>
      <c r="B80" s="2" t="s">
        <v>2147</v>
      </c>
      <c r="C80" s="10" t="n">
        <v>45672</v>
      </c>
      <c r="D80" s="2" t="n">
        <f aca="false">MONTH(C80)</f>
        <v>1</v>
      </c>
      <c r="E80" s="2" t="s">
        <v>77</v>
      </c>
      <c r="F80" s="2" t="s">
        <v>64</v>
      </c>
      <c r="G80" s="2" t="s">
        <v>73</v>
      </c>
      <c r="H80" s="2" t="s">
        <v>87</v>
      </c>
      <c r="I80" s="2" t="n">
        <v>2</v>
      </c>
      <c r="J80" s="11" t="n">
        <v>9000</v>
      </c>
      <c r="K80" s="12" t="n">
        <v>0</v>
      </c>
      <c r="L80" s="11" t="n">
        <v>6200</v>
      </c>
      <c r="M80" s="11" t="n">
        <f aca="false">I80*J80*(1-K80)</f>
        <v>18000</v>
      </c>
      <c r="N80" s="11" t="n">
        <f aca="false">M80-I80*L80</f>
        <v>5600</v>
      </c>
    </row>
    <row r="81" customFormat="false" ht="15" hidden="false" customHeight="false" outlineLevel="0" collapsed="false">
      <c r="A81" s="2" t="s">
        <v>2353</v>
      </c>
      <c r="B81" s="2" t="s">
        <v>2354</v>
      </c>
      <c r="C81" s="10" t="n">
        <v>45672</v>
      </c>
      <c r="D81" s="2" t="n">
        <f aca="false">MONTH(C81)</f>
        <v>1</v>
      </c>
      <c r="E81" s="2" t="s">
        <v>91</v>
      </c>
      <c r="F81" s="2" t="s">
        <v>92</v>
      </c>
      <c r="G81" s="2" t="s">
        <v>73</v>
      </c>
      <c r="H81" s="2" t="s">
        <v>104</v>
      </c>
      <c r="I81" s="2" t="n">
        <v>7</v>
      </c>
      <c r="J81" s="11" t="n">
        <v>5500</v>
      </c>
      <c r="K81" s="12" t="n">
        <v>0</v>
      </c>
      <c r="L81" s="11" t="n">
        <v>3600</v>
      </c>
      <c r="M81" s="11" t="n">
        <f aca="false">I81*J81*(1-K81)</f>
        <v>38500</v>
      </c>
      <c r="N81" s="11" t="n">
        <f aca="false">M81-I81*L81</f>
        <v>13300</v>
      </c>
    </row>
    <row r="82" customFormat="false" ht="15" hidden="false" customHeight="false" outlineLevel="0" collapsed="false">
      <c r="A82" s="2" t="s">
        <v>233</v>
      </c>
      <c r="B82" s="2" t="s">
        <v>232</v>
      </c>
      <c r="C82" s="10" t="n">
        <v>45673</v>
      </c>
      <c r="D82" s="2" t="n">
        <f aca="false">MONTH(C82)</f>
        <v>1</v>
      </c>
      <c r="E82" s="2" t="s">
        <v>77</v>
      </c>
      <c r="F82" s="2" t="s">
        <v>64</v>
      </c>
      <c r="G82" s="2" t="s">
        <v>70</v>
      </c>
      <c r="H82" s="2" t="s">
        <v>122</v>
      </c>
      <c r="I82" s="2" t="n">
        <v>1</v>
      </c>
      <c r="J82" s="11" t="n">
        <v>1500</v>
      </c>
      <c r="K82" s="12" t="n">
        <v>0.05</v>
      </c>
      <c r="L82" s="11" t="n">
        <v>900</v>
      </c>
      <c r="M82" s="11" t="n">
        <f aca="false">I82*J82*(1-K82)</f>
        <v>1425</v>
      </c>
      <c r="N82" s="11" t="n">
        <f aca="false">M82-I82*L82</f>
        <v>525</v>
      </c>
    </row>
    <row r="83" customFormat="false" ht="15" hidden="false" customHeight="false" outlineLevel="0" collapsed="false">
      <c r="A83" s="2" t="s">
        <v>1628</v>
      </c>
      <c r="B83" s="2" t="s">
        <v>1627</v>
      </c>
      <c r="C83" s="10" t="n">
        <v>45673</v>
      </c>
      <c r="D83" s="2" t="n">
        <f aca="false">MONTH(C83)</f>
        <v>1</v>
      </c>
      <c r="E83" s="2" t="s">
        <v>91</v>
      </c>
      <c r="F83" s="2" t="s">
        <v>92</v>
      </c>
      <c r="G83" s="2" t="s">
        <v>73</v>
      </c>
      <c r="H83" s="2" t="s">
        <v>74</v>
      </c>
      <c r="I83" s="2" t="n">
        <v>3</v>
      </c>
      <c r="J83" s="11" t="n">
        <v>7000</v>
      </c>
      <c r="K83" s="12" t="n">
        <v>0.15</v>
      </c>
      <c r="L83" s="11" t="n">
        <v>4800</v>
      </c>
      <c r="M83" s="11" t="n">
        <f aca="false">I83*J83*(1-K83)</f>
        <v>17850</v>
      </c>
      <c r="N83" s="11" t="n">
        <f aca="false">M83-I83*L83</f>
        <v>3450</v>
      </c>
    </row>
    <row r="84" customFormat="false" ht="15" hidden="false" customHeight="false" outlineLevel="0" collapsed="false">
      <c r="A84" s="2" t="s">
        <v>1637</v>
      </c>
      <c r="B84" s="2" t="s">
        <v>1638</v>
      </c>
      <c r="C84" s="10" t="n">
        <v>45673</v>
      </c>
      <c r="D84" s="2" t="n">
        <f aca="false">MONTH(C84)</f>
        <v>1</v>
      </c>
      <c r="E84" s="2" t="s">
        <v>81</v>
      </c>
      <c r="F84" s="2" t="s">
        <v>92</v>
      </c>
      <c r="G84" s="2" t="s">
        <v>73</v>
      </c>
      <c r="H84" s="2" t="s">
        <v>85</v>
      </c>
      <c r="I84" s="2" t="n">
        <v>6</v>
      </c>
      <c r="J84" s="11" t="n">
        <v>1200</v>
      </c>
      <c r="K84" s="12" t="n">
        <v>0.1</v>
      </c>
      <c r="L84" s="11" t="n">
        <v>600</v>
      </c>
      <c r="M84" s="11" t="n">
        <f aca="false">I84*J84*(1-K84)</f>
        <v>6480</v>
      </c>
      <c r="N84" s="11" t="n">
        <f aca="false">M84-I84*L84</f>
        <v>2880</v>
      </c>
    </row>
    <row r="85" customFormat="false" ht="15" hidden="false" customHeight="false" outlineLevel="0" collapsed="false">
      <c r="A85" s="2" t="s">
        <v>2016</v>
      </c>
      <c r="B85" s="2" t="s">
        <v>2017</v>
      </c>
      <c r="C85" s="10" t="n">
        <v>45673</v>
      </c>
      <c r="D85" s="2" t="n">
        <f aca="false">MONTH(C85)</f>
        <v>1</v>
      </c>
      <c r="E85" s="2" t="s">
        <v>63</v>
      </c>
      <c r="F85" s="2" t="s">
        <v>64</v>
      </c>
      <c r="G85" s="2" t="s">
        <v>70</v>
      </c>
      <c r="H85" s="2" t="s">
        <v>97</v>
      </c>
      <c r="I85" s="2" t="n">
        <v>1</v>
      </c>
      <c r="J85" s="11" t="n">
        <v>3000</v>
      </c>
      <c r="K85" s="12" t="n">
        <v>0</v>
      </c>
      <c r="L85" s="11" t="n">
        <v>2000</v>
      </c>
      <c r="M85" s="11" t="n">
        <f aca="false">I85*J85*(1-K85)</f>
        <v>3000</v>
      </c>
      <c r="N85" s="11" t="n">
        <f aca="false">M85-I85*L85</f>
        <v>1000</v>
      </c>
    </row>
    <row r="86" customFormat="false" ht="15" hidden="false" customHeight="false" outlineLevel="0" collapsed="false">
      <c r="A86" s="2" t="s">
        <v>2099</v>
      </c>
      <c r="B86" s="2" t="s">
        <v>2098</v>
      </c>
      <c r="C86" s="10" t="n">
        <v>45673</v>
      </c>
      <c r="D86" s="2" t="n">
        <f aca="false">MONTH(C86)</f>
        <v>1</v>
      </c>
      <c r="E86" s="2" t="s">
        <v>91</v>
      </c>
      <c r="F86" s="2" t="s">
        <v>92</v>
      </c>
      <c r="G86" s="2" t="s">
        <v>70</v>
      </c>
      <c r="H86" s="2" t="s">
        <v>71</v>
      </c>
      <c r="I86" s="2" t="n">
        <v>6</v>
      </c>
      <c r="J86" s="11" t="n">
        <v>2500</v>
      </c>
      <c r="K86" s="12" t="n">
        <v>0</v>
      </c>
      <c r="L86" s="11" t="n">
        <v>1600</v>
      </c>
      <c r="M86" s="11" t="n">
        <f aca="false">I86*J86*(1-K86)</f>
        <v>15000</v>
      </c>
      <c r="N86" s="11" t="n">
        <f aca="false">M86-I86*L86</f>
        <v>5400</v>
      </c>
    </row>
    <row r="87" customFormat="false" ht="15" hidden="false" customHeight="false" outlineLevel="0" collapsed="false">
      <c r="A87" s="2" t="s">
        <v>2267</v>
      </c>
      <c r="B87" s="2" t="s">
        <v>2268</v>
      </c>
      <c r="C87" s="10" t="n">
        <v>45673</v>
      </c>
      <c r="D87" s="2" t="n">
        <f aca="false">MONTH(C87)</f>
        <v>1</v>
      </c>
      <c r="E87" s="2" t="s">
        <v>81</v>
      </c>
      <c r="F87" s="2" t="s">
        <v>92</v>
      </c>
      <c r="G87" s="2" t="s">
        <v>70</v>
      </c>
      <c r="H87" s="2" t="s">
        <v>122</v>
      </c>
      <c r="I87" s="2" t="n">
        <v>6</v>
      </c>
      <c r="J87" s="11" t="n">
        <v>1500</v>
      </c>
      <c r="K87" s="12" t="n">
        <v>0.15</v>
      </c>
      <c r="L87" s="11" t="n">
        <v>900</v>
      </c>
      <c r="M87" s="11" t="n">
        <f aca="false">I87*J87*(1-K87)</f>
        <v>7650</v>
      </c>
      <c r="N87" s="11" t="n">
        <f aca="false">M87-I87*L87</f>
        <v>2250</v>
      </c>
    </row>
    <row r="88" customFormat="false" ht="15" hidden="false" customHeight="false" outlineLevel="0" collapsed="false">
      <c r="A88" s="2" t="s">
        <v>2727</v>
      </c>
      <c r="B88" s="2" t="s">
        <v>2728</v>
      </c>
      <c r="C88" s="10" t="n">
        <v>45673</v>
      </c>
      <c r="D88" s="2" t="n">
        <f aca="false">MONTH(C88)</f>
        <v>1</v>
      </c>
      <c r="E88" s="2" t="s">
        <v>77</v>
      </c>
      <c r="F88" s="2" t="s">
        <v>69</v>
      </c>
      <c r="G88" s="2" t="s">
        <v>73</v>
      </c>
      <c r="H88" s="2" t="s">
        <v>85</v>
      </c>
      <c r="I88" s="2" t="n">
        <v>2</v>
      </c>
      <c r="J88" s="11" t="n">
        <v>1200</v>
      </c>
      <c r="K88" s="12" t="n">
        <v>0.1</v>
      </c>
      <c r="L88" s="11" t="n">
        <v>600</v>
      </c>
      <c r="M88" s="11" t="n">
        <f aca="false">I88*J88*(1-K88)</f>
        <v>2160</v>
      </c>
      <c r="N88" s="11" t="n">
        <f aca="false">M88-I88*L88</f>
        <v>960</v>
      </c>
    </row>
    <row r="89" customFormat="false" ht="15" hidden="false" customHeight="false" outlineLevel="0" collapsed="false">
      <c r="A89" s="2" t="s">
        <v>1544</v>
      </c>
      <c r="B89" s="2" t="s">
        <v>1542</v>
      </c>
      <c r="C89" s="10" t="n">
        <v>45674</v>
      </c>
      <c r="D89" s="2" t="n">
        <f aca="false">MONTH(C89)</f>
        <v>1</v>
      </c>
      <c r="E89" s="2" t="s">
        <v>91</v>
      </c>
      <c r="F89" s="2" t="s">
        <v>64</v>
      </c>
      <c r="G89" s="2" t="s">
        <v>65</v>
      </c>
      <c r="H89" s="2" t="s">
        <v>107</v>
      </c>
      <c r="I89" s="2" t="n">
        <v>7</v>
      </c>
      <c r="J89" s="11" t="n">
        <v>500</v>
      </c>
      <c r="K89" s="12" t="n">
        <v>0.05</v>
      </c>
      <c r="L89" s="11" t="n">
        <v>250</v>
      </c>
      <c r="M89" s="11" t="n">
        <f aca="false">I89*J89*(1-K89)</f>
        <v>3325</v>
      </c>
      <c r="N89" s="11" t="n">
        <f aca="false">M89-I89*L89</f>
        <v>1575</v>
      </c>
    </row>
    <row r="90" customFormat="false" ht="15" hidden="false" customHeight="false" outlineLevel="0" collapsed="false">
      <c r="A90" s="2" t="s">
        <v>2713</v>
      </c>
      <c r="B90" s="2" t="s">
        <v>2710</v>
      </c>
      <c r="C90" s="10" t="n">
        <v>45674</v>
      </c>
      <c r="D90" s="2" t="n">
        <f aca="false">MONTH(C90)</f>
        <v>1</v>
      </c>
      <c r="E90" s="2" t="s">
        <v>81</v>
      </c>
      <c r="F90" s="2" t="s">
        <v>64</v>
      </c>
      <c r="G90" s="2" t="s">
        <v>65</v>
      </c>
      <c r="H90" s="2" t="s">
        <v>78</v>
      </c>
      <c r="I90" s="2" t="n">
        <v>2</v>
      </c>
      <c r="J90" s="11" t="n">
        <v>400</v>
      </c>
      <c r="K90" s="12" t="n">
        <v>0</v>
      </c>
      <c r="L90" s="11" t="n">
        <v>200</v>
      </c>
      <c r="M90" s="11" t="n">
        <f aca="false">I90*J90*(1-K90)</f>
        <v>800</v>
      </c>
      <c r="N90" s="11" t="n">
        <f aca="false">M90-I90*L90</f>
        <v>400</v>
      </c>
    </row>
    <row r="91" customFormat="false" ht="15" hidden="false" customHeight="false" outlineLevel="0" collapsed="false">
      <c r="A91" s="2" t="s">
        <v>1631</v>
      </c>
      <c r="B91" s="2" t="s">
        <v>1627</v>
      </c>
      <c r="C91" s="10" t="n">
        <v>45675</v>
      </c>
      <c r="D91" s="2" t="n">
        <f aca="false">MONTH(C91)</f>
        <v>1</v>
      </c>
      <c r="E91" s="2" t="s">
        <v>91</v>
      </c>
      <c r="F91" s="2" t="s">
        <v>92</v>
      </c>
      <c r="G91" s="2" t="s">
        <v>73</v>
      </c>
      <c r="H91" s="2" t="s">
        <v>85</v>
      </c>
      <c r="I91" s="2" t="n">
        <v>4</v>
      </c>
      <c r="J91" s="11" t="n">
        <v>1200</v>
      </c>
      <c r="K91" s="12" t="n">
        <v>0</v>
      </c>
      <c r="L91" s="11" t="n">
        <v>600</v>
      </c>
      <c r="M91" s="11" t="n">
        <f aca="false">I91*J91*(1-K91)</f>
        <v>4800</v>
      </c>
      <c r="N91" s="11" t="n">
        <f aca="false">M91-I91*L91</f>
        <v>2400</v>
      </c>
    </row>
    <row r="92" customFormat="false" ht="15" hidden="false" customHeight="false" outlineLevel="0" collapsed="false">
      <c r="A92" s="2" t="s">
        <v>2024</v>
      </c>
      <c r="B92" s="2" t="s">
        <v>2023</v>
      </c>
      <c r="C92" s="10" t="n">
        <v>45675</v>
      </c>
      <c r="D92" s="2" t="n">
        <f aca="false">MONTH(C92)</f>
        <v>1</v>
      </c>
      <c r="E92" s="2" t="s">
        <v>63</v>
      </c>
      <c r="F92" s="2" t="s">
        <v>92</v>
      </c>
      <c r="G92" s="2" t="s">
        <v>70</v>
      </c>
      <c r="H92" s="2" t="s">
        <v>122</v>
      </c>
      <c r="I92" s="2" t="n">
        <v>7</v>
      </c>
      <c r="J92" s="11" t="n">
        <v>1500</v>
      </c>
      <c r="K92" s="12" t="n">
        <v>0</v>
      </c>
      <c r="L92" s="11" t="n">
        <v>900</v>
      </c>
      <c r="M92" s="11" t="n">
        <f aca="false">I92*J92*(1-K92)</f>
        <v>10500</v>
      </c>
      <c r="N92" s="11" t="n">
        <f aca="false">M92-I92*L92</f>
        <v>4200</v>
      </c>
    </row>
    <row r="93" customFormat="false" ht="15" hidden="false" customHeight="false" outlineLevel="0" collapsed="false">
      <c r="A93" s="2" t="s">
        <v>2094</v>
      </c>
      <c r="B93" s="2" t="s">
        <v>2093</v>
      </c>
      <c r="C93" s="10" t="n">
        <v>45675</v>
      </c>
      <c r="D93" s="2" t="n">
        <f aca="false">MONTH(C93)</f>
        <v>1</v>
      </c>
      <c r="E93" s="2" t="s">
        <v>81</v>
      </c>
      <c r="F93" s="2" t="s">
        <v>69</v>
      </c>
      <c r="G93" s="2" t="s">
        <v>70</v>
      </c>
      <c r="H93" s="2" t="s">
        <v>97</v>
      </c>
      <c r="I93" s="2" t="n">
        <v>2</v>
      </c>
      <c r="J93" s="11" t="n">
        <v>3000</v>
      </c>
      <c r="K93" s="12" t="n">
        <v>0</v>
      </c>
      <c r="L93" s="11" t="n">
        <v>2000</v>
      </c>
      <c r="M93" s="11" t="n">
        <f aca="false">I93*J93*(1-K93)</f>
        <v>6000</v>
      </c>
      <c r="N93" s="11" t="n">
        <f aca="false">M93-I93*L93</f>
        <v>2000</v>
      </c>
    </row>
    <row r="94" customFormat="false" ht="15" hidden="false" customHeight="false" outlineLevel="0" collapsed="false">
      <c r="A94" s="2" t="s">
        <v>2919</v>
      </c>
      <c r="B94" s="2" t="s">
        <v>2916</v>
      </c>
      <c r="C94" s="10" t="n">
        <v>45675</v>
      </c>
      <c r="D94" s="2" t="n">
        <f aca="false">MONTH(C94)</f>
        <v>1</v>
      </c>
      <c r="E94" s="2" t="s">
        <v>63</v>
      </c>
      <c r="F94" s="2" t="s">
        <v>69</v>
      </c>
      <c r="G94" s="2" t="s">
        <v>65</v>
      </c>
      <c r="H94" s="2" t="s">
        <v>66</v>
      </c>
      <c r="I94" s="2" t="n">
        <v>13</v>
      </c>
      <c r="J94" s="11" t="n">
        <v>600</v>
      </c>
      <c r="K94" s="12" t="n">
        <v>0</v>
      </c>
      <c r="L94" s="11" t="n">
        <v>300</v>
      </c>
      <c r="M94" s="11" t="n">
        <f aca="false">I94*J94*(1-K94)</f>
        <v>7800</v>
      </c>
      <c r="N94" s="11" t="n">
        <f aca="false">M94-I94*L94</f>
        <v>3900</v>
      </c>
    </row>
    <row r="95" customFormat="false" ht="15" hidden="false" customHeight="false" outlineLevel="0" collapsed="false">
      <c r="A95" s="2" t="s">
        <v>838</v>
      </c>
      <c r="B95" s="2" t="s">
        <v>839</v>
      </c>
      <c r="C95" s="10" t="n">
        <v>45676</v>
      </c>
      <c r="D95" s="2" t="n">
        <f aca="false">MONTH(C95)</f>
        <v>1</v>
      </c>
      <c r="E95" s="2" t="s">
        <v>77</v>
      </c>
      <c r="F95" s="2" t="s">
        <v>64</v>
      </c>
      <c r="G95" s="2" t="s">
        <v>70</v>
      </c>
      <c r="H95" s="2" t="s">
        <v>122</v>
      </c>
      <c r="I95" s="2" t="n">
        <v>3</v>
      </c>
      <c r="J95" s="11" t="n">
        <v>1500</v>
      </c>
      <c r="K95" s="12" t="n">
        <v>0</v>
      </c>
      <c r="L95" s="11" t="n">
        <v>900</v>
      </c>
      <c r="M95" s="11" t="n">
        <f aca="false">I95*J95*(1-K95)</f>
        <v>4500</v>
      </c>
      <c r="N95" s="11" t="n">
        <f aca="false">M95-I95*L95</f>
        <v>1800</v>
      </c>
    </row>
    <row r="96" customFormat="false" ht="15" hidden="false" customHeight="false" outlineLevel="0" collapsed="false">
      <c r="A96" s="2" t="s">
        <v>1565</v>
      </c>
      <c r="B96" s="2" t="s">
        <v>1563</v>
      </c>
      <c r="C96" s="10" t="n">
        <v>45676</v>
      </c>
      <c r="D96" s="2" t="n">
        <f aca="false">MONTH(C96)</f>
        <v>1</v>
      </c>
      <c r="E96" s="2" t="s">
        <v>81</v>
      </c>
      <c r="F96" s="2" t="s">
        <v>64</v>
      </c>
      <c r="G96" s="2" t="s">
        <v>73</v>
      </c>
      <c r="H96" s="2" t="s">
        <v>104</v>
      </c>
      <c r="I96" s="2" t="n">
        <v>3</v>
      </c>
      <c r="J96" s="11" t="n">
        <v>5500</v>
      </c>
      <c r="K96" s="12" t="n">
        <v>0</v>
      </c>
      <c r="L96" s="11" t="n">
        <v>3600</v>
      </c>
      <c r="M96" s="11" t="n">
        <f aca="false">I96*J96*(1-K96)</f>
        <v>16500</v>
      </c>
      <c r="N96" s="11" t="n">
        <f aca="false">M96-I96*L96</f>
        <v>5700</v>
      </c>
    </row>
    <row r="97" customFormat="false" ht="15" hidden="false" customHeight="false" outlineLevel="0" collapsed="false">
      <c r="A97" s="2" t="s">
        <v>1859</v>
      </c>
      <c r="B97" s="2" t="s">
        <v>1856</v>
      </c>
      <c r="C97" s="10" t="n">
        <v>45676</v>
      </c>
      <c r="D97" s="2" t="n">
        <f aca="false">MONTH(C97)</f>
        <v>1</v>
      </c>
      <c r="E97" s="2" t="s">
        <v>81</v>
      </c>
      <c r="F97" s="2" t="s">
        <v>92</v>
      </c>
      <c r="G97" s="2" t="s">
        <v>70</v>
      </c>
      <c r="H97" s="2" t="s">
        <v>71</v>
      </c>
      <c r="I97" s="2" t="n">
        <v>5</v>
      </c>
      <c r="J97" s="11" t="n">
        <v>2500</v>
      </c>
      <c r="K97" s="12" t="n">
        <v>0.1</v>
      </c>
      <c r="L97" s="11" t="n">
        <v>1600</v>
      </c>
      <c r="M97" s="11" t="n">
        <f aca="false">I97*J97*(1-K97)</f>
        <v>11250</v>
      </c>
      <c r="N97" s="11" t="n">
        <f aca="false">M97-I97*L97</f>
        <v>3250</v>
      </c>
    </row>
    <row r="98" customFormat="false" ht="15" hidden="false" customHeight="false" outlineLevel="0" collapsed="false">
      <c r="A98" s="2" t="s">
        <v>2649</v>
      </c>
      <c r="B98" s="2" t="s">
        <v>2648</v>
      </c>
      <c r="C98" s="10" t="n">
        <v>45676</v>
      </c>
      <c r="D98" s="2" t="n">
        <f aca="false">MONTH(C98)</f>
        <v>1</v>
      </c>
      <c r="E98" s="2" t="s">
        <v>81</v>
      </c>
      <c r="F98" s="2" t="s">
        <v>64</v>
      </c>
      <c r="G98" s="2" t="s">
        <v>65</v>
      </c>
      <c r="H98" s="2" t="s">
        <v>82</v>
      </c>
      <c r="I98" s="2" t="n">
        <v>8</v>
      </c>
      <c r="J98" s="11" t="n">
        <v>250</v>
      </c>
      <c r="K98" s="12" t="n">
        <v>0.05</v>
      </c>
      <c r="L98" s="11" t="n">
        <v>100</v>
      </c>
      <c r="M98" s="11" t="n">
        <f aca="false">I98*J98*(1-K98)</f>
        <v>1900</v>
      </c>
      <c r="N98" s="11" t="n">
        <f aca="false">M98-I98*L98</f>
        <v>1100</v>
      </c>
    </row>
    <row r="99" customFormat="false" ht="15" hidden="false" customHeight="false" outlineLevel="0" collapsed="false">
      <c r="A99" s="2" t="s">
        <v>423</v>
      </c>
      <c r="B99" s="2" t="s">
        <v>422</v>
      </c>
      <c r="C99" s="10" t="n">
        <v>45677</v>
      </c>
      <c r="D99" s="2" t="n">
        <f aca="false">MONTH(C99)</f>
        <v>1</v>
      </c>
      <c r="E99" s="2" t="s">
        <v>77</v>
      </c>
      <c r="F99" s="2" t="s">
        <v>92</v>
      </c>
      <c r="G99" s="2" t="s">
        <v>73</v>
      </c>
      <c r="H99" s="2" t="s">
        <v>104</v>
      </c>
      <c r="I99" s="2" t="n">
        <v>3</v>
      </c>
      <c r="J99" s="11" t="n">
        <v>5500</v>
      </c>
      <c r="K99" s="12" t="n">
        <v>0.1</v>
      </c>
      <c r="L99" s="11" t="n">
        <v>3600</v>
      </c>
      <c r="M99" s="11" t="n">
        <f aca="false">I99*J99*(1-K99)</f>
        <v>14850</v>
      </c>
      <c r="N99" s="11" t="n">
        <f aca="false">M99-I99*L99</f>
        <v>4050</v>
      </c>
    </row>
    <row r="100" customFormat="false" ht="15" hidden="false" customHeight="false" outlineLevel="0" collapsed="false">
      <c r="A100" s="2" t="s">
        <v>1730</v>
      </c>
      <c r="B100" s="2" t="s">
        <v>1729</v>
      </c>
      <c r="C100" s="10" t="n">
        <v>45677</v>
      </c>
      <c r="D100" s="2" t="n">
        <f aca="false">MONTH(C100)</f>
        <v>1</v>
      </c>
      <c r="E100" s="2" t="s">
        <v>91</v>
      </c>
      <c r="F100" s="2" t="s">
        <v>69</v>
      </c>
      <c r="G100" s="2" t="s">
        <v>65</v>
      </c>
      <c r="H100" s="2" t="s">
        <v>82</v>
      </c>
      <c r="I100" s="2" t="n">
        <v>5</v>
      </c>
      <c r="J100" s="11" t="n">
        <v>250</v>
      </c>
      <c r="K100" s="12" t="n">
        <v>0.1</v>
      </c>
      <c r="L100" s="11" t="n">
        <v>100</v>
      </c>
      <c r="M100" s="11" t="n">
        <f aca="false">I100*J100*(1-K100)</f>
        <v>1125</v>
      </c>
      <c r="N100" s="11" t="n">
        <f aca="false">M100-I100*L100</f>
        <v>625</v>
      </c>
    </row>
    <row r="101" customFormat="false" ht="15" hidden="false" customHeight="false" outlineLevel="0" collapsed="false">
      <c r="A101" s="2" t="s">
        <v>2135</v>
      </c>
      <c r="B101" s="2" t="s">
        <v>2133</v>
      </c>
      <c r="C101" s="10" t="n">
        <v>45677</v>
      </c>
      <c r="D101" s="2" t="n">
        <f aca="false">MONTH(C101)</f>
        <v>1</v>
      </c>
      <c r="E101" s="2" t="s">
        <v>63</v>
      </c>
      <c r="F101" s="2" t="s">
        <v>64</v>
      </c>
      <c r="G101" s="2" t="s">
        <v>65</v>
      </c>
      <c r="H101" s="2" t="s">
        <v>66</v>
      </c>
      <c r="I101" s="2" t="n">
        <v>7</v>
      </c>
      <c r="J101" s="11" t="n">
        <v>600</v>
      </c>
      <c r="K101" s="12" t="n">
        <v>0.1</v>
      </c>
      <c r="L101" s="11" t="n">
        <v>300</v>
      </c>
      <c r="M101" s="11" t="n">
        <f aca="false">I101*J101*(1-K101)</f>
        <v>3780</v>
      </c>
      <c r="N101" s="11" t="n">
        <f aca="false">M101-I101*L101</f>
        <v>1680</v>
      </c>
    </row>
    <row r="102" customFormat="false" ht="15" hidden="false" customHeight="false" outlineLevel="0" collapsed="false">
      <c r="A102" s="2" t="s">
        <v>2427</v>
      </c>
      <c r="B102" s="2" t="s">
        <v>2428</v>
      </c>
      <c r="C102" s="10" t="n">
        <v>45677</v>
      </c>
      <c r="D102" s="2" t="n">
        <f aca="false">MONTH(C102)</f>
        <v>1</v>
      </c>
      <c r="E102" s="2" t="s">
        <v>91</v>
      </c>
      <c r="F102" s="2" t="s">
        <v>69</v>
      </c>
      <c r="G102" s="2" t="s">
        <v>65</v>
      </c>
      <c r="H102" s="2" t="s">
        <v>82</v>
      </c>
      <c r="I102" s="2" t="n">
        <v>13</v>
      </c>
      <c r="J102" s="11" t="n">
        <v>250</v>
      </c>
      <c r="K102" s="12" t="n">
        <v>0.1</v>
      </c>
      <c r="L102" s="11" t="n">
        <v>100</v>
      </c>
      <c r="M102" s="11" t="n">
        <f aca="false">I102*J102*(1-K102)</f>
        <v>2925</v>
      </c>
      <c r="N102" s="11" t="n">
        <f aca="false">M102-I102*L102</f>
        <v>1625</v>
      </c>
    </row>
    <row r="103" customFormat="false" ht="15" hidden="false" customHeight="false" outlineLevel="0" collapsed="false">
      <c r="A103" s="2" t="s">
        <v>2721</v>
      </c>
      <c r="B103" s="2" t="s">
        <v>2720</v>
      </c>
      <c r="C103" s="10" t="n">
        <v>45678</v>
      </c>
      <c r="D103" s="2" t="n">
        <f aca="false">MONTH(C103)</f>
        <v>1</v>
      </c>
      <c r="E103" s="2" t="s">
        <v>77</v>
      </c>
      <c r="F103" s="2" t="s">
        <v>92</v>
      </c>
      <c r="G103" s="2" t="s">
        <v>73</v>
      </c>
      <c r="H103" s="2" t="s">
        <v>104</v>
      </c>
      <c r="I103" s="2" t="n">
        <v>7</v>
      </c>
      <c r="J103" s="11" t="n">
        <v>5500</v>
      </c>
      <c r="K103" s="12" t="n">
        <v>0.15</v>
      </c>
      <c r="L103" s="11" t="n">
        <v>3600</v>
      </c>
      <c r="M103" s="11" t="n">
        <f aca="false">I103*J103*(1-K103)</f>
        <v>32725</v>
      </c>
      <c r="N103" s="11" t="n">
        <f aca="false">M103-I103*L103</f>
        <v>7525</v>
      </c>
    </row>
    <row r="104" customFormat="false" ht="15" hidden="false" customHeight="false" outlineLevel="0" collapsed="false">
      <c r="A104" s="2" t="s">
        <v>2905</v>
      </c>
      <c r="B104" s="2" t="s">
        <v>2903</v>
      </c>
      <c r="C104" s="10" t="n">
        <v>45678</v>
      </c>
      <c r="D104" s="2" t="n">
        <f aca="false">MONTH(C104)</f>
        <v>1</v>
      </c>
      <c r="E104" s="2" t="s">
        <v>81</v>
      </c>
      <c r="F104" s="2" t="s">
        <v>64</v>
      </c>
      <c r="G104" s="2" t="s">
        <v>70</v>
      </c>
      <c r="H104" s="2" t="s">
        <v>122</v>
      </c>
      <c r="I104" s="2" t="n">
        <v>2</v>
      </c>
      <c r="J104" s="11" t="n">
        <v>1500</v>
      </c>
      <c r="K104" s="12" t="n">
        <v>0.05</v>
      </c>
      <c r="L104" s="11" t="n">
        <v>900</v>
      </c>
      <c r="M104" s="11" t="n">
        <f aca="false">I104*J104*(1-K104)</f>
        <v>2850</v>
      </c>
      <c r="N104" s="11" t="n">
        <f aca="false">M104-I104*L104</f>
        <v>1050</v>
      </c>
    </row>
    <row r="105" customFormat="false" ht="15" hidden="false" customHeight="false" outlineLevel="0" collapsed="false">
      <c r="A105" s="2" t="s">
        <v>800</v>
      </c>
      <c r="B105" s="2" t="s">
        <v>801</v>
      </c>
      <c r="C105" s="10" t="n">
        <v>45679</v>
      </c>
      <c r="D105" s="2" t="n">
        <f aca="false">MONTH(C105)</f>
        <v>1</v>
      </c>
      <c r="E105" s="2" t="s">
        <v>91</v>
      </c>
      <c r="F105" s="2" t="s">
        <v>92</v>
      </c>
      <c r="G105" s="2" t="s">
        <v>65</v>
      </c>
      <c r="H105" s="2" t="s">
        <v>107</v>
      </c>
      <c r="I105" s="2" t="n">
        <v>31</v>
      </c>
      <c r="J105" s="11" t="n">
        <v>500</v>
      </c>
      <c r="K105" s="12" t="n">
        <v>0.15</v>
      </c>
      <c r="L105" s="11" t="n">
        <v>250</v>
      </c>
      <c r="M105" s="11" t="n">
        <f aca="false">I105*J105*(1-K105)</f>
        <v>13175</v>
      </c>
      <c r="N105" s="11" t="n">
        <f aca="false">M105-I105*L105</f>
        <v>5425</v>
      </c>
    </row>
    <row r="106" customFormat="false" ht="15" hidden="false" customHeight="false" outlineLevel="0" collapsed="false">
      <c r="A106" s="2" t="s">
        <v>1702</v>
      </c>
      <c r="B106" s="2" t="s">
        <v>1703</v>
      </c>
      <c r="C106" s="10" t="n">
        <v>45679</v>
      </c>
      <c r="D106" s="2" t="n">
        <f aca="false">MONTH(C106)</f>
        <v>1</v>
      </c>
      <c r="E106" s="2" t="s">
        <v>63</v>
      </c>
      <c r="F106" s="2" t="s">
        <v>64</v>
      </c>
      <c r="G106" s="2" t="s">
        <v>65</v>
      </c>
      <c r="H106" s="2" t="s">
        <v>82</v>
      </c>
      <c r="I106" s="2" t="n">
        <v>6</v>
      </c>
      <c r="J106" s="11" t="n">
        <v>250</v>
      </c>
      <c r="K106" s="12" t="n">
        <v>0.05</v>
      </c>
      <c r="L106" s="11" t="n">
        <v>100</v>
      </c>
      <c r="M106" s="11" t="n">
        <f aca="false">I106*J106*(1-K106)</f>
        <v>1425</v>
      </c>
      <c r="N106" s="11" t="n">
        <f aca="false">M106-I106*L106</f>
        <v>825</v>
      </c>
    </row>
    <row r="107" customFormat="false" ht="15" hidden="false" customHeight="false" outlineLevel="0" collapsed="false">
      <c r="A107" s="2" t="s">
        <v>1971</v>
      </c>
      <c r="B107" s="2" t="s">
        <v>1970</v>
      </c>
      <c r="C107" s="10" t="n">
        <v>45679</v>
      </c>
      <c r="D107" s="2" t="n">
        <f aca="false">MONTH(C107)</f>
        <v>1</v>
      </c>
      <c r="E107" s="2" t="s">
        <v>77</v>
      </c>
      <c r="F107" s="2" t="s">
        <v>64</v>
      </c>
      <c r="G107" s="2" t="s">
        <v>70</v>
      </c>
      <c r="H107" s="2" t="s">
        <v>122</v>
      </c>
      <c r="I107" s="2" t="n">
        <v>1</v>
      </c>
      <c r="J107" s="11" t="n">
        <v>1500</v>
      </c>
      <c r="K107" s="12" t="n">
        <v>0</v>
      </c>
      <c r="L107" s="11" t="n">
        <v>900</v>
      </c>
      <c r="M107" s="11" t="n">
        <f aca="false">I107*J107*(1-K107)</f>
        <v>1500</v>
      </c>
      <c r="N107" s="11" t="n">
        <f aca="false">M107-I107*L107</f>
        <v>600</v>
      </c>
    </row>
    <row r="108" customFormat="false" ht="15" hidden="false" customHeight="false" outlineLevel="0" collapsed="false">
      <c r="A108" s="2" t="s">
        <v>2989</v>
      </c>
      <c r="B108" s="2" t="s">
        <v>2987</v>
      </c>
      <c r="C108" s="10" t="n">
        <v>45679</v>
      </c>
      <c r="D108" s="2" t="n">
        <f aca="false">MONTH(C108)</f>
        <v>1</v>
      </c>
      <c r="E108" s="2" t="s">
        <v>91</v>
      </c>
      <c r="F108" s="2" t="s">
        <v>92</v>
      </c>
      <c r="G108" s="2" t="s">
        <v>73</v>
      </c>
      <c r="H108" s="2" t="s">
        <v>104</v>
      </c>
      <c r="I108" s="2" t="n">
        <v>7</v>
      </c>
      <c r="J108" s="11" t="n">
        <v>5500</v>
      </c>
      <c r="K108" s="12" t="n">
        <v>0.1</v>
      </c>
      <c r="L108" s="11" t="n">
        <v>3600</v>
      </c>
      <c r="M108" s="11" t="n">
        <f aca="false">I108*J108*(1-K108)</f>
        <v>34650</v>
      </c>
      <c r="N108" s="11" t="n">
        <f aca="false">M108-I108*L108</f>
        <v>9450</v>
      </c>
    </row>
    <row r="109" customFormat="false" ht="15" hidden="false" customHeight="false" outlineLevel="0" collapsed="false">
      <c r="A109" s="2" t="s">
        <v>303</v>
      </c>
      <c r="B109" s="2" t="s">
        <v>302</v>
      </c>
      <c r="C109" s="10" t="n">
        <v>45680</v>
      </c>
      <c r="D109" s="2" t="n">
        <f aca="false">MONTH(C109)</f>
        <v>1</v>
      </c>
      <c r="E109" s="2" t="s">
        <v>77</v>
      </c>
      <c r="F109" s="2" t="s">
        <v>69</v>
      </c>
      <c r="G109" s="2" t="s">
        <v>65</v>
      </c>
      <c r="H109" s="2" t="s">
        <v>107</v>
      </c>
      <c r="I109" s="2" t="n">
        <v>12</v>
      </c>
      <c r="J109" s="11" t="n">
        <v>500</v>
      </c>
      <c r="K109" s="12" t="n">
        <v>0</v>
      </c>
      <c r="L109" s="11" t="n">
        <v>250</v>
      </c>
      <c r="M109" s="11" t="n">
        <f aca="false">I109*J109*(1-K109)</f>
        <v>6000</v>
      </c>
      <c r="N109" s="11" t="n">
        <f aca="false">M109-I109*L109</f>
        <v>3000</v>
      </c>
    </row>
    <row r="110" customFormat="false" ht="15" hidden="false" customHeight="false" outlineLevel="0" collapsed="false">
      <c r="A110" s="2" t="s">
        <v>1024</v>
      </c>
      <c r="B110" s="2" t="s">
        <v>1023</v>
      </c>
      <c r="C110" s="10" t="n">
        <v>45680</v>
      </c>
      <c r="D110" s="2" t="n">
        <f aca="false">MONTH(C110)</f>
        <v>1</v>
      </c>
      <c r="E110" s="2" t="s">
        <v>77</v>
      </c>
      <c r="F110" s="2" t="s">
        <v>92</v>
      </c>
      <c r="G110" s="2" t="s">
        <v>70</v>
      </c>
      <c r="H110" s="2" t="s">
        <v>97</v>
      </c>
      <c r="I110" s="2" t="n">
        <v>6</v>
      </c>
      <c r="J110" s="11" t="n">
        <v>3000</v>
      </c>
      <c r="K110" s="12" t="n">
        <v>0.1</v>
      </c>
      <c r="L110" s="11" t="n">
        <v>2000</v>
      </c>
      <c r="M110" s="11" t="n">
        <f aca="false">I110*J110*(1-K110)</f>
        <v>16200</v>
      </c>
      <c r="N110" s="11" t="n">
        <f aca="false">M110-I110*L110</f>
        <v>4200</v>
      </c>
    </row>
    <row r="111" customFormat="false" ht="15" hidden="false" customHeight="false" outlineLevel="0" collapsed="false">
      <c r="A111" s="2" t="s">
        <v>1619</v>
      </c>
      <c r="B111" s="2" t="s">
        <v>1609</v>
      </c>
      <c r="C111" s="10" t="n">
        <v>45680</v>
      </c>
      <c r="D111" s="2" t="n">
        <f aca="false">MONTH(C111)</f>
        <v>1</v>
      </c>
      <c r="E111" s="2" t="s">
        <v>81</v>
      </c>
      <c r="F111" s="2" t="s">
        <v>92</v>
      </c>
      <c r="G111" s="2" t="s">
        <v>73</v>
      </c>
      <c r="H111" s="2" t="s">
        <v>74</v>
      </c>
      <c r="I111" s="2" t="n">
        <v>6</v>
      </c>
      <c r="J111" s="11" t="n">
        <v>7000</v>
      </c>
      <c r="K111" s="12" t="n">
        <v>0.15</v>
      </c>
      <c r="L111" s="11" t="n">
        <v>4800</v>
      </c>
      <c r="M111" s="11" t="n">
        <f aca="false">I111*J111*(1-K111)</f>
        <v>35700</v>
      </c>
      <c r="N111" s="11" t="n">
        <f aca="false">M111-I111*L111</f>
        <v>6900</v>
      </c>
    </row>
    <row r="112" customFormat="false" ht="15" hidden="false" customHeight="false" outlineLevel="0" collapsed="false">
      <c r="A112" s="2" t="s">
        <v>1714</v>
      </c>
      <c r="B112" s="2" t="s">
        <v>1712</v>
      </c>
      <c r="C112" s="10" t="n">
        <v>45680</v>
      </c>
      <c r="D112" s="2" t="n">
        <f aca="false">MONTH(C112)</f>
        <v>1</v>
      </c>
      <c r="E112" s="2" t="s">
        <v>81</v>
      </c>
      <c r="F112" s="2" t="s">
        <v>64</v>
      </c>
      <c r="G112" s="2" t="s">
        <v>70</v>
      </c>
      <c r="H112" s="2" t="s">
        <v>97</v>
      </c>
      <c r="I112" s="2" t="n">
        <v>3</v>
      </c>
      <c r="J112" s="11" t="n">
        <v>3000</v>
      </c>
      <c r="K112" s="12" t="n">
        <v>0</v>
      </c>
      <c r="L112" s="11" t="n">
        <v>2000</v>
      </c>
      <c r="M112" s="11" t="n">
        <f aca="false">I112*J112*(1-K112)</f>
        <v>9000</v>
      </c>
      <c r="N112" s="11" t="n">
        <f aca="false">M112-I112*L112</f>
        <v>3000</v>
      </c>
    </row>
    <row r="113" customFormat="false" ht="15" hidden="false" customHeight="false" outlineLevel="0" collapsed="false">
      <c r="A113" s="2" t="s">
        <v>2057</v>
      </c>
      <c r="B113" s="2" t="s">
        <v>2054</v>
      </c>
      <c r="C113" s="10" t="n">
        <v>45680</v>
      </c>
      <c r="D113" s="2" t="n">
        <f aca="false">MONTH(C113)</f>
        <v>1</v>
      </c>
      <c r="E113" s="2" t="s">
        <v>91</v>
      </c>
      <c r="F113" s="2" t="s">
        <v>64</v>
      </c>
      <c r="G113" s="2" t="s">
        <v>65</v>
      </c>
      <c r="H113" s="2" t="s">
        <v>82</v>
      </c>
      <c r="I113" s="2" t="n">
        <v>5</v>
      </c>
      <c r="J113" s="11" t="n">
        <v>250</v>
      </c>
      <c r="K113" s="12" t="n">
        <v>0</v>
      </c>
      <c r="L113" s="11" t="n">
        <v>100</v>
      </c>
      <c r="M113" s="11" t="n">
        <f aca="false">I113*J113*(1-K113)</f>
        <v>1250</v>
      </c>
      <c r="N113" s="11" t="n">
        <f aca="false">M113-I113*L113</f>
        <v>750</v>
      </c>
    </row>
    <row r="114" customFormat="false" ht="15" hidden="false" customHeight="false" outlineLevel="0" collapsed="false">
      <c r="A114" s="2" t="s">
        <v>2447</v>
      </c>
      <c r="B114" s="2" t="s">
        <v>2446</v>
      </c>
      <c r="C114" s="10" t="n">
        <v>45680</v>
      </c>
      <c r="D114" s="2" t="n">
        <f aca="false">MONTH(C114)</f>
        <v>1</v>
      </c>
      <c r="E114" s="2" t="s">
        <v>81</v>
      </c>
      <c r="F114" s="2" t="s">
        <v>64</v>
      </c>
      <c r="G114" s="2" t="s">
        <v>73</v>
      </c>
      <c r="H114" s="2" t="s">
        <v>87</v>
      </c>
      <c r="I114" s="2" t="n">
        <v>1</v>
      </c>
      <c r="J114" s="11" t="n">
        <v>9000</v>
      </c>
      <c r="K114" s="12" t="n">
        <v>0</v>
      </c>
      <c r="L114" s="11" t="n">
        <v>6200</v>
      </c>
      <c r="M114" s="11" t="n">
        <f aca="false">I114*J114*(1-K114)</f>
        <v>9000</v>
      </c>
      <c r="N114" s="11" t="n">
        <f aca="false">M114-I114*L114</f>
        <v>2800</v>
      </c>
    </row>
    <row r="115" customFormat="false" ht="15" hidden="false" customHeight="false" outlineLevel="0" collapsed="false">
      <c r="A115" s="2" t="s">
        <v>2577</v>
      </c>
      <c r="B115" s="2" t="s">
        <v>2578</v>
      </c>
      <c r="C115" s="10" t="n">
        <v>45680</v>
      </c>
      <c r="D115" s="2" t="n">
        <f aca="false">MONTH(C115)</f>
        <v>1</v>
      </c>
      <c r="E115" s="2" t="s">
        <v>91</v>
      </c>
      <c r="F115" s="2" t="s">
        <v>69</v>
      </c>
      <c r="G115" s="2" t="s">
        <v>73</v>
      </c>
      <c r="H115" s="2" t="s">
        <v>85</v>
      </c>
      <c r="I115" s="2" t="n">
        <v>2</v>
      </c>
      <c r="J115" s="11" t="n">
        <v>1200</v>
      </c>
      <c r="K115" s="12" t="n">
        <v>0</v>
      </c>
      <c r="L115" s="11" t="n">
        <v>600</v>
      </c>
      <c r="M115" s="11" t="n">
        <f aca="false">I115*J115*(1-K115)</f>
        <v>2400</v>
      </c>
      <c r="N115" s="11" t="n">
        <f aca="false">M115-I115*L115</f>
        <v>1200</v>
      </c>
    </row>
    <row r="116" customFormat="false" ht="15" hidden="false" customHeight="false" outlineLevel="0" collapsed="false">
      <c r="A116" s="2" t="s">
        <v>221</v>
      </c>
      <c r="B116" s="2" t="s">
        <v>218</v>
      </c>
      <c r="C116" s="10" t="n">
        <v>45681</v>
      </c>
      <c r="D116" s="2" t="n">
        <f aca="false">MONTH(C116)</f>
        <v>1</v>
      </c>
      <c r="E116" s="2" t="s">
        <v>63</v>
      </c>
      <c r="F116" s="2" t="s">
        <v>69</v>
      </c>
      <c r="G116" s="2" t="s">
        <v>65</v>
      </c>
      <c r="H116" s="2" t="s">
        <v>66</v>
      </c>
      <c r="I116" s="2" t="n">
        <v>20</v>
      </c>
      <c r="J116" s="11" t="n">
        <v>600</v>
      </c>
      <c r="K116" s="12" t="n">
        <v>0</v>
      </c>
      <c r="L116" s="11" t="n">
        <v>300</v>
      </c>
      <c r="M116" s="11" t="n">
        <f aca="false">I116*J116*(1-K116)</f>
        <v>12000</v>
      </c>
      <c r="N116" s="11" t="n">
        <f aca="false">M116-I116*L116</f>
        <v>6000</v>
      </c>
    </row>
    <row r="117" customFormat="false" ht="15" hidden="false" customHeight="false" outlineLevel="0" collapsed="false">
      <c r="A117" s="2" t="s">
        <v>356</v>
      </c>
      <c r="B117" s="2" t="s">
        <v>349</v>
      </c>
      <c r="C117" s="10" t="n">
        <v>45681</v>
      </c>
      <c r="D117" s="2" t="n">
        <f aca="false">MONTH(C117)</f>
        <v>1</v>
      </c>
      <c r="E117" s="2" t="s">
        <v>77</v>
      </c>
      <c r="F117" s="2" t="s">
        <v>64</v>
      </c>
      <c r="G117" s="2" t="s">
        <v>73</v>
      </c>
      <c r="H117" s="2" t="s">
        <v>74</v>
      </c>
      <c r="I117" s="2" t="n">
        <v>1</v>
      </c>
      <c r="J117" s="11" t="n">
        <v>7000</v>
      </c>
      <c r="K117" s="12" t="n">
        <v>0.1</v>
      </c>
      <c r="L117" s="11" t="n">
        <v>4800</v>
      </c>
      <c r="M117" s="11" t="n">
        <f aca="false">I117*J117*(1-K117)</f>
        <v>6300</v>
      </c>
      <c r="N117" s="11" t="n">
        <f aca="false">M117-I117*L117</f>
        <v>1500</v>
      </c>
    </row>
    <row r="118" customFormat="false" ht="15" hidden="false" customHeight="false" outlineLevel="0" collapsed="false">
      <c r="A118" s="2" t="s">
        <v>986</v>
      </c>
      <c r="B118" s="2" t="s">
        <v>987</v>
      </c>
      <c r="C118" s="10" t="n">
        <v>45681</v>
      </c>
      <c r="D118" s="2" t="n">
        <f aca="false">MONTH(C118)</f>
        <v>1</v>
      </c>
      <c r="E118" s="2" t="s">
        <v>91</v>
      </c>
      <c r="F118" s="2" t="s">
        <v>92</v>
      </c>
      <c r="G118" s="2" t="s">
        <v>73</v>
      </c>
      <c r="H118" s="2" t="s">
        <v>87</v>
      </c>
      <c r="I118" s="2" t="n">
        <v>4</v>
      </c>
      <c r="J118" s="11" t="n">
        <v>9000</v>
      </c>
      <c r="K118" s="12" t="n">
        <v>0.1</v>
      </c>
      <c r="L118" s="11" t="n">
        <v>6200</v>
      </c>
      <c r="M118" s="11" t="n">
        <f aca="false">I118*J118*(1-K118)</f>
        <v>32400</v>
      </c>
      <c r="N118" s="11" t="n">
        <f aca="false">M118-I118*L118</f>
        <v>7600</v>
      </c>
    </row>
    <row r="119" customFormat="false" ht="15" hidden="false" customHeight="false" outlineLevel="0" collapsed="false">
      <c r="A119" s="2" t="s">
        <v>1120</v>
      </c>
      <c r="B119" s="2" t="s">
        <v>1119</v>
      </c>
      <c r="C119" s="10" t="n">
        <v>45681</v>
      </c>
      <c r="D119" s="2" t="n">
        <f aca="false">MONTH(C119)</f>
        <v>1</v>
      </c>
      <c r="E119" s="2" t="s">
        <v>77</v>
      </c>
      <c r="F119" s="2" t="s">
        <v>64</v>
      </c>
      <c r="G119" s="2" t="s">
        <v>65</v>
      </c>
      <c r="H119" s="2" t="s">
        <v>78</v>
      </c>
      <c r="I119" s="2" t="n">
        <v>8</v>
      </c>
      <c r="J119" s="11" t="n">
        <v>400</v>
      </c>
      <c r="K119" s="12" t="n">
        <v>0</v>
      </c>
      <c r="L119" s="11" t="n">
        <v>200</v>
      </c>
      <c r="M119" s="11" t="n">
        <f aca="false">I119*J119*(1-K119)</f>
        <v>3200</v>
      </c>
      <c r="N119" s="11" t="n">
        <f aca="false">M119-I119*L119</f>
        <v>1600</v>
      </c>
    </row>
    <row r="120" customFormat="false" ht="15" hidden="false" customHeight="false" outlineLevel="0" collapsed="false">
      <c r="A120" s="2" t="s">
        <v>2150</v>
      </c>
      <c r="B120" s="2" t="s">
        <v>2151</v>
      </c>
      <c r="C120" s="10" t="n">
        <v>45681</v>
      </c>
      <c r="D120" s="2" t="n">
        <f aca="false">MONTH(C120)</f>
        <v>1</v>
      </c>
      <c r="E120" s="2" t="s">
        <v>63</v>
      </c>
      <c r="F120" s="2" t="s">
        <v>64</v>
      </c>
      <c r="G120" s="2" t="s">
        <v>73</v>
      </c>
      <c r="H120" s="2" t="s">
        <v>104</v>
      </c>
      <c r="I120" s="2" t="n">
        <v>3</v>
      </c>
      <c r="J120" s="11" t="n">
        <v>5500</v>
      </c>
      <c r="K120" s="12" t="n">
        <v>0</v>
      </c>
      <c r="L120" s="11" t="n">
        <v>3600</v>
      </c>
      <c r="M120" s="11" t="n">
        <f aca="false">I120*J120*(1-K120)</f>
        <v>16500</v>
      </c>
      <c r="N120" s="11" t="n">
        <f aca="false">M120-I120*L120</f>
        <v>5700</v>
      </c>
    </row>
    <row r="121" customFormat="false" ht="15" hidden="false" customHeight="false" outlineLevel="0" collapsed="false">
      <c r="A121" s="2" t="s">
        <v>2506</v>
      </c>
      <c r="B121" s="2" t="s">
        <v>2507</v>
      </c>
      <c r="C121" s="10" t="n">
        <v>45681</v>
      </c>
      <c r="D121" s="2" t="n">
        <f aca="false">MONTH(C121)</f>
        <v>1</v>
      </c>
      <c r="E121" s="2" t="s">
        <v>77</v>
      </c>
      <c r="F121" s="2" t="s">
        <v>64</v>
      </c>
      <c r="G121" s="2" t="s">
        <v>65</v>
      </c>
      <c r="H121" s="2" t="s">
        <v>78</v>
      </c>
      <c r="I121" s="2" t="n">
        <v>2</v>
      </c>
      <c r="J121" s="11" t="n">
        <v>400</v>
      </c>
      <c r="K121" s="12" t="n">
        <v>0</v>
      </c>
      <c r="L121" s="11" t="n">
        <v>200</v>
      </c>
      <c r="M121" s="11" t="n">
        <f aca="false">I121*J121*(1-K121)</f>
        <v>800</v>
      </c>
      <c r="N121" s="11" t="n">
        <f aca="false">M121-I121*L121</f>
        <v>400</v>
      </c>
    </row>
    <row r="122" customFormat="false" ht="15" hidden="false" customHeight="false" outlineLevel="0" collapsed="false">
      <c r="A122" s="2" t="s">
        <v>234</v>
      </c>
      <c r="B122" s="2" t="s">
        <v>232</v>
      </c>
      <c r="C122" s="10" t="n">
        <v>45682</v>
      </c>
      <c r="D122" s="2" t="n">
        <f aca="false">MONTH(C122)</f>
        <v>1</v>
      </c>
      <c r="E122" s="2" t="s">
        <v>77</v>
      </c>
      <c r="F122" s="2" t="s">
        <v>64</v>
      </c>
      <c r="G122" s="2" t="s">
        <v>73</v>
      </c>
      <c r="H122" s="2" t="s">
        <v>85</v>
      </c>
      <c r="I122" s="2" t="n">
        <v>1</v>
      </c>
      <c r="J122" s="11" t="n">
        <v>1200</v>
      </c>
      <c r="K122" s="12" t="n">
        <v>0</v>
      </c>
      <c r="L122" s="11" t="n">
        <v>600</v>
      </c>
      <c r="M122" s="11" t="n">
        <f aca="false">I122*J122*(1-K122)</f>
        <v>1200</v>
      </c>
      <c r="N122" s="11" t="n">
        <f aca="false">M122-I122*L122</f>
        <v>600</v>
      </c>
    </row>
    <row r="123" customFormat="false" ht="15" hidden="false" customHeight="false" outlineLevel="0" collapsed="false">
      <c r="A123" s="2" t="s">
        <v>1111</v>
      </c>
      <c r="B123" s="2" t="s">
        <v>1108</v>
      </c>
      <c r="C123" s="10" t="n">
        <v>45682</v>
      </c>
      <c r="D123" s="2" t="n">
        <f aca="false">MONTH(C123)</f>
        <v>1</v>
      </c>
      <c r="E123" s="2" t="s">
        <v>77</v>
      </c>
      <c r="F123" s="2" t="s">
        <v>64</v>
      </c>
      <c r="G123" s="2" t="s">
        <v>73</v>
      </c>
      <c r="H123" s="2" t="s">
        <v>74</v>
      </c>
      <c r="I123" s="2" t="n">
        <v>2</v>
      </c>
      <c r="J123" s="11" t="n">
        <v>7000</v>
      </c>
      <c r="K123" s="12" t="n">
        <v>0</v>
      </c>
      <c r="L123" s="11" t="n">
        <v>4800</v>
      </c>
      <c r="M123" s="11" t="n">
        <f aca="false">I123*J123*(1-K123)</f>
        <v>14000</v>
      </c>
      <c r="N123" s="11" t="n">
        <f aca="false">M123-I123*L123</f>
        <v>4400</v>
      </c>
    </row>
    <row r="124" customFormat="false" ht="15" hidden="false" customHeight="false" outlineLevel="0" collapsed="false">
      <c r="A124" s="2" t="s">
        <v>1624</v>
      </c>
      <c r="B124" s="2" t="s">
        <v>1621</v>
      </c>
      <c r="C124" s="10" t="n">
        <v>45682</v>
      </c>
      <c r="D124" s="2" t="n">
        <f aca="false">MONTH(C124)</f>
        <v>1</v>
      </c>
      <c r="E124" s="2" t="s">
        <v>77</v>
      </c>
      <c r="F124" s="2" t="s">
        <v>92</v>
      </c>
      <c r="G124" s="2" t="s">
        <v>73</v>
      </c>
      <c r="H124" s="2" t="s">
        <v>104</v>
      </c>
      <c r="I124" s="2" t="n">
        <v>3</v>
      </c>
      <c r="J124" s="11" t="n">
        <v>5500</v>
      </c>
      <c r="K124" s="12" t="n">
        <v>0.1</v>
      </c>
      <c r="L124" s="11" t="n">
        <v>3600</v>
      </c>
      <c r="M124" s="11" t="n">
        <f aca="false">I124*J124*(1-K124)</f>
        <v>14850</v>
      </c>
      <c r="N124" s="11" t="n">
        <f aca="false">M124-I124*L124</f>
        <v>4050</v>
      </c>
    </row>
    <row r="125" customFormat="false" ht="15" hidden="false" customHeight="false" outlineLevel="0" collapsed="false">
      <c r="A125" s="2" t="s">
        <v>2064</v>
      </c>
      <c r="B125" s="2" t="s">
        <v>2065</v>
      </c>
      <c r="C125" s="10" t="n">
        <v>45682</v>
      </c>
      <c r="D125" s="2" t="n">
        <f aca="false">MONTH(C125)</f>
        <v>1</v>
      </c>
      <c r="E125" s="2" t="s">
        <v>77</v>
      </c>
      <c r="F125" s="2" t="s">
        <v>64</v>
      </c>
      <c r="G125" s="2" t="s">
        <v>65</v>
      </c>
      <c r="H125" s="2" t="s">
        <v>82</v>
      </c>
      <c r="I125" s="2" t="n">
        <v>3</v>
      </c>
      <c r="J125" s="11" t="n">
        <v>250</v>
      </c>
      <c r="K125" s="12" t="n">
        <v>0.05</v>
      </c>
      <c r="L125" s="11" t="n">
        <v>100</v>
      </c>
      <c r="M125" s="11" t="n">
        <f aca="false">I125*J125*(1-K125)</f>
        <v>712.5</v>
      </c>
      <c r="N125" s="11" t="n">
        <f aca="false">M125-I125*L125</f>
        <v>412.5</v>
      </c>
    </row>
    <row r="126" customFormat="false" ht="15" hidden="false" customHeight="false" outlineLevel="0" collapsed="false">
      <c r="A126" s="2" t="s">
        <v>2653</v>
      </c>
      <c r="B126" s="2" t="s">
        <v>2654</v>
      </c>
      <c r="C126" s="10" t="n">
        <v>45682</v>
      </c>
      <c r="D126" s="2" t="n">
        <f aca="false">MONTH(C126)</f>
        <v>1</v>
      </c>
      <c r="E126" s="2" t="s">
        <v>91</v>
      </c>
      <c r="F126" s="2" t="s">
        <v>69</v>
      </c>
      <c r="G126" s="2" t="s">
        <v>70</v>
      </c>
      <c r="H126" s="2" t="s">
        <v>126</v>
      </c>
      <c r="I126" s="2" t="n">
        <v>2</v>
      </c>
      <c r="J126" s="11" t="n">
        <v>4500</v>
      </c>
      <c r="K126" s="12" t="n">
        <v>0</v>
      </c>
      <c r="L126" s="11" t="n">
        <v>3300</v>
      </c>
      <c r="M126" s="11" t="n">
        <f aca="false">I126*J126*(1-K126)</f>
        <v>9000</v>
      </c>
      <c r="N126" s="11" t="n">
        <f aca="false">M126-I126*L126</f>
        <v>2400</v>
      </c>
    </row>
    <row r="127" customFormat="false" ht="15" hidden="false" customHeight="false" outlineLevel="0" collapsed="false">
      <c r="A127" s="2" t="s">
        <v>2965</v>
      </c>
      <c r="B127" s="2" t="s">
        <v>2966</v>
      </c>
      <c r="C127" s="10" t="n">
        <v>45682</v>
      </c>
      <c r="D127" s="2" t="n">
        <f aca="false">MONTH(C127)</f>
        <v>1</v>
      </c>
      <c r="E127" s="2" t="s">
        <v>77</v>
      </c>
      <c r="F127" s="2" t="s">
        <v>64</v>
      </c>
      <c r="G127" s="2" t="s">
        <v>65</v>
      </c>
      <c r="H127" s="2" t="s">
        <v>107</v>
      </c>
      <c r="I127" s="2" t="n">
        <v>6</v>
      </c>
      <c r="J127" s="11" t="n">
        <v>500</v>
      </c>
      <c r="K127" s="12" t="n">
        <v>0.1</v>
      </c>
      <c r="L127" s="11" t="n">
        <v>250</v>
      </c>
      <c r="M127" s="11" t="n">
        <f aca="false">I127*J127*(1-K127)</f>
        <v>2700</v>
      </c>
      <c r="N127" s="11" t="n">
        <f aca="false">M127-I127*L127</f>
        <v>1200</v>
      </c>
    </row>
    <row r="128" customFormat="false" ht="15" hidden="false" customHeight="false" outlineLevel="0" collapsed="false">
      <c r="A128" s="2" t="s">
        <v>329</v>
      </c>
      <c r="B128" s="2" t="s">
        <v>328</v>
      </c>
      <c r="C128" s="10" t="n">
        <v>45683</v>
      </c>
      <c r="D128" s="2" t="n">
        <f aca="false">MONTH(C128)</f>
        <v>1</v>
      </c>
      <c r="E128" s="2" t="s">
        <v>63</v>
      </c>
      <c r="F128" s="2" t="s">
        <v>64</v>
      </c>
      <c r="G128" s="2" t="s">
        <v>65</v>
      </c>
      <c r="H128" s="2" t="s">
        <v>66</v>
      </c>
      <c r="I128" s="2" t="n">
        <v>4</v>
      </c>
      <c r="J128" s="11" t="n">
        <v>600</v>
      </c>
      <c r="K128" s="12" t="n">
        <v>0.1</v>
      </c>
      <c r="L128" s="11" t="n">
        <v>300</v>
      </c>
      <c r="M128" s="11" t="n">
        <f aca="false">I128*J128*(1-K128)</f>
        <v>2160</v>
      </c>
      <c r="N128" s="11" t="n">
        <f aca="false">M128-I128*L128</f>
        <v>960</v>
      </c>
    </row>
    <row r="129" customFormat="false" ht="15" hidden="false" customHeight="false" outlineLevel="0" collapsed="false">
      <c r="A129" s="2" t="s">
        <v>710</v>
      </c>
      <c r="B129" s="2" t="s">
        <v>711</v>
      </c>
      <c r="C129" s="10" t="n">
        <v>45683</v>
      </c>
      <c r="D129" s="2" t="n">
        <f aca="false">MONTH(C129)</f>
        <v>1</v>
      </c>
      <c r="E129" s="2" t="s">
        <v>63</v>
      </c>
      <c r="F129" s="2" t="s">
        <v>64</v>
      </c>
      <c r="G129" s="2" t="s">
        <v>73</v>
      </c>
      <c r="H129" s="2" t="s">
        <v>104</v>
      </c>
      <c r="I129" s="2" t="n">
        <v>3</v>
      </c>
      <c r="J129" s="11" t="n">
        <v>5500</v>
      </c>
      <c r="K129" s="12" t="n">
        <v>0.1</v>
      </c>
      <c r="L129" s="11" t="n">
        <v>3600</v>
      </c>
      <c r="M129" s="11" t="n">
        <f aca="false">I129*J129*(1-K129)</f>
        <v>14850</v>
      </c>
      <c r="N129" s="11" t="n">
        <f aca="false">M129-I129*L129</f>
        <v>4050</v>
      </c>
    </row>
    <row r="130" customFormat="false" ht="15" hidden="false" customHeight="false" outlineLevel="0" collapsed="false">
      <c r="A130" s="2" t="s">
        <v>755</v>
      </c>
      <c r="B130" s="2" t="s">
        <v>752</v>
      </c>
      <c r="C130" s="10" t="n">
        <v>45683</v>
      </c>
      <c r="D130" s="2" t="n">
        <f aca="false">MONTH(C130)</f>
        <v>1</v>
      </c>
      <c r="E130" s="2" t="s">
        <v>91</v>
      </c>
      <c r="F130" s="2" t="s">
        <v>92</v>
      </c>
      <c r="G130" s="2" t="s">
        <v>73</v>
      </c>
      <c r="H130" s="2" t="s">
        <v>85</v>
      </c>
      <c r="I130" s="2" t="n">
        <v>6</v>
      </c>
      <c r="J130" s="11" t="n">
        <v>1200</v>
      </c>
      <c r="K130" s="12" t="n">
        <v>0.1</v>
      </c>
      <c r="L130" s="11" t="n">
        <v>600</v>
      </c>
      <c r="M130" s="11" t="n">
        <f aca="false">I130*J130*(1-K130)</f>
        <v>6480</v>
      </c>
      <c r="N130" s="11" t="n">
        <f aca="false">M130-I130*L130</f>
        <v>2880</v>
      </c>
    </row>
    <row r="131" customFormat="false" ht="15" hidden="false" customHeight="false" outlineLevel="0" collapsed="false">
      <c r="A131" s="2" t="s">
        <v>1410</v>
      </c>
      <c r="B131" s="2" t="s">
        <v>1404</v>
      </c>
      <c r="C131" s="10" t="n">
        <v>45683</v>
      </c>
      <c r="D131" s="2" t="n">
        <f aca="false">MONTH(C131)</f>
        <v>1</v>
      </c>
      <c r="E131" s="2" t="s">
        <v>77</v>
      </c>
      <c r="F131" s="2" t="s">
        <v>64</v>
      </c>
      <c r="G131" s="2" t="s">
        <v>70</v>
      </c>
      <c r="H131" s="2" t="s">
        <v>71</v>
      </c>
      <c r="I131" s="2" t="n">
        <v>3</v>
      </c>
      <c r="J131" s="11" t="n">
        <v>2500</v>
      </c>
      <c r="K131" s="12" t="n">
        <v>0</v>
      </c>
      <c r="L131" s="11" t="n">
        <v>1600</v>
      </c>
      <c r="M131" s="11" t="n">
        <f aca="false">I131*J131*(1-K131)</f>
        <v>7500</v>
      </c>
      <c r="N131" s="11" t="n">
        <f aca="false">M131-I131*L131</f>
        <v>2700</v>
      </c>
    </row>
    <row r="132" customFormat="false" ht="15" hidden="false" customHeight="false" outlineLevel="0" collapsed="false">
      <c r="A132" s="2" t="s">
        <v>2646</v>
      </c>
      <c r="B132" s="2" t="s">
        <v>2644</v>
      </c>
      <c r="C132" s="10" t="n">
        <v>45683</v>
      </c>
      <c r="D132" s="2" t="n">
        <f aca="false">MONTH(C132)</f>
        <v>1</v>
      </c>
      <c r="E132" s="2" t="s">
        <v>63</v>
      </c>
      <c r="F132" s="2" t="s">
        <v>64</v>
      </c>
      <c r="G132" s="2" t="s">
        <v>65</v>
      </c>
      <c r="H132" s="2" t="s">
        <v>66</v>
      </c>
      <c r="I132" s="2" t="n">
        <v>8</v>
      </c>
      <c r="J132" s="11" t="n">
        <v>600</v>
      </c>
      <c r="K132" s="12" t="n">
        <v>0</v>
      </c>
      <c r="L132" s="11" t="n">
        <v>300</v>
      </c>
      <c r="M132" s="11" t="n">
        <f aca="false">I132*J132*(1-K132)</f>
        <v>4800</v>
      </c>
      <c r="N132" s="11" t="n">
        <f aca="false">M132-I132*L132</f>
        <v>2400</v>
      </c>
    </row>
    <row r="133" customFormat="false" ht="15" hidden="false" customHeight="false" outlineLevel="0" collapsed="false">
      <c r="A133" s="2" t="s">
        <v>149</v>
      </c>
      <c r="B133" s="2" t="s">
        <v>145</v>
      </c>
      <c r="C133" s="10" t="n">
        <v>45684</v>
      </c>
      <c r="D133" s="2" t="n">
        <f aca="false">MONTH(C133)</f>
        <v>1</v>
      </c>
      <c r="E133" s="2" t="s">
        <v>91</v>
      </c>
      <c r="F133" s="2" t="s">
        <v>92</v>
      </c>
      <c r="G133" s="2" t="s">
        <v>73</v>
      </c>
      <c r="H133" s="2" t="s">
        <v>74</v>
      </c>
      <c r="I133" s="2" t="n">
        <v>8</v>
      </c>
      <c r="J133" s="11" t="n">
        <v>7000</v>
      </c>
      <c r="K133" s="12" t="n">
        <v>0</v>
      </c>
      <c r="L133" s="11" t="n">
        <v>4800</v>
      </c>
      <c r="M133" s="11" t="n">
        <f aca="false">I133*J133*(1-K133)</f>
        <v>56000</v>
      </c>
      <c r="N133" s="11" t="n">
        <f aca="false">M133-I133*L133</f>
        <v>17600</v>
      </c>
    </row>
    <row r="134" customFormat="false" ht="15" hidden="false" customHeight="false" outlineLevel="0" collapsed="false">
      <c r="A134" s="2" t="s">
        <v>379</v>
      </c>
      <c r="B134" s="2" t="s">
        <v>376</v>
      </c>
      <c r="C134" s="10" t="n">
        <v>45684</v>
      </c>
      <c r="D134" s="2" t="n">
        <f aca="false">MONTH(C134)</f>
        <v>1</v>
      </c>
      <c r="E134" s="2" t="s">
        <v>77</v>
      </c>
      <c r="F134" s="2" t="s">
        <v>64</v>
      </c>
      <c r="G134" s="2" t="s">
        <v>73</v>
      </c>
      <c r="H134" s="2" t="s">
        <v>87</v>
      </c>
      <c r="I134" s="2" t="n">
        <v>1</v>
      </c>
      <c r="J134" s="11" t="n">
        <v>9000</v>
      </c>
      <c r="K134" s="12" t="n">
        <v>0.1</v>
      </c>
      <c r="L134" s="11" t="n">
        <v>6200</v>
      </c>
      <c r="M134" s="11" t="n">
        <f aca="false">I134*J134*(1-K134)</f>
        <v>8100</v>
      </c>
      <c r="N134" s="11" t="n">
        <f aca="false">M134-I134*L134</f>
        <v>1900</v>
      </c>
    </row>
    <row r="135" customFormat="false" ht="15" hidden="false" customHeight="false" outlineLevel="0" collapsed="false">
      <c r="A135" s="2" t="s">
        <v>523</v>
      </c>
      <c r="B135" s="2" t="s">
        <v>520</v>
      </c>
      <c r="C135" s="10" t="n">
        <v>45684</v>
      </c>
      <c r="D135" s="2" t="n">
        <f aca="false">MONTH(C135)</f>
        <v>1</v>
      </c>
      <c r="E135" s="2" t="s">
        <v>77</v>
      </c>
      <c r="F135" s="2" t="s">
        <v>92</v>
      </c>
      <c r="G135" s="2" t="s">
        <v>70</v>
      </c>
      <c r="H135" s="2" t="s">
        <v>71</v>
      </c>
      <c r="I135" s="2" t="n">
        <v>5</v>
      </c>
      <c r="J135" s="11" t="n">
        <v>2500</v>
      </c>
      <c r="K135" s="12" t="n">
        <v>0.05</v>
      </c>
      <c r="L135" s="11" t="n">
        <v>1600</v>
      </c>
      <c r="M135" s="11" t="n">
        <f aca="false">I135*J135*(1-K135)</f>
        <v>11875</v>
      </c>
      <c r="N135" s="11" t="n">
        <f aca="false">M135-I135*L135</f>
        <v>3875</v>
      </c>
    </row>
    <row r="136" customFormat="false" ht="15" hidden="false" customHeight="false" outlineLevel="0" collapsed="false">
      <c r="A136" s="2" t="s">
        <v>609</v>
      </c>
      <c r="B136" s="2" t="s">
        <v>608</v>
      </c>
      <c r="C136" s="10" t="n">
        <v>45684</v>
      </c>
      <c r="D136" s="2" t="n">
        <f aca="false">MONTH(C136)</f>
        <v>1</v>
      </c>
      <c r="E136" s="2" t="s">
        <v>77</v>
      </c>
      <c r="F136" s="2" t="s">
        <v>64</v>
      </c>
      <c r="G136" s="2" t="s">
        <v>65</v>
      </c>
      <c r="H136" s="2" t="s">
        <v>66</v>
      </c>
      <c r="I136" s="2" t="n">
        <v>4</v>
      </c>
      <c r="J136" s="11" t="n">
        <v>600</v>
      </c>
      <c r="K136" s="12" t="n">
        <v>0.1</v>
      </c>
      <c r="L136" s="11" t="n">
        <v>300</v>
      </c>
      <c r="M136" s="11" t="n">
        <f aca="false">I136*J136*(1-K136)</f>
        <v>2160</v>
      </c>
      <c r="N136" s="11" t="n">
        <f aca="false">M136-I136*L136</f>
        <v>960</v>
      </c>
    </row>
    <row r="137" customFormat="false" ht="15" hidden="false" customHeight="false" outlineLevel="0" collapsed="false">
      <c r="A137" s="2" t="s">
        <v>774</v>
      </c>
      <c r="B137" s="2" t="s">
        <v>775</v>
      </c>
      <c r="C137" s="10" t="n">
        <v>45684</v>
      </c>
      <c r="D137" s="2" t="n">
        <f aca="false">MONTH(C137)</f>
        <v>1</v>
      </c>
      <c r="E137" s="2" t="s">
        <v>63</v>
      </c>
      <c r="F137" s="2" t="s">
        <v>64</v>
      </c>
      <c r="G137" s="2" t="s">
        <v>70</v>
      </c>
      <c r="H137" s="2" t="s">
        <v>126</v>
      </c>
      <c r="I137" s="2" t="n">
        <v>1</v>
      </c>
      <c r="J137" s="11" t="n">
        <v>4500</v>
      </c>
      <c r="K137" s="12" t="n">
        <v>0</v>
      </c>
      <c r="L137" s="11" t="n">
        <v>3300</v>
      </c>
      <c r="M137" s="11" t="n">
        <f aca="false">I137*J137*(1-K137)</f>
        <v>4500</v>
      </c>
      <c r="N137" s="11" t="n">
        <f aca="false">M137-I137*L137</f>
        <v>1200</v>
      </c>
    </row>
    <row r="138" customFormat="false" ht="15" hidden="false" customHeight="false" outlineLevel="0" collapsed="false">
      <c r="A138" s="2" t="s">
        <v>808</v>
      </c>
      <c r="B138" s="2" t="s">
        <v>807</v>
      </c>
      <c r="C138" s="10" t="n">
        <v>45684</v>
      </c>
      <c r="D138" s="2" t="n">
        <f aca="false">MONTH(C138)</f>
        <v>1</v>
      </c>
      <c r="E138" s="2" t="s">
        <v>77</v>
      </c>
      <c r="F138" s="2" t="s">
        <v>64</v>
      </c>
      <c r="G138" s="2" t="s">
        <v>73</v>
      </c>
      <c r="H138" s="2" t="s">
        <v>85</v>
      </c>
      <c r="I138" s="2" t="n">
        <v>3</v>
      </c>
      <c r="J138" s="11" t="n">
        <v>1200</v>
      </c>
      <c r="K138" s="12" t="n">
        <v>0.05</v>
      </c>
      <c r="L138" s="11" t="n">
        <v>600</v>
      </c>
      <c r="M138" s="11" t="n">
        <f aca="false">I138*J138*(1-K138)</f>
        <v>3420</v>
      </c>
      <c r="N138" s="11" t="n">
        <f aca="false">M138-I138*L138</f>
        <v>1620</v>
      </c>
    </row>
    <row r="139" customFormat="false" ht="15" hidden="false" customHeight="false" outlineLevel="0" collapsed="false">
      <c r="A139" s="2" t="s">
        <v>1034</v>
      </c>
      <c r="B139" s="2" t="s">
        <v>1030</v>
      </c>
      <c r="C139" s="10" t="n">
        <v>45684</v>
      </c>
      <c r="D139" s="2" t="n">
        <f aca="false">MONTH(C139)</f>
        <v>1</v>
      </c>
      <c r="E139" s="2" t="s">
        <v>77</v>
      </c>
      <c r="F139" s="2" t="s">
        <v>64</v>
      </c>
      <c r="G139" s="2" t="s">
        <v>73</v>
      </c>
      <c r="H139" s="2" t="s">
        <v>104</v>
      </c>
      <c r="I139" s="2" t="n">
        <v>3</v>
      </c>
      <c r="J139" s="11" t="n">
        <v>5500</v>
      </c>
      <c r="K139" s="12" t="n">
        <v>0</v>
      </c>
      <c r="L139" s="11" t="n">
        <v>3600</v>
      </c>
      <c r="M139" s="11" t="n">
        <f aca="false">I139*J139*(1-K139)</f>
        <v>16500</v>
      </c>
      <c r="N139" s="11" t="n">
        <f aca="false">M139-I139*L139</f>
        <v>5700</v>
      </c>
    </row>
    <row r="140" customFormat="false" ht="15" hidden="false" customHeight="false" outlineLevel="0" collapsed="false">
      <c r="A140" s="2" t="s">
        <v>2290</v>
      </c>
      <c r="B140" s="2" t="s">
        <v>2288</v>
      </c>
      <c r="C140" s="10" t="n">
        <v>45684</v>
      </c>
      <c r="D140" s="2" t="n">
        <f aca="false">MONTH(C140)</f>
        <v>1</v>
      </c>
      <c r="E140" s="2" t="s">
        <v>63</v>
      </c>
      <c r="F140" s="2" t="s">
        <v>64</v>
      </c>
      <c r="G140" s="2" t="s">
        <v>65</v>
      </c>
      <c r="H140" s="2" t="s">
        <v>78</v>
      </c>
      <c r="I140" s="2" t="n">
        <v>8</v>
      </c>
      <c r="J140" s="11" t="n">
        <v>400</v>
      </c>
      <c r="K140" s="12" t="n">
        <v>0.05</v>
      </c>
      <c r="L140" s="11" t="n">
        <v>200</v>
      </c>
      <c r="M140" s="11" t="n">
        <f aca="false">I140*J140*(1-K140)</f>
        <v>3040</v>
      </c>
      <c r="N140" s="11" t="n">
        <f aca="false">M140-I140*L140</f>
        <v>1440</v>
      </c>
    </row>
    <row r="141" customFormat="false" ht="15" hidden="false" customHeight="false" outlineLevel="0" collapsed="false">
      <c r="A141" s="2" t="s">
        <v>2293</v>
      </c>
      <c r="B141" s="2" t="s">
        <v>2288</v>
      </c>
      <c r="C141" s="10" t="n">
        <v>45684</v>
      </c>
      <c r="D141" s="2" t="n">
        <f aca="false">MONTH(C141)</f>
        <v>1</v>
      </c>
      <c r="E141" s="2" t="s">
        <v>63</v>
      </c>
      <c r="F141" s="2" t="s">
        <v>64</v>
      </c>
      <c r="G141" s="2" t="s">
        <v>65</v>
      </c>
      <c r="H141" s="2" t="s">
        <v>78</v>
      </c>
      <c r="I141" s="2" t="n">
        <v>5</v>
      </c>
      <c r="J141" s="11" t="n">
        <v>400</v>
      </c>
      <c r="K141" s="12" t="n">
        <v>0.1</v>
      </c>
      <c r="L141" s="11" t="n">
        <v>200</v>
      </c>
      <c r="M141" s="11" t="n">
        <f aca="false">I141*J141*(1-K141)</f>
        <v>1800</v>
      </c>
      <c r="N141" s="11" t="n">
        <f aca="false">M141-I141*L141</f>
        <v>800</v>
      </c>
    </row>
    <row r="142" customFormat="false" ht="15" hidden="false" customHeight="false" outlineLevel="0" collapsed="false">
      <c r="A142" s="2" t="s">
        <v>2309</v>
      </c>
      <c r="B142" s="2" t="s">
        <v>2310</v>
      </c>
      <c r="C142" s="10" t="n">
        <v>45684</v>
      </c>
      <c r="D142" s="2" t="n">
        <f aca="false">MONTH(C142)</f>
        <v>1</v>
      </c>
      <c r="E142" s="2" t="s">
        <v>63</v>
      </c>
      <c r="F142" s="2" t="s">
        <v>69</v>
      </c>
      <c r="G142" s="2" t="s">
        <v>70</v>
      </c>
      <c r="H142" s="2" t="s">
        <v>71</v>
      </c>
      <c r="I142" s="2" t="n">
        <v>1</v>
      </c>
      <c r="J142" s="11" t="n">
        <v>2500</v>
      </c>
      <c r="K142" s="12" t="n">
        <v>0</v>
      </c>
      <c r="L142" s="11" t="n">
        <v>1600</v>
      </c>
      <c r="M142" s="11" t="n">
        <f aca="false">I142*J142*(1-K142)</f>
        <v>2500</v>
      </c>
      <c r="N142" s="11" t="n">
        <f aca="false">M142-I142*L142</f>
        <v>900</v>
      </c>
    </row>
    <row r="143" customFormat="false" ht="15" hidden="false" customHeight="false" outlineLevel="0" collapsed="false">
      <c r="A143" s="2" t="s">
        <v>2719</v>
      </c>
      <c r="B143" s="2" t="s">
        <v>2720</v>
      </c>
      <c r="C143" s="10" t="n">
        <v>45684</v>
      </c>
      <c r="D143" s="2" t="n">
        <f aca="false">MONTH(C143)</f>
        <v>1</v>
      </c>
      <c r="E143" s="2" t="s">
        <v>77</v>
      </c>
      <c r="F143" s="2" t="s">
        <v>92</v>
      </c>
      <c r="G143" s="2" t="s">
        <v>65</v>
      </c>
      <c r="H143" s="2" t="s">
        <v>66</v>
      </c>
      <c r="I143" s="2" t="n">
        <v>10</v>
      </c>
      <c r="J143" s="11" t="n">
        <v>600</v>
      </c>
      <c r="K143" s="12" t="n">
        <v>0.05</v>
      </c>
      <c r="L143" s="11" t="n">
        <v>300</v>
      </c>
      <c r="M143" s="11" t="n">
        <f aca="false">I143*J143*(1-K143)</f>
        <v>5700</v>
      </c>
      <c r="N143" s="11" t="n">
        <f aca="false">M143-I143*L143</f>
        <v>2700</v>
      </c>
    </row>
    <row r="144" customFormat="false" ht="15" hidden="false" customHeight="false" outlineLevel="0" collapsed="false">
      <c r="A144" s="2" t="s">
        <v>498</v>
      </c>
      <c r="B144" s="2" t="s">
        <v>492</v>
      </c>
      <c r="C144" s="10" t="n">
        <v>45685</v>
      </c>
      <c r="D144" s="2" t="n">
        <f aca="false">MONTH(C144)</f>
        <v>1</v>
      </c>
      <c r="E144" s="2" t="s">
        <v>77</v>
      </c>
      <c r="F144" s="2" t="s">
        <v>64</v>
      </c>
      <c r="G144" s="2" t="s">
        <v>65</v>
      </c>
      <c r="H144" s="2" t="s">
        <v>66</v>
      </c>
      <c r="I144" s="2" t="n">
        <v>6</v>
      </c>
      <c r="J144" s="11" t="n">
        <v>600</v>
      </c>
      <c r="K144" s="12" t="n">
        <v>0</v>
      </c>
      <c r="L144" s="11" t="n">
        <v>300</v>
      </c>
      <c r="M144" s="11" t="n">
        <f aca="false">I144*J144*(1-K144)</f>
        <v>3600</v>
      </c>
      <c r="N144" s="11" t="n">
        <f aca="false">M144-I144*L144</f>
        <v>1800</v>
      </c>
    </row>
    <row r="145" customFormat="false" ht="15" hidden="false" customHeight="false" outlineLevel="0" collapsed="false">
      <c r="A145" s="2" t="s">
        <v>1092</v>
      </c>
      <c r="B145" s="2" t="s">
        <v>1093</v>
      </c>
      <c r="C145" s="10" t="n">
        <v>45685</v>
      </c>
      <c r="D145" s="2" t="n">
        <f aca="false">MONTH(C145)</f>
        <v>1</v>
      </c>
      <c r="E145" s="2" t="s">
        <v>81</v>
      </c>
      <c r="F145" s="2" t="s">
        <v>64</v>
      </c>
      <c r="G145" s="2" t="s">
        <v>70</v>
      </c>
      <c r="H145" s="2" t="s">
        <v>126</v>
      </c>
      <c r="I145" s="2" t="n">
        <v>2</v>
      </c>
      <c r="J145" s="11" t="n">
        <v>4500</v>
      </c>
      <c r="K145" s="12" t="n">
        <v>0</v>
      </c>
      <c r="L145" s="11" t="n">
        <v>3300</v>
      </c>
      <c r="M145" s="11" t="n">
        <f aca="false">I145*J145*(1-K145)</f>
        <v>9000</v>
      </c>
      <c r="N145" s="11" t="n">
        <f aca="false">M145-I145*L145</f>
        <v>2400</v>
      </c>
    </row>
    <row r="146" customFormat="false" ht="15" hidden="false" customHeight="false" outlineLevel="0" collapsed="false">
      <c r="A146" s="2" t="s">
        <v>2087</v>
      </c>
      <c r="B146" s="2" t="s">
        <v>2086</v>
      </c>
      <c r="C146" s="10" t="n">
        <v>45685</v>
      </c>
      <c r="D146" s="2" t="n">
        <f aca="false">MONTH(C146)</f>
        <v>1</v>
      </c>
      <c r="E146" s="2" t="s">
        <v>77</v>
      </c>
      <c r="F146" s="2" t="s">
        <v>64</v>
      </c>
      <c r="G146" s="2" t="s">
        <v>65</v>
      </c>
      <c r="H146" s="2" t="s">
        <v>107</v>
      </c>
      <c r="I146" s="2" t="n">
        <v>7</v>
      </c>
      <c r="J146" s="11" t="n">
        <v>500</v>
      </c>
      <c r="K146" s="12" t="n">
        <v>0</v>
      </c>
      <c r="L146" s="11" t="n">
        <v>250</v>
      </c>
      <c r="M146" s="11" t="n">
        <f aca="false">I146*J146*(1-K146)</f>
        <v>3500</v>
      </c>
      <c r="N146" s="11" t="n">
        <f aca="false">M146-I146*L146</f>
        <v>1750</v>
      </c>
    </row>
    <row r="147" customFormat="false" ht="15" hidden="false" customHeight="false" outlineLevel="0" collapsed="false">
      <c r="A147" s="2" t="s">
        <v>2591</v>
      </c>
      <c r="B147" s="2" t="s">
        <v>2590</v>
      </c>
      <c r="C147" s="10" t="n">
        <v>45685</v>
      </c>
      <c r="D147" s="2" t="n">
        <f aca="false">MONTH(C147)</f>
        <v>1</v>
      </c>
      <c r="E147" s="2" t="s">
        <v>77</v>
      </c>
      <c r="F147" s="2" t="s">
        <v>64</v>
      </c>
      <c r="G147" s="2" t="s">
        <v>73</v>
      </c>
      <c r="H147" s="2" t="s">
        <v>74</v>
      </c>
      <c r="I147" s="2" t="n">
        <v>1</v>
      </c>
      <c r="J147" s="11" t="n">
        <v>7000</v>
      </c>
      <c r="K147" s="12" t="n">
        <v>0</v>
      </c>
      <c r="L147" s="11" t="n">
        <v>4800</v>
      </c>
      <c r="M147" s="11" t="n">
        <f aca="false">I147*J147*(1-K147)</f>
        <v>7000</v>
      </c>
      <c r="N147" s="11" t="n">
        <f aca="false">M147-I147*L147</f>
        <v>2200</v>
      </c>
    </row>
    <row r="148" customFormat="false" ht="15" hidden="false" customHeight="false" outlineLevel="0" collapsed="false">
      <c r="A148" s="2" t="s">
        <v>2897</v>
      </c>
      <c r="B148" s="2" t="s">
        <v>2893</v>
      </c>
      <c r="C148" s="10" t="n">
        <v>45685</v>
      </c>
      <c r="D148" s="2" t="n">
        <f aca="false">MONTH(C148)</f>
        <v>1</v>
      </c>
      <c r="E148" s="2" t="s">
        <v>81</v>
      </c>
      <c r="F148" s="2" t="s">
        <v>64</v>
      </c>
      <c r="G148" s="2" t="s">
        <v>65</v>
      </c>
      <c r="H148" s="2" t="s">
        <v>107</v>
      </c>
      <c r="I148" s="2" t="n">
        <v>2</v>
      </c>
      <c r="J148" s="11" t="n">
        <v>500</v>
      </c>
      <c r="K148" s="12" t="n">
        <v>0</v>
      </c>
      <c r="L148" s="11" t="n">
        <v>250</v>
      </c>
      <c r="M148" s="11" t="n">
        <f aca="false">I148*J148*(1-K148)</f>
        <v>1000</v>
      </c>
      <c r="N148" s="11" t="n">
        <f aca="false">M148-I148*L148</f>
        <v>500</v>
      </c>
    </row>
    <row r="149" customFormat="false" ht="15" hidden="false" customHeight="false" outlineLevel="0" collapsed="false">
      <c r="A149" s="2" t="s">
        <v>1188</v>
      </c>
      <c r="B149" s="2" t="s">
        <v>1185</v>
      </c>
      <c r="C149" s="10" t="n">
        <v>45689</v>
      </c>
      <c r="D149" s="2" t="n">
        <f aca="false">MONTH(C149)</f>
        <v>2</v>
      </c>
      <c r="E149" s="2" t="s">
        <v>63</v>
      </c>
      <c r="F149" s="2" t="s">
        <v>64</v>
      </c>
      <c r="G149" s="2" t="s">
        <v>65</v>
      </c>
      <c r="H149" s="2" t="s">
        <v>107</v>
      </c>
      <c r="I149" s="2" t="n">
        <v>2</v>
      </c>
      <c r="J149" s="11" t="n">
        <v>500</v>
      </c>
      <c r="K149" s="12" t="n">
        <v>0</v>
      </c>
      <c r="L149" s="11" t="n">
        <v>250</v>
      </c>
      <c r="M149" s="11" t="n">
        <f aca="false">I149*J149*(1-K149)</f>
        <v>1000</v>
      </c>
      <c r="N149" s="11" t="n">
        <f aca="false">M149-I149*L149</f>
        <v>500</v>
      </c>
    </row>
    <row r="150" customFormat="false" ht="15" hidden="false" customHeight="false" outlineLevel="0" collapsed="false">
      <c r="A150" s="2" t="s">
        <v>1324</v>
      </c>
      <c r="B150" s="2" t="s">
        <v>1319</v>
      </c>
      <c r="C150" s="10" t="n">
        <v>45689</v>
      </c>
      <c r="D150" s="2" t="n">
        <f aca="false">MONTH(C150)</f>
        <v>2</v>
      </c>
      <c r="E150" s="2" t="s">
        <v>77</v>
      </c>
      <c r="F150" s="2" t="s">
        <v>92</v>
      </c>
      <c r="G150" s="2" t="s">
        <v>73</v>
      </c>
      <c r="H150" s="2" t="s">
        <v>87</v>
      </c>
      <c r="I150" s="2" t="n">
        <v>8</v>
      </c>
      <c r="J150" s="11" t="n">
        <v>9000</v>
      </c>
      <c r="K150" s="12" t="n">
        <v>0.1</v>
      </c>
      <c r="L150" s="11" t="n">
        <v>6200</v>
      </c>
      <c r="M150" s="11" t="n">
        <f aca="false">I150*J150*(1-K150)</f>
        <v>64800</v>
      </c>
      <c r="N150" s="11" t="n">
        <f aca="false">M150-I150*L150</f>
        <v>15200</v>
      </c>
    </row>
    <row r="151" customFormat="false" ht="15" hidden="false" customHeight="false" outlineLevel="0" collapsed="false">
      <c r="A151" s="2" t="s">
        <v>1695</v>
      </c>
      <c r="B151" s="2" t="s">
        <v>1691</v>
      </c>
      <c r="C151" s="10" t="n">
        <v>45689</v>
      </c>
      <c r="D151" s="2" t="n">
        <f aca="false">MONTH(C151)</f>
        <v>2</v>
      </c>
      <c r="E151" s="2" t="s">
        <v>77</v>
      </c>
      <c r="F151" s="2" t="s">
        <v>69</v>
      </c>
      <c r="G151" s="2" t="s">
        <v>73</v>
      </c>
      <c r="H151" s="2" t="s">
        <v>74</v>
      </c>
      <c r="I151" s="2" t="n">
        <v>4</v>
      </c>
      <c r="J151" s="11" t="n">
        <v>7000</v>
      </c>
      <c r="K151" s="12" t="n">
        <v>0</v>
      </c>
      <c r="L151" s="11" t="n">
        <v>4800</v>
      </c>
      <c r="M151" s="11" t="n">
        <f aca="false">I151*J151*(1-K151)</f>
        <v>28000</v>
      </c>
      <c r="N151" s="11" t="n">
        <f aca="false">M151-I151*L151</f>
        <v>8800</v>
      </c>
    </row>
    <row r="152" customFormat="false" ht="15" hidden="false" customHeight="false" outlineLevel="0" collapsed="false">
      <c r="A152" s="2" t="s">
        <v>2248</v>
      </c>
      <c r="B152" s="2" t="s">
        <v>2249</v>
      </c>
      <c r="C152" s="10" t="n">
        <v>45689</v>
      </c>
      <c r="D152" s="2" t="n">
        <f aca="false">MONTH(C152)</f>
        <v>2</v>
      </c>
      <c r="E152" s="2" t="s">
        <v>63</v>
      </c>
      <c r="F152" s="2" t="s">
        <v>69</v>
      </c>
      <c r="G152" s="2" t="s">
        <v>65</v>
      </c>
      <c r="H152" s="2" t="s">
        <v>107</v>
      </c>
      <c r="I152" s="2" t="n">
        <v>14</v>
      </c>
      <c r="J152" s="11" t="n">
        <v>500</v>
      </c>
      <c r="K152" s="12" t="n">
        <v>0</v>
      </c>
      <c r="L152" s="11" t="n">
        <v>250</v>
      </c>
      <c r="M152" s="11" t="n">
        <f aca="false">I152*J152*(1-K152)</f>
        <v>7000</v>
      </c>
      <c r="N152" s="11" t="n">
        <f aca="false">M152-I152*L152</f>
        <v>3500</v>
      </c>
    </row>
    <row r="153" customFormat="false" ht="15" hidden="false" customHeight="false" outlineLevel="0" collapsed="false">
      <c r="A153" s="2" t="s">
        <v>2967</v>
      </c>
      <c r="B153" s="2" t="s">
        <v>2968</v>
      </c>
      <c r="C153" s="10" t="n">
        <v>45689</v>
      </c>
      <c r="D153" s="2" t="n">
        <f aca="false">MONTH(C153)</f>
        <v>2</v>
      </c>
      <c r="E153" s="2" t="s">
        <v>63</v>
      </c>
      <c r="F153" s="2" t="s">
        <v>64</v>
      </c>
      <c r="G153" s="2" t="s">
        <v>65</v>
      </c>
      <c r="H153" s="2" t="s">
        <v>66</v>
      </c>
      <c r="I153" s="2" t="n">
        <v>4</v>
      </c>
      <c r="J153" s="11" t="n">
        <v>600</v>
      </c>
      <c r="K153" s="12" t="n">
        <v>0</v>
      </c>
      <c r="L153" s="11" t="n">
        <v>300</v>
      </c>
      <c r="M153" s="11" t="n">
        <f aca="false">I153*J153*(1-K153)</f>
        <v>2400</v>
      </c>
      <c r="N153" s="11" t="n">
        <f aca="false">M153-I153*L153</f>
        <v>1200</v>
      </c>
    </row>
    <row r="154" customFormat="false" ht="15" hidden="false" customHeight="false" outlineLevel="0" collapsed="false">
      <c r="A154" s="2" t="s">
        <v>124</v>
      </c>
      <c r="B154" s="2" t="s">
        <v>120</v>
      </c>
      <c r="C154" s="10" t="n">
        <v>45690</v>
      </c>
      <c r="D154" s="2" t="n">
        <f aca="false">MONTH(C154)</f>
        <v>2</v>
      </c>
      <c r="E154" s="2" t="s">
        <v>81</v>
      </c>
      <c r="F154" s="2" t="s">
        <v>64</v>
      </c>
      <c r="G154" s="2" t="s">
        <v>65</v>
      </c>
      <c r="H154" s="2" t="s">
        <v>107</v>
      </c>
      <c r="I154" s="2" t="n">
        <v>2</v>
      </c>
      <c r="J154" s="11" t="n">
        <v>500</v>
      </c>
      <c r="K154" s="12" t="n">
        <v>0.05</v>
      </c>
      <c r="L154" s="11" t="n">
        <v>250</v>
      </c>
      <c r="M154" s="11" t="n">
        <f aca="false">I154*J154*(1-K154)</f>
        <v>950</v>
      </c>
      <c r="N154" s="11" t="n">
        <f aca="false">M154-I154*L154</f>
        <v>450</v>
      </c>
    </row>
    <row r="155" customFormat="false" ht="15" hidden="false" customHeight="false" outlineLevel="0" collapsed="false">
      <c r="A155" s="2" t="s">
        <v>184</v>
      </c>
      <c r="B155" s="2" t="s">
        <v>175</v>
      </c>
      <c r="C155" s="10" t="n">
        <v>45690</v>
      </c>
      <c r="D155" s="2" t="n">
        <f aca="false">MONTH(C155)</f>
        <v>2</v>
      </c>
      <c r="E155" s="2" t="s">
        <v>77</v>
      </c>
      <c r="F155" s="2" t="s">
        <v>64</v>
      </c>
      <c r="G155" s="2" t="s">
        <v>70</v>
      </c>
      <c r="H155" s="2" t="s">
        <v>126</v>
      </c>
      <c r="I155" s="2" t="n">
        <v>1</v>
      </c>
      <c r="J155" s="11" t="n">
        <v>4500</v>
      </c>
      <c r="K155" s="12" t="n">
        <v>0</v>
      </c>
      <c r="L155" s="11" t="n">
        <v>3300</v>
      </c>
      <c r="M155" s="11" t="n">
        <f aca="false">I155*J155*(1-K155)</f>
        <v>4500</v>
      </c>
      <c r="N155" s="11" t="n">
        <f aca="false">M155-I155*L155</f>
        <v>1200</v>
      </c>
    </row>
    <row r="156" customFormat="false" ht="15" hidden="false" customHeight="false" outlineLevel="0" collapsed="false">
      <c r="A156" s="2" t="s">
        <v>359</v>
      </c>
      <c r="B156" s="2" t="s">
        <v>358</v>
      </c>
      <c r="C156" s="10" t="n">
        <v>45690</v>
      </c>
      <c r="D156" s="2" t="n">
        <f aca="false">MONTH(C156)</f>
        <v>2</v>
      </c>
      <c r="E156" s="2" t="s">
        <v>63</v>
      </c>
      <c r="F156" s="2" t="s">
        <v>69</v>
      </c>
      <c r="G156" s="2" t="s">
        <v>65</v>
      </c>
      <c r="H156" s="2" t="s">
        <v>66</v>
      </c>
      <c r="I156" s="2" t="n">
        <v>14</v>
      </c>
      <c r="J156" s="11" t="n">
        <v>600</v>
      </c>
      <c r="K156" s="12" t="n">
        <v>0</v>
      </c>
      <c r="L156" s="11" t="n">
        <v>300</v>
      </c>
      <c r="M156" s="11" t="n">
        <f aca="false">I156*J156*(1-K156)</f>
        <v>8400</v>
      </c>
      <c r="N156" s="11" t="n">
        <f aca="false">M156-I156*L156</f>
        <v>4200</v>
      </c>
    </row>
    <row r="157" customFormat="false" ht="15" hidden="false" customHeight="false" outlineLevel="0" collapsed="false">
      <c r="A157" s="2" t="s">
        <v>1439</v>
      </c>
      <c r="B157" s="2" t="s">
        <v>1438</v>
      </c>
      <c r="C157" s="10" t="n">
        <v>45690</v>
      </c>
      <c r="D157" s="2" t="n">
        <f aca="false">MONTH(C157)</f>
        <v>2</v>
      </c>
      <c r="E157" s="2" t="s">
        <v>77</v>
      </c>
      <c r="F157" s="2" t="s">
        <v>64</v>
      </c>
      <c r="G157" s="2" t="s">
        <v>65</v>
      </c>
      <c r="H157" s="2" t="s">
        <v>78</v>
      </c>
      <c r="I157" s="2" t="n">
        <v>6</v>
      </c>
      <c r="J157" s="11" t="n">
        <v>400</v>
      </c>
      <c r="K157" s="12" t="n">
        <v>0.1</v>
      </c>
      <c r="L157" s="11" t="n">
        <v>200</v>
      </c>
      <c r="M157" s="11" t="n">
        <f aca="false">I157*J157*(1-K157)</f>
        <v>2160</v>
      </c>
      <c r="N157" s="11" t="n">
        <f aca="false">M157-I157*L157</f>
        <v>960</v>
      </c>
    </row>
    <row r="158" customFormat="false" ht="15" hidden="false" customHeight="false" outlineLevel="0" collapsed="false">
      <c r="A158" s="2" t="s">
        <v>1616</v>
      </c>
      <c r="B158" s="2" t="s">
        <v>1609</v>
      </c>
      <c r="C158" s="10" t="n">
        <v>45690</v>
      </c>
      <c r="D158" s="2" t="n">
        <f aca="false">MONTH(C158)</f>
        <v>2</v>
      </c>
      <c r="E158" s="2" t="s">
        <v>81</v>
      </c>
      <c r="F158" s="2" t="s">
        <v>92</v>
      </c>
      <c r="G158" s="2" t="s">
        <v>70</v>
      </c>
      <c r="H158" s="2" t="s">
        <v>71</v>
      </c>
      <c r="I158" s="2" t="n">
        <v>8</v>
      </c>
      <c r="J158" s="11" t="n">
        <v>2500</v>
      </c>
      <c r="K158" s="12" t="n">
        <v>0.1</v>
      </c>
      <c r="L158" s="11" t="n">
        <v>1600</v>
      </c>
      <c r="M158" s="11" t="n">
        <f aca="false">I158*J158*(1-K158)</f>
        <v>18000</v>
      </c>
      <c r="N158" s="11" t="n">
        <f aca="false">M158-I158*L158</f>
        <v>5200</v>
      </c>
    </row>
    <row r="159" customFormat="false" ht="15" hidden="false" customHeight="false" outlineLevel="0" collapsed="false">
      <c r="A159" s="2" t="s">
        <v>2639</v>
      </c>
      <c r="B159" s="2" t="s">
        <v>2640</v>
      </c>
      <c r="C159" s="10" t="n">
        <v>45690</v>
      </c>
      <c r="D159" s="2" t="n">
        <f aca="false">MONTH(C159)</f>
        <v>2</v>
      </c>
      <c r="E159" s="2" t="s">
        <v>91</v>
      </c>
      <c r="F159" s="2" t="s">
        <v>92</v>
      </c>
      <c r="G159" s="2" t="s">
        <v>70</v>
      </c>
      <c r="H159" s="2" t="s">
        <v>122</v>
      </c>
      <c r="I159" s="2" t="n">
        <v>8</v>
      </c>
      <c r="J159" s="11" t="n">
        <v>1500</v>
      </c>
      <c r="K159" s="12" t="n">
        <v>0.05</v>
      </c>
      <c r="L159" s="11" t="n">
        <v>900</v>
      </c>
      <c r="M159" s="11" t="n">
        <f aca="false">I159*J159*(1-K159)</f>
        <v>11400</v>
      </c>
      <c r="N159" s="11" t="n">
        <f aca="false">M159-I159*L159</f>
        <v>4200</v>
      </c>
    </row>
    <row r="160" customFormat="false" ht="15" hidden="false" customHeight="false" outlineLevel="0" collapsed="false">
      <c r="A160" s="2" t="s">
        <v>2808</v>
      </c>
      <c r="B160" s="2" t="s">
        <v>2809</v>
      </c>
      <c r="C160" s="10" t="n">
        <v>45690</v>
      </c>
      <c r="D160" s="2" t="n">
        <f aca="false">MONTH(C160)</f>
        <v>2</v>
      </c>
      <c r="E160" s="2" t="s">
        <v>77</v>
      </c>
      <c r="F160" s="2" t="s">
        <v>64</v>
      </c>
      <c r="G160" s="2" t="s">
        <v>70</v>
      </c>
      <c r="H160" s="2" t="s">
        <v>126</v>
      </c>
      <c r="I160" s="2" t="n">
        <v>3</v>
      </c>
      <c r="J160" s="11" t="n">
        <v>4500</v>
      </c>
      <c r="K160" s="12" t="n">
        <v>0</v>
      </c>
      <c r="L160" s="11" t="n">
        <v>3300</v>
      </c>
      <c r="M160" s="11" t="n">
        <f aca="false">I160*J160*(1-K160)</f>
        <v>13500</v>
      </c>
      <c r="N160" s="11" t="n">
        <f aca="false">M160-I160*L160</f>
        <v>3600</v>
      </c>
    </row>
    <row r="161" customFormat="false" ht="15" hidden="false" customHeight="false" outlineLevel="0" collapsed="false">
      <c r="A161" s="2" t="s">
        <v>391</v>
      </c>
      <c r="B161" s="2" t="s">
        <v>388</v>
      </c>
      <c r="C161" s="10" t="n">
        <v>45691</v>
      </c>
      <c r="D161" s="2" t="n">
        <f aca="false">MONTH(C161)</f>
        <v>2</v>
      </c>
      <c r="E161" s="2" t="s">
        <v>81</v>
      </c>
      <c r="F161" s="2" t="s">
        <v>64</v>
      </c>
      <c r="G161" s="2" t="s">
        <v>65</v>
      </c>
      <c r="H161" s="2" t="s">
        <v>82</v>
      </c>
      <c r="I161" s="2" t="n">
        <v>2</v>
      </c>
      <c r="J161" s="11" t="n">
        <v>250</v>
      </c>
      <c r="K161" s="12" t="n">
        <v>0.1</v>
      </c>
      <c r="L161" s="11" t="n">
        <v>100</v>
      </c>
      <c r="M161" s="11" t="n">
        <f aca="false">I161*J161*(1-K161)</f>
        <v>450</v>
      </c>
      <c r="N161" s="11" t="n">
        <f aca="false">M161-I161*L161</f>
        <v>250</v>
      </c>
    </row>
    <row r="162" customFormat="false" ht="15" hidden="false" customHeight="false" outlineLevel="0" collapsed="false">
      <c r="A162" s="2" t="s">
        <v>679</v>
      </c>
      <c r="B162" s="2" t="s">
        <v>680</v>
      </c>
      <c r="C162" s="10" t="n">
        <v>45691</v>
      </c>
      <c r="D162" s="2" t="n">
        <f aca="false">MONTH(C162)</f>
        <v>2</v>
      </c>
      <c r="E162" s="2" t="s">
        <v>77</v>
      </c>
      <c r="F162" s="2" t="s">
        <v>69</v>
      </c>
      <c r="G162" s="2" t="s">
        <v>70</v>
      </c>
      <c r="H162" s="2" t="s">
        <v>126</v>
      </c>
      <c r="I162" s="2" t="n">
        <v>2</v>
      </c>
      <c r="J162" s="11" t="n">
        <v>4500</v>
      </c>
      <c r="K162" s="12" t="n">
        <v>0.1</v>
      </c>
      <c r="L162" s="11" t="n">
        <v>3300</v>
      </c>
      <c r="M162" s="11" t="n">
        <f aca="false">I162*J162*(1-K162)</f>
        <v>8100</v>
      </c>
      <c r="N162" s="11" t="n">
        <f aca="false">M162-I162*L162</f>
        <v>1500</v>
      </c>
    </row>
    <row r="163" customFormat="false" ht="15" hidden="false" customHeight="false" outlineLevel="0" collapsed="false">
      <c r="A163" s="2" t="s">
        <v>811</v>
      </c>
      <c r="B163" s="2" t="s">
        <v>812</v>
      </c>
      <c r="C163" s="10" t="n">
        <v>45691</v>
      </c>
      <c r="D163" s="2" t="n">
        <f aca="false">MONTH(C163)</f>
        <v>2</v>
      </c>
      <c r="E163" s="2" t="s">
        <v>63</v>
      </c>
      <c r="F163" s="2" t="s">
        <v>69</v>
      </c>
      <c r="G163" s="2" t="s">
        <v>70</v>
      </c>
      <c r="H163" s="2" t="s">
        <v>71</v>
      </c>
      <c r="I163" s="2" t="n">
        <v>2</v>
      </c>
      <c r="J163" s="11" t="n">
        <v>2500</v>
      </c>
      <c r="K163" s="12" t="n">
        <v>0</v>
      </c>
      <c r="L163" s="11" t="n">
        <v>1600</v>
      </c>
      <c r="M163" s="11" t="n">
        <f aca="false">I163*J163*(1-K163)</f>
        <v>5000</v>
      </c>
      <c r="N163" s="11" t="n">
        <f aca="false">M163-I163*L163</f>
        <v>1800</v>
      </c>
    </row>
    <row r="164" customFormat="false" ht="15" hidden="false" customHeight="false" outlineLevel="0" collapsed="false">
      <c r="A164" s="2" t="s">
        <v>1088</v>
      </c>
      <c r="B164" s="2" t="s">
        <v>1084</v>
      </c>
      <c r="C164" s="10" t="n">
        <v>45691</v>
      </c>
      <c r="D164" s="2" t="n">
        <f aca="false">MONTH(C164)</f>
        <v>2</v>
      </c>
      <c r="E164" s="2" t="s">
        <v>77</v>
      </c>
      <c r="F164" s="2" t="s">
        <v>64</v>
      </c>
      <c r="G164" s="2" t="s">
        <v>65</v>
      </c>
      <c r="H164" s="2" t="s">
        <v>78</v>
      </c>
      <c r="I164" s="2" t="n">
        <v>7</v>
      </c>
      <c r="J164" s="11" t="n">
        <v>400</v>
      </c>
      <c r="K164" s="12" t="n">
        <v>0.1</v>
      </c>
      <c r="L164" s="11" t="n">
        <v>200</v>
      </c>
      <c r="M164" s="11" t="n">
        <f aca="false">I164*J164*(1-K164)</f>
        <v>2520</v>
      </c>
      <c r="N164" s="11" t="n">
        <f aca="false">M164-I164*L164</f>
        <v>1120</v>
      </c>
    </row>
    <row r="165" customFormat="false" ht="15" hidden="false" customHeight="false" outlineLevel="0" collapsed="false">
      <c r="A165" s="2" t="s">
        <v>1679</v>
      </c>
      <c r="B165" s="2" t="s">
        <v>1680</v>
      </c>
      <c r="C165" s="10" t="n">
        <v>45691</v>
      </c>
      <c r="D165" s="2" t="n">
        <f aca="false">MONTH(C165)</f>
        <v>2</v>
      </c>
      <c r="E165" s="2" t="s">
        <v>77</v>
      </c>
      <c r="F165" s="2" t="s">
        <v>64</v>
      </c>
      <c r="G165" s="2" t="s">
        <v>65</v>
      </c>
      <c r="H165" s="2" t="s">
        <v>78</v>
      </c>
      <c r="I165" s="2" t="n">
        <v>5</v>
      </c>
      <c r="J165" s="11" t="n">
        <v>400</v>
      </c>
      <c r="K165" s="12" t="n">
        <v>0.05</v>
      </c>
      <c r="L165" s="11" t="n">
        <v>200</v>
      </c>
      <c r="M165" s="11" t="n">
        <f aca="false">I165*J165*(1-K165)</f>
        <v>1900</v>
      </c>
      <c r="N165" s="11" t="n">
        <f aca="false">M165-I165*L165</f>
        <v>900</v>
      </c>
    </row>
    <row r="166" customFormat="false" ht="15" hidden="false" customHeight="false" outlineLevel="0" collapsed="false">
      <c r="A166" s="2" t="s">
        <v>2049</v>
      </c>
      <c r="B166" s="2" t="s">
        <v>2047</v>
      </c>
      <c r="C166" s="10" t="n">
        <v>45691</v>
      </c>
      <c r="D166" s="2" t="n">
        <f aca="false">MONTH(C166)</f>
        <v>2</v>
      </c>
      <c r="E166" s="2" t="s">
        <v>77</v>
      </c>
      <c r="F166" s="2" t="s">
        <v>64</v>
      </c>
      <c r="G166" s="2" t="s">
        <v>70</v>
      </c>
      <c r="H166" s="2" t="s">
        <v>71</v>
      </c>
      <c r="I166" s="2" t="n">
        <v>3</v>
      </c>
      <c r="J166" s="11" t="n">
        <v>2500</v>
      </c>
      <c r="K166" s="12" t="n">
        <v>0</v>
      </c>
      <c r="L166" s="11" t="n">
        <v>1600</v>
      </c>
      <c r="M166" s="11" t="n">
        <f aca="false">I166*J166*(1-K166)</f>
        <v>7500</v>
      </c>
      <c r="N166" s="11" t="n">
        <f aca="false">M166-I166*L166</f>
        <v>2700</v>
      </c>
    </row>
    <row r="167" customFormat="false" ht="15" hidden="false" customHeight="false" outlineLevel="0" collapsed="false">
      <c r="A167" s="2" t="s">
        <v>2482</v>
      </c>
      <c r="B167" s="2" t="s">
        <v>2480</v>
      </c>
      <c r="C167" s="10" t="n">
        <v>45691</v>
      </c>
      <c r="D167" s="2" t="n">
        <f aca="false">MONTH(C167)</f>
        <v>2</v>
      </c>
      <c r="E167" s="2" t="s">
        <v>81</v>
      </c>
      <c r="F167" s="2" t="s">
        <v>69</v>
      </c>
      <c r="G167" s="2" t="s">
        <v>65</v>
      </c>
      <c r="H167" s="2" t="s">
        <v>78</v>
      </c>
      <c r="I167" s="2" t="n">
        <v>16</v>
      </c>
      <c r="J167" s="11" t="n">
        <v>400</v>
      </c>
      <c r="K167" s="12" t="n">
        <v>0.1</v>
      </c>
      <c r="L167" s="11" t="n">
        <v>200</v>
      </c>
      <c r="M167" s="11" t="n">
        <f aca="false">I167*J167*(1-K167)</f>
        <v>5760</v>
      </c>
      <c r="N167" s="11" t="n">
        <f aca="false">M167-I167*L167</f>
        <v>2560</v>
      </c>
    </row>
    <row r="168" customFormat="false" ht="15" hidden="false" customHeight="false" outlineLevel="0" collapsed="false">
      <c r="A168" s="2" t="s">
        <v>2614</v>
      </c>
      <c r="B168" s="2" t="s">
        <v>2612</v>
      </c>
      <c r="C168" s="10" t="n">
        <v>45691</v>
      </c>
      <c r="D168" s="2" t="n">
        <f aca="false">MONTH(C168)</f>
        <v>2</v>
      </c>
      <c r="E168" s="2" t="s">
        <v>77</v>
      </c>
      <c r="F168" s="2" t="s">
        <v>69</v>
      </c>
      <c r="G168" s="2" t="s">
        <v>73</v>
      </c>
      <c r="H168" s="2" t="s">
        <v>87</v>
      </c>
      <c r="I168" s="2" t="n">
        <v>5</v>
      </c>
      <c r="J168" s="11" t="n">
        <v>9000</v>
      </c>
      <c r="K168" s="12" t="n">
        <v>0</v>
      </c>
      <c r="L168" s="11" t="n">
        <v>6200</v>
      </c>
      <c r="M168" s="11" t="n">
        <f aca="false">I168*J168*(1-K168)</f>
        <v>45000</v>
      </c>
      <c r="N168" s="11" t="n">
        <f aca="false">M168-I168*L168</f>
        <v>14000</v>
      </c>
    </row>
    <row r="169" customFormat="false" ht="15" hidden="false" customHeight="false" outlineLevel="0" collapsed="false">
      <c r="A169" s="2" t="s">
        <v>2936</v>
      </c>
      <c r="B169" s="2" t="s">
        <v>2934</v>
      </c>
      <c r="C169" s="10" t="n">
        <v>45691</v>
      </c>
      <c r="D169" s="2" t="n">
        <f aca="false">MONTH(C169)</f>
        <v>2</v>
      </c>
      <c r="E169" s="2" t="s">
        <v>63</v>
      </c>
      <c r="F169" s="2" t="s">
        <v>69</v>
      </c>
      <c r="G169" s="2" t="s">
        <v>65</v>
      </c>
      <c r="H169" s="2" t="s">
        <v>78</v>
      </c>
      <c r="I169" s="2" t="n">
        <v>17</v>
      </c>
      <c r="J169" s="11" t="n">
        <v>400</v>
      </c>
      <c r="K169" s="12" t="n">
        <v>0</v>
      </c>
      <c r="L169" s="11" t="n">
        <v>200</v>
      </c>
      <c r="M169" s="11" t="n">
        <f aca="false">I169*J169*(1-K169)</f>
        <v>6800</v>
      </c>
      <c r="N169" s="11" t="n">
        <f aca="false">M169-I169*L169</f>
        <v>3400</v>
      </c>
    </row>
    <row r="170" customFormat="false" ht="15" hidden="false" customHeight="false" outlineLevel="0" collapsed="false">
      <c r="A170" s="2" t="s">
        <v>575</v>
      </c>
      <c r="B170" s="2" t="s">
        <v>570</v>
      </c>
      <c r="C170" s="10" t="n">
        <v>45692</v>
      </c>
      <c r="D170" s="2" t="n">
        <f aca="false">MONTH(C170)</f>
        <v>2</v>
      </c>
      <c r="E170" s="2" t="s">
        <v>63</v>
      </c>
      <c r="F170" s="2" t="s">
        <v>92</v>
      </c>
      <c r="G170" s="2" t="s">
        <v>70</v>
      </c>
      <c r="H170" s="2" t="s">
        <v>71</v>
      </c>
      <c r="I170" s="2" t="n">
        <v>7</v>
      </c>
      <c r="J170" s="11" t="n">
        <v>2500</v>
      </c>
      <c r="K170" s="12" t="n">
        <v>0.05</v>
      </c>
      <c r="L170" s="11" t="n">
        <v>1600</v>
      </c>
      <c r="M170" s="11" t="n">
        <f aca="false">I170*J170*(1-K170)</f>
        <v>16625</v>
      </c>
      <c r="N170" s="11" t="n">
        <f aca="false">M170-I170*L170</f>
        <v>5425</v>
      </c>
    </row>
    <row r="171" customFormat="false" ht="15" hidden="false" customHeight="false" outlineLevel="0" collapsed="false">
      <c r="A171" s="2" t="s">
        <v>657</v>
      </c>
      <c r="B171" s="2" t="s">
        <v>658</v>
      </c>
      <c r="C171" s="10" t="n">
        <v>45692</v>
      </c>
      <c r="D171" s="2" t="n">
        <f aca="false">MONTH(C171)</f>
        <v>2</v>
      </c>
      <c r="E171" s="2" t="s">
        <v>91</v>
      </c>
      <c r="F171" s="2" t="s">
        <v>69</v>
      </c>
      <c r="G171" s="2" t="s">
        <v>70</v>
      </c>
      <c r="H171" s="2" t="s">
        <v>122</v>
      </c>
      <c r="I171" s="2" t="n">
        <v>2</v>
      </c>
      <c r="J171" s="11" t="n">
        <v>1500</v>
      </c>
      <c r="K171" s="12" t="n">
        <v>0.05</v>
      </c>
      <c r="L171" s="11" t="n">
        <v>900</v>
      </c>
      <c r="M171" s="11" t="n">
        <f aca="false">I171*J171*(1-K171)</f>
        <v>2850</v>
      </c>
      <c r="N171" s="11" t="n">
        <f aca="false">M171-I171*L171</f>
        <v>1050</v>
      </c>
    </row>
    <row r="172" customFormat="false" ht="15" hidden="false" customHeight="false" outlineLevel="0" collapsed="false">
      <c r="A172" s="2" t="s">
        <v>1898</v>
      </c>
      <c r="B172" s="2" t="s">
        <v>1897</v>
      </c>
      <c r="C172" s="10" t="n">
        <v>45692</v>
      </c>
      <c r="D172" s="2" t="n">
        <f aca="false">MONTH(C172)</f>
        <v>2</v>
      </c>
      <c r="E172" s="2" t="s">
        <v>63</v>
      </c>
      <c r="F172" s="2" t="s">
        <v>64</v>
      </c>
      <c r="G172" s="2" t="s">
        <v>70</v>
      </c>
      <c r="H172" s="2" t="s">
        <v>71</v>
      </c>
      <c r="I172" s="2" t="n">
        <v>2</v>
      </c>
      <c r="J172" s="11" t="n">
        <v>2500</v>
      </c>
      <c r="K172" s="12" t="n">
        <v>0</v>
      </c>
      <c r="L172" s="11" t="n">
        <v>1600</v>
      </c>
      <c r="M172" s="11" t="n">
        <f aca="false">I172*J172*(1-K172)</f>
        <v>5000</v>
      </c>
      <c r="N172" s="11" t="n">
        <f aca="false">M172-I172*L172</f>
        <v>1800</v>
      </c>
    </row>
    <row r="173" customFormat="false" ht="15" hidden="false" customHeight="false" outlineLevel="0" collapsed="false">
      <c r="A173" s="2" t="s">
        <v>1988</v>
      </c>
      <c r="B173" s="2" t="s">
        <v>1987</v>
      </c>
      <c r="C173" s="10" t="n">
        <v>45692</v>
      </c>
      <c r="D173" s="2" t="n">
        <f aca="false">MONTH(C173)</f>
        <v>2</v>
      </c>
      <c r="E173" s="2" t="s">
        <v>81</v>
      </c>
      <c r="F173" s="2" t="s">
        <v>64</v>
      </c>
      <c r="G173" s="2" t="s">
        <v>70</v>
      </c>
      <c r="H173" s="2" t="s">
        <v>97</v>
      </c>
      <c r="I173" s="2" t="n">
        <v>2</v>
      </c>
      <c r="J173" s="11" t="n">
        <v>3000</v>
      </c>
      <c r="K173" s="12" t="n">
        <v>0.05</v>
      </c>
      <c r="L173" s="11" t="n">
        <v>2000</v>
      </c>
      <c r="M173" s="11" t="n">
        <f aca="false">I173*J173*(1-K173)</f>
        <v>5700</v>
      </c>
      <c r="N173" s="11" t="n">
        <f aca="false">M173-I173*L173</f>
        <v>1700</v>
      </c>
    </row>
    <row r="174" customFormat="false" ht="15" hidden="false" customHeight="false" outlineLevel="0" collapsed="false">
      <c r="A174" s="2" t="s">
        <v>2258</v>
      </c>
      <c r="B174" s="2" t="s">
        <v>2259</v>
      </c>
      <c r="C174" s="10" t="n">
        <v>45692</v>
      </c>
      <c r="D174" s="2" t="n">
        <f aca="false">MONTH(C174)</f>
        <v>2</v>
      </c>
      <c r="E174" s="2" t="s">
        <v>77</v>
      </c>
      <c r="F174" s="2" t="s">
        <v>64</v>
      </c>
      <c r="G174" s="2" t="s">
        <v>65</v>
      </c>
      <c r="H174" s="2" t="s">
        <v>82</v>
      </c>
      <c r="I174" s="2" t="n">
        <v>3</v>
      </c>
      <c r="J174" s="11" t="n">
        <v>250</v>
      </c>
      <c r="K174" s="12" t="n">
        <v>0.1</v>
      </c>
      <c r="L174" s="11" t="n">
        <v>100</v>
      </c>
      <c r="M174" s="11" t="n">
        <f aca="false">I174*J174*(1-K174)</f>
        <v>675</v>
      </c>
      <c r="N174" s="11" t="n">
        <f aca="false">M174-I174*L174</f>
        <v>375</v>
      </c>
    </row>
    <row r="175" customFormat="false" ht="15" hidden="false" customHeight="false" outlineLevel="0" collapsed="false">
      <c r="A175" s="2" t="s">
        <v>2800</v>
      </c>
      <c r="B175" s="2" t="s">
        <v>2795</v>
      </c>
      <c r="C175" s="10" t="n">
        <v>45692</v>
      </c>
      <c r="D175" s="2" t="n">
        <f aca="false">MONTH(C175)</f>
        <v>2</v>
      </c>
      <c r="E175" s="2" t="s">
        <v>91</v>
      </c>
      <c r="F175" s="2" t="s">
        <v>64</v>
      </c>
      <c r="G175" s="2" t="s">
        <v>73</v>
      </c>
      <c r="H175" s="2" t="s">
        <v>87</v>
      </c>
      <c r="I175" s="2" t="n">
        <v>1</v>
      </c>
      <c r="J175" s="11" t="n">
        <v>9000</v>
      </c>
      <c r="K175" s="12" t="n">
        <v>0</v>
      </c>
      <c r="L175" s="11" t="n">
        <v>6200</v>
      </c>
      <c r="M175" s="11" t="n">
        <f aca="false">I175*J175*(1-K175)</f>
        <v>9000</v>
      </c>
      <c r="N175" s="11" t="n">
        <f aca="false">M175-I175*L175</f>
        <v>2800</v>
      </c>
    </row>
    <row r="176" customFormat="false" ht="15" hidden="false" customHeight="false" outlineLevel="0" collapsed="false">
      <c r="A176" s="2" t="s">
        <v>235</v>
      </c>
      <c r="B176" s="2" t="s">
        <v>236</v>
      </c>
      <c r="C176" s="10" t="n">
        <v>45693</v>
      </c>
      <c r="D176" s="2" t="n">
        <f aca="false">MONTH(C176)</f>
        <v>2</v>
      </c>
      <c r="E176" s="2" t="s">
        <v>91</v>
      </c>
      <c r="F176" s="2" t="s">
        <v>64</v>
      </c>
      <c r="G176" s="2" t="s">
        <v>65</v>
      </c>
      <c r="H176" s="2" t="s">
        <v>78</v>
      </c>
      <c r="I176" s="2" t="n">
        <v>6</v>
      </c>
      <c r="J176" s="11" t="n">
        <v>400</v>
      </c>
      <c r="K176" s="12" t="n">
        <v>0.1</v>
      </c>
      <c r="L176" s="11" t="n">
        <v>200</v>
      </c>
      <c r="M176" s="11" t="n">
        <f aca="false">I176*J176*(1-K176)</f>
        <v>2160</v>
      </c>
      <c r="N176" s="11" t="n">
        <f aca="false">M176-I176*L176</f>
        <v>960</v>
      </c>
    </row>
    <row r="177" customFormat="false" ht="15" hidden="false" customHeight="false" outlineLevel="0" collapsed="false">
      <c r="A177" s="2" t="s">
        <v>821</v>
      </c>
      <c r="B177" s="2" t="s">
        <v>822</v>
      </c>
      <c r="C177" s="10" t="n">
        <v>45693</v>
      </c>
      <c r="D177" s="2" t="n">
        <f aca="false">MONTH(C177)</f>
        <v>2</v>
      </c>
      <c r="E177" s="2" t="s">
        <v>91</v>
      </c>
      <c r="F177" s="2" t="s">
        <v>69</v>
      </c>
      <c r="G177" s="2" t="s">
        <v>70</v>
      </c>
      <c r="H177" s="2" t="s">
        <v>122</v>
      </c>
      <c r="I177" s="2" t="n">
        <v>4</v>
      </c>
      <c r="J177" s="11" t="n">
        <v>1500</v>
      </c>
      <c r="K177" s="12" t="n">
        <v>0.1</v>
      </c>
      <c r="L177" s="11" t="n">
        <v>900</v>
      </c>
      <c r="M177" s="11" t="n">
        <f aca="false">I177*J177*(1-K177)</f>
        <v>5400</v>
      </c>
      <c r="N177" s="11" t="n">
        <f aca="false">M177-I177*L177</f>
        <v>1800</v>
      </c>
    </row>
    <row r="178" customFormat="false" ht="15" hidden="false" customHeight="false" outlineLevel="0" collapsed="false">
      <c r="A178" s="2" t="s">
        <v>1015</v>
      </c>
      <c r="B178" s="2" t="s">
        <v>1016</v>
      </c>
      <c r="C178" s="10" t="n">
        <v>45693</v>
      </c>
      <c r="D178" s="2" t="n">
        <f aca="false">MONTH(C178)</f>
        <v>2</v>
      </c>
      <c r="E178" s="2" t="s">
        <v>81</v>
      </c>
      <c r="F178" s="2" t="s">
        <v>64</v>
      </c>
      <c r="G178" s="2" t="s">
        <v>65</v>
      </c>
      <c r="H178" s="2" t="s">
        <v>66</v>
      </c>
      <c r="I178" s="2" t="n">
        <v>2</v>
      </c>
      <c r="J178" s="11" t="n">
        <v>600</v>
      </c>
      <c r="K178" s="12" t="n">
        <v>0.05</v>
      </c>
      <c r="L178" s="11" t="n">
        <v>300</v>
      </c>
      <c r="M178" s="11" t="n">
        <f aca="false">I178*J178*(1-K178)</f>
        <v>1140</v>
      </c>
      <c r="N178" s="11" t="n">
        <f aca="false">M178-I178*L178</f>
        <v>540</v>
      </c>
    </row>
    <row r="179" customFormat="false" ht="15" hidden="false" customHeight="false" outlineLevel="0" collapsed="false">
      <c r="A179" s="2" t="s">
        <v>1017</v>
      </c>
      <c r="B179" s="2" t="s">
        <v>1016</v>
      </c>
      <c r="C179" s="10" t="n">
        <v>45693</v>
      </c>
      <c r="D179" s="2" t="n">
        <f aca="false">MONTH(C179)</f>
        <v>2</v>
      </c>
      <c r="E179" s="2" t="s">
        <v>81</v>
      </c>
      <c r="F179" s="2" t="s">
        <v>64</v>
      </c>
      <c r="G179" s="2" t="s">
        <v>73</v>
      </c>
      <c r="H179" s="2" t="s">
        <v>85</v>
      </c>
      <c r="I179" s="2" t="n">
        <v>1</v>
      </c>
      <c r="J179" s="11" t="n">
        <v>1200</v>
      </c>
      <c r="K179" s="12" t="n">
        <v>0.1</v>
      </c>
      <c r="L179" s="11" t="n">
        <v>600</v>
      </c>
      <c r="M179" s="11" t="n">
        <f aca="false">I179*J179*(1-K179)</f>
        <v>1080</v>
      </c>
      <c r="N179" s="11" t="n">
        <f aca="false">M179-I179*L179</f>
        <v>480</v>
      </c>
    </row>
    <row r="180" customFormat="false" ht="15" hidden="false" customHeight="false" outlineLevel="0" collapsed="false">
      <c r="A180" s="2" t="s">
        <v>2134</v>
      </c>
      <c r="B180" s="2" t="s">
        <v>2133</v>
      </c>
      <c r="C180" s="10" t="n">
        <v>45693</v>
      </c>
      <c r="D180" s="2" t="n">
        <f aca="false">MONTH(C180)</f>
        <v>2</v>
      </c>
      <c r="E180" s="2" t="s">
        <v>63</v>
      </c>
      <c r="F180" s="2" t="s">
        <v>64</v>
      </c>
      <c r="G180" s="2" t="s">
        <v>73</v>
      </c>
      <c r="H180" s="2" t="s">
        <v>87</v>
      </c>
      <c r="I180" s="2" t="n">
        <v>2</v>
      </c>
      <c r="J180" s="11" t="n">
        <v>9000</v>
      </c>
      <c r="K180" s="12" t="n">
        <v>0</v>
      </c>
      <c r="L180" s="11" t="n">
        <v>6200</v>
      </c>
      <c r="M180" s="11" t="n">
        <f aca="false">I180*J180*(1-K180)</f>
        <v>18000</v>
      </c>
      <c r="N180" s="11" t="n">
        <f aca="false">M180-I180*L180</f>
        <v>5600</v>
      </c>
    </row>
    <row r="181" customFormat="false" ht="15" hidden="false" customHeight="false" outlineLevel="0" collapsed="false">
      <c r="A181" s="2" t="s">
        <v>2798</v>
      </c>
      <c r="B181" s="2" t="s">
        <v>2795</v>
      </c>
      <c r="C181" s="10" t="n">
        <v>45693</v>
      </c>
      <c r="D181" s="2" t="n">
        <f aca="false">MONTH(C181)</f>
        <v>2</v>
      </c>
      <c r="E181" s="2" t="s">
        <v>91</v>
      </c>
      <c r="F181" s="2" t="s">
        <v>64</v>
      </c>
      <c r="G181" s="2" t="s">
        <v>65</v>
      </c>
      <c r="H181" s="2" t="s">
        <v>82</v>
      </c>
      <c r="I181" s="2" t="n">
        <v>4</v>
      </c>
      <c r="J181" s="11" t="n">
        <v>250</v>
      </c>
      <c r="K181" s="12" t="n">
        <v>0</v>
      </c>
      <c r="L181" s="11" t="n">
        <v>100</v>
      </c>
      <c r="M181" s="11" t="n">
        <f aca="false">I181*J181*(1-K181)</f>
        <v>1000</v>
      </c>
      <c r="N181" s="11" t="n">
        <f aca="false">M181-I181*L181</f>
        <v>600</v>
      </c>
    </row>
    <row r="182" customFormat="false" ht="15" hidden="false" customHeight="false" outlineLevel="0" collapsed="false">
      <c r="A182" s="2" t="s">
        <v>2875</v>
      </c>
      <c r="B182" s="2" t="s">
        <v>2874</v>
      </c>
      <c r="C182" s="10" t="n">
        <v>45693</v>
      </c>
      <c r="D182" s="2" t="n">
        <f aca="false">MONTH(C182)</f>
        <v>2</v>
      </c>
      <c r="E182" s="2" t="s">
        <v>91</v>
      </c>
      <c r="F182" s="2" t="s">
        <v>64</v>
      </c>
      <c r="G182" s="2" t="s">
        <v>70</v>
      </c>
      <c r="H182" s="2" t="s">
        <v>126</v>
      </c>
      <c r="I182" s="2" t="n">
        <v>1</v>
      </c>
      <c r="J182" s="11" t="n">
        <v>4500</v>
      </c>
      <c r="K182" s="12" t="n">
        <v>0</v>
      </c>
      <c r="L182" s="11" t="n">
        <v>3300</v>
      </c>
      <c r="M182" s="11" t="n">
        <f aca="false">I182*J182*(1-K182)</f>
        <v>4500</v>
      </c>
      <c r="N182" s="11" t="n">
        <f aca="false">M182-I182*L182</f>
        <v>1200</v>
      </c>
    </row>
    <row r="183" customFormat="false" ht="15" hidden="false" customHeight="false" outlineLevel="0" collapsed="false">
      <c r="A183" s="2" t="s">
        <v>1285</v>
      </c>
      <c r="B183" s="2" t="s">
        <v>1284</v>
      </c>
      <c r="C183" s="10" t="n">
        <v>45694</v>
      </c>
      <c r="D183" s="2" t="n">
        <f aca="false">MONTH(C183)</f>
        <v>2</v>
      </c>
      <c r="E183" s="2" t="s">
        <v>63</v>
      </c>
      <c r="F183" s="2" t="s">
        <v>69</v>
      </c>
      <c r="G183" s="2" t="s">
        <v>73</v>
      </c>
      <c r="H183" s="2" t="s">
        <v>74</v>
      </c>
      <c r="I183" s="2" t="n">
        <v>1</v>
      </c>
      <c r="J183" s="11" t="n">
        <v>7000</v>
      </c>
      <c r="K183" s="12" t="n">
        <v>0.05</v>
      </c>
      <c r="L183" s="11" t="n">
        <v>4800</v>
      </c>
      <c r="M183" s="11" t="n">
        <f aca="false">I183*J183*(1-K183)</f>
        <v>6650</v>
      </c>
      <c r="N183" s="11" t="n">
        <f aca="false">M183-I183*L183</f>
        <v>1850</v>
      </c>
    </row>
    <row r="184" customFormat="false" ht="15" hidden="false" customHeight="false" outlineLevel="0" collapsed="false">
      <c r="A184" s="2" t="s">
        <v>1437</v>
      </c>
      <c r="B184" s="2" t="s">
        <v>1438</v>
      </c>
      <c r="C184" s="10" t="n">
        <v>45694</v>
      </c>
      <c r="D184" s="2" t="n">
        <f aca="false">MONTH(C184)</f>
        <v>2</v>
      </c>
      <c r="E184" s="2" t="s">
        <v>77</v>
      </c>
      <c r="F184" s="2" t="s">
        <v>64</v>
      </c>
      <c r="G184" s="2" t="s">
        <v>65</v>
      </c>
      <c r="H184" s="2" t="s">
        <v>82</v>
      </c>
      <c r="I184" s="2" t="n">
        <v>4</v>
      </c>
      <c r="J184" s="11" t="n">
        <v>250</v>
      </c>
      <c r="K184" s="12" t="n">
        <v>0</v>
      </c>
      <c r="L184" s="11" t="n">
        <v>100</v>
      </c>
      <c r="M184" s="11" t="n">
        <f aca="false">I184*J184*(1-K184)</f>
        <v>1000</v>
      </c>
      <c r="N184" s="11" t="n">
        <f aca="false">M184-I184*L184</f>
        <v>600</v>
      </c>
    </row>
    <row r="185" customFormat="false" ht="15" hidden="false" customHeight="false" outlineLevel="0" collapsed="false">
      <c r="A185" s="2" t="s">
        <v>1594</v>
      </c>
      <c r="B185" s="2" t="s">
        <v>1595</v>
      </c>
      <c r="C185" s="10" t="n">
        <v>45694</v>
      </c>
      <c r="D185" s="2" t="n">
        <f aca="false">MONTH(C185)</f>
        <v>2</v>
      </c>
      <c r="E185" s="2" t="s">
        <v>81</v>
      </c>
      <c r="F185" s="2" t="s">
        <v>64</v>
      </c>
      <c r="G185" s="2" t="s">
        <v>73</v>
      </c>
      <c r="H185" s="2" t="s">
        <v>87</v>
      </c>
      <c r="I185" s="2" t="n">
        <v>2</v>
      </c>
      <c r="J185" s="11" t="n">
        <v>9000</v>
      </c>
      <c r="K185" s="12" t="n">
        <v>0.05</v>
      </c>
      <c r="L185" s="11" t="n">
        <v>6200</v>
      </c>
      <c r="M185" s="11" t="n">
        <f aca="false">I185*J185*(1-K185)</f>
        <v>17100</v>
      </c>
      <c r="N185" s="11" t="n">
        <f aca="false">M185-I185*L185</f>
        <v>4700</v>
      </c>
    </row>
    <row r="186" customFormat="false" ht="15" hidden="false" customHeight="false" outlineLevel="0" collapsed="false">
      <c r="A186" s="2" t="s">
        <v>2423</v>
      </c>
      <c r="B186" s="2" t="s">
        <v>2424</v>
      </c>
      <c r="C186" s="10" t="n">
        <v>45694</v>
      </c>
      <c r="D186" s="2" t="n">
        <f aca="false">MONTH(C186)</f>
        <v>2</v>
      </c>
      <c r="E186" s="2" t="s">
        <v>77</v>
      </c>
      <c r="F186" s="2" t="s">
        <v>64</v>
      </c>
      <c r="G186" s="2" t="s">
        <v>65</v>
      </c>
      <c r="H186" s="2" t="s">
        <v>107</v>
      </c>
      <c r="I186" s="2" t="n">
        <v>5</v>
      </c>
      <c r="J186" s="11" t="n">
        <v>500</v>
      </c>
      <c r="K186" s="12" t="n">
        <v>0.05</v>
      </c>
      <c r="L186" s="11" t="n">
        <v>250</v>
      </c>
      <c r="M186" s="11" t="n">
        <f aca="false">I186*J186*(1-K186)</f>
        <v>2375</v>
      </c>
      <c r="N186" s="11" t="n">
        <f aca="false">M186-I186*L186</f>
        <v>1125</v>
      </c>
    </row>
    <row r="187" customFormat="false" ht="15" hidden="false" customHeight="false" outlineLevel="0" collapsed="false">
      <c r="A187" s="2" t="s">
        <v>176</v>
      </c>
      <c r="B187" s="2" t="s">
        <v>175</v>
      </c>
      <c r="C187" s="10" t="n">
        <v>45695</v>
      </c>
      <c r="D187" s="2" t="n">
        <f aca="false">MONTH(C187)</f>
        <v>2</v>
      </c>
      <c r="E187" s="2" t="s">
        <v>77</v>
      </c>
      <c r="F187" s="2" t="s">
        <v>64</v>
      </c>
      <c r="G187" s="2" t="s">
        <v>70</v>
      </c>
      <c r="H187" s="2" t="s">
        <v>122</v>
      </c>
      <c r="I187" s="2" t="n">
        <v>1</v>
      </c>
      <c r="J187" s="11" t="n">
        <v>1500</v>
      </c>
      <c r="K187" s="12" t="n">
        <v>0</v>
      </c>
      <c r="L187" s="11" t="n">
        <v>900</v>
      </c>
      <c r="M187" s="11" t="n">
        <f aca="false">I187*J187*(1-K187)</f>
        <v>1500</v>
      </c>
      <c r="N187" s="11" t="n">
        <f aca="false">M187-I187*L187</f>
        <v>600</v>
      </c>
    </row>
    <row r="188" customFormat="false" ht="15" hidden="false" customHeight="false" outlineLevel="0" collapsed="false">
      <c r="A188" s="2" t="s">
        <v>457</v>
      </c>
      <c r="B188" s="2" t="s">
        <v>450</v>
      </c>
      <c r="C188" s="10" t="n">
        <v>45695</v>
      </c>
      <c r="D188" s="2" t="n">
        <f aca="false">MONTH(C188)</f>
        <v>2</v>
      </c>
      <c r="E188" s="2" t="s">
        <v>77</v>
      </c>
      <c r="F188" s="2" t="s">
        <v>64</v>
      </c>
      <c r="G188" s="2" t="s">
        <v>73</v>
      </c>
      <c r="H188" s="2" t="s">
        <v>74</v>
      </c>
      <c r="I188" s="2" t="n">
        <v>3</v>
      </c>
      <c r="J188" s="11" t="n">
        <v>7000</v>
      </c>
      <c r="K188" s="12" t="n">
        <v>0</v>
      </c>
      <c r="L188" s="11" t="n">
        <v>4800</v>
      </c>
      <c r="M188" s="11" t="n">
        <f aca="false">I188*J188*(1-K188)</f>
        <v>21000</v>
      </c>
      <c r="N188" s="11" t="n">
        <f aca="false">M188-I188*L188</f>
        <v>6600</v>
      </c>
    </row>
    <row r="189" customFormat="false" ht="15" hidden="false" customHeight="false" outlineLevel="0" collapsed="false">
      <c r="A189" s="2" t="s">
        <v>844</v>
      </c>
      <c r="B189" s="2" t="s">
        <v>843</v>
      </c>
      <c r="C189" s="10" t="n">
        <v>45695</v>
      </c>
      <c r="D189" s="2" t="n">
        <f aca="false">MONTH(C189)</f>
        <v>2</v>
      </c>
      <c r="E189" s="2" t="s">
        <v>81</v>
      </c>
      <c r="F189" s="2" t="s">
        <v>92</v>
      </c>
      <c r="G189" s="2" t="s">
        <v>73</v>
      </c>
      <c r="H189" s="2" t="s">
        <v>74</v>
      </c>
      <c r="I189" s="2" t="n">
        <v>2</v>
      </c>
      <c r="J189" s="11" t="n">
        <v>7000</v>
      </c>
      <c r="K189" s="12" t="n">
        <v>0.1</v>
      </c>
      <c r="L189" s="11" t="n">
        <v>4800</v>
      </c>
      <c r="M189" s="11" t="n">
        <f aca="false">I189*J189*(1-K189)</f>
        <v>12600</v>
      </c>
      <c r="N189" s="11" t="n">
        <f aca="false">M189-I189*L189</f>
        <v>3000</v>
      </c>
    </row>
    <row r="190" customFormat="false" ht="15" hidden="false" customHeight="false" outlineLevel="0" collapsed="false">
      <c r="A190" s="2" t="s">
        <v>905</v>
      </c>
      <c r="B190" s="2" t="s">
        <v>904</v>
      </c>
      <c r="C190" s="10" t="n">
        <v>45695</v>
      </c>
      <c r="D190" s="2" t="n">
        <f aca="false">MONTH(C190)</f>
        <v>2</v>
      </c>
      <c r="E190" s="2" t="s">
        <v>77</v>
      </c>
      <c r="F190" s="2" t="s">
        <v>64</v>
      </c>
      <c r="G190" s="2" t="s">
        <v>70</v>
      </c>
      <c r="H190" s="2" t="s">
        <v>71</v>
      </c>
      <c r="I190" s="2" t="n">
        <v>1</v>
      </c>
      <c r="J190" s="11" t="n">
        <v>2500</v>
      </c>
      <c r="K190" s="12" t="n">
        <v>0</v>
      </c>
      <c r="L190" s="11" t="n">
        <v>1600</v>
      </c>
      <c r="M190" s="11" t="n">
        <f aca="false">I190*J190*(1-K190)</f>
        <v>2500</v>
      </c>
      <c r="N190" s="11" t="n">
        <f aca="false">M190-I190*L190</f>
        <v>900</v>
      </c>
    </row>
    <row r="191" customFormat="false" ht="15" hidden="false" customHeight="false" outlineLevel="0" collapsed="false">
      <c r="A191" s="2" t="s">
        <v>911</v>
      </c>
      <c r="B191" s="2" t="s">
        <v>910</v>
      </c>
      <c r="C191" s="10" t="n">
        <v>45695</v>
      </c>
      <c r="D191" s="2" t="n">
        <f aca="false">MONTH(C191)</f>
        <v>2</v>
      </c>
      <c r="E191" s="2" t="s">
        <v>91</v>
      </c>
      <c r="F191" s="2" t="s">
        <v>69</v>
      </c>
      <c r="G191" s="2" t="s">
        <v>65</v>
      </c>
      <c r="H191" s="2" t="s">
        <v>107</v>
      </c>
      <c r="I191" s="2" t="n">
        <v>17</v>
      </c>
      <c r="J191" s="11" t="n">
        <v>500</v>
      </c>
      <c r="K191" s="12" t="n">
        <v>0</v>
      </c>
      <c r="L191" s="11" t="n">
        <v>250</v>
      </c>
      <c r="M191" s="11" t="n">
        <f aca="false">I191*J191*(1-K191)</f>
        <v>8500</v>
      </c>
      <c r="N191" s="11" t="n">
        <f aca="false">M191-I191*L191</f>
        <v>4250</v>
      </c>
    </row>
    <row r="192" customFormat="false" ht="15" hidden="false" customHeight="false" outlineLevel="0" collapsed="false">
      <c r="A192" s="2" t="s">
        <v>1418</v>
      </c>
      <c r="B192" s="2" t="s">
        <v>1419</v>
      </c>
      <c r="C192" s="10" t="n">
        <v>45695</v>
      </c>
      <c r="D192" s="2" t="n">
        <f aca="false">MONTH(C192)</f>
        <v>2</v>
      </c>
      <c r="E192" s="2" t="s">
        <v>77</v>
      </c>
      <c r="F192" s="2" t="s">
        <v>64</v>
      </c>
      <c r="G192" s="2" t="s">
        <v>73</v>
      </c>
      <c r="H192" s="2" t="s">
        <v>74</v>
      </c>
      <c r="I192" s="2" t="n">
        <v>3</v>
      </c>
      <c r="J192" s="11" t="n">
        <v>7000</v>
      </c>
      <c r="K192" s="12" t="n">
        <v>0.05</v>
      </c>
      <c r="L192" s="11" t="n">
        <v>4800</v>
      </c>
      <c r="M192" s="11" t="n">
        <f aca="false">I192*J192*(1-K192)</f>
        <v>19950</v>
      </c>
      <c r="N192" s="11" t="n">
        <f aca="false">M192-I192*L192</f>
        <v>5550</v>
      </c>
    </row>
    <row r="193" customFormat="false" ht="15" hidden="false" customHeight="false" outlineLevel="0" collapsed="false">
      <c r="A193" s="2" t="s">
        <v>1457</v>
      </c>
      <c r="B193" s="2" t="s">
        <v>1456</v>
      </c>
      <c r="C193" s="10" t="n">
        <v>45695</v>
      </c>
      <c r="D193" s="2" t="n">
        <f aca="false">MONTH(C193)</f>
        <v>2</v>
      </c>
      <c r="E193" s="2" t="s">
        <v>77</v>
      </c>
      <c r="F193" s="2" t="s">
        <v>64</v>
      </c>
      <c r="G193" s="2" t="s">
        <v>70</v>
      </c>
      <c r="H193" s="2" t="s">
        <v>97</v>
      </c>
      <c r="I193" s="2" t="n">
        <v>1</v>
      </c>
      <c r="J193" s="11" t="n">
        <v>3000</v>
      </c>
      <c r="K193" s="12" t="n">
        <v>0.1</v>
      </c>
      <c r="L193" s="11" t="n">
        <v>2000</v>
      </c>
      <c r="M193" s="11" t="n">
        <f aca="false">I193*J193*(1-K193)</f>
        <v>2700</v>
      </c>
      <c r="N193" s="11" t="n">
        <f aca="false">M193-I193*L193</f>
        <v>700</v>
      </c>
    </row>
    <row r="194" customFormat="false" ht="15" hidden="false" customHeight="false" outlineLevel="0" collapsed="false">
      <c r="A194" s="2" t="s">
        <v>2060</v>
      </c>
      <c r="B194" s="2" t="s">
        <v>2054</v>
      </c>
      <c r="C194" s="10" t="n">
        <v>45695</v>
      </c>
      <c r="D194" s="2" t="n">
        <f aca="false">MONTH(C194)</f>
        <v>2</v>
      </c>
      <c r="E194" s="2" t="s">
        <v>91</v>
      </c>
      <c r="F194" s="2" t="s">
        <v>64</v>
      </c>
      <c r="G194" s="2" t="s">
        <v>65</v>
      </c>
      <c r="H194" s="2" t="s">
        <v>82</v>
      </c>
      <c r="I194" s="2" t="n">
        <v>8</v>
      </c>
      <c r="J194" s="11" t="n">
        <v>250</v>
      </c>
      <c r="K194" s="12" t="n">
        <v>0</v>
      </c>
      <c r="L194" s="11" t="n">
        <v>100</v>
      </c>
      <c r="M194" s="11" t="n">
        <f aca="false">I194*J194*(1-K194)</f>
        <v>2000</v>
      </c>
      <c r="N194" s="11" t="n">
        <f aca="false">M194-I194*L194</f>
        <v>1200</v>
      </c>
    </row>
    <row r="195" customFormat="false" ht="15" hidden="false" customHeight="false" outlineLevel="0" collapsed="false">
      <c r="A195" s="2" t="s">
        <v>72</v>
      </c>
      <c r="B195" s="2" t="s">
        <v>68</v>
      </c>
      <c r="C195" s="10" t="n">
        <v>45696</v>
      </c>
      <c r="D195" s="2" t="n">
        <f aca="false">MONTH(C195)</f>
        <v>2</v>
      </c>
      <c r="E195" s="2" t="s">
        <v>63</v>
      </c>
      <c r="F195" s="2" t="s">
        <v>69</v>
      </c>
      <c r="G195" s="2" t="s">
        <v>73</v>
      </c>
      <c r="H195" s="2" t="s">
        <v>74</v>
      </c>
      <c r="I195" s="2" t="n">
        <v>4</v>
      </c>
      <c r="J195" s="11" t="n">
        <v>7000</v>
      </c>
      <c r="K195" s="12" t="n">
        <v>0</v>
      </c>
      <c r="L195" s="11" t="n">
        <v>4800</v>
      </c>
      <c r="M195" s="11" t="n">
        <f aca="false">I195*J195*(1-K195)</f>
        <v>28000</v>
      </c>
      <c r="N195" s="11" t="n">
        <f aca="false">M195-I195*L195</f>
        <v>8800</v>
      </c>
    </row>
    <row r="196" customFormat="false" ht="15" hidden="false" customHeight="false" outlineLevel="0" collapsed="false">
      <c r="A196" s="2" t="s">
        <v>502</v>
      </c>
      <c r="B196" s="2" t="s">
        <v>503</v>
      </c>
      <c r="C196" s="10" t="n">
        <v>45696</v>
      </c>
      <c r="D196" s="2" t="n">
        <f aca="false">MONTH(C196)</f>
        <v>2</v>
      </c>
      <c r="E196" s="2" t="s">
        <v>77</v>
      </c>
      <c r="F196" s="2" t="s">
        <v>64</v>
      </c>
      <c r="G196" s="2" t="s">
        <v>65</v>
      </c>
      <c r="H196" s="2" t="s">
        <v>66</v>
      </c>
      <c r="I196" s="2" t="n">
        <v>7</v>
      </c>
      <c r="J196" s="11" t="n">
        <v>600</v>
      </c>
      <c r="K196" s="12" t="n">
        <v>0.05</v>
      </c>
      <c r="L196" s="11" t="n">
        <v>300</v>
      </c>
      <c r="M196" s="11" t="n">
        <f aca="false">I196*J196*(1-K196)</f>
        <v>3990</v>
      </c>
      <c r="N196" s="11" t="n">
        <f aca="false">M196-I196*L196</f>
        <v>1890</v>
      </c>
    </row>
    <row r="197" customFormat="false" ht="15" hidden="false" customHeight="false" outlineLevel="0" collapsed="false">
      <c r="A197" s="2" t="s">
        <v>1369</v>
      </c>
      <c r="B197" s="2" t="s">
        <v>1367</v>
      </c>
      <c r="C197" s="10" t="n">
        <v>45696</v>
      </c>
      <c r="D197" s="2" t="n">
        <f aca="false">MONTH(C197)</f>
        <v>2</v>
      </c>
      <c r="E197" s="2" t="s">
        <v>77</v>
      </c>
      <c r="F197" s="2" t="s">
        <v>64</v>
      </c>
      <c r="G197" s="2" t="s">
        <v>70</v>
      </c>
      <c r="H197" s="2" t="s">
        <v>97</v>
      </c>
      <c r="I197" s="2" t="n">
        <v>1</v>
      </c>
      <c r="J197" s="11" t="n">
        <v>3000</v>
      </c>
      <c r="K197" s="12" t="n">
        <v>0</v>
      </c>
      <c r="L197" s="11" t="n">
        <v>2000</v>
      </c>
      <c r="M197" s="11" t="n">
        <f aca="false">I197*J197*(1-K197)</f>
        <v>3000</v>
      </c>
      <c r="N197" s="11" t="n">
        <f aca="false">M197-I197*L197</f>
        <v>1000</v>
      </c>
    </row>
    <row r="198" customFormat="false" ht="15" hidden="false" customHeight="false" outlineLevel="0" collapsed="false">
      <c r="A198" s="2" t="s">
        <v>1925</v>
      </c>
      <c r="B198" s="2" t="s">
        <v>1924</v>
      </c>
      <c r="C198" s="10" t="n">
        <v>45696</v>
      </c>
      <c r="D198" s="2" t="n">
        <f aca="false">MONTH(C198)</f>
        <v>2</v>
      </c>
      <c r="E198" s="2" t="s">
        <v>91</v>
      </c>
      <c r="F198" s="2" t="s">
        <v>64</v>
      </c>
      <c r="G198" s="2" t="s">
        <v>70</v>
      </c>
      <c r="H198" s="2" t="s">
        <v>126</v>
      </c>
      <c r="I198" s="2" t="n">
        <v>1</v>
      </c>
      <c r="J198" s="11" t="n">
        <v>4500</v>
      </c>
      <c r="K198" s="12" t="n">
        <v>0.05</v>
      </c>
      <c r="L198" s="11" t="n">
        <v>3300</v>
      </c>
      <c r="M198" s="11" t="n">
        <f aca="false">I198*J198*(1-K198)</f>
        <v>4275</v>
      </c>
      <c r="N198" s="11" t="n">
        <f aca="false">M198-I198*L198</f>
        <v>975</v>
      </c>
    </row>
    <row r="199" customFormat="false" ht="15" hidden="false" customHeight="false" outlineLevel="0" collapsed="false">
      <c r="A199" s="2" t="s">
        <v>2409</v>
      </c>
      <c r="B199" s="2" t="s">
        <v>2406</v>
      </c>
      <c r="C199" s="10" t="n">
        <v>45696</v>
      </c>
      <c r="D199" s="2" t="n">
        <f aca="false">MONTH(C199)</f>
        <v>2</v>
      </c>
      <c r="E199" s="2" t="s">
        <v>81</v>
      </c>
      <c r="F199" s="2" t="s">
        <v>69</v>
      </c>
      <c r="G199" s="2" t="s">
        <v>70</v>
      </c>
      <c r="H199" s="2" t="s">
        <v>71</v>
      </c>
      <c r="I199" s="2" t="n">
        <v>3</v>
      </c>
      <c r="J199" s="11" t="n">
        <v>2500</v>
      </c>
      <c r="K199" s="12" t="n">
        <v>0.05</v>
      </c>
      <c r="L199" s="11" t="n">
        <v>1600</v>
      </c>
      <c r="M199" s="11" t="n">
        <f aca="false">I199*J199*(1-K199)</f>
        <v>7125</v>
      </c>
      <c r="N199" s="11" t="n">
        <f aca="false">M199-I199*L199</f>
        <v>2325</v>
      </c>
    </row>
    <row r="200" customFormat="false" ht="15" hidden="false" customHeight="false" outlineLevel="0" collapsed="false">
      <c r="A200" s="2" t="s">
        <v>2770</v>
      </c>
      <c r="B200" s="2" t="s">
        <v>2766</v>
      </c>
      <c r="C200" s="10" t="n">
        <v>45696</v>
      </c>
      <c r="D200" s="2" t="n">
        <f aca="false">MONTH(C200)</f>
        <v>2</v>
      </c>
      <c r="E200" s="2" t="s">
        <v>77</v>
      </c>
      <c r="F200" s="2" t="s">
        <v>64</v>
      </c>
      <c r="G200" s="2" t="s">
        <v>65</v>
      </c>
      <c r="H200" s="2" t="s">
        <v>107</v>
      </c>
      <c r="I200" s="2" t="n">
        <v>5</v>
      </c>
      <c r="J200" s="11" t="n">
        <v>500</v>
      </c>
      <c r="K200" s="12" t="n">
        <v>0</v>
      </c>
      <c r="L200" s="11" t="n">
        <v>250</v>
      </c>
      <c r="M200" s="11" t="n">
        <f aca="false">I200*J200*(1-K200)</f>
        <v>2500</v>
      </c>
      <c r="N200" s="11" t="n">
        <f aca="false">M200-I200*L200</f>
        <v>1250</v>
      </c>
    </row>
    <row r="201" customFormat="false" ht="15" hidden="false" customHeight="false" outlineLevel="0" collapsed="false">
      <c r="A201" s="2" t="s">
        <v>169</v>
      </c>
      <c r="B201" s="2" t="s">
        <v>166</v>
      </c>
      <c r="C201" s="10" t="n">
        <v>45697</v>
      </c>
      <c r="D201" s="2" t="n">
        <f aca="false">MONTH(C201)</f>
        <v>2</v>
      </c>
      <c r="E201" s="2" t="s">
        <v>63</v>
      </c>
      <c r="F201" s="2" t="s">
        <v>92</v>
      </c>
      <c r="G201" s="2" t="s">
        <v>70</v>
      </c>
      <c r="H201" s="2" t="s">
        <v>71</v>
      </c>
      <c r="I201" s="2" t="n">
        <v>3</v>
      </c>
      <c r="J201" s="11" t="n">
        <v>2500</v>
      </c>
      <c r="K201" s="12" t="n">
        <v>0.05</v>
      </c>
      <c r="L201" s="11" t="n">
        <v>1600</v>
      </c>
      <c r="M201" s="11" t="n">
        <f aca="false">I201*J201*(1-K201)</f>
        <v>7125</v>
      </c>
      <c r="N201" s="11" t="n">
        <f aca="false">M201-I201*L201</f>
        <v>2325</v>
      </c>
    </row>
    <row r="202" customFormat="false" ht="15" hidden="false" customHeight="false" outlineLevel="0" collapsed="false">
      <c r="A202" s="2" t="s">
        <v>940</v>
      </c>
      <c r="B202" s="2" t="s">
        <v>939</v>
      </c>
      <c r="C202" s="10" t="n">
        <v>45697</v>
      </c>
      <c r="D202" s="2" t="n">
        <f aca="false">MONTH(C202)</f>
        <v>2</v>
      </c>
      <c r="E202" s="2" t="s">
        <v>81</v>
      </c>
      <c r="F202" s="2" t="s">
        <v>64</v>
      </c>
      <c r="G202" s="2" t="s">
        <v>73</v>
      </c>
      <c r="H202" s="2" t="s">
        <v>74</v>
      </c>
      <c r="I202" s="2" t="n">
        <v>3</v>
      </c>
      <c r="J202" s="11" t="n">
        <v>7000</v>
      </c>
      <c r="K202" s="12" t="n">
        <v>0</v>
      </c>
      <c r="L202" s="11" t="n">
        <v>4800</v>
      </c>
      <c r="M202" s="11" t="n">
        <f aca="false">I202*J202*(1-K202)</f>
        <v>21000</v>
      </c>
      <c r="N202" s="11" t="n">
        <f aca="false">M202-I202*L202</f>
        <v>6600</v>
      </c>
    </row>
    <row r="203" customFormat="false" ht="15" hidden="false" customHeight="false" outlineLevel="0" collapsed="false">
      <c r="A203" s="2" t="s">
        <v>1750</v>
      </c>
      <c r="B203" s="2" t="s">
        <v>1751</v>
      </c>
      <c r="C203" s="10" t="n">
        <v>45697</v>
      </c>
      <c r="D203" s="2" t="n">
        <f aca="false">MONTH(C203)</f>
        <v>2</v>
      </c>
      <c r="E203" s="2" t="s">
        <v>77</v>
      </c>
      <c r="F203" s="2" t="s">
        <v>69</v>
      </c>
      <c r="G203" s="2" t="s">
        <v>73</v>
      </c>
      <c r="H203" s="2" t="s">
        <v>104</v>
      </c>
      <c r="I203" s="2" t="n">
        <v>5</v>
      </c>
      <c r="J203" s="11" t="n">
        <v>5500</v>
      </c>
      <c r="K203" s="12" t="n">
        <v>0.1</v>
      </c>
      <c r="L203" s="11" t="n">
        <v>3600</v>
      </c>
      <c r="M203" s="11" t="n">
        <f aca="false">I203*J203*(1-K203)</f>
        <v>24750</v>
      </c>
      <c r="N203" s="11" t="n">
        <f aca="false">M203-I203*L203</f>
        <v>6750</v>
      </c>
    </row>
    <row r="204" customFormat="false" ht="15" hidden="false" customHeight="false" outlineLevel="0" collapsed="false">
      <c r="A204" s="2" t="s">
        <v>2212</v>
      </c>
      <c r="B204" s="2" t="s">
        <v>2213</v>
      </c>
      <c r="C204" s="10" t="n">
        <v>45697</v>
      </c>
      <c r="D204" s="2" t="n">
        <f aca="false">MONTH(C204)</f>
        <v>2</v>
      </c>
      <c r="E204" s="2" t="s">
        <v>91</v>
      </c>
      <c r="F204" s="2" t="s">
        <v>64</v>
      </c>
      <c r="G204" s="2" t="s">
        <v>73</v>
      </c>
      <c r="H204" s="2" t="s">
        <v>87</v>
      </c>
      <c r="I204" s="2" t="n">
        <v>1</v>
      </c>
      <c r="J204" s="11" t="n">
        <v>9000</v>
      </c>
      <c r="K204" s="12" t="n">
        <v>0.05</v>
      </c>
      <c r="L204" s="11" t="n">
        <v>6200</v>
      </c>
      <c r="M204" s="11" t="n">
        <f aca="false">I204*J204*(1-K204)</f>
        <v>8550</v>
      </c>
      <c r="N204" s="11" t="n">
        <f aca="false">M204-I204*L204</f>
        <v>2350</v>
      </c>
    </row>
    <row r="205" customFormat="false" ht="15" hidden="false" customHeight="false" outlineLevel="0" collapsed="false">
      <c r="A205" s="2" t="s">
        <v>2783</v>
      </c>
      <c r="B205" s="2" t="s">
        <v>2784</v>
      </c>
      <c r="C205" s="10" t="n">
        <v>45697</v>
      </c>
      <c r="D205" s="2" t="n">
        <f aca="false">MONTH(C205)</f>
        <v>2</v>
      </c>
      <c r="E205" s="2" t="s">
        <v>63</v>
      </c>
      <c r="F205" s="2" t="s">
        <v>69</v>
      </c>
      <c r="G205" s="2" t="s">
        <v>73</v>
      </c>
      <c r="H205" s="2" t="s">
        <v>87</v>
      </c>
      <c r="I205" s="2" t="n">
        <v>3</v>
      </c>
      <c r="J205" s="11" t="n">
        <v>9000</v>
      </c>
      <c r="K205" s="12" t="n">
        <v>0.1</v>
      </c>
      <c r="L205" s="11" t="n">
        <v>6200</v>
      </c>
      <c r="M205" s="11" t="n">
        <f aca="false">I205*J205*(1-K205)</f>
        <v>24300</v>
      </c>
      <c r="N205" s="11" t="n">
        <f aca="false">M205-I205*L205</f>
        <v>5700</v>
      </c>
    </row>
    <row r="206" customFormat="false" ht="15" hidden="false" customHeight="false" outlineLevel="0" collapsed="false">
      <c r="A206" s="2" t="s">
        <v>2854</v>
      </c>
      <c r="B206" s="2" t="s">
        <v>2855</v>
      </c>
      <c r="C206" s="10" t="n">
        <v>45697</v>
      </c>
      <c r="D206" s="2" t="n">
        <f aca="false">MONTH(C206)</f>
        <v>2</v>
      </c>
      <c r="E206" s="2" t="s">
        <v>81</v>
      </c>
      <c r="F206" s="2" t="s">
        <v>64</v>
      </c>
      <c r="G206" s="2" t="s">
        <v>73</v>
      </c>
      <c r="H206" s="2" t="s">
        <v>87</v>
      </c>
      <c r="I206" s="2" t="n">
        <v>1</v>
      </c>
      <c r="J206" s="11" t="n">
        <v>9000</v>
      </c>
      <c r="K206" s="12" t="n">
        <v>0</v>
      </c>
      <c r="L206" s="11" t="n">
        <v>6200</v>
      </c>
      <c r="M206" s="11" t="n">
        <f aca="false">I206*J206*(1-K206)</f>
        <v>9000</v>
      </c>
      <c r="N206" s="11" t="n">
        <f aca="false">M206-I206*L206</f>
        <v>2800</v>
      </c>
    </row>
    <row r="207" customFormat="false" ht="15" hidden="false" customHeight="false" outlineLevel="0" collapsed="false">
      <c r="A207" s="2" t="s">
        <v>806</v>
      </c>
      <c r="B207" s="2" t="s">
        <v>807</v>
      </c>
      <c r="C207" s="10" t="n">
        <v>45699</v>
      </c>
      <c r="D207" s="2" t="n">
        <f aca="false">MONTH(C207)</f>
        <v>2</v>
      </c>
      <c r="E207" s="2" t="s">
        <v>77</v>
      </c>
      <c r="F207" s="2" t="s">
        <v>64</v>
      </c>
      <c r="G207" s="2" t="s">
        <v>73</v>
      </c>
      <c r="H207" s="2" t="s">
        <v>74</v>
      </c>
      <c r="I207" s="2" t="n">
        <v>2</v>
      </c>
      <c r="J207" s="11" t="n">
        <v>7000</v>
      </c>
      <c r="K207" s="12" t="n">
        <v>0.05</v>
      </c>
      <c r="L207" s="11" t="n">
        <v>4800</v>
      </c>
      <c r="M207" s="11" t="n">
        <f aca="false">I207*J207*(1-K207)</f>
        <v>13300</v>
      </c>
      <c r="N207" s="11" t="n">
        <f aca="false">M207-I207*L207</f>
        <v>3700</v>
      </c>
    </row>
    <row r="208" customFormat="false" ht="15" hidden="false" customHeight="false" outlineLevel="0" collapsed="false">
      <c r="A208" s="2" t="s">
        <v>947</v>
      </c>
      <c r="B208" s="2" t="s">
        <v>943</v>
      </c>
      <c r="C208" s="10" t="n">
        <v>45699</v>
      </c>
      <c r="D208" s="2" t="n">
        <f aca="false">MONTH(C208)</f>
        <v>2</v>
      </c>
      <c r="E208" s="2" t="s">
        <v>81</v>
      </c>
      <c r="F208" s="2" t="s">
        <v>69</v>
      </c>
      <c r="G208" s="2" t="s">
        <v>70</v>
      </c>
      <c r="H208" s="2" t="s">
        <v>126</v>
      </c>
      <c r="I208" s="2" t="n">
        <v>5</v>
      </c>
      <c r="J208" s="11" t="n">
        <v>4500</v>
      </c>
      <c r="K208" s="12" t="n">
        <v>0.05</v>
      </c>
      <c r="L208" s="11" t="n">
        <v>3300</v>
      </c>
      <c r="M208" s="11" t="n">
        <f aca="false">I208*J208*(1-K208)</f>
        <v>21375</v>
      </c>
      <c r="N208" s="11" t="n">
        <f aca="false">M208-I208*L208</f>
        <v>4875</v>
      </c>
    </row>
    <row r="209" customFormat="false" ht="15" hidden="false" customHeight="false" outlineLevel="0" collapsed="false">
      <c r="A209" s="2" t="s">
        <v>963</v>
      </c>
      <c r="B209" s="2" t="s">
        <v>956</v>
      </c>
      <c r="C209" s="10" t="n">
        <v>45699</v>
      </c>
      <c r="D209" s="2" t="n">
        <f aca="false">MONTH(C209)</f>
        <v>2</v>
      </c>
      <c r="E209" s="2" t="s">
        <v>91</v>
      </c>
      <c r="F209" s="2" t="s">
        <v>69</v>
      </c>
      <c r="G209" s="2" t="s">
        <v>65</v>
      </c>
      <c r="H209" s="2" t="s">
        <v>78</v>
      </c>
      <c r="I209" s="2" t="n">
        <v>7</v>
      </c>
      <c r="J209" s="11" t="n">
        <v>400</v>
      </c>
      <c r="K209" s="12" t="n">
        <v>0.1</v>
      </c>
      <c r="L209" s="11" t="n">
        <v>200</v>
      </c>
      <c r="M209" s="11" t="n">
        <f aca="false">I209*J209*(1-K209)</f>
        <v>2520</v>
      </c>
      <c r="N209" s="11" t="n">
        <f aca="false">M209-I209*L209</f>
        <v>1120</v>
      </c>
    </row>
    <row r="210" customFormat="false" ht="15" hidden="false" customHeight="false" outlineLevel="0" collapsed="false">
      <c r="A210" s="2" t="s">
        <v>1201</v>
      </c>
      <c r="B210" s="2" t="s">
        <v>1202</v>
      </c>
      <c r="C210" s="10" t="n">
        <v>45699</v>
      </c>
      <c r="D210" s="2" t="n">
        <f aca="false">MONTH(C210)</f>
        <v>2</v>
      </c>
      <c r="E210" s="2" t="s">
        <v>77</v>
      </c>
      <c r="F210" s="2" t="s">
        <v>64</v>
      </c>
      <c r="G210" s="2" t="s">
        <v>70</v>
      </c>
      <c r="H210" s="2" t="s">
        <v>97</v>
      </c>
      <c r="I210" s="2" t="n">
        <v>1</v>
      </c>
      <c r="J210" s="11" t="n">
        <v>3000</v>
      </c>
      <c r="K210" s="12" t="n">
        <v>0.05</v>
      </c>
      <c r="L210" s="11" t="n">
        <v>2000</v>
      </c>
      <c r="M210" s="11" t="n">
        <f aca="false">I210*J210*(1-K210)</f>
        <v>2850</v>
      </c>
      <c r="N210" s="11" t="n">
        <f aca="false">M210-I210*L210</f>
        <v>850</v>
      </c>
    </row>
    <row r="211" customFormat="false" ht="15" hidden="false" customHeight="false" outlineLevel="0" collapsed="false">
      <c r="A211" s="2" t="s">
        <v>1309</v>
      </c>
      <c r="B211" s="2" t="s">
        <v>1310</v>
      </c>
      <c r="C211" s="10" t="n">
        <v>45699</v>
      </c>
      <c r="D211" s="2" t="n">
        <f aca="false">MONTH(C211)</f>
        <v>2</v>
      </c>
      <c r="E211" s="2" t="s">
        <v>91</v>
      </c>
      <c r="F211" s="2" t="s">
        <v>69</v>
      </c>
      <c r="G211" s="2" t="s">
        <v>73</v>
      </c>
      <c r="H211" s="2" t="s">
        <v>104</v>
      </c>
      <c r="I211" s="2" t="n">
        <v>4</v>
      </c>
      <c r="J211" s="11" t="n">
        <v>5500</v>
      </c>
      <c r="K211" s="12" t="n">
        <v>0.1</v>
      </c>
      <c r="L211" s="11" t="n">
        <v>3600</v>
      </c>
      <c r="M211" s="11" t="n">
        <f aca="false">I211*J211*(1-K211)</f>
        <v>19800</v>
      </c>
      <c r="N211" s="11" t="n">
        <f aca="false">M211-I211*L211</f>
        <v>5400</v>
      </c>
    </row>
    <row r="212" customFormat="false" ht="15" hidden="false" customHeight="false" outlineLevel="0" collapsed="false">
      <c r="A212" s="2" t="s">
        <v>1866</v>
      </c>
      <c r="B212" s="2" t="s">
        <v>1861</v>
      </c>
      <c r="C212" s="10" t="n">
        <v>45699</v>
      </c>
      <c r="D212" s="2" t="n">
        <f aca="false">MONTH(C212)</f>
        <v>2</v>
      </c>
      <c r="E212" s="2" t="s">
        <v>81</v>
      </c>
      <c r="F212" s="2" t="s">
        <v>92</v>
      </c>
      <c r="G212" s="2" t="s">
        <v>65</v>
      </c>
      <c r="H212" s="2" t="s">
        <v>107</v>
      </c>
      <c r="I212" s="2" t="n">
        <v>28</v>
      </c>
      <c r="J212" s="11" t="n">
        <v>500</v>
      </c>
      <c r="K212" s="12" t="n">
        <v>0.05</v>
      </c>
      <c r="L212" s="11" t="n">
        <v>250</v>
      </c>
      <c r="M212" s="11" t="n">
        <f aca="false">I212*J212*(1-K212)</f>
        <v>13300</v>
      </c>
      <c r="N212" s="11" t="n">
        <f aca="false">M212-I212*L212</f>
        <v>6300</v>
      </c>
    </row>
    <row r="213" customFormat="false" ht="15" hidden="false" customHeight="false" outlineLevel="0" collapsed="false">
      <c r="A213" s="2" t="s">
        <v>2174</v>
      </c>
      <c r="B213" s="2" t="s">
        <v>2175</v>
      </c>
      <c r="C213" s="10" t="n">
        <v>45699</v>
      </c>
      <c r="D213" s="2" t="n">
        <f aca="false">MONTH(C213)</f>
        <v>2</v>
      </c>
      <c r="E213" s="2" t="s">
        <v>63</v>
      </c>
      <c r="F213" s="2" t="s">
        <v>64</v>
      </c>
      <c r="G213" s="2" t="s">
        <v>70</v>
      </c>
      <c r="H213" s="2" t="s">
        <v>71</v>
      </c>
      <c r="I213" s="2" t="n">
        <v>1</v>
      </c>
      <c r="J213" s="11" t="n">
        <v>2500</v>
      </c>
      <c r="K213" s="12" t="n">
        <v>0</v>
      </c>
      <c r="L213" s="11" t="n">
        <v>1600</v>
      </c>
      <c r="M213" s="11" t="n">
        <f aca="false">I213*J213*(1-K213)</f>
        <v>2500</v>
      </c>
      <c r="N213" s="11" t="n">
        <f aca="false">M213-I213*L213</f>
        <v>900</v>
      </c>
    </row>
    <row r="214" customFormat="false" ht="15" hidden="false" customHeight="false" outlineLevel="0" collapsed="false">
      <c r="A214" s="2" t="s">
        <v>2964</v>
      </c>
      <c r="B214" s="2" t="s">
        <v>2962</v>
      </c>
      <c r="C214" s="10" t="n">
        <v>45699</v>
      </c>
      <c r="D214" s="2" t="n">
        <f aca="false">MONTH(C214)</f>
        <v>2</v>
      </c>
      <c r="E214" s="2" t="s">
        <v>63</v>
      </c>
      <c r="F214" s="2" t="s">
        <v>92</v>
      </c>
      <c r="G214" s="2" t="s">
        <v>70</v>
      </c>
      <c r="H214" s="2" t="s">
        <v>126</v>
      </c>
      <c r="I214" s="2" t="n">
        <v>4</v>
      </c>
      <c r="J214" s="11" t="n">
        <v>4500</v>
      </c>
      <c r="K214" s="12" t="n">
        <v>0.15</v>
      </c>
      <c r="L214" s="11" t="n">
        <v>3300</v>
      </c>
      <c r="M214" s="11" t="n">
        <f aca="false">I214*J214*(1-K214)</f>
        <v>15300</v>
      </c>
      <c r="N214" s="11" t="n">
        <f aca="false">M214-I214*L214</f>
        <v>2100</v>
      </c>
    </row>
    <row r="215" customFormat="false" ht="15" hidden="false" customHeight="false" outlineLevel="0" collapsed="false">
      <c r="A215" s="2" t="s">
        <v>473</v>
      </c>
      <c r="B215" s="2" t="s">
        <v>471</v>
      </c>
      <c r="C215" s="10" t="n">
        <v>45700</v>
      </c>
      <c r="D215" s="2" t="n">
        <f aca="false">MONTH(C215)</f>
        <v>2</v>
      </c>
      <c r="E215" s="2" t="s">
        <v>91</v>
      </c>
      <c r="F215" s="2" t="s">
        <v>64</v>
      </c>
      <c r="G215" s="2" t="s">
        <v>70</v>
      </c>
      <c r="H215" s="2" t="s">
        <v>71</v>
      </c>
      <c r="I215" s="2" t="n">
        <v>2</v>
      </c>
      <c r="J215" s="11" t="n">
        <v>2500</v>
      </c>
      <c r="K215" s="12" t="n">
        <v>0.1</v>
      </c>
      <c r="L215" s="11" t="n">
        <v>1600</v>
      </c>
      <c r="M215" s="11" t="n">
        <f aca="false">I215*J215*(1-K215)</f>
        <v>4500</v>
      </c>
      <c r="N215" s="11" t="n">
        <f aca="false">M215-I215*L215</f>
        <v>1300</v>
      </c>
    </row>
    <row r="216" customFormat="false" ht="15" hidden="false" customHeight="false" outlineLevel="0" collapsed="false">
      <c r="A216" s="2" t="s">
        <v>565</v>
      </c>
      <c r="B216" s="2" t="s">
        <v>566</v>
      </c>
      <c r="C216" s="10" t="n">
        <v>45700</v>
      </c>
      <c r="D216" s="2" t="n">
        <f aca="false">MONTH(C216)</f>
        <v>2</v>
      </c>
      <c r="E216" s="2" t="s">
        <v>77</v>
      </c>
      <c r="F216" s="2" t="s">
        <v>64</v>
      </c>
      <c r="G216" s="2" t="s">
        <v>73</v>
      </c>
      <c r="H216" s="2" t="s">
        <v>104</v>
      </c>
      <c r="I216" s="2" t="n">
        <v>3</v>
      </c>
      <c r="J216" s="11" t="n">
        <v>5500</v>
      </c>
      <c r="K216" s="12" t="n">
        <v>0.1</v>
      </c>
      <c r="L216" s="11" t="n">
        <v>3600</v>
      </c>
      <c r="M216" s="11" t="n">
        <f aca="false">I216*J216*(1-K216)</f>
        <v>14850</v>
      </c>
      <c r="N216" s="11" t="n">
        <f aca="false">M216-I216*L216</f>
        <v>4050</v>
      </c>
    </row>
    <row r="217" customFormat="false" ht="15" hidden="false" customHeight="false" outlineLevel="0" collapsed="false">
      <c r="A217" s="2" t="s">
        <v>763</v>
      </c>
      <c r="B217" s="2" t="s">
        <v>764</v>
      </c>
      <c r="C217" s="10" t="n">
        <v>45700</v>
      </c>
      <c r="D217" s="2" t="n">
        <f aca="false">MONTH(C217)</f>
        <v>2</v>
      </c>
      <c r="E217" s="2" t="s">
        <v>91</v>
      </c>
      <c r="F217" s="2" t="s">
        <v>64</v>
      </c>
      <c r="G217" s="2" t="s">
        <v>65</v>
      </c>
      <c r="H217" s="2" t="s">
        <v>107</v>
      </c>
      <c r="I217" s="2" t="n">
        <v>6</v>
      </c>
      <c r="J217" s="11" t="n">
        <v>500</v>
      </c>
      <c r="K217" s="12" t="n">
        <v>0.05</v>
      </c>
      <c r="L217" s="11" t="n">
        <v>250</v>
      </c>
      <c r="M217" s="11" t="n">
        <f aca="false">I217*J217*(1-K217)</f>
        <v>2850</v>
      </c>
      <c r="N217" s="11" t="n">
        <f aca="false">M217-I217*L217</f>
        <v>1350</v>
      </c>
    </row>
    <row r="218" customFormat="false" ht="15" hidden="false" customHeight="false" outlineLevel="0" collapsed="false">
      <c r="A218" s="2" t="s">
        <v>879</v>
      </c>
      <c r="B218" s="2" t="s">
        <v>878</v>
      </c>
      <c r="C218" s="10" t="n">
        <v>45700</v>
      </c>
      <c r="D218" s="2" t="n">
        <f aca="false">MONTH(C218)</f>
        <v>2</v>
      </c>
      <c r="E218" s="2" t="s">
        <v>63</v>
      </c>
      <c r="F218" s="2" t="s">
        <v>92</v>
      </c>
      <c r="G218" s="2" t="s">
        <v>70</v>
      </c>
      <c r="H218" s="2" t="s">
        <v>126</v>
      </c>
      <c r="I218" s="2" t="n">
        <v>4</v>
      </c>
      <c r="J218" s="11" t="n">
        <v>4500</v>
      </c>
      <c r="K218" s="12" t="n">
        <v>0.05</v>
      </c>
      <c r="L218" s="11" t="n">
        <v>3300</v>
      </c>
      <c r="M218" s="11" t="n">
        <f aca="false">I218*J218*(1-K218)</f>
        <v>17100</v>
      </c>
      <c r="N218" s="11" t="n">
        <f aca="false">M218-I218*L218</f>
        <v>3900</v>
      </c>
    </row>
    <row r="219" customFormat="false" ht="15" hidden="false" customHeight="false" outlineLevel="0" collapsed="false">
      <c r="A219" s="2" t="s">
        <v>1718</v>
      </c>
      <c r="B219" s="2" t="s">
        <v>1712</v>
      </c>
      <c r="C219" s="10" t="n">
        <v>45700</v>
      </c>
      <c r="D219" s="2" t="n">
        <f aca="false">MONTH(C219)</f>
        <v>2</v>
      </c>
      <c r="E219" s="2" t="s">
        <v>81</v>
      </c>
      <c r="F219" s="2" t="s">
        <v>64</v>
      </c>
      <c r="G219" s="2" t="s">
        <v>73</v>
      </c>
      <c r="H219" s="2" t="s">
        <v>74</v>
      </c>
      <c r="I219" s="2" t="n">
        <v>3</v>
      </c>
      <c r="J219" s="11" t="n">
        <v>7000</v>
      </c>
      <c r="K219" s="12" t="n">
        <v>0</v>
      </c>
      <c r="L219" s="11" t="n">
        <v>4800</v>
      </c>
      <c r="M219" s="11" t="n">
        <f aca="false">I219*J219*(1-K219)</f>
        <v>21000</v>
      </c>
      <c r="N219" s="11" t="n">
        <f aca="false">M219-I219*L219</f>
        <v>6600</v>
      </c>
    </row>
    <row r="220" customFormat="false" ht="15" hidden="false" customHeight="false" outlineLevel="0" collapsed="false">
      <c r="A220" s="2" t="s">
        <v>1721</v>
      </c>
      <c r="B220" s="2" t="s">
        <v>1712</v>
      </c>
      <c r="C220" s="10" t="n">
        <v>45700</v>
      </c>
      <c r="D220" s="2" t="n">
        <f aca="false">MONTH(C220)</f>
        <v>2</v>
      </c>
      <c r="E220" s="2" t="s">
        <v>81</v>
      </c>
      <c r="F220" s="2" t="s">
        <v>64</v>
      </c>
      <c r="G220" s="2" t="s">
        <v>65</v>
      </c>
      <c r="H220" s="2" t="s">
        <v>66</v>
      </c>
      <c r="I220" s="2" t="n">
        <v>3</v>
      </c>
      <c r="J220" s="11" t="n">
        <v>600</v>
      </c>
      <c r="K220" s="12" t="n">
        <v>0</v>
      </c>
      <c r="L220" s="11" t="n">
        <v>300</v>
      </c>
      <c r="M220" s="11" t="n">
        <f aca="false">I220*J220*(1-K220)</f>
        <v>1800</v>
      </c>
      <c r="N220" s="11" t="n">
        <f aca="false">M220-I220*L220</f>
        <v>900</v>
      </c>
    </row>
    <row r="221" customFormat="false" ht="15" hidden="false" customHeight="false" outlineLevel="0" collapsed="false">
      <c r="A221" s="2" t="s">
        <v>1873</v>
      </c>
      <c r="B221" s="2" t="s">
        <v>1870</v>
      </c>
      <c r="C221" s="10" t="n">
        <v>45700</v>
      </c>
      <c r="D221" s="2" t="n">
        <f aca="false">MONTH(C221)</f>
        <v>2</v>
      </c>
      <c r="E221" s="2" t="s">
        <v>63</v>
      </c>
      <c r="F221" s="2" t="s">
        <v>64</v>
      </c>
      <c r="G221" s="2" t="s">
        <v>70</v>
      </c>
      <c r="H221" s="2" t="s">
        <v>71</v>
      </c>
      <c r="I221" s="2" t="n">
        <v>3</v>
      </c>
      <c r="J221" s="11" t="n">
        <v>2500</v>
      </c>
      <c r="K221" s="12" t="n">
        <v>0</v>
      </c>
      <c r="L221" s="11" t="n">
        <v>1600</v>
      </c>
      <c r="M221" s="11" t="n">
        <f aca="false">I221*J221*(1-K221)</f>
        <v>7500</v>
      </c>
      <c r="N221" s="11" t="n">
        <f aca="false">M221-I221*L221</f>
        <v>2700</v>
      </c>
    </row>
    <row r="222" customFormat="false" ht="15" hidden="false" customHeight="false" outlineLevel="0" collapsed="false">
      <c r="A222" s="2" t="s">
        <v>2200</v>
      </c>
      <c r="B222" s="2" t="s">
        <v>2198</v>
      </c>
      <c r="C222" s="10" t="n">
        <v>45700</v>
      </c>
      <c r="D222" s="2" t="n">
        <f aca="false">MONTH(C222)</f>
        <v>2</v>
      </c>
      <c r="E222" s="2" t="s">
        <v>77</v>
      </c>
      <c r="F222" s="2" t="s">
        <v>64</v>
      </c>
      <c r="G222" s="2" t="s">
        <v>73</v>
      </c>
      <c r="H222" s="2" t="s">
        <v>74</v>
      </c>
      <c r="I222" s="2" t="n">
        <v>2</v>
      </c>
      <c r="J222" s="11" t="n">
        <v>7000</v>
      </c>
      <c r="K222" s="12" t="n">
        <v>0.05</v>
      </c>
      <c r="L222" s="11" t="n">
        <v>4800</v>
      </c>
      <c r="M222" s="11" t="n">
        <f aca="false">I222*J222*(1-K222)</f>
        <v>13300</v>
      </c>
      <c r="N222" s="11" t="n">
        <f aca="false">M222-I222*L222</f>
        <v>3700</v>
      </c>
    </row>
    <row r="223" customFormat="false" ht="15" hidden="false" customHeight="false" outlineLevel="0" collapsed="false">
      <c r="A223" s="2" t="s">
        <v>2285</v>
      </c>
      <c r="B223" s="2" t="s">
        <v>2282</v>
      </c>
      <c r="C223" s="10" t="n">
        <v>45700</v>
      </c>
      <c r="D223" s="2" t="n">
        <f aca="false">MONTH(C223)</f>
        <v>2</v>
      </c>
      <c r="E223" s="2" t="s">
        <v>63</v>
      </c>
      <c r="F223" s="2" t="s">
        <v>64</v>
      </c>
      <c r="G223" s="2" t="s">
        <v>65</v>
      </c>
      <c r="H223" s="2" t="s">
        <v>107</v>
      </c>
      <c r="I223" s="2" t="n">
        <v>6</v>
      </c>
      <c r="J223" s="11" t="n">
        <v>500</v>
      </c>
      <c r="K223" s="12" t="n">
        <v>0.05</v>
      </c>
      <c r="L223" s="11" t="n">
        <v>250</v>
      </c>
      <c r="M223" s="11" t="n">
        <f aca="false">I223*J223*(1-K223)</f>
        <v>2850</v>
      </c>
      <c r="N223" s="11" t="n">
        <f aca="false">M223-I223*L223</f>
        <v>1350</v>
      </c>
    </row>
    <row r="224" customFormat="false" ht="15" hidden="false" customHeight="false" outlineLevel="0" collapsed="false">
      <c r="A224" s="2" t="s">
        <v>2694</v>
      </c>
      <c r="B224" s="2" t="s">
        <v>2695</v>
      </c>
      <c r="C224" s="10" t="n">
        <v>45700</v>
      </c>
      <c r="D224" s="2" t="n">
        <f aca="false">MONTH(C224)</f>
        <v>2</v>
      </c>
      <c r="E224" s="2" t="s">
        <v>91</v>
      </c>
      <c r="F224" s="2" t="s">
        <v>64</v>
      </c>
      <c r="G224" s="2" t="s">
        <v>70</v>
      </c>
      <c r="H224" s="2" t="s">
        <v>126</v>
      </c>
      <c r="I224" s="2" t="n">
        <v>2</v>
      </c>
      <c r="J224" s="11" t="n">
        <v>4500</v>
      </c>
      <c r="K224" s="12" t="n">
        <v>0.05</v>
      </c>
      <c r="L224" s="11" t="n">
        <v>3300</v>
      </c>
      <c r="M224" s="11" t="n">
        <f aca="false">I224*J224*(1-K224)</f>
        <v>8550</v>
      </c>
      <c r="N224" s="11" t="n">
        <f aca="false">M224-I224*L224</f>
        <v>1950</v>
      </c>
    </row>
    <row r="225" customFormat="false" ht="15" hidden="false" customHeight="false" outlineLevel="0" collapsed="false">
      <c r="A225" s="2" t="s">
        <v>1344</v>
      </c>
      <c r="B225" s="2" t="s">
        <v>1340</v>
      </c>
      <c r="C225" s="10" t="n">
        <v>45701</v>
      </c>
      <c r="D225" s="2" t="n">
        <f aca="false">MONTH(C225)</f>
        <v>2</v>
      </c>
      <c r="E225" s="2" t="s">
        <v>77</v>
      </c>
      <c r="F225" s="2" t="s">
        <v>64</v>
      </c>
      <c r="G225" s="2" t="s">
        <v>70</v>
      </c>
      <c r="H225" s="2" t="s">
        <v>97</v>
      </c>
      <c r="I225" s="2" t="n">
        <v>1</v>
      </c>
      <c r="J225" s="11" t="n">
        <v>3000</v>
      </c>
      <c r="K225" s="12" t="n">
        <v>0</v>
      </c>
      <c r="L225" s="11" t="n">
        <v>2000</v>
      </c>
      <c r="M225" s="11" t="n">
        <f aca="false">I225*J225*(1-K225)</f>
        <v>3000</v>
      </c>
      <c r="N225" s="11" t="n">
        <f aca="false">M225-I225*L225</f>
        <v>1000</v>
      </c>
    </row>
    <row r="226" customFormat="false" ht="15" hidden="false" customHeight="false" outlineLevel="0" collapsed="false">
      <c r="A226" s="2" t="s">
        <v>1860</v>
      </c>
      <c r="B226" s="2" t="s">
        <v>1861</v>
      </c>
      <c r="C226" s="10" t="n">
        <v>45701</v>
      </c>
      <c r="D226" s="2" t="n">
        <f aca="false">MONTH(C226)</f>
        <v>2</v>
      </c>
      <c r="E226" s="2" t="s">
        <v>81</v>
      </c>
      <c r="F226" s="2" t="s">
        <v>92</v>
      </c>
      <c r="G226" s="2" t="s">
        <v>73</v>
      </c>
      <c r="H226" s="2" t="s">
        <v>85</v>
      </c>
      <c r="I226" s="2" t="n">
        <v>2</v>
      </c>
      <c r="J226" s="11" t="n">
        <v>1200</v>
      </c>
      <c r="K226" s="12" t="n">
        <v>0</v>
      </c>
      <c r="L226" s="11" t="n">
        <v>600</v>
      </c>
      <c r="M226" s="11" t="n">
        <f aca="false">I226*J226*(1-K226)</f>
        <v>2400</v>
      </c>
      <c r="N226" s="11" t="n">
        <f aca="false">M226-I226*L226</f>
        <v>1200</v>
      </c>
    </row>
    <row r="227" customFormat="false" ht="15" hidden="false" customHeight="false" outlineLevel="0" collapsed="false">
      <c r="A227" s="2" t="s">
        <v>2129</v>
      </c>
      <c r="B227" s="2" t="s">
        <v>2128</v>
      </c>
      <c r="C227" s="10" t="n">
        <v>45701</v>
      </c>
      <c r="D227" s="2" t="n">
        <f aca="false">MONTH(C227)</f>
        <v>2</v>
      </c>
      <c r="E227" s="2" t="s">
        <v>63</v>
      </c>
      <c r="F227" s="2" t="s">
        <v>64</v>
      </c>
      <c r="G227" s="2" t="s">
        <v>70</v>
      </c>
      <c r="H227" s="2" t="s">
        <v>122</v>
      </c>
      <c r="I227" s="2" t="n">
        <v>1</v>
      </c>
      <c r="J227" s="11" t="n">
        <v>1500</v>
      </c>
      <c r="K227" s="12" t="n">
        <v>0</v>
      </c>
      <c r="L227" s="11" t="n">
        <v>900</v>
      </c>
      <c r="M227" s="11" t="n">
        <f aca="false">I227*J227*(1-K227)</f>
        <v>1500</v>
      </c>
      <c r="N227" s="11" t="n">
        <f aca="false">M227-I227*L227</f>
        <v>600</v>
      </c>
    </row>
    <row r="228" customFormat="false" ht="15" hidden="false" customHeight="false" outlineLevel="0" collapsed="false">
      <c r="A228" s="2" t="s">
        <v>2298</v>
      </c>
      <c r="B228" s="2" t="s">
        <v>2299</v>
      </c>
      <c r="C228" s="10" t="n">
        <v>45701</v>
      </c>
      <c r="D228" s="2" t="n">
        <f aca="false">MONTH(C228)</f>
        <v>2</v>
      </c>
      <c r="E228" s="2" t="s">
        <v>63</v>
      </c>
      <c r="F228" s="2" t="s">
        <v>64</v>
      </c>
      <c r="G228" s="2" t="s">
        <v>70</v>
      </c>
      <c r="H228" s="2" t="s">
        <v>126</v>
      </c>
      <c r="I228" s="2" t="n">
        <v>1</v>
      </c>
      <c r="J228" s="11" t="n">
        <v>4500</v>
      </c>
      <c r="K228" s="12" t="n">
        <v>0</v>
      </c>
      <c r="L228" s="11" t="n">
        <v>3300</v>
      </c>
      <c r="M228" s="11" t="n">
        <f aca="false">I228*J228*(1-K228)</f>
        <v>4500</v>
      </c>
      <c r="N228" s="11" t="n">
        <f aca="false">M228-I228*L228</f>
        <v>1200</v>
      </c>
    </row>
    <row r="229" customFormat="false" ht="15" hidden="false" customHeight="false" outlineLevel="0" collapsed="false">
      <c r="A229" s="2" t="s">
        <v>2685</v>
      </c>
      <c r="B229" s="2" t="s">
        <v>2686</v>
      </c>
      <c r="C229" s="10" t="n">
        <v>45701</v>
      </c>
      <c r="D229" s="2" t="n">
        <f aca="false">MONTH(C229)</f>
        <v>2</v>
      </c>
      <c r="E229" s="2" t="s">
        <v>77</v>
      </c>
      <c r="F229" s="2" t="s">
        <v>64</v>
      </c>
      <c r="G229" s="2" t="s">
        <v>70</v>
      </c>
      <c r="H229" s="2" t="s">
        <v>126</v>
      </c>
      <c r="I229" s="2" t="n">
        <v>3</v>
      </c>
      <c r="J229" s="11" t="n">
        <v>4500</v>
      </c>
      <c r="K229" s="12" t="n">
        <v>0</v>
      </c>
      <c r="L229" s="11" t="n">
        <v>3300</v>
      </c>
      <c r="M229" s="11" t="n">
        <f aca="false">I229*J229*(1-K229)</f>
        <v>13500</v>
      </c>
      <c r="N229" s="11" t="n">
        <f aca="false">M229-I229*L229</f>
        <v>3600</v>
      </c>
    </row>
    <row r="230" customFormat="false" ht="15" hidden="false" customHeight="false" outlineLevel="0" collapsed="false">
      <c r="A230" s="2" t="s">
        <v>2885</v>
      </c>
      <c r="B230" s="2" t="s">
        <v>2884</v>
      </c>
      <c r="C230" s="10" t="n">
        <v>45701</v>
      </c>
      <c r="D230" s="2" t="n">
        <f aca="false">MONTH(C230)</f>
        <v>2</v>
      </c>
      <c r="E230" s="2" t="s">
        <v>91</v>
      </c>
      <c r="F230" s="2" t="s">
        <v>92</v>
      </c>
      <c r="G230" s="2" t="s">
        <v>70</v>
      </c>
      <c r="H230" s="2" t="s">
        <v>126</v>
      </c>
      <c r="I230" s="2" t="n">
        <v>8</v>
      </c>
      <c r="J230" s="11" t="n">
        <v>4500</v>
      </c>
      <c r="K230" s="12" t="n">
        <v>0</v>
      </c>
      <c r="L230" s="11" t="n">
        <v>3300</v>
      </c>
      <c r="M230" s="11" t="n">
        <f aca="false">I230*J230*(1-K230)</f>
        <v>36000</v>
      </c>
      <c r="N230" s="11" t="n">
        <f aca="false">M230-I230*L230</f>
        <v>9600</v>
      </c>
    </row>
    <row r="231" customFormat="false" ht="15" hidden="false" customHeight="false" outlineLevel="0" collapsed="false">
      <c r="A231" s="2" t="s">
        <v>160</v>
      </c>
      <c r="B231" s="2" t="s">
        <v>161</v>
      </c>
      <c r="C231" s="10" t="n">
        <v>45702</v>
      </c>
      <c r="D231" s="2" t="n">
        <f aca="false">MONTH(C231)</f>
        <v>2</v>
      </c>
      <c r="E231" s="2" t="s">
        <v>63</v>
      </c>
      <c r="F231" s="2" t="s">
        <v>64</v>
      </c>
      <c r="G231" s="2" t="s">
        <v>70</v>
      </c>
      <c r="H231" s="2" t="s">
        <v>126</v>
      </c>
      <c r="I231" s="2" t="n">
        <v>3</v>
      </c>
      <c r="J231" s="11" t="n">
        <v>4500</v>
      </c>
      <c r="K231" s="12" t="n">
        <v>0.1</v>
      </c>
      <c r="L231" s="11" t="n">
        <v>3300</v>
      </c>
      <c r="M231" s="11" t="n">
        <f aca="false">I231*J231*(1-K231)</f>
        <v>12150</v>
      </c>
      <c r="N231" s="11" t="n">
        <f aca="false">M231-I231*L231</f>
        <v>2250</v>
      </c>
    </row>
    <row r="232" customFormat="false" ht="15" hidden="false" customHeight="false" outlineLevel="0" collapsed="false">
      <c r="A232" s="2" t="s">
        <v>1518</v>
      </c>
      <c r="B232" s="2" t="s">
        <v>1516</v>
      </c>
      <c r="C232" s="10" t="n">
        <v>45702</v>
      </c>
      <c r="D232" s="2" t="n">
        <f aca="false">MONTH(C232)</f>
        <v>2</v>
      </c>
      <c r="E232" s="2" t="s">
        <v>81</v>
      </c>
      <c r="F232" s="2" t="s">
        <v>64</v>
      </c>
      <c r="G232" s="2" t="s">
        <v>65</v>
      </c>
      <c r="H232" s="2" t="s">
        <v>78</v>
      </c>
      <c r="I232" s="2" t="n">
        <v>6</v>
      </c>
      <c r="J232" s="11" t="n">
        <v>400</v>
      </c>
      <c r="K232" s="12" t="n">
        <v>0.05</v>
      </c>
      <c r="L232" s="11" t="n">
        <v>200</v>
      </c>
      <c r="M232" s="11" t="n">
        <f aca="false">I232*J232*(1-K232)</f>
        <v>2280</v>
      </c>
      <c r="N232" s="11" t="n">
        <f aca="false">M232-I232*L232</f>
        <v>1080</v>
      </c>
    </row>
    <row r="233" customFormat="false" ht="15" hidden="false" customHeight="false" outlineLevel="0" collapsed="false">
      <c r="A233" s="2" t="s">
        <v>1673</v>
      </c>
      <c r="B233" s="2" t="s">
        <v>1664</v>
      </c>
      <c r="C233" s="10" t="n">
        <v>45702</v>
      </c>
      <c r="D233" s="2" t="n">
        <f aca="false">MONTH(C233)</f>
        <v>2</v>
      </c>
      <c r="E233" s="2" t="s">
        <v>81</v>
      </c>
      <c r="F233" s="2" t="s">
        <v>92</v>
      </c>
      <c r="G233" s="2" t="s">
        <v>70</v>
      </c>
      <c r="H233" s="2" t="s">
        <v>97</v>
      </c>
      <c r="I233" s="2" t="n">
        <v>7</v>
      </c>
      <c r="J233" s="11" t="n">
        <v>3000</v>
      </c>
      <c r="K233" s="12" t="n">
        <v>0.05</v>
      </c>
      <c r="L233" s="11" t="n">
        <v>2000</v>
      </c>
      <c r="M233" s="11" t="n">
        <f aca="false">I233*J233*(1-K233)</f>
        <v>19950</v>
      </c>
      <c r="N233" s="11" t="n">
        <f aca="false">M233-I233*L233</f>
        <v>5950</v>
      </c>
    </row>
    <row r="234" customFormat="false" ht="15" hidden="false" customHeight="false" outlineLevel="0" collapsed="false">
      <c r="A234" s="2" t="s">
        <v>2352</v>
      </c>
      <c r="B234" s="2" t="s">
        <v>2350</v>
      </c>
      <c r="C234" s="10" t="n">
        <v>45702</v>
      </c>
      <c r="D234" s="2" t="n">
        <f aca="false">MONTH(C234)</f>
        <v>2</v>
      </c>
      <c r="E234" s="2" t="s">
        <v>3019</v>
      </c>
      <c r="F234" s="2" t="s">
        <v>69</v>
      </c>
      <c r="G234" s="2" t="s">
        <v>70</v>
      </c>
      <c r="H234" s="2" t="s">
        <v>97</v>
      </c>
      <c r="I234" s="2" t="n">
        <v>3</v>
      </c>
      <c r="J234" s="11" t="n">
        <v>3000</v>
      </c>
      <c r="K234" s="12" t="n">
        <v>0</v>
      </c>
      <c r="L234" s="11" t="n">
        <v>2000</v>
      </c>
      <c r="M234" s="11" t="n">
        <f aca="false">I234*J234*(1-K234)</f>
        <v>9000</v>
      </c>
      <c r="N234" s="11" t="n">
        <f aca="false">M234-I234*L234</f>
        <v>3000</v>
      </c>
    </row>
    <row r="235" customFormat="false" ht="15" hidden="false" customHeight="false" outlineLevel="0" collapsed="false">
      <c r="A235" s="2" t="s">
        <v>2531</v>
      </c>
      <c r="B235" s="2" t="s">
        <v>2528</v>
      </c>
      <c r="C235" s="10" t="n">
        <v>45702</v>
      </c>
      <c r="D235" s="2" t="n">
        <f aca="false">MONTH(C235)</f>
        <v>2</v>
      </c>
      <c r="E235" s="2" t="s">
        <v>63</v>
      </c>
      <c r="F235" s="2" t="s">
        <v>69</v>
      </c>
      <c r="G235" s="2" t="s">
        <v>65</v>
      </c>
      <c r="H235" s="2" t="s">
        <v>66</v>
      </c>
      <c r="I235" s="2" t="n">
        <v>7</v>
      </c>
      <c r="J235" s="11" t="n">
        <v>600</v>
      </c>
      <c r="K235" s="12" t="n">
        <v>0.05</v>
      </c>
      <c r="L235" s="11" t="n">
        <v>300</v>
      </c>
      <c r="M235" s="11" t="n">
        <f aca="false">I235*J235*(1-K235)</f>
        <v>3990</v>
      </c>
      <c r="N235" s="11" t="n">
        <f aca="false">M235-I235*L235</f>
        <v>1890</v>
      </c>
    </row>
    <row r="236" customFormat="false" ht="15" hidden="false" customHeight="false" outlineLevel="0" collapsed="false">
      <c r="A236" s="2" t="s">
        <v>2742</v>
      </c>
      <c r="B236" s="2" t="s">
        <v>2743</v>
      </c>
      <c r="C236" s="10" t="n">
        <v>45702</v>
      </c>
      <c r="D236" s="2" t="n">
        <f aca="false">MONTH(C236)</f>
        <v>2</v>
      </c>
      <c r="E236" s="2" t="s">
        <v>81</v>
      </c>
      <c r="F236" s="2" t="s">
        <v>64</v>
      </c>
      <c r="G236" s="2" t="s">
        <v>65</v>
      </c>
      <c r="H236" s="2" t="s">
        <v>66</v>
      </c>
      <c r="I236" s="2" t="n">
        <v>6</v>
      </c>
      <c r="J236" s="11" t="n">
        <v>600</v>
      </c>
      <c r="K236" s="12" t="n">
        <v>0.05</v>
      </c>
      <c r="L236" s="11" t="n">
        <v>300</v>
      </c>
      <c r="M236" s="11" t="n">
        <f aca="false">I236*J236*(1-K236)</f>
        <v>3420</v>
      </c>
      <c r="N236" s="11" t="n">
        <f aca="false">M236-I236*L236</f>
        <v>1620</v>
      </c>
    </row>
    <row r="237" customFormat="false" ht="15" hidden="false" customHeight="false" outlineLevel="0" collapsed="false">
      <c r="A237" s="2" t="s">
        <v>174</v>
      </c>
      <c r="B237" s="2" t="s">
        <v>175</v>
      </c>
      <c r="C237" s="10" t="n">
        <v>45703</v>
      </c>
      <c r="D237" s="2" t="n">
        <f aca="false">MONTH(C237)</f>
        <v>2</v>
      </c>
      <c r="E237" s="2" t="s">
        <v>77</v>
      </c>
      <c r="F237" s="2" t="s">
        <v>64</v>
      </c>
      <c r="G237" s="2" t="s">
        <v>73</v>
      </c>
      <c r="H237" s="2" t="s">
        <v>85</v>
      </c>
      <c r="I237" s="2" t="n">
        <v>1</v>
      </c>
      <c r="J237" s="11" t="n">
        <v>1200</v>
      </c>
      <c r="K237" s="12" t="n">
        <v>0.05</v>
      </c>
      <c r="L237" s="11" t="n">
        <v>600</v>
      </c>
      <c r="M237" s="11" t="n">
        <f aca="false">I237*J237*(1-K237)</f>
        <v>1140</v>
      </c>
      <c r="N237" s="11" t="n">
        <f aca="false">M237-I237*L237</f>
        <v>540</v>
      </c>
    </row>
    <row r="238" customFormat="false" ht="15" hidden="false" customHeight="false" outlineLevel="0" collapsed="false">
      <c r="A238" s="2" t="s">
        <v>906</v>
      </c>
      <c r="B238" s="2" t="s">
        <v>904</v>
      </c>
      <c r="C238" s="10" t="n">
        <v>45703</v>
      </c>
      <c r="D238" s="2" t="n">
        <f aca="false">MONTH(C238)</f>
        <v>2</v>
      </c>
      <c r="E238" s="2" t="s">
        <v>77</v>
      </c>
      <c r="F238" s="2" t="s">
        <v>64</v>
      </c>
      <c r="G238" s="2" t="s">
        <v>73</v>
      </c>
      <c r="H238" s="2" t="s">
        <v>104</v>
      </c>
      <c r="I238" s="2" t="n">
        <v>3</v>
      </c>
      <c r="J238" s="11" t="n">
        <v>5500</v>
      </c>
      <c r="K238" s="12" t="n">
        <v>0.1</v>
      </c>
      <c r="L238" s="11" t="n">
        <v>3600</v>
      </c>
      <c r="M238" s="11" t="n">
        <f aca="false">I238*J238*(1-K238)</f>
        <v>14850</v>
      </c>
      <c r="N238" s="11" t="n">
        <f aca="false">M238-I238*L238</f>
        <v>4050</v>
      </c>
    </row>
    <row r="239" customFormat="false" ht="15" hidden="false" customHeight="false" outlineLevel="0" collapsed="false">
      <c r="A239" s="2" t="s">
        <v>1588</v>
      </c>
      <c r="B239" s="2" t="s">
        <v>1586</v>
      </c>
      <c r="C239" s="10" t="n">
        <v>45703</v>
      </c>
      <c r="D239" s="2" t="n">
        <f aca="false">MONTH(C239)</f>
        <v>2</v>
      </c>
      <c r="E239" s="2" t="s">
        <v>77</v>
      </c>
      <c r="F239" s="2" t="s">
        <v>64</v>
      </c>
      <c r="G239" s="2" t="s">
        <v>73</v>
      </c>
      <c r="H239" s="2" t="s">
        <v>85</v>
      </c>
      <c r="I239" s="2" t="n">
        <v>2</v>
      </c>
      <c r="J239" s="11" t="n">
        <v>1200</v>
      </c>
      <c r="K239" s="12" t="n">
        <v>0</v>
      </c>
      <c r="L239" s="11" t="n">
        <v>600</v>
      </c>
      <c r="M239" s="11" t="n">
        <f aca="false">I239*J239*(1-K239)</f>
        <v>2400</v>
      </c>
      <c r="N239" s="11" t="n">
        <f aca="false">M239-I239*L239</f>
        <v>1200</v>
      </c>
    </row>
    <row r="240" customFormat="false" ht="15" hidden="false" customHeight="false" outlineLevel="0" collapsed="false">
      <c r="A240" s="2" t="s">
        <v>1845</v>
      </c>
      <c r="B240" s="2" t="s">
        <v>1843</v>
      </c>
      <c r="C240" s="10" t="n">
        <v>45703</v>
      </c>
      <c r="D240" s="2" t="n">
        <f aca="false">MONTH(C240)</f>
        <v>2</v>
      </c>
      <c r="E240" s="2" t="s">
        <v>63</v>
      </c>
      <c r="F240" s="2" t="s">
        <v>64</v>
      </c>
      <c r="G240" s="2" t="s">
        <v>73</v>
      </c>
      <c r="H240" s="2" t="s">
        <v>74</v>
      </c>
      <c r="I240" s="2" t="n">
        <v>3</v>
      </c>
      <c r="J240" s="11" t="n">
        <v>7000</v>
      </c>
      <c r="K240" s="12" t="n">
        <v>0.05</v>
      </c>
      <c r="L240" s="11" t="n">
        <v>4800</v>
      </c>
      <c r="M240" s="11" t="n">
        <f aca="false">I240*J240*(1-K240)</f>
        <v>19950</v>
      </c>
      <c r="N240" s="11" t="n">
        <f aca="false">M240-I240*L240</f>
        <v>5550</v>
      </c>
    </row>
    <row r="241" customFormat="false" ht="15" hidden="false" customHeight="false" outlineLevel="0" collapsed="false">
      <c r="A241" s="2" t="s">
        <v>2860</v>
      </c>
      <c r="B241" s="2" t="s">
        <v>2859</v>
      </c>
      <c r="C241" s="10" t="n">
        <v>45703</v>
      </c>
      <c r="D241" s="2" t="n">
        <f aca="false">MONTH(C241)</f>
        <v>2</v>
      </c>
      <c r="E241" s="2" t="s">
        <v>63</v>
      </c>
      <c r="F241" s="2" t="s">
        <v>64</v>
      </c>
      <c r="G241" s="2" t="s">
        <v>65</v>
      </c>
      <c r="H241" s="2" t="s">
        <v>107</v>
      </c>
      <c r="I241" s="2" t="n">
        <v>7</v>
      </c>
      <c r="J241" s="11" t="n">
        <v>500</v>
      </c>
      <c r="K241" s="12" t="n">
        <v>0</v>
      </c>
      <c r="L241" s="11" t="n">
        <v>250</v>
      </c>
      <c r="M241" s="11" t="n">
        <f aca="false">I241*J241*(1-K241)</f>
        <v>3500</v>
      </c>
      <c r="N241" s="11" t="n">
        <f aca="false">M241-I241*L241</f>
        <v>1750</v>
      </c>
    </row>
    <row r="242" customFormat="false" ht="15" hidden="false" customHeight="false" outlineLevel="0" collapsed="false">
      <c r="A242" s="2" t="s">
        <v>144</v>
      </c>
      <c r="B242" s="2" t="s">
        <v>145</v>
      </c>
      <c r="C242" s="10" t="n">
        <v>45704</v>
      </c>
      <c r="D242" s="2" t="n">
        <f aca="false">MONTH(C242)</f>
        <v>2</v>
      </c>
      <c r="E242" s="2" t="s">
        <v>91</v>
      </c>
      <c r="F242" s="2" t="s">
        <v>92</v>
      </c>
      <c r="G242" s="2" t="s">
        <v>65</v>
      </c>
      <c r="H242" s="2" t="s">
        <v>66</v>
      </c>
      <c r="I242" s="2" t="n">
        <v>10</v>
      </c>
      <c r="J242" s="11" t="n">
        <v>600</v>
      </c>
      <c r="K242" s="12" t="n">
        <v>0.1</v>
      </c>
      <c r="L242" s="11" t="n">
        <v>300</v>
      </c>
      <c r="M242" s="11" t="n">
        <f aca="false">I242*J242*(1-K242)</f>
        <v>5400</v>
      </c>
      <c r="N242" s="11" t="n">
        <f aca="false">M242-I242*L242</f>
        <v>2400</v>
      </c>
    </row>
    <row r="243" customFormat="false" ht="15" hidden="false" customHeight="false" outlineLevel="0" collapsed="false">
      <c r="A243" s="2" t="s">
        <v>579</v>
      </c>
      <c r="B243" s="2" t="s">
        <v>570</v>
      </c>
      <c r="C243" s="10" t="n">
        <v>45704</v>
      </c>
      <c r="D243" s="2" t="n">
        <f aca="false">MONTH(C243)</f>
        <v>2</v>
      </c>
      <c r="E243" s="2" t="s">
        <v>63</v>
      </c>
      <c r="F243" s="2" t="s">
        <v>92</v>
      </c>
      <c r="G243" s="2" t="s">
        <v>73</v>
      </c>
      <c r="H243" s="2" t="s">
        <v>104</v>
      </c>
      <c r="I243" s="2" t="n">
        <v>6</v>
      </c>
      <c r="J243" s="11" t="n">
        <v>5500</v>
      </c>
      <c r="K243" s="12" t="n">
        <v>0</v>
      </c>
      <c r="L243" s="11" t="n">
        <v>3600</v>
      </c>
      <c r="M243" s="11" t="n">
        <f aca="false">I243*J243*(1-K243)</f>
        <v>33000</v>
      </c>
      <c r="N243" s="11" t="n">
        <f aca="false">M243-I243*L243</f>
        <v>11400</v>
      </c>
    </row>
    <row r="244" customFormat="false" ht="15" hidden="false" customHeight="false" outlineLevel="0" collapsed="false">
      <c r="A244" s="2" t="s">
        <v>981</v>
      </c>
      <c r="B244" s="2" t="s">
        <v>982</v>
      </c>
      <c r="C244" s="10" t="n">
        <v>45704</v>
      </c>
      <c r="D244" s="2" t="n">
        <f aca="false">MONTH(C244)</f>
        <v>2</v>
      </c>
      <c r="E244" s="2" t="s">
        <v>63</v>
      </c>
      <c r="F244" s="2" t="s">
        <v>64</v>
      </c>
      <c r="G244" s="2" t="s">
        <v>65</v>
      </c>
      <c r="H244" s="2" t="s">
        <v>66</v>
      </c>
      <c r="I244" s="2" t="n">
        <v>3</v>
      </c>
      <c r="J244" s="11" t="n">
        <v>600</v>
      </c>
      <c r="K244" s="12" t="n">
        <v>0.1</v>
      </c>
      <c r="L244" s="11" t="n">
        <v>300</v>
      </c>
      <c r="M244" s="11" t="n">
        <f aca="false">I244*J244*(1-K244)</f>
        <v>1620</v>
      </c>
      <c r="N244" s="11" t="n">
        <f aca="false">M244-I244*L244</f>
        <v>720</v>
      </c>
    </row>
    <row r="245" customFormat="false" ht="15" hidden="false" customHeight="false" outlineLevel="0" collapsed="false">
      <c r="A245" s="2" t="s">
        <v>2351</v>
      </c>
      <c r="B245" s="2" t="s">
        <v>2350</v>
      </c>
      <c r="C245" s="10" t="n">
        <v>45704</v>
      </c>
      <c r="D245" s="2" t="n">
        <f aca="false">MONTH(C245)</f>
        <v>2</v>
      </c>
      <c r="E245" s="2" t="s">
        <v>77</v>
      </c>
      <c r="F245" s="2" t="s">
        <v>69</v>
      </c>
      <c r="G245" s="2" t="s">
        <v>70</v>
      </c>
      <c r="H245" s="2" t="s">
        <v>126</v>
      </c>
      <c r="I245" s="2" t="n">
        <v>4</v>
      </c>
      <c r="J245" s="11" t="n">
        <v>4500</v>
      </c>
      <c r="K245" s="12" t="n">
        <v>0</v>
      </c>
      <c r="L245" s="11" t="n">
        <v>3300</v>
      </c>
      <c r="M245" s="11" t="n">
        <f aca="false">I245*J245*(1-K245)</f>
        <v>18000</v>
      </c>
      <c r="N245" s="11" t="n">
        <f aca="false">M245-I245*L245</f>
        <v>4800</v>
      </c>
    </row>
    <row r="246" customFormat="false" ht="15" hidden="false" customHeight="false" outlineLevel="0" collapsed="false">
      <c r="A246" s="2" t="s">
        <v>2941</v>
      </c>
      <c r="B246" s="2" t="s">
        <v>2934</v>
      </c>
      <c r="C246" s="10" t="n">
        <v>45704</v>
      </c>
      <c r="D246" s="2" t="n">
        <f aca="false">MONTH(C246)</f>
        <v>2</v>
      </c>
      <c r="E246" s="2" t="s">
        <v>63</v>
      </c>
      <c r="F246" s="2" t="s">
        <v>69</v>
      </c>
      <c r="G246" s="2" t="s">
        <v>65</v>
      </c>
      <c r="H246" s="2" t="s">
        <v>66</v>
      </c>
      <c r="I246" s="2" t="n">
        <v>12</v>
      </c>
      <c r="J246" s="11" t="n">
        <v>600</v>
      </c>
      <c r="K246" s="12" t="n">
        <v>0.1</v>
      </c>
      <c r="L246" s="11" t="n">
        <v>300</v>
      </c>
      <c r="M246" s="11" t="n">
        <f aca="false">I246*J246*(1-K246)</f>
        <v>6480</v>
      </c>
      <c r="N246" s="11" t="n">
        <f aca="false">M246-I246*L246</f>
        <v>2880</v>
      </c>
    </row>
    <row r="247" customFormat="false" ht="15" hidden="false" customHeight="false" outlineLevel="0" collapsed="false">
      <c r="A247" s="2" t="s">
        <v>399</v>
      </c>
      <c r="B247" s="2" t="s">
        <v>396</v>
      </c>
      <c r="C247" s="10" t="n">
        <v>45705</v>
      </c>
      <c r="D247" s="2" t="n">
        <f aca="false">MONTH(C247)</f>
        <v>2</v>
      </c>
      <c r="E247" s="2" t="s">
        <v>77</v>
      </c>
      <c r="F247" s="2" t="s">
        <v>64</v>
      </c>
      <c r="G247" s="2" t="s">
        <v>70</v>
      </c>
      <c r="H247" s="2" t="s">
        <v>97</v>
      </c>
      <c r="I247" s="2" t="n">
        <v>1</v>
      </c>
      <c r="J247" s="11" t="n">
        <v>3000</v>
      </c>
      <c r="K247" s="12" t="n">
        <v>0.1</v>
      </c>
      <c r="L247" s="11" t="n">
        <v>2000</v>
      </c>
      <c r="M247" s="11" t="n">
        <f aca="false">I247*J247*(1-K247)</f>
        <v>2700</v>
      </c>
      <c r="N247" s="11" t="n">
        <f aca="false">M247-I247*L247</f>
        <v>700</v>
      </c>
    </row>
    <row r="248" customFormat="false" ht="15" hidden="false" customHeight="false" outlineLevel="0" collapsed="false">
      <c r="A248" s="2" t="s">
        <v>712</v>
      </c>
      <c r="B248" s="2" t="s">
        <v>713</v>
      </c>
      <c r="C248" s="10" t="n">
        <v>45705</v>
      </c>
      <c r="D248" s="2" t="n">
        <f aca="false">MONTH(C248)</f>
        <v>2</v>
      </c>
      <c r="E248" s="2" t="s">
        <v>63</v>
      </c>
      <c r="F248" s="2" t="s">
        <v>64</v>
      </c>
      <c r="G248" s="2" t="s">
        <v>73</v>
      </c>
      <c r="H248" s="2" t="s">
        <v>104</v>
      </c>
      <c r="I248" s="2" t="n">
        <v>2</v>
      </c>
      <c r="J248" s="11" t="n">
        <v>5500</v>
      </c>
      <c r="K248" s="12" t="n">
        <v>0</v>
      </c>
      <c r="L248" s="11" t="n">
        <v>3600</v>
      </c>
      <c r="M248" s="11" t="n">
        <f aca="false">I248*J248*(1-K248)</f>
        <v>11000</v>
      </c>
      <c r="N248" s="11" t="n">
        <f aca="false">M248-I248*L248</f>
        <v>3800</v>
      </c>
    </row>
    <row r="249" customFormat="false" ht="15" hidden="false" customHeight="false" outlineLevel="0" collapsed="false">
      <c r="A249" s="2" t="s">
        <v>1245</v>
      </c>
      <c r="B249" s="2" t="s">
        <v>1243</v>
      </c>
      <c r="C249" s="10" t="n">
        <v>45705</v>
      </c>
      <c r="D249" s="2" t="n">
        <f aca="false">MONTH(C249)</f>
        <v>2</v>
      </c>
      <c r="E249" s="2" t="s">
        <v>77</v>
      </c>
      <c r="F249" s="2" t="s">
        <v>69</v>
      </c>
      <c r="G249" s="2" t="s">
        <v>65</v>
      </c>
      <c r="H249" s="2" t="s">
        <v>78</v>
      </c>
      <c r="I249" s="2" t="n">
        <v>8</v>
      </c>
      <c r="J249" s="11" t="n">
        <v>400</v>
      </c>
      <c r="K249" s="12" t="n">
        <v>0.05</v>
      </c>
      <c r="L249" s="11" t="n">
        <v>200</v>
      </c>
      <c r="M249" s="11" t="n">
        <f aca="false">I249*J249*(1-K249)</f>
        <v>3040</v>
      </c>
      <c r="N249" s="11" t="n">
        <f aca="false">M249-I249*L249</f>
        <v>1440</v>
      </c>
    </row>
    <row r="250" customFormat="false" ht="15" hidden="false" customHeight="false" outlineLevel="0" collapsed="false">
      <c r="A250" s="2" t="s">
        <v>1672</v>
      </c>
      <c r="B250" s="2" t="s">
        <v>1664</v>
      </c>
      <c r="C250" s="10" t="n">
        <v>45705</v>
      </c>
      <c r="D250" s="2" t="n">
        <f aca="false">MONTH(C250)</f>
        <v>2</v>
      </c>
      <c r="E250" s="2" t="s">
        <v>81</v>
      </c>
      <c r="F250" s="2" t="s">
        <v>92</v>
      </c>
      <c r="G250" s="2" t="s">
        <v>70</v>
      </c>
      <c r="H250" s="2" t="s">
        <v>71</v>
      </c>
      <c r="I250" s="2" t="n">
        <v>7</v>
      </c>
      <c r="J250" s="11" t="n">
        <v>2500</v>
      </c>
      <c r="K250" s="12" t="n">
        <v>0.05</v>
      </c>
      <c r="L250" s="11" t="n">
        <v>1600</v>
      </c>
      <c r="M250" s="11" t="n">
        <f aca="false">I250*J250*(1-K250)</f>
        <v>16625</v>
      </c>
      <c r="N250" s="11" t="n">
        <f aca="false">M250-I250*L250</f>
        <v>5425</v>
      </c>
    </row>
    <row r="251" customFormat="false" ht="15" hidden="false" customHeight="false" outlineLevel="0" collapsed="false">
      <c r="A251" s="2" t="s">
        <v>2014</v>
      </c>
      <c r="B251" s="2" t="s">
        <v>2013</v>
      </c>
      <c r="C251" s="10" t="n">
        <v>45705</v>
      </c>
      <c r="D251" s="2" t="n">
        <f aca="false">MONTH(C251)</f>
        <v>2</v>
      </c>
      <c r="E251" s="2" t="s">
        <v>81</v>
      </c>
      <c r="F251" s="2" t="s">
        <v>64</v>
      </c>
      <c r="G251" s="2" t="s">
        <v>70</v>
      </c>
      <c r="H251" s="2" t="s">
        <v>126</v>
      </c>
      <c r="I251" s="2" t="n">
        <v>3</v>
      </c>
      <c r="J251" s="11" t="n">
        <v>4500</v>
      </c>
      <c r="K251" s="12" t="n">
        <v>0</v>
      </c>
      <c r="L251" s="11" t="n">
        <v>3300</v>
      </c>
      <c r="M251" s="11" t="n">
        <f aca="false">I251*J251*(1-K251)</f>
        <v>13500</v>
      </c>
      <c r="N251" s="11" t="n">
        <f aca="false">M251-I251*L251</f>
        <v>3600</v>
      </c>
    </row>
    <row r="252" customFormat="false" ht="15" hidden="false" customHeight="false" outlineLevel="0" collapsed="false">
      <c r="A252" s="2" t="s">
        <v>2737</v>
      </c>
      <c r="B252" s="2" t="s">
        <v>2732</v>
      </c>
      <c r="C252" s="10" t="n">
        <v>45705</v>
      </c>
      <c r="D252" s="2" t="n">
        <f aca="false">MONTH(C252)</f>
        <v>2</v>
      </c>
      <c r="E252" s="2" t="s">
        <v>81</v>
      </c>
      <c r="F252" s="2" t="s">
        <v>64</v>
      </c>
      <c r="G252" s="2" t="s">
        <v>73</v>
      </c>
      <c r="H252" s="2" t="s">
        <v>85</v>
      </c>
      <c r="I252" s="2" t="n">
        <v>3</v>
      </c>
      <c r="J252" s="11" t="n">
        <v>1200</v>
      </c>
      <c r="K252" s="12" t="n">
        <v>0</v>
      </c>
      <c r="L252" s="11" t="n">
        <v>600</v>
      </c>
      <c r="M252" s="11" t="n">
        <f aca="false">I252*J252*(1-K252)</f>
        <v>3600</v>
      </c>
      <c r="N252" s="11" t="n">
        <f aca="false">M252-I252*L252</f>
        <v>1800</v>
      </c>
    </row>
    <row r="253" customFormat="false" ht="15" hidden="false" customHeight="false" outlineLevel="0" collapsed="false">
      <c r="A253" s="2" t="s">
        <v>167</v>
      </c>
      <c r="B253" s="2" t="s">
        <v>166</v>
      </c>
      <c r="C253" s="10" t="n">
        <v>45706</v>
      </c>
      <c r="D253" s="2" t="n">
        <f aca="false">MONTH(C253)</f>
        <v>2</v>
      </c>
      <c r="E253" s="2" t="s">
        <v>63</v>
      </c>
      <c r="F253" s="2" t="s">
        <v>92</v>
      </c>
      <c r="G253" s="2" t="s">
        <v>73</v>
      </c>
      <c r="H253" s="2" t="s">
        <v>87</v>
      </c>
      <c r="I253" s="2" t="n">
        <v>5</v>
      </c>
      <c r="J253" s="11" t="n">
        <v>9000</v>
      </c>
      <c r="K253" s="12" t="n">
        <v>0</v>
      </c>
      <c r="L253" s="11" t="n">
        <v>6200</v>
      </c>
      <c r="M253" s="11" t="n">
        <f aca="false">I253*J253*(1-K253)</f>
        <v>45000</v>
      </c>
      <c r="N253" s="11" t="n">
        <f aca="false">M253-I253*L253</f>
        <v>14000</v>
      </c>
    </row>
    <row r="254" customFormat="false" ht="15" hidden="false" customHeight="false" outlineLevel="0" collapsed="false">
      <c r="A254" s="2" t="s">
        <v>241</v>
      </c>
      <c r="B254" s="2" t="s">
        <v>240</v>
      </c>
      <c r="C254" s="10" t="n">
        <v>45706</v>
      </c>
      <c r="D254" s="2" t="n">
        <f aca="false">MONTH(C254)</f>
        <v>2</v>
      </c>
      <c r="E254" s="2" t="s">
        <v>91</v>
      </c>
      <c r="F254" s="2" t="s">
        <v>64</v>
      </c>
      <c r="G254" s="2" t="s">
        <v>65</v>
      </c>
      <c r="H254" s="2" t="s">
        <v>66</v>
      </c>
      <c r="I254" s="2" t="n">
        <v>5</v>
      </c>
      <c r="J254" s="11" t="n">
        <v>600</v>
      </c>
      <c r="K254" s="12" t="n">
        <v>0</v>
      </c>
      <c r="L254" s="11" t="n">
        <v>300</v>
      </c>
      <c r="M254" s="11" t="n">
        <f aca="false">I254*J254*(1-K254)</f>
        <v>3000</v>
      </c>
      <c r="N254" s="11" t="n">
        <f aca="false">M254-I254*L254</f>
        <v>1500</v>
      </c>
    </row>
    <row r="255" customFormat="false" ht="15" hidden="false" customHeight="false" outlineLevel="0" collapsed="false">
      <c r="A255" s="2" t="s">
        <v>849</v>
      </c>
      <c r="B255" s="2" t="s">
        <v>843</v>
      </c>
      <c r="C255" s="10" t="n">
        <v>45706</v>
      </c>
      <c r="D255" s="2" t="n">
        <f aca="false">MONTH(C255)</f>
        <v>2</v>
      </c>
      <c r="E255" s="2" t="s">
        <v>81</v>
      </c>
      <c r="F255" s="2" t="s">
        <v>92</v>
      </c>
      <c r="G255" s="2" t="s">
        <v>73</v>
      </c>
      <c r="H255" s="2" t="s">
        <v>87</v>
      </c>
      <c r="I255" s="2" t="n">
        <v>4</v>
      </c>
      <c r="J255" s="11" t="n">
        <v>9000</v>
      </c>
      <c r="K255" s="12" t="n">
        <v>0.05</v>
      </c>
      <c r="L255" s="11" t="n">
        <v>6200</v>
      </c>
      <c r="M255" s="11" t="n">
        <f aca="false">I255*J255*(1-K255)</f>
        <v>34200</v>
      </c>
      <c r="N255" s="11" t="n">
        <f aca="false">M255-I255*L255</f>
        <v>9400</v>
      </c>
    </row>
    <row r="256" customFormat="false" ht="15" hidden="false" customHeight="false" outlineLevel="0" collapsed="false">
      <c r="A256" s="2" t="s">
        <v>1081</v>
      </c>
      <c r="B256" s="2" t="s">
        <v>1079</v>
      </c>
      <c r="C256" s="10" t="n">
        <v>45706</v>
      </c>
      <c r="D256" s="2" t="n">
        <f aca="false">MONTH(C256)</f>
        <v>2</v>
      </c>
      <c r="E256" s="2" t="s">
        <v>77</v>
      </c>
      <c r="F256" s="2" t="s">
        <v>64</v>
      </c>
      <c r="G256" s="2" t="s">
        <v>70</v>
      </c>
      <c r="H256" s="2" t="s">
        <v>71</v>
      </c>
      <c r="I256" s="2" t="n">
        <v>2</v>
      </c>
      <c r="J256" s="11" t="n">
        <v>2500</v>
      </c>
      <c r="K256" s="12" t="n">
        <v>0</v>
      </c>
      <c r="L256" s="11" t="n">
        <v>1600</v>
      </c>
      <c r="M256" s="11" t="n">
        <f aca="false">I256*J256*(1-K256)</f>
        <v>5000</v>
      </c>
      <c r="N256" s="11" t="n">
        <f aca="false">M256-I256*L256</f>
        <v>1800</v>
      </c>
    </row>
    <row r="257" customFormat="false" ht="15" hidden="false" customHeight="false" outlineLevel="0" collapsed="false">
      <c r="A257" s="2" t="s">
        <v>1246</v>
      </c>
      <c r="B257" s="2" t="s">
        <v>1247</v>
      </c>
      <c r="C257" s="10" t="n">
        <v>45706</v>
      </c>
      <c r="D257" s="2" t="n">
        <f aca="false">MONTH(C257)</f>
        <v>2</v>
      </c>
      <c r="E257" s="2" t="s">
        <v>63</v>
      </c>
      <c r="F257" s="2" t="s">
        <v>64</v>
      </c>
      <c r="G257" s="2" t="s">
        <v>73</v>
      </c>
      <c r="H257" s="2" t="s">
        <v>85</v>
      </c>
      <c r="I257" s="2" t="n">
        <v>1</v>
      </c>
      <c r="J257" s="11" t="n">
        <v>1200</v>
      </c>
      <c r="K257" s="12" t="n">
        <v>0</v>
      </c>
      <c r="L257" s="11" t="n">
        <v>600</v>
      </c>
      <c r="M257" s="11" t="n">
        <f aca="false">I257*J257*(1-K257)</f>
        <v>1200</v>
      </c>
      <c r="N257" s="11" t="n">
        <f aca="false">M257-I257*L257</f>
        <v>600</v>
      </c>
    </row>
    <row r="258" customFormat="false" ht="15" hidden="false" customHeight="false" outlineLevel="0" collapsed="false">
      <c r="A258" s="2" t="s">
        <v>1660</v>
      </c>
      <c r="B258" s="2" t="s">
        <v>1655</v>
      </c>
      <c r="C258" s="10" t="n">
        <v>45706</v>
      </c>
      <c r="D258" s="2" t="n">
        <f aca="false">MONTH(C258)</f>
        <v>2</v>
      </c>
      <c r="E258" s="2" t="s">
        <v>91</v>
      </c>
      <c r="F258" s="2" t="s">
        <v>64</v>
      </c>
      <c r="G258" s="2" t="s">
        <v>70</v>
      </c>
      <c r="H258" s="2" t="s">
        <v>71</v>
      </c>
      <c r="I258" s="2" t="n">
        <v>3</v>
      </c>
      <c r="J258" s="11" t="n">
        <v>2500</v>
      </c>
      <c r="K258" s="12" t="n">
        <v>0.05</v>
      </c>
      <c r="L258" s="11" t="n">
        <v>1600</v>
      </c>
      <c r="M258" s="11" t="n">
        <f aca="false">I258*J258*(1-K258)</f>
        <v>7125</v>
      </c>
      <c r="N258" s="11" t="n">
        <f aca="false">M258-I258*L258</f>
        <v>2325</v>
      </c>
    </row>
    <row r="259" customFormat="false" ht="15" hidden="false" customHeight="false" outlineLevel="0" collapsed="false">
      <c r="A259" s="2" t="s">
        <v>1818</v>
      </c>
      <c r="B259" s="2" t="s">
        <v>1816</v>
      </c>
      <c r="C259" s="10" t="n">
        <v>45706</v>
      </c>
      <c r="D259" s="2" t="n">
        <f aca="false">MONTH(C259)</f>
        <v>2</v>
      </c>
      <c r="E259" s="2" t="s">
        <v>63</v>
      </c>
      <c r="F259" s="2" t="s">
        <v>64</v>
      </c>
      <c r="G259" s="2" t="s">
        <v>70</v>
      </c>
      <c r="H259" s="2" t="s">
        <v>126</v>
      </c>
      <c r="I259" s="2" t="n">
        <v>3</v>
      </c>
      <c r="J259" s="11" t="n">
        <v>4500</v>
      </c>
      <c r="K259" s="12" t="n">
        <v>0</v>
      </c>
      <c r="L259" s="11" t="n">
        <v>3300</v>
      </c>
      <c r="M259" s="11" t="n">
        <f aca="false">I259*J259*(1-K259)</f>
        <v>13500</v>
      </c>
      <c r="N259" s="11" t="n">
        <f aca="false">M259-I259*L259</f>
        <v>3600</v>
      </c>
    </row>
    <row r="260" customFormat="false" ht="15" hidden="false" customHeight="false" outlineLevel="0" collapsed="false">
      <c r="A260" s="2" t="s">
        <v>2121</v>
      </c>
      <c r="B260" s="2" t="s">
        <v>2118</v>
      </c>
      <c r="C260" s="10" t="n">
        <v>45706</v>
      </c>
      <c r="D260" s="2" t="n">
        <f aca="false">MONTH(C260)</f>
        <v>2</v>
      </c>
      <c r="E260" s="2" t="s">
        <v>91</v>
      </c>
      <c r="F260" s="2" t="s">
        <v>92</v>
      </c>
      <c r="G260" s="2" t="s">
        <v>73</v>
      </c>
      <c r="H260" s="2" t="s">
        <v>104</v>
      </c>
      <c r="I260" s="2" t="n">
        <v>2</v>
      </c>
      <c r="J260" s="11" t="n">
        <v>5500</v>
      </c>
      <c r="K260" s="12" t="n">
        <v>0.1</v>
      </c>
      <c r="L260" s="11" t="n">
        <v>3600</v>
      </c>
      <c r="M260" s="11" t="n">
        <f aca="false">I260*J260*(1-K260)</f>
        <v>9900</v>
      </c>
      <c r="N260" s="11" t="n">
        <f aca="false">M260-I260*L260</f>
        <v>2700</v>
      </c>
    </row>
    <row r="261" customFormat="false" ht="15" hidden="false" customHeight="false" outlineLevel="0" collapsed="false">
      <c r="A261" s="2" t="s">
        <v>2593</v>
      </c>
      <c r="B261" s="2" t="s">
        <v>2590</v>
      </c>
      <c r="C261" s="10" t="n">
        <v>45706</v>
      </c>
      <c r="D261" s="2" t="n">
        <f aca="false">MONTH(C261)</f>
        <v>2</v>
      </c>
      <c r="E261" s="2" t="s">
        <v>77</v>
      </c>
      <c r="F261" s="2" t="s">
        <v>64</v>
      </c>
      <c r="G261" s="2" t="s">
        <v>65</v>
      </c>
      <c r="H261" s="2" t="s">
        <v>66</v>
      </c>
      <c r="I261" s="2" t="n">
        <v>3</v>
      </c>
      <c r="J261" s="11" t="n">
        <v>600</v>
      </c>
      <c r="K261" s="12" t="n">
        <v>0.05</v>
      </c>
      <c r="L261" s="11" t="n">
        <v>300</v>
      </c>
      <c r="M261" s="11" t="n">
        <f aca="false">I261*J261*(1-K261)</f>
        <v>1710</v>
      </c>
      <c r="N261" s="11" t="n">
        <f aca="false">M261-I261*L261</f>
        <v>810</v>
      </c>
    </row>
    <row r="262" customFormat="false" ht="15" hidden="false" customHeight="false" outlineLevel="0" collapsed="false">
      <c r="A262" s="2" t="s">
        <v>1074</v>
      </c>
      <c r="B262" s="2" t="s">
        <v>1071</v>
      </c>
      <c r="C262" s="10" t="n">
        <v>45707</v>
      </c>
      <c r="D262" s="2" t="n">
        <f aca="false">MONTH(C262)</f>
        <v>2</v>
      </c>
      <c r="E262" s="2" t="s">
        <v>77</v>
      </c>
      <c r="F262" s="2" t="s">
        <v>92</v>
      </c>
      <c r="G262" s="2" t="s">
        <v>70</v>
      </c>
      <c r="H262" s="2" t="s">
        <v>97</v>
      </c>
      <c r="I262" s="2" t="n">
        <v>3</v>
      </c>
      <c r="J262" s="11" t="n">
        <v>3000</v>
      </c>
      <c r="K262" s="12" t="n">
        <v>0</v>
      </c>
      <c r="L262" s="11" t="n">
        <v>2000</v>
      </c>
      <c r="M262" s="11" t="n">
        <f aca="false">I262*J262*(1-K262)</f>
        <v>9000</v>
      </c>
      <c r="N262" s="11" t="n">
        <f aca="false">M262-I262*L262</f>
        <v>3000</v>
      </c>
    </row>
    <row r="263" customFormat="false" ht="15" hidden="false" customHeight="false" outlineLevel="0" collapsed="false">
      <c r="A263" s="2" t="s">
        <v>1452</v>
      </c>
      <c r="B263" s="2" t="s">
        <v>1453</v>
      </c>
      <c r="C263" s="10" t="n">
        <v>45707</v>
      </c>
      <c r="D263" s="2" t="n">
        <f aca="false">MONTH(C263)</f>
        <v>2</v>
      </c>
      <c r="E263" s="2" t="s">
        <v>91</v>
      </c>
      <c r="F263" s="2" t="s">
        <v>92</v>
      </c>
      <c r="G263" s="2" t="s">
        <v>70</v>
      </c>
      <c r="H263" s="2" t="s">
        <v>122</v>
      </c>
      <c r="I263" s="2" t="n">
        <v>2</v>
      </c>
      <c r="J263" s="11" t="n">
        <v>1500</v>
      </c>
      <c r="K263" s="12" t="n">
        <v>0</v>
      </c>
      <c r="L263" s="11" t="n">
        <v>900</v>
      </c>
      <c r="M263" s="11" t="n">
        <f aca="false">I263*J263*(1-K263)</f>
        <v>3000</v>
      </c>
      <c r="N263" s="11" t="n">
        <f aca="false">M263-I263*L263</f>
        <v>1200</v>
      </c>
    </row>
    <row r="264" customFormat="false" ht="15" hidden="false" customHeight="false" outlineLevel="0" collapsed="false">
      <c r="A264" s="2" t="s">
        <v>531</v>
      </c>
      <c r="B264" s="2" t="s">
        <v>530</v>
      </c>
      <c r="C264" s="10" t="n">
        <v>45708</v>
      </c>
      <c r="D264" s="2" t="n">
        <f aca="false">MONTH(C264)</f>
        <v>2</v>
      </c>
      <c r="E264" s="2" t="s">
        <v>77</v>
      </c>
      <c r="F264" s="2" t="s">
        <v>64</v>
      </c>
      <c r="G264" s="2" t="s">
        <v>65</v>
      </c>
      <c r="H264" s="2" t="s">
        <v>66</v>
      </c>
      <c r="I264" s="2" t="n">
        <v>4</v>
      </c>
      <c r="J264" s="11" t="n">
        <v>600</v>
      </c>
      <c r="K264" s="12" t="n">
        <v>0.05</v>
      </c>
      <c r="L264" s="11" t="n">
        <v>300</v>
      </c>
      <c r="M264" s="11" t="n">
        <f aca="false">I264*J264*(1-K264)</f>
        <v>2280</v>
      </c>
      <c r="N264" s="11" t="n">
        <f aca="false">M264-I264*L264</f>
        <v>1080</v>
      </c>
    </row>
    <row r="265" customFormat="false" ht="15" hidden="false" customHeight="false" outlineLevel="0" collapsed="false">
      <c r="A265" s="2" t="s">
        <v>573</v>
      </c>
      <c r="B265" s="2" t="s">
        <v>570</v>
      </c>
      <c r="C265" s="10" t="n">
        <v>45708</v>
      </c>
      <c r="D265" s="2" t="n">
        <f aca="false">MONTH(C265)</f>
        <v>2</v>
      </c>
      <c r="E265" s="2" t="s">
        <v>63</v>
      </c>
      <c r="F265" s="2" t="s">
        <v>92</v>
      </c>
      <c r="G265" s="2" t="s">
        <v>70</v>
      </c>
      <c r="H265" s="2" t="s">
        <v>97</v>
      </c>
      <c r="I265" s="2" t="n">
        <v>8</v>
      </c>
      <c r="J265" s="11" t="n">
        <v>3000</v>
      </c>
      <c r="K265" s="12" t="n">
        <v>0.15</v>
      </c>
      <c r="L265" s="11" t="n">
        <v>2000</v>
      </c>
      <c r="M265" s="11" t="n">
        <f aca="false">I265*J265*(1-K265)</f>
        <v>20400</v>
      </c>
      <c r="N265" s="11" t="n">
        <f aca="false">M265-I265*L265</f>
        <v>4400</v>
      </c>
    </row>
    <row r="266" customFormat="false" ht="15" hidden="false" customHeight="false" outlineLevel="0" collapsed="false">
      <c r="A266" s="2" t="s">
        <v>930</v>
      </c>
      <c r="B266" s="2" t="s">
        <v>931</v>
      </c>
      <c r="C266" s="10" t="n">
        <v>45708</v>
      </c>
      <c r="D266" s="2" t="n">
        <f aca="false">MONTH(C266)</f>
        <v>2</v>
      </c>
      <c r="E266" s="2" t="s">
        <v>63</v>
      </c>
      <c r="F266" s="2" t="s">
        <v>64</v>
      </c>
      <c r="G266" s="2" t="s">
        <v>70</v>
      </c>
      <c r="H266" s="2" t="s">
        <v>97</v>
      </c>
      <c r="I266" s="2" t="n">
        <v>1</v>
      </c>
      <c r="J266" s="11" t="n">
        <v>3000</v>
      </c>
      <c r="K266" s="12" t="n">
        <v>0</v>
      </c>
      <c r="L266" s="11" t="n">
        <v>2000</v>
      </c>
      <c r="M266" s="11" t="n">
        <f aca="false">I266*J266*(1-K266)</f>
        <v>3000</v>
      </c>
      <c r="N266" s="11" t="n">
        <f aca="false">M266-I266*L266</f>
        <v>1000</v>
      </c>
    </row>
    <row r="267" customFormat="false" ht="15" hidden="false" customHeight="false" outlineLevel="0" collapsed="false">
      <c r="A267" s="2" t="s">
        <v>971</v>
      </c>
      <c r="B267" s="2" t="s">
        <v>969</v>
      </c>
      <c r="C267" s="10" t="n">
        <v>45708</v>
      </c>
      <c r="D267" s="2" t="n">
        <f aca="false">MONTH(C267)</f>
        <v>2</v>
      </c>
      <c r="E267" s="2" t="s">
        <v>77</v>
      </c>
      <c r="F267" s="2" t="s">
        <v>64</v>
      </c>
      <c r="G267" s="2" t="s">
        <v>70</v>
      </c>
      <c r="H267" s="2" t="s">
        <v>71</v>
      </c>
      <c r="I267" s="2" t="n">
        <v>1</v>
      </c>
      <c r="J267" s="11" t="n">
        <v>2500</v>
      </c>
      <c r="K267" s="12" t="n">
        <v>0.05</v>
      </c>
      <c r="L267" s="11" t="n">
        <v>1600</v>
      </c>
      <c r="M267" s="11" t="n">
        <f aca="false">I267*J267*(1-K267)</f>
        <v>2375</v>
      </c>
      <c r="N267" s="11" t="n">
        <f aca="false">M267-I267*L267</f>
        <v>775</v>
      </c>
    </row>
    <row r="268" customFormat="false" ht="15" hidden="false" customHeight="false" outlineLevel="0" collapsed="false">
      <c r="A268" s="2" t="s">
        <v>1203</v>
      </c>
      <c r="B268" s="2" t="s">
        <v>1202</v>
      </c>
      <c r="C268" s="10" t="n">
        <v>45708</v>
      </c>
      <c r="D268" s="2" t="n">
        <f aca="false">MONTH(C268)</f>
        <v>2</v>
      </c>
      <c r="E268" s="2" t="s">
        <v>77</v>
      </c>
      <c r="F268" s="2" t="s">
        <v>64</v>
      </c>
      <c r="G268" s="2" t="s">
        <v>70</v>
      </c>
      <c r="H268" s="2" t="s">
        <v>97</v>
      </c>
      <c r="I268" s="2" t="n">
        <v>2</v>
      </c>
      <c r="J268" s="11" t="n">
        <v>3000</v>
      </c>
      <c r="K268" s="12" t="n">
        <v>0</v>
      </c>
      <c r="L268" s="11" t="n">
        <v>2000</v>
      </c>
      <c r="M268" s="11" t="n">
        <f aca="false">I268*J268*(1-K268)</f>
        <v>6000</v>
      </c>
      <c r="N268" s="11" t="n">
        <f aca="false">M268-I268*L268</f>
        <v>2000</v>
      </c>
    </row>
    <row r="269" customFormat="false" ht="15" hidden="false" customHeight="false" outlineLevel="0" collapsed="false">
      <c r="A269" s="2" t="s">
        <v>412</v>
      </c>
      <c r="B269" s="2" t="s">
        <v>413</v>
      </c>
      <c r="C269" s="10" t="n">
        <v>45709</v>
      </c>
      <c r="D269" s="2" t="n">
        <f aca="false">MONTH(C269)</f>
        <v>2</v>
      </c>
      <c r="E269" s="2" t="s">
        <v>77</v>
      </c>
      <c r="F269" s="2" t="s">
        <v>69</v>
      </c>
      <c r="G269" s="2" t="s">
        <v>70</v>
      </c>
      <c r="H269" s="2" t="s">
        <v>71</v>
      </c>
      <c r="I269" s="2" t="n">
        <v>5</v>
      </c>
      <c r="J269" s="11" t="n">
        <v>2500</v>
      </c>
      <c r="K269" s="12" t="n">
        <v>0</v>
      </c>
      <c r="L269" s="11" t="n">
        <v>1600</v>
      </c>
      <c r="M269" s="11" t="n">
        <f aca="false">I269*J269*(1-K269)</f>
        <v>12500</v>
      </c>
      <c r="N269" s="11" t="n">
        <f aca="false">M269-I269*L269</f>
        <v>4500</v>
      </c>
    </row>
    <row r="270" customFormat="false" ht="15" hidden="false" customHeight="false" outlineLevel="0" collapsed="false">
      <c r="A270" s="2" t="s">
        <v>1503</v>
      </c>
      <c r="B270" s="2" t="s">
        <v>1497</v>
      </c>
      <c r="C270" s="10" t="n">
        <v>45709</v>
      </c>
      <c r="D270" s="2" t="n">
        <f aca="false">MONTH(C270)</f>
        <v>2</v>
      </c>
      <c r="E270" s="2" t="s">
        <v>81</v>
      </c>
      <c r="F270" s="2" t="s">
        <v>69</v>
      </c>
      <c r="G270" s="2" t="s">
        <v>65</v>
      </c>
      <c r="H270" s="2" t="s">
        <v>82</v>
      </c>
      <c r="I270" s="2" t="n">
        <v>14</v>
      </c>
      <c r="J270" s="11" t="n">
        <v>250</v>
      </c>
      <c r="K270" s="12" t="n">
        <v>0.1</v>
      </c>
      <c r="L270" s="11" t="n">
        <v>100</v>
      </c>
      <c r="M270" s="11" t="n">
        <f aca="false">I270*J270*(1-K270)</f>
        <v>3150</v>
      </c>
      <c r="N270" s="11" t="n">
        <f aca="false">M270-I270*L270</f>
        <v>1750</v>
      </c>
    </row>
    <row r="271" customFormat="false" ht="15" hidden="false" customHeight="false" outlineLevel="0" collapsed="false">
      <c r="A271" s="2" t="s">
        <v>1810</v>
      </c>
      <c r="B271" s="2" t="s">
        <v>1811</v>
      </c>
      <c r="C271" s="10" t="n">
        <v>45709</v>
      </c>
      <c r="D271" s="2" t="n">
        <f aca="false">MONTH(C271)</f>
        <v>2</v>
      </c>
      <c r="E271" s="2" t="s">
        <v>63</v>
      </c>
      <c r="F271" s="2" t="s">
        <v>64</v>
      </c>
      <c r="G271" s="2" t="s">
        <v>70</v>
      </c>
      <c r="H271" s="2" t="s">
        <v>97</v>
      </c>
      <c r="I271" s="2" t="n">
        <v>3</v>
      </c>
      <c r="J271" s="11" t="n">
        <v>3000</v>
      </c>
      <c r="K271" s="12" t="n">
        <v>0.05</v>
      </c>
      <c r="L271" s="11" t="n">
        <v>2000</v>
      </c>
      <c r="M271" s="11" t="n">
        <f aca="false">I271*J271*(1-K271)</f>
        <v>8550</v>
      </c>
      <c r="N271" s="11" t="n">
        <f aca="false">M271-I271*L271</f>
        <v>2550</v>
      </c>
    </row>
    <row r="272" customFormat="false" ht="15" hidden="false" customHeight="false" outlineLevel="0" collapsed="false">
      <c r="A272" s="2" t="s">
        <v>541</v>
      </c>
      <c r="B272" s="2" t="s">
        <v>542</v>
      </c>
      <c r="C272" s="10" t="n">
        <v>45710</v>
      </c>
      <c r="D272" s="2" t="n">
        <f aca="false">MONTH(C272)</f>
        <v>2</v>
      </c>
      <c r="E272" s="2" t="s">
        <v>77</v>
      </c>
      <c r="F272" s="2" t="s">
        <v>64</v>
      </c>
      <c r="G272" s="2" t="s">
        <v>70</v>
      </c>
      <c r="H272" s="2" t="s">
        <v>126</v>
      </c>
      <c r="I272" s="2" t="n">
        <v>3</v>
      </c>
      <c r="J272" s="11" t="n">
        <v>4500</v>
      </c>
      <c r="K272" s="12" t="n">
        <v>0</v>
      </c>
      <c r="L272" s="11" t="n">
        <v>3300</v>
      </c>
      <c r="M272" s="11" t="n">
        <f aca="false">I272*J272*(1-K272)</f>
        <v>13500</v>
      </c>
      <c r="N272" s="11" t="n">
        <f aca="false">M272-I272*L272</f>
        <v>3600</v>
      </c>
    </row>
    <row r="273" customFormat="false" ht="15" hidden="false" customHeight="false" outlineLevel="0" collapsed="false">
      <c r="A273" s="2" t="s">
        <v>853</v>
      </c>
      <c r="B273" s="2" t="s">
        <v>852</v>
      </c>
      <c r="C273" s="10" t="n">
        <v>45710</v>
      </c>
      <c r="D273" s="2" t="n">
        <f aca="false">MONTH(C273)</f>
        <v>2</v>
      </c>
      <c r="E273" s="2" t="s">
        <v>91</v>
      </c>
      <c r="F273" s="2" t="s">
        <v>69</v>
      </c>
      <c r="G273" s="2" t="s">
        <v>65</v>
      </c>
      <c r="H273" s="2" t="s">
        <v>82</v>
      </c>
      <c r="I273" s="2" t="n">
        <v>14</v>
      </c>
      <c r="J273" s="11" t="n">
        <v>250</v>
      </c>
      <c r="K273" s="12" t="n">
        <v>0</v>
      </c>
      <c r="L273" s="11" t="n">
        <v>100</v>
      </c>
      <c r="M273" s="11" t="n">
        <f aca="false">I273*J273*(1-K273)</f>
        <v>3500</v>
      </c>
      <c r="N273" s="11" t="n">
        <f aca="false">M273-I273*L273</f>
        <v>2100</v>
      </c>
    </row>
    <row r="274" customFormat="false" ht="15" hidden="false" customHeight="false" outlineLevel="0" collapsed="false">
      <c r="A274" s="2" t="s">
        <v>945</v>
      </c>
      <c r="B274" s="2" t="s">
        <v>943</v>
      </c>
      <c r="C274" s="10" t="n">
        <v>45710</v>
      </c>
      <c r="D274" s="2" t="n">
        <f aca="false">MONTH(C274)</f>
        <v>2</v>
      </c>
      <c r="E274" s="2" t="s">
        <v>81</v>
      </c>
      <c r="F274" s="2" t="s">
        <v>69</v>
      </c>
      <c r="G274" s="2" t="s">
        <v>65</v>
      </c>
      <c r="H274" s="2" t="s">
        <v>66</v>
      </c>
      <c r="I274" s="2" t="n">
        <v>12</v>
      </c>
      <c r="J274" s="11" t="n">
        <v>600</v>
      </c>
      <c r="K274" s="12" t="n">
        <v>0</v>
      </c>
      <c r="L274" s="11" t="n">
        <v>300</v>
      </c>
      <c r="M274" s="11" t="n">
        <f aca="false">I274*J274*(1-K274)</f>
        <v>7200</v>
      </c>
      <c r="N274" s="11" t="n">
        <f aca="false">M274-I274*L274</f>
        <v>3600</v>
      </c>
    </row>
    <row r="275" customFormat="false" ht="15" hidden="false" customHeight="false" outlineLevel="0" collapsed="false">
      <c r="A275" s="2" t="s">
        <v>1965</v>
      </c>
      <c r="B275" s="2" t="s">
        <v>1966</v>
      </c>
      <c r="C275" s="10" t="n">
        <v>45710</v>
      </c>
      <c r="D275" s="2" t="n">
        <f aca="false">MONTH(C275)</f>
        <v>2</v>
      </c>
      <c r="E275" s="2" t="s">
        <v>91</v>
      </c>
      <c r="F275" s="2" t="s">
        <v>64</v>
      </c>
      <c r="G275" s="2" t="s">
        <v>73</v>
      </c>
      <c r="H275" s="2" t="s">
        <v>104</v>
      </c>
      <c r="I275" s="2" t="n">
        <v>1</v>
      </c>
      <c r="J275" s="11" t="n">
        <v>5500</v>
      </c>
      <c r="K275" s="12" t="n">
        <v>0.05</v>
      </c>
      <c r="L275" s="11" t="n">
        <v>3600</v>
      </c>
      <c r="M275" s="11" t="n">
        <f aca="false">I275*J275*(1-K275)</f>
        <v>5225</v>
      </c>
      <c r="N275" s="11" t="n">
        <f aca="false">M275-I275*L275</f>
        <v>1625</v>
      </c>
    </row>
    <row r="276" customFormat="false" ht="15" hidden="false" customHeight="false" outlineLevel="0" collapsed="false">
      <c r="A276" s="2" t="s">
        <v>2241</v>
      </c>
      <c r="B276" s="2" t="s">
        <v>2237</v>
      </c>
      <c r="C276" s="10" t="n">
        <v>45710</v>
      </c>
      <c r="D276" s="2" t="n">
        <f aca="false">MONTH(C276)</f>
        <v>2</v>
      </c>
      <c r="E276" s="2" t="s">
        <v>77</v>
      </c>
      <c r="F276" s="2" t="s">
        <v>64</v>
      </c>
      <c r="G276" s="2" t="s">
        <v>70</v>
      </c>
      <c r="H276" s="2" t="s">
        <v>122</v>
      </c>
      <c r="I276" s="2" t="n">
        <v>3</v>
      </c>
      <c r="J276" s="11" t="n">
        <v>1500</v>
      </c>
      <c r="K276" s="12" t="n">
        <v>0.05</v>
      </c>
      <c r="L276" s="11" t="n">
        <v>900</v>
      </c>
      <c r="M276" s="11" t="n">
        <f aca="false">I276*J276*(1-K276)</f>
        <v>4275</v>
      </c>
      <c r="N276" s="11" t="n">
        <f aca="false">M276-I276*L276</f>
        <v>1575</v>
      </c>
    </row>
    <row r="277" customFormat="false" ht="15" hidden="false" customHeight="false" outlineLevel="0" collapsed="false">
      <c r="A277" s="2" t="s">
        <v>339</v>
      </c>
      <c r="B277" s="2" t="s">
        <v>335</v>
      </c>
      <c r="C277" s="10" t="n">
        <v>45711</v>
      </c>
      <c r="D277" s="2" t="n">
        <f aca="false">MONTH(C277)</f>
        <v>2</v>
      </c>
      <c r="E277" s="2" t="s">
        <v>81</v>
      </c>
      <c r="F277" s="2" t="s">
        <v>92</v>
      </c>
      <c r="G277" s="2" t="s">
        <v>70</v>
      </c>
      <c r="H277" s="2" t="s">
        <v>71</v>
      </c>
      <c r="I277" s="2" t="n">
        <v>5</v>
      </c>
      <c r="J277" s="11" t="n">
        <v>2500</v>
      </c>
      <c r="K277" s="12" t="n">
        <v>0.15</v>
      </c>
      <c r="L277" s="11" t="n">
        <v>1600</v>
      </c>
      <c r="M277" s="11" t="n">
        <f aca="false">I277*J277*(1-K277)</f>
        <v>10625</v>
      </c>
      <c r="N277" s="11" t="n">
        <f aca="false">M277-I277*L277</f>
        <v>2625</v>
      </c>
    </row>
    <row r="278" customFormat="false" ht="15" hidden="false" customHeight="false" outlineLevel="0" collapsed="false">
      <c r="A278" s="2" t="s">
        <v>405</v>
      </c>
      <c r="B278" s="2" t="s">
        <v>406</v>
      </c>
      <c r="C278" s="10" t="n">
        <v>45711</v>
      </c>
      <c r="D278" s="2" t="n">
        <f aca="false">MONTH(C278)</f>
        <v>2</v>
      </c>
      <c r="E278" s="2" t="s">
        <v>63</v>
      </c>
      <c r="F278" s="2" t="s">
        <v>64</v>
      </c>
      <c r="G278" s="2" t="s">
        <v>73</v>
      </c>
      <c r="H278" s="2" t="s">
        <v>104</v>
      </c>
      <c r="I278" s="2" t="n">
        <v>2</v>
      </c>
      <c r="J278" s="11" t="n">
        <v>5500</v>
      </c>
      <c r="K278" s="12" t="n">
        <v>0.1</v>
      </c>
      <c r="L278" s="11" t="n">
        <v>3600</v>
      </c>
      <c r="M278" s="11" t="n">
        <f aca="false">I278*J278*(1-K278)</f>
        <v>9900</v>
      </c>
      <c r="N278" s="11" t="n">
        <f aca="false">M278-I278*L278</f>
        <v>2700</v>
      </c>
    </row>
    <row r="279" customFormat="false" ht="15" hidden="false" customHeight="false" outlineLevel="0" collapsed="false">
      <c r="A279" s="2" t="s">
        <v>467</v>
      </c>
      <c r="B279" s="2" t="s">
        <v>466</v>
      </c>
      <c r="C279" s="10" t="n">
        <v>45711</v>
      </c>
      <c r="D279" s="2" t="n">
        <f aca="false">MONTH(C279)</f>
        <v>2</v>
      </c>
      <c r="E279" s="2" t="s">
        <v>63</v>
      </c>
      <c r="F279" s="2" t="s">
        <v>64</v>
      </c>
      <c r="G279" s="2" t="s">
        <v>65</v>
      </c>
      <c r="H279" s="2" t="s">
        <v>107</v>
      </c>
      <c r="I279" s="2" t="n">
        <v>6</v>
      </c>
      <c r="J279" s="11" t="n">
        <v>500</v>
      </c>
      <c r="K279" s="12" t="n">
        <v>0.05</v>
      </c>
      <c r="L279" s="11" t="n">
        <v>250</v>
      </c>
      <c r="M279" s="11" t="n">
        <f aca="false">I279*J279*(1-K279)</f>
        <v>2850</v>
      </c>
      <c r="N279" s="11" t="n">
        <f aca="false">M279-I279*L279</f>
        <v>1350</v>
      </c>
    </row>
    <row r="280" customFormat="false" ht="15" hidden="false" customHeight="false" outlineLevel="0" collapsed="false">
      <c r="A280" s="2" t="s">
        <v>707</v>
      </c>
      <c r="B280" s="2" t="s">
        <v>706</v>
      </c>
      <c r="C280" s="10" t="n">
        <v>45711</v>
      </c>
      <c r="D280" s="2" t="n">
        <f aca="false">MONTH(C280)</f>
        <v>2</v>
      </c>
      <c r="E280" s="2" t="s">
        <v>63</v>
      </c>
      <c r="F280" s="2" t="s">
        <v>69</v>
      </c>
      <c r="G280" s="2" t="s">
        <v>73</v>
      </c>
      <c r="H280" s="2" t="s">
        <v>85</v>
      </c>
      <c r="I280" s="2" t="n">
        <v>1</v>
      </c>
      <c r="J280" s="11" t="n">
        <v>1200</v>
      </c>
      <c r="K280" s="12" t="n">
        <v>0.05</v>
      </c>
      <c r="L280" s="11" t="n">
        <v>600</v>
      </c>
      <c r="M280" s="11" t="n">
        <f aca="false">I280*J280*(1-K280)</f>
        <v>1140</v>
      </c>
      <c r="N280" s="11" t="n">
        <f aca="false">M280-I280*L280</f>
        <v>540</v>
      </c>
    </row>
    <row r="281" customFormat="false" ht="15" hidden="false" customHeight="false" outlineLevel="0" collapsed="false">
      <c r="A281" s="2" t="s">
        <v>2302</v>
      </c>
      <c r="B281" s="2" t="s">
        <v>2303</v>
      </c>
      <c r="C281" s="10" t="n">
        <v>45711</v>
      </c>
      <c r="D281" s="2" t="n">
        <f aca="false">MONTH(C281)</f>
        <v>2</v>
      </c>
      <c r="E281" s="2" t="s">
        <v>81</v>
      </c>
      <c r="F281" s="2" t="s">
        <v>64</v>
      </c>
      <c r="G281" s="2" t="s">
        <v>73</v>
      </c>
      <c r="H281" s="2" t="s">
        <v>87</v>
      </c>
      <c r="I281" s="2" t="n">
        <v>2</v>
      </c>
      <c r="J281" s="11" t="n">
        <v>9000</v>
      </c>
      <c r="K281" s="12" t="n">
        <v>0.05</v>
      </c>
      <c r="L281" s="11" t="n">
        <v>6200</v>
      </c>
      <c r="M281" s="11" t="n">
        <f aca="false">I281*J281*(1-K281)</f>
        <v>17100</v>
      </c>
      <c r="N281" s="11" t="n">
        <f aca="false">M281-I281*L281</f>
        <v>4700</v>
      </c>
    </row>
    <row r="282" customFormat="false" ht="15" hidden="false" customHeight="false" outlineLevel="0" collapsed="false">
      <c r="A282" s="2" t="s">
        <v>2488</v>
      </c>
      <c r="B282" s="2" t="s">
        <v>2486</v>
      </c>
      <c r="C282" s="10" t="n">
        <v>45711</v>
      </c>
      <c r="D282" s="2" t="n">
        <f aca="false">MONTH(C282)</f>
        <v>2</v>
      </c>
      <c r="E282" s="2" t="s">
        <v>63</v>
      </c>
      <c r="F282" s="2" t="s">
        <v>64</v>
      </c>
      <c r="G282" s="2" t="s">
        <v>65</v>
      </c>
      <c r="H282" s="2" t="s">
        <v>78</v>
      </c>
      <c r="I282" s="2" t="n">
        <v>4</v>
      </c>
      <c r="J282" s="11" t="n">
        <v>400</v>
      </c>
      <c r="K282" s="12" t="n">
        <v>0.1</v>
      </c>
      <c r="L282" s="11" t="n">
        <v>200</v>
      </c>
      <c r="M282" s="11" t="n">
        <f aca="false">I282*J282*(1-K282)</f>
        <v>1440</v>
      </c>
      <c r="N282" s="11" t="n">
        <f aca="false">M282-I282*L282</f>
        <v>640</v>
      </c>
    </row>
    <row r="283" customFormat="false" ht="15" hidden="false" customHeight="false" outlineLevel="0" collapsed="false">
      <c r="A283" s="2" t="s">
        <v>2239</v>
      </c>
      <c r="B283" s="2" t="s">
        <v>2237</v>
      </c>
      <c r="C283" s="10" t="n">
        <v>45712</v>
      </c>
      <c r="D283" s="2" t="n">
        <f aca="false">MONTH(C283)</f>
        <v>2</v>
      </c>
      <c r="E283" s="2" t="s">
        <v>77</v>
      </c>
      <c r="F283" s="2" t="s">
        <v>64</v>
      </c>
      <c r="G283" s="2" t="s">
        <v>73</v>
      </c>
      <c r="H283" s="2" t="s">
        <v>104</v>
      </c>
      <c r="I283" s="2" t="n">
        <v>2</v>
      </c>
      <c r="J283" s="11" t="n">
        <v>5500</v>
      </c>
      <c r="K283" s="12" t="n">
        <v>0</v>
      </c>
      <c r="L283" s="11" t="n">
        <v>3600</v>
      </c>
      <c r="M283" s="11" t="n">
        <f aca="false">I283*J283*(1-K283)</f>
        <v>11000</v>
      </c>
      <c r="N283" s="11" t="n">
        <f aca="false">M283-I283*L283</f>
        <v>3800</v>
      </c>
    </row>
    <row r="284" customFormat="false" ht="15" hidden="false" customHeight="false" outlineLevel="0" collapsed="false">
      <c r="A284" s="2" t="s">
        <v>342</v>
      </c>
      <c r="B284" s="2" t="s">
        <v>341</v>
      </c>
      <c r="C284" s="10" t="n">
        <v>45713</v>
      </c>
      <c r="D284" s="2" t="n">
        <f aca="false">MONTH(C284)</f>
        <v>2</v>
      </c>
      <c r="E284" s="2" t="s">
        <v>91</v>
      </c>
      <c r="F284" s="2" t="s">
        <v>92</v>
      </c>
      <c r="G284" s="2" t="s">
        <v>70</v>
      </c>
      <c r="H284" s="2" t="s">
        <v>126</v>
      </c>
      <c r="I284" s="2" t="n">
        <v>8</v>
      </c>
      <c r="J284" s="11" t="n">
        <v>4500</v>
      </c>
      <c r="K284" s="12" t="n">
        <v>0</v>
      </c>
      <c r="L284" s="11" t="n">
        <v>3300</v>
      </c>
      <c r="M284" s="11" t="n">
        <f aca="false">I284*J284*(1-K284)</f>
        <v>36000</v>
      </c>
      <c r="N284" s="11" t="n">
        <f aca="false">M284-I284*L284</f>
        <v>9600</v>
      </c>
    </row>
    <row r="285" customFormat="false" ht="15" hidden="false" customHeight="false" outlineLevel="0" collapsed="false">
      <c r="A285" s="2" t="s">
        <v>1470</v>
      </c>
      <c r="B285" s="2" t="s">
        <v>1461</v>
      </c>
      <c r="C285" s="10" t="n">
        <v>45713</v>
      </c>
      <c r="D285" s="2" t="n">
        <f aca="false">MONTH(C285)</f>
        <v>2</v>
      </c>
      <c r="E285" s="2" t="s">
        <v>77</v>
      </c>
      <c r="F285" s="2" t="s">
        <v>69</v>
      </c>
      <c r="G285" s="2" t="s">
        <v>70</v>
      </c>
      <c r="H285" s="2" t="s">
        <v>122</v>
      </c>
      <c r="I285" s="2" t="n">
        <v>4</v>
      </c>
      <c r="J285" s="11" t="n">
        <v>1500</v>
      </c>
      <c r="K285" s="12" t="n">
        <v>0</v>
      </c>
      <c r="L285" s="11" t="n">
        <v>900</v>
      </c>
      <c r="M285" s="11" t="n">
        <f aca="false">I285*J285*(1-K285)</f>
        <v>6000</v>
      </c>
      <c r="N285" s="11" t="n">
        <f aca="false">M285-I285*L285</f>
        <v>2400</v>
      </c>
    </row>
    <row r="286" customFormat="false" ht="15" hidden="false" customHeight="false" outlineLevel="0" collapsed="false">
      <c r="A286" s="2" t="s">
        <v>1483</v>
      </c>
      <c r="B286" s="2" t="s">
        <v>1477</v>
      </c>
      <c r="C286" s="10" t="n">
        <v>45713</v>
      </c>
      <c r="D286" s="2" t="n">
        <f aca="false">MONTH(C286)</f>
        <v>2</v>
      </c>
      <c r="E286" s="2" t="s">
        <v>63</v>
      </c>
      <c r="F286" s="2" t="s">
        <v>92</v>
      </c>
      <c r="G286" s="2" t="s">
        <v>70</v>
      </c>
      <c r="H286" s="2" t="s">
        <v>97</v>
      </c>
      <c r="I286" s="2" t="n">
        <v>3</v>
      </c>
      <c r="J286" s="11" t="n">
        <v>3000</v>
      </c>
      <c r="K286" s="12" t="n">
        <v>0.15</v>
      </c>
      <c r="L286" s="11" t="n">
        <v>2000</v>
      </c>
      <c r="M286" s="11" t="n">
        <f aca="false">I286*J286*(1-K286)</f>
        <v>7650</v>
      </c>
      <c r="N286" s="11" t="n">
        <f aca="false">M286-I286*L286</f>
        <v>1650</v>
      </c>
    </row>
    <row r="287" customFormat="false" ht="15" hidden="false" customHeight="false" outlineLevel="0" collapsed="false">
      <c r="A287" s="2" t="s">
        <v>2735</v>
      </c>
      <c r="B287" s="2" t="s">
        <v>2732</v>
      </c>
      <c r="C287" s="10" t="n">
        <v>45713</v>
      </c>
      <c r="D287" s="2" t="n">
        <f aca="false">MONTH(C287)</f>
        <v>2</v>
      </c>
      <c r="E287" s="2" t="s">
        <v>81</v>
      </c>
      <c r="F287" s="2" t="s">
        <v>64</v>
      </c>
      <c r="G287" s="2" t="s">
        <v>73</v>
      </c>
      <c r="H287" s="2" t="s">
        <v>85</v>
      </c>
      <c r="I287" s="2" t="n">
        <v>2</v>
      </c>
      <c r="J287" s="11" t="n">
        <v>1200</v>
      </c>
      <c r="K287" s="12" t="n">
        <v>0</v>
      </c>
      <c r="L287" s="11" t="n">
        <v>600</v>
      </c>
      <c r="M287" s="11" t="n">
        <f aca="false">I287*J287*(1-K287)</f>
        <v>2400</v>
      </c>
      <c r="N287" s="11" t="n">
        <f aca="false">M287-I287*L287</f>
        <v>1200</v>
      </c>
    </row>
    <row r="288" customFormat="false" ht="15" hidden="false" customHeight="false" outlineLevel="0" collapsed="false">
      <c r="A288" s="2" t="s">
        <v>2769</v>
      </c>
      <c r="B288" s="2" t="s">
        <v>2766</v>
      </c>
      <c r="C288" s="10" t="n">
        <v>45713</v>
      </c>
      <c r="D288" s="2" t="n">
        <f aca="false">MONTH(C288)</f>
        <v>2</v>
      </c>
      <c r="E288" s="2" t="s">
        <v>77</v>
      </c>
      <c r="F288" s="2" t="s">
        <v>64</v>
      </c>
      <c r="G288" s="2" t="s">
        <v>70</v>
      </c>
      <c r="H288" s="2" t="s">
        <v>126</v>
      </c>
      <c r="I288" s="2" t="n">
        <v>2</v>
      </c>
      <c r="J288" s="11" t="n">
        <v>4500</v>
      </c>
      <c r="K288" s="12" t="n">
        <v>0</v>
      </c>
      <c r="L288" s="11" t="n">
        <v>3300</v>
      </c>
      <c r="M288" s="11" t="n">
        <f aca="false">I288*J288*(1-K288)</f>
        <v>9000</v>
      </c>
      <c r="N288" s="11" t="n">
        <f aca="false">M288-I288*L288</f>
        <v>2400</v>
      </c>
    </row>
    <row r="289" customFormat="false" ht="15" hidden="false" customHeight="false" outlineLevel="0" collapsed="false">
      <c r="A289" s="2" t="s">
        <v>2856</v>
      </c>
      <c r="B289" s="2" t="s">
        <v>2855</v>
      </c>
      <c r="C289" s="10" t="n">
        <v>45713</v>
      </c>
      <c r="D289" s="2" t="n">
        <f aca="false">MONTH(C289)</f>
        <v>2</v>
      </c>
      <c r="E289" s="2" t="s">
        <v>81</v>
      </c>
      <c r="F289" s="2" t="s">
        <v>64</v>
      </c>
      <c r="G289" s="2" t="s">
        <v>65</v>
      </c>
      <c r="H289" s="2" t="s">
        <v>66</v>
      </c>
      <c r="I289" s="2" t="n">
        <v>7</v>
      </c>
      <c r="J289" s="11" t="n">
        <v>600</v>
      </c>
      <c r="K289" s="12" t="n">
        <v>0</v>
      </c>
      <c r="L289" s="11" t="n">
        <v>300</v>
      </c>
      <c r="M289" s="11" t="n">
        <f aca="false">I289*J289*(1-K289)</f>
        <v>4200</v>
      </c>
      <c r="N289" s="11" t="n">
        <f aca="false">M289-I289*L289</f>
        <v>2100</v>
      </c>
    </row>
    <row r="290" customFormat="false" ht="15" hidden="false" customHeight="false" outlineLevel="0" collapsed="false">
      <c r="A290" s="2" t="s">
        <v>389</v>
      </c>
      <c r="B290" s="2" t="s">
        <v>388</v>
      </c>
      <c r="C290" s="10" t="n">
        <v>45714</v>
      </c>
      <c r="D290" s="2" t="n">
        <f aca="false">MONTH(C290)</f>
        <v>2</v>
      </c>
      <c r="E290" s="2" t="s">
        <v>81</v>
      </c>
      <c r="F290" s="2" t="s">
        <v>64</v>
      </c>
      <c r="G290" s="2" t="s">
        <v>70</v>
      </c>
      <c r="H290" s="2" t="s">
        <v>126</v>
      </c>
      <c r="I290" s="2" t="n">
        <v>2</v>
      </c>
      <c r="J290" s="11" t="n">
        <v>4500</v>
      </c>
      <c r="K290" s="12" t="n">
        <v>0</v>
      </c>
      <c r="L290" s="11" t="n">
        <v>3300</v>
      </c>
      <c r="M290" s="11" t="n">
        <f aca="false">I290*J290*(1-K290)</f>
        <v>9000</v>
      </c>
      <c r="N290" s="11" t="n">
        <f aca="false">M290-I290*L290</f>
        <v>2400</v>
      </c>
    </row>
    <row r="291" customFormat="false" ht="15" hidden="false" customHeight="false" outlineLevel="0" collapsed="false">
      <c r="A291" s="2" t="s">
        <v>917</v>
      </c>
      <c r="B291" s="2" t="s">
        <v>915</v>
      </c>
      <c r="C291" s="10" t="n">
        <v>45714</v>
      </c>
      <c r="D291" s="2" t="n">
        <f aca="false">MONTH(C291)</f>
        <v>2</v>
      </c>
      <c r="E291" s="2" t="s">
        <v>63</v>
      </c>
      <c r="F291" s="2" t="s">
        <v>64</v>
      </c>
      <c r="G291" s="2" t="s">
        <v>70</v>
      </c>
      <c r="H291" s="2" t="s">
        <v>122</v>
      </c>
      <c r="I291" s="2" t="n">
        <v>1</v>
      </c>
      <c r="J291" s="11" t="n">
        <v>1500</v>
      </c>
      <c r="K291" s="12" t="n">
        <v>0</v>
      </c>
      <c r="L291" s="11" t="n">
        <v>900</v>
      </c>
      <c r="M291" s="11" t="n">
        <f aca="false">I291*J291*(1-K291)</f>
        <v>1500</v>
      </c>
      <c r="N291" s="11" t="n">
        <f aca="false">M291-I291*L291</f>
        <v>600</v>
      </c>
    </row>
    <row r="292" customFormat="false" ht="15" hidden="false" customHeight="false" outlineLevel="0" collapsed="false">
      <c r="A292" s="2" t="s">
        <v>2334</v>
      </c>
      <c r="B292" s="2" t="s">
        <v>2335</v>
      </c>
      <c r="C292" s="10" t="n">
        <v>45714</v>
      </c>
      <c r="D292" s="2" t="n">
        <f aca="false">MONTH(C292)</f>
        <v>2</v>
      </c>
      <c r="E292" s="2" t="s">
        <v>91</v>
      </c>
      <c r="F292" s="2" t="s">
        <v>64</v>
      </c>
      <c r="G292" s="2" t="s">
        <v>73</v>
      </c>
      <c r="H292" s="2" t="s">
        <v>104</v>
      </c>
      <c r="I292" s="2" t="n">
        <v>2</v>
      </c>
      <c r="J292" s="11" t="n">
        <v>5500</v>
      </c>
      <c r="K292" s="12" t="n">
        <v>0.05</v>
      </c>
      <c r="L292" s="11" t="n">
        <v>3600</v>
      </c>
      <c r="M292" s="11" t="n">
        <f aca="false">I292*J292*(1-K292)</f>
        <v>10450</v>
      </c>
      <c r="N292" s="11" t="n">
        <f aca="false">M292-I292*L292</f>
        <v>3250</v>
      </c>
    </row>
    <row r="293" customFormat="false" ht="15" hidden="false" customHeight="false" outlineLevel="0" collapsed="false">
      <c r="A293" s="2" t="s">
        <v>2462</v>
      </c>
      <c r="B293" s="2" t="s">
        <v>2463</v>
      </c>
      <c r="C293" s="10" t="n">
        <v>45714</v>
      </c>
      <c r="D293" s="2" t="n">
        <f aca="false">MONTH(C293)</f>
        <v>2</v>
      </c>
      <c r="E293" s="2" t="s">
        <v>77</v>
      </c>
      <c r="F293" s="2" t="s">
        <v>64</v>
      </c>
      <c r="G293" s="2" t="s">
        <v>65</v>
      </c>
      <c r="H293" s="2" t="s">
        <v>107</v>
      </c>
      <c r="I293" s="2" t="n">
        <v>2</v>
      </c>
      <c r="J293" s="11" t="n">
        <v>500</v>
      </c>
      <c r="K293" s="12" t="n">
        <v>0</v>
      </c>
      <c r="L293" s="11" t="n">
        <v>250</v>
      </c>
      <c r="M293" s="11" t="n">
        <f aca="false">I293*J293*(1-K293)</f>
        <v>1000</v>
      </c>
      <c r="N293" s="11" t="n">
        <f aca="false">M293-I293*L293</f>
        <v>500</v>
      </c>
    </row>
    <row r="294" customFormat="false" ht="15" hidden="false" customHeight="false" outlineLevel="0" collapsed="false">
      <c r="A294" s="2" t="s">
        <v>2883</v>
      </c>
      <c r="B294" s="2" t="s">
        <v>2884</v>
      </c>
      <c r="C294" s="10" t="n">
        <v>45714</v>
      </c>
      <c r="D294" s="2" t="n">
        <f aca="false">MONTH(C294)</f>
        <v>2</v>
      </c>
      <c r="E294" s="2" t="s">
        <v>91</v>
      </c>
      <c r="F294" s="2" t="s">
        <v>92</v>
      </c>
      <c r="G294" s="2" t="s">
        <v>73</v>
      </c>
      <c r="H294" s="2" t="s">
        <v>85</v>
      </c>
      <c r="I294" s="2" t="n">
        <v>5</v>
      </c>
      <c r="J294" s="11" t="n">
        <v>1200</v>
      </c>
      <c r="K294" s="12" t="n">
        <v>0.1</v>
      </c>
      <c r="L294" s="11" t="n">
        <v>600</v>
      </c>
      <c r="M294" s="11" t="n">
        <f aca="false">I294*J294*(1-K294)</f>
        <v>5400</v>
      </c>
      <c r="N294" s="11" t="n">
        <f aca="false">M294-I294*L294</f>
        <v>2400</v>
      </c>
    </row>
    <row r="295" customFormat="false" ht="15" hidden="false" customHeight="false" outlineLevel="0" collapsed="false">
      <c r="A295" s="2" t="s">
        <v>685</v>
      </c>
      <c r="B295" s="2" t="s">
        <v>684</v>
      </c>
      <c r="C295" s="10" t="n">
        <v>45715</v>
      </c>
      <c r="D295" s="2" t="n">
        <f aca="false">MONTH(C295)</f>
        <v>2</v>
      </c>
      <c r="E295" s="2" t="s">
        <v>91</v>
      </c>
      <c r="F295" s="2" t="s">
        <v>64</v>
      </c>
      <c r="G295" s="2" t="s">
        <v>70</v>
      </c>
      <c r="H295" s="2" t="s">
        <v>71</v>
      </c>
      <c r="I295" s="2" t="n">
        <v>3</v>
      </c>
      <c r="J295" s="11" t="n">
        <v>2500</v>
      </c>
      <c r="K295" s="12" t="n">
        <v>0</v>
      </c>
      <c r="L295" s="11" t="n">
        <v>1600</v>
      </c>
      <c r="M295" s="11" t="n">
        <f aca="false">I295*J295*(1-K295)</f>
        <v>7500</v>
      </c>
      <c r="N295" s="11" t="n">
        <f aca="false">M295-I295*L295</f>
        <v>2700</v>
      </c>
    </row>
    <row r="296" customFormat="false" ht="15" hidden="false" customHeight="false" outlineLevel="0" collapsed="false">
      <c r="A296" s="2" t="s">
        <v>745</v>
      </c>
      <c r="B296" s="2" t="s">
        <v>741</v>
      </c>
      <c r="C296" s="10" t="n">
        <v>45715</v>
      </c>
      <c r="D296" s="2" t="n">
        <f aca="false">MONTH(C296)</f>
        <v>2</v>
      </c>
      <c r="E296" s="2" t="s">
        <v>81</v>
      </c>
      <c r="F296" s="2" t="s">
        <v>64</v>
      </c>
      <c r="G296" s="2" t="s">
        <v>73</v>
      </c>
      <c r="H296" s="2" t="s">
        <v>87</v>
      </c>
      <c r="I296" s="2" t="n">
        <v>3</v>
      </c>
      <c r="J296" s="11" t="n">
        <v>9000</v>
      </c>
      <c r="K296" s="12" t="n">
        <v>0</v>
      </c>
      <c r="L296" s="11" t="n">
        <v>6200</v>
      </c>
      <c r="M296" s="11" t="n">
        <f aca="false">I296*J296*(1-K296)</f>
        <v>27000</v>
      </c>
      <c r="N296" s="11" t="n">
        <f aca="false">M296-I296*L296</f>
        <v>8400</v>
      </c>
    </row>
    <row r="297" customFormat="false" ht="15" hidden="false" customHeight="false" outlineLevel="0" collapsed="false">
      <c r="A297" s="2" t="s">
        <v>1441</v>
      </c>
      <c r="B297" s="2" t="s">
        <v>1442</v>
      </c>
      <c r="C297" s="10" t="n">
        <v>45715</v>
      </c>
      <c r="D297" s="2" t="n">
        <f aca="false">MONTH(C297)</f>
        <v>2</v>
      </c>
      <c r="E297" s="2" t="s">
        <v>91</v>
      </c>
      <c r="F297" s="2" t="s">
        <v>64</v>
      </c>
      <c r="G297" s="2" t="s">
        <v>73</v>
      </c>
      <c r="H297" s="2" t="s">
        <v>104</v>
      </c>
      <c r="I297" s="2" t="n">
        <v>1</v>
      </c>
      <c r="J297" s="11" t="n">
        <v>5500</v>
      </c>
      <c r="K297" s="12" t="n">
        <v>0</v>
      </c>
      <c r="L297" s="11" t="n">
        <v>3600</v>
      </c>
      <c r="M297" s="11" t="n">
        <f aca="false">I297*J297*(1-K297)</f>
        <v>5500</v>
      </c>
      <c r="N297" s="11" t="n">
        <f aca="false">M297-I297*L297</f>
        <v>1900</v>
      </c>
    </row>
    <row r="298" customFormat="false" ht="15" hidden="false" customHeight="false" outlineLevel="0" collapsed="false">
      <c r="A298" s="2" t="s">
        <v>2162</v>
      </c>
      <c r="B298" s="2" t="s">
        <v>2160</v>
      </c>
      <c r="C298" s="10" t="n">
        <v>45715</v>
      </c>
      <c r="D298" s="2" t="n">
        <f aca="false">MONTH(C298)</f>
        <v>2</v>
      </c>
      <c r="E298" s="2" t="s">
        <v>77</v>
      </c>
      <c r="F298" s="2" t="s">
        <v>64</v>
      </c>
      <c r="G298" s="2" t="s">
        <v>70</v>
      </c>
      <c r="H298" s="2" t="s">
        <v>71</v>
      </c>
      <c r="I298" s="2" t="n">
        <v>1</v>
      </c>
      <c r="J298" s="11" t="n">
        <v>2500</v>
      </c>
      <c r="K298" s="12" t="n">
        <v>0</v>
      </c>
      <c r="L298" s="11" t="n">
        <v>1600</v>
      </c>
      <c r="M298" s="11" t="n">
        <f aca="false">I298*J298*(1-K298)</f>
        <v>2500</v>
      </c>
      <c r="N298" s="11" t="n">
        <f aca="false">M298-I298*L298</f>
        <v>900</v>
      </c>
    </row>
    <row r="299" customFormat="false" ht="15" hidden="false" customHeight="false" outlineLevel="0" collapsed="false">
      <c r="A299" s="2" t="s">
        <v>231</v>
      </c>
      <c r="B299" s="2" t="s">
        <v>232</v>
      </c>
      <c r="C299" s="10" t="n">
        <v>45716</v>
      </c>
      <c r="D299" s="2" t="n">
        <f aca="false">MONTH(C299)</f>
        <v>2</v>
      </c>
      <c r="E299" s="2" t="s">
        <v>77</v>
      </c>
      <c r="F299" s="2" t="s">
        <v>64</v>
      </c>
      <c r="G299" s="2" t="s">
        <v>65</v>
      </c>
      <c r="H299" s="2" t="s">
        <v>78</v>
      </c>
      <c r="I299" s="2" t="n">
        <v>7</v>
      </c>
      <c r="J299" s="11" t="n">
        <v>400</v>
      </c>
      <c r="K299" s="12" t="n">
        <v>0</v>
      </c>
      <c r="L299" s="11" t="n">
        <v>200</v>
      </c>
      <c r="M299" s="11" t="n">
        <f aca="false">I299*J299*(1-K299)</f>
        <v>2800</v>
      </c>
      <c r="N299" s="11" t="n">
        <f aca="false">M299-I299*L299</f>
        <v>1400</v>
      </c>
    </row>
    <row r="300" customFormat="false" ht="15" hidden="false" customHeight="false" outlineLevel="0" collapsed="false">
      <c r="A300" s="2" t="s">
        <v>483</v>
      </c>
      <c r="B300" s="2" t="s">
        <v>484</v>
      </c>
      <c r="C300" s="10" t="n">
        <v>45716</v>
      </c>
      <c r="D300" s="2" t="n">
        <f aca="false">MONTH(C300)</f>
        <v>2</v>
      </c>
      <c r="E300" s="2" t="s">
        <v>77</v>
      </c>
      <c r="F300" s="2" t="s">
        <v>69</v>
      </c>
      <c r="G300" s="2" t="s">
        <v>65</v>
      </c>
      <c r="H300" s="2" t="s">
        <v>78</v>
      </c>
      <c r="I300" s="2" t="n">
        <v>15</v>
      </c>
      <c r="J300" s="11" t="n">
        <v>400</v>
      </c>
      <c r="K300" s="12" t="n">
        <v>0</v>
      </c>
      <c r="L300" s="11" t="n">
        <v>200</v>
      </c>
      <c r="M300" s="11" t="n">
        <f aca="false">I300*J300*(1-K300)</f>
        <v>6000</v>
      </c>
      <c r="N300" s="11" t="n">
        <f aca="false">M300-I300*L300</f>
        <v>3000</v>
      </c>
    </row>
    <row r="301" customFormat="false" ht="15" hidden="false" customHeight="false" outlineLevel="0" collapsed="false">
      <c r="A301" s="2" t="s">
        <v>532</v>
      </c>
      <c r="B301" s="2" t="s">
        <v>533</v>
      </c>
      <c r="C301" s="10" t="n">
        <v>45716</v>
      </c>
      <c r="D301" s="2" t="n">
        <f aca="false">MONTH(C301)</f>
        <v>2</v>
      </c>
      <c r="E301" s="2" t="s">
        <v>63</v>
      </c>
      <c r="F301" s="2" t="s">
        <v>69</v>
      </c>
      <c r="G301" s="2" t="s">
        <v>73</v>
      </c>
      <c r="H301" s="2" t="s">
        <v>74</v>
      </c>
      <c r="I301" s="2" t="n">
        <v>3</v>
      </c>
      <c r="J301" s="11" t="n">
        <v>7000</v>
      </c>
      <c r="K301" s="12" t="n">
        <v>0</v>
      </c>
      <c r="L301" s="11" t="n">
        <v>4800</v>
      </c>
      <c r="M301" s="11" t="n">
        <f aca="false">I301*J301*(1-K301)</f>
        <v>21000</v>
      </c>
      <c r="N301" s="11" t="n">
        <f aca="false">M301-I301*L301</f>
        <v>6600</v>
      </c>
    </row>
    <row r="302" customFormat="false" ht="15" hidden="false" customHeight="false" outlineLevel="0" collapsed="false">
      <c r="A302" s="2" t="s">
        <v>1363</v>
      </c>
      <c r="B302" s="2" t="s">
        <v>1358</v>
      </c>
      <c r="C302" s="10" t="n">
        <v>45716</v>
      </c>
      <c r="D302" s="2" t="n">
        <f aca="false">MONTH(C302)</f>
        <v>2</v>
      </c>
      <c r="E302" s="2" t="s">
        <v>77</v>
      </c>
      <c r="F302" s="2" t="s">
        <v>64</v>
      </c>
      <c r="G302" s="2" t="s">
        <v>73</v>
      </c>
      <c r="H302" s="2" t="s">
        <v>74</v>
      </c>
      <c r="I302" s="2" t="n">
        <v>1</v>
      </c>
      <c r="J302" s="11" t="n">
        <v>7000</v>
      </c>
      <c r="K302" s="12" t="n">
        <v>0.05</v>
      </c>
      <c r="L302" s="11" t="n">
        <v>4800</v>
      </c>
      <c r="M302" s="11" t="n">
        <f aca="false">I302*J302*(1-K302)</f>
        <v>6650</v>
      </c>
      <c r="N302" s="11" t="n">
        <f aca="false">M302-I302*L302</f>
        <v>1850</v>
      </c>
    </row>
    <row r="303" customFormat="false" ht="15" hidden="false" customHeight="false" outlineLevel="0" collapsed="false">
      <c r="A303" s="2" t="s">
        <v>1469</v>
      </c>
      <c r="B303" s="2" t="s">
        <v>1461</v>
      </c>
      <c r="C303" s="10" t="n">
        <v>45716</v>
      </c>
      <c r="D303" s="2" t="n">
        <f aca="false">MONTH(C303)</f>
        <v>2</v>
      </c>
      <c r="E303" s="2" t="s">
        <v>77</v>
      </c>
      <c r="F303" s="2" t="s">
        <v>69</v>
      </c>
      <c r="G303" s="2" t="s">
        <v>73</v>
      </c>
      <c r="H303" s="2" t="s">
        <v>104</v>
      </c>
      <c r="I303" s="2" t="n">
        <v>5</v>
      </c>
      <c r="J303" s="11" t="n">
        <v>5500</v>
      </c>
      <c r="K303" s="12" t="n">
        <v>0.1</v>
      </c>
      <c r="L303" s="11" t="n">
        <v>3600</v>
      </c>
      <c r="M303" s="11" t="n">
        <f aca="false">I303*J303*(1-K303)</f>
        <v>24750</v>
      </c>
      <c r="N303" s="11" t="n">
        <f aca="false">M303-I303*L303</f>
        <v>6750</v>
      </c>
    </row>
    <row r="304" customFormat="false" ht="15" hidden="false" customHeight="false" outlineLevel="0" collapsed="false">
      <c r="A304" s="2" t="s">
        <v>1969</v>
      </c>
      <c r="B304" s="2" t="s">
        <v>1970</v>
      </c>
      <c r="C304" s="10" t="n">
        <v>45716</v>
      </c>
      <c r="D304" s="2" t="n">
        <f aca="false">MONTH(C304)</f>
        <v>2</v>
      </c>
      <c r="E304" s="2" t="s">
        <v>77</v>
      </c>
      <c r="F304" s="2" t="s">
        <v>64</v>
      </c>
      <c r="G304" s="2" t="s">
        <v>65</v>
      </c>
      <c r="H304" s="2" t="s">
        <v>66</v>
      </c>
      <c r="I304" s="2" t="n">
        <v>6</v>
      </c>
      <c r="J304" s="11" t="n">
        <v>600</v>
      </c>
      <c r="K304" s="12" t="n">
        <v>0.1</v>
      </c>
      <c r="L304" s="11" t="n">
        <v>300</v>
      </c>
      <c r="M304" s="11" t="n">
        <f aca="false">I304*J304*(1-K304)</f>
        <v>3240</v>
      </c>
      <c r="N304" s="11" t="n">
        <f aca="false">M304-I304*L304</f>
        <v>1440</v>
      </c>
    </row>
    <row r="305" customFormat="false" ht="15" hidden="false" customHeight="false" outlineLevel="0" collapsed="false">
      <c r="A305" s="2" t="s">
        <v>2723</v>
      </c>
      <c r="B305" s="2" t="s">
        <v>2720</v>
      </c>
      <c r="C305" s="10" t="n">
        <v>45716</v>
      </c>
      <c r="D305" s="2" t="n">
        <f aca="false">MONTH(C305)</f>
        <v>2</v>
      </c>
      <c r="E305" s="2" t="s">
        <v>77</v>
      </c>
      <c r="F305" s="2" t="s">
        <v>92</v>
      </c>
      <c r="G305" s="2" t="s">
        <v>70</v>
      </c>
      <c r="H305" s="2" t="s">
        <v>126</v>
      </c>
      <c r="I305" s="2" t="n">
        <v>2</v>
      </c>
      <c r="J305" s="11" t="n">
        <v>4500</v>
      </c>
      <c r="K305" s="12" t="n">
        <v>0.05</v>
      </c>
      <c r="L305" s="11" t="n">
        <v>3300</v>
      </c>
      <c r="M305" s="11" t="n">
        <f aca="false">I305*J305*(1-K305)</f>
        <v>8550</v>
      </c>
      <c r="N305" s="11" t="n">
        <f aca="false">M305-I305*L305</f>
        <v>1950</v>
      </c>
    </row>
    <row r="306" customFormat="false" ht="15" hidden="false" customHeight="false" outlineLevel="0" collapsed="false">
      <c r="A306" s="2" t="s">
        <v>154</v>
      </c>
      <c r="B306" s="2" t="s">
        <v>153</v>
      </c>
      <c r="C306" s="10" t="n">
        <v>45717</v>
      </c>
      <c r="D306" s="2" t="n">
        <f aca="false">MONTH(C306)</f>
        <v>3</v>
      </c>
      <c r="E306" s="2" t="s">
        <v>77</v>
      </c>
      <c r="F306" s="2" t="s">
        <v>69</v>
      </c>
      <c r="G306" s="2" t="s">
        <v>73</v>
      </c>
      <c r="H306" s="2" t="s">
        <v>74</v>
      </c>
      <c r="I306" s="2" t="n">
        <v>2</v>
      </c>
      <c r="J306" s="11" t="n">
        <v>7000</v>
      </c>
      <c r="K306" s="12" t="n">
        <v>0</v>
      </c>
      <c r="L306" s="11" t="n">
        <v>4800</v>
      </c>
      <c r="M306" s="11" t="n">
        <f aca="false">I306*J306*(1-K306)</f>
        <v>14000</v>
      </c>
      <c r="N306" s="11" t="n">
        <f aca="false">M306-I306*L306</f>
        <v>4400</v>
      </c>
    </row>
    <row r="307" customFormat="false" ht="15" hidden="false" customHeight="false" outlineLevel="0" collapsed="false">
      <c r="A307" s="2" t="s">
        <v>181</v>
      </c>
      <c r="B307" s="2" t="s">
        <v>175</v>
      </c>
      <c r="C307" s="10" t="n">
        <v>45717</v>
      </c>
      <c r="D307" s="2" t="n">
        <f aca="false">MONTH(C307)</f>
        <v>3</v>
      </c>
      <c r="E307" s="2" t="s">
        <v>77</v>
      </c>
      <c r="F307" s="2" t="s">
        <v>64</v>
      </c>
      <c r="G307" s="2" t="s">
        <v>70</v>
      </c>
      <c r="H307" s="2" t="s">
        <v>122</v>
      </c>
      <c r="I307" s="2" t="n">
        <v>2</v>
      </c>
      <c r="J307" s="11" t="n">
        <v>1500</v>
      </c>
      <c r="K307" s="12" t="n">
        <v>0</v>
      </c>
      <c r="L307" s="11" t="n">
        <v>900</v>
      </c>
      <c r="M307" s="11" t="n">
        <f aca="false">I307*J307*(1-K307)</f>
        <v>3000</v>
      </c>
      <c r="N307" s="11" t="n">
        <f aca="false">M307-I307*L307</f>
        <v>1200</v>
      </c>
    </row>
    <row r="308" customFormat="false" ht="15" hidden="false" customHeight="false" outlineLevel="0" collapsed="false">
      <c r="A308" s="2" t="s">
        <v>213</v>
      </c>
      <c r="B308" s="2" t="s">
        <v>210</v>
      </c>
      <c r="C308" s="10" t="n">
        <v>45717</v>
      </c>
      <c r="D308" s="2" t="n">
        <f aca="false">MONTH(C308)</f>
        <v>3</v>
      </c>
      <c r="E308" s="2" t="s">
        <v>77</v>
      </c>
      <c r="F308" s="2" t="s">
        <v>64</v>
      </c>
      <c r="G308" s="2" t="s">
        <v>65</v>
      </c>
      <c r="H308" s="2" t="s">
        <v>78</v>
      </c>
      <c r="I308" s="2" t="n">
        <v>4</v>
      </c>
      <c r="J308" s="11" t="n">
        <v>400</v>
      </c>
      <c r="K308" s="12" t="n">
        <v>0</v>
      </c>
      <c r="L308" s="11" t="n">
        <v>200</v>
      </c>
      <c r="M308" s="11" t="n">
        <f aca="false">I308*J308*(1-K308)</f>
        <v>1600</v>
      </c>
      <c r="N308" s="11" t="n">
        <f aca="false">M308-I308*L308</f>
        <v>800</v>
      </c>
    </row>
    <row r="309" customFormat="false" ht="15" hidden="false" customHeight="false" outlineLevel="0" collapsed="false">
      <c r="A309" s="2" t="s">
        <v>392</v>
      </c>
      <c r="B309" s="2" t="s">
        <v>388</v>
      </c>
      <c r="C309" s="10" t="n">
        <v>45717</v>
      </c>
      <c r="D309" s="2" t="n">
        <f aca="false">MONTH(C309)</f>
        <v>3</v>
      </c>
      <c r="E309" s="2" t="s">
        <v>81</v>
      </c>
      <c r="F309" s="2" t="s">
        <v>64</v>
      </c>
      <c r="G309" s="2" t="s">
        <v>73</v>
      </c>
      <c r="H309" s="2" t="s">
        <v>74</v>
      </c>
      <c r="I309" s="2" t="n">
        <v>3</v>
      </c>
      <c r="J309" s="11" t="n">
        <v>7000</v>
      </c>
      <c r="K309" s="12" t="n">
        <v>0</v>
      </c>
      <c r="L309" s="11" t="n">
        <v>4800</v>
      </c>
      <c r="M309" s="11" t="n">
        <f aca="false">I309*J309*(1-K309)</f>
        <v>21000</v>
      </c>
      <c r="N309" s="11" t="n">
        <f aca="false">M309-I309*L309</f>
        <v>6600</v>
      </c>
    </row>
    <row r="310" customFormat="false" ht="15" hidden="false" customHeight="false" outlineLevel="0" collapsed="false">
      <c r="A310" s="2" t="s">
        <v>536</v>
      </c>
      <c r="B310" s="2" t="s">
        <v>535</v>
      </c>
      <c r="C310" s="10" t="n">
        <v>45717</v>
      </c>
      <c r="D310" s="2" t="n">
        <f aca="false">MONTH(C310)</f>
        <v>3</v>
      </c>
      <c r="E310" s="2" t="s">
        <v>91</v>
      </c>
      <c r="F310" s="2" t="s">
        <v>64</v>
      </c>
      <c r="G310" s="2" t="s">
        <v>65</v>
      </c>
      <c r="H310" s="2" t="s">
        <v>82</v>
      </c>
      <c r="I310" s="2" t="n">
        <v>6</v>
      </c>
      <c r="J310" s="11" t="n">
        <v>250</v>
      </c>
      <c r="K310" s="12" t="n">
        <v>0.1</v>
      </c>
      <c r="L310" s="11" t="n">
        <v>100</v>
      </c>
      <c r="M310" s="11" t="n">
        <f aca="false">I310*J310*(1-K310)</f>
        <v>1350</v>
      </c>
      <c r="N310" s="11" t="n">
        <f aca="false">M310-I310*L310</f>
        <v>750</v>
      </c>
    </row>
    <row r="311" customFormat="false" ht="15" hidden="false" customHeight="false" outlineLevel="0" collapsed="false">
      <c r="A311" s="2" t="s">
        <v>913</v>
      </c>
      <c r="B311" s="2" t="s">
        <v>910</v>
      </c>
      <c r="C311" s="10" t="n">
        <v>45717</v>
      </c>
      <c r="D311" s="2" t="n">
        <f aca="false">MONTH(C311)</f>
        <v>3</v>
      </c>
      <c r="E311" s="2" t="s">
        <v>91</v>
      </c>
      <c r="F311" s="2" t="s">
        <v>69</v>
      </c>
      <c r="G311" s="2" t="s">
        <v>73</v>
      </c>
      <c r="H311" s="2" t="s">
        <v>85</v>
      </c>
      <c r="I311" s="2" t="n">
        <v>1</v>
      </c>
      <c r="J311" s="11" t="n">
        <v>1200</v>
      </c>
      <c r="K311" s="12" t="n">
        <v>0</v>
      </c>
      <c r="L311" s="11" t="n">
        <v>600</v>
      </c>
      <c r="M311" s="11" t="n">
        <f aca="false">I311*J311*(1-K311)</f>
        <v>1200</v>
      </c>
      <c r="N311" s="11" t="n">
        <f aca="false">M311-I311*L311</f>
        <v>600</v>
      </c>
    </row>
    <row r="312" customFormat="false" ht="15" hidden="false" customHeight="false" outlineLevel="0" collapsed="false">
      <c r="A312" s="2" t="s">
        <v>1192</v>
      </c>
      <c r="B312" s="2" t="s">
        <v>1190</v>
      </c>
      <c r="C312" s="10" t="n">
        <v>45717</v>
      </c>
      <c r="D312" s="2" t="n">
        <f aca="false">MONTH(C312)</f>
        <v>3</v>
      </c>
      <c r="E312" s="2" t="s">
        <v>63</v>
      </c>
      <c r="F312" s="2" t="s">
        <v>64</v>
      </c>
      <c r="G312" s="2" t="s">
        <v>73</v>
      </c>
      <c r="H312" s="2" t="s">
        <v>104</v>
      </c>
      <c r="I312" s="2" t="n">
        <v>3</v>
      </c>
      <c r="J312" s="11" t="n">
        <v>5500</v>
      </c>
      <c r="K312" s="12" t="n">
        <v>0.1</v>
      </c>
      <c r="L312" s="11" t="n">
        <v>3600</v>
      </c>
      <c r="M312" s="11" t="n">
        <f aca="false">I312*J312*(1-K312)</f>
        <v>14850</v>
      </c>
      <c r="N312" s="11" t="n">
        <f aca="false">M312-I312*L312</f>
        <v>4050</v>
      </c>
    </row>
    <row r="313" customFormat="false" ht="15" hidden="false" customHeight="false" outlineLevel="0" collapsed="false">
      <c r="A313" s="2" t="s">
        <v>1932</v>
      </c>
      <c r="B313" s="2" t="s">
        <v>1931</v>
      </c>
      <c r="C313" s="10" t="n">
        <v>45717</v>
      </c>
      <c r="D313" s="2" t="n">
        <f aca="false">MONTH(C313)</f>
        <v>3</v>
      </c>
      <c r="E313" s="2" t="s">
        <v>77</v>
      </c>
      <c r="F313" s="2" t="s">
        <v>69</v>
      </c>
      <c r="G313" s="2" t="s">
        <v>73</v>
      </c>
      <c r="H313" s="2" t="s">
        <v>74</v>
      </c>
      <c r="I313" s="2" t="n">
        <v>4</v>
      </c>
      <c r="J313" s="11" t="n">
        <v>7000</v>
      </c>
      <c r="K313" s="12" t="n">
        <v>0</v>
      </c>
      <c r="L313" s="11" t="n">
        <v>4800</v>
      </c>
      <c r="M313" s="11" t="n">
        <f aca="false">I313*J313*(1-K313)</f>
        <v>28000</v>
      </c>
      <c r="N313" s="11" t="n">
        <f aca="false">M313-I313*L313</f>
        <v>8800</v>
      </c>
    </row>
    <row r="314" customFormat="false" ht="15" hidden="false" customHeight="false" outlineLevel="0" collapsed="false">
      <c r="A314" s="2" t="s">
        <v>2078</v>
      </c>
      <c r="B314" s="2" t="s">
        <v>2077</v>
      </c>
      <c r="C314" s="10" t="n">
        <v>45717</v>
      </c>
      <c r="D314" s="2" t="n">
        <f aca="false">MONTH(C314)</f>
        <v>3</v>
      </c>
      <c r="E314" s="2" t="s">
        <v>77</v>
      </c>
      <c r="F314" s="2" t="s">
        <v>64</v>
      </c>
      <c r="G314" s="2" t="s">
        <v>70</v>
      </c>
      <c r="H314" s="2" t="s">
        <v>126</v>
      </c>
      <c r="I314" s="2" t="n">
        <v>3</v>
      </c>
      <c r="J314" s="11" t="n">
        <v>4500</v>
      </c>
      <c r="K314" s="12" t="n">
        <v>0</v>
      </c>
      <c r="L314" s="11" t="n">
        <v>3300</v>
      </c>
      <c r="M314" s="11" t="n">
        <f aca="false">I314*J314*(1-K314)</f>
        <v>13500</v>
      </c>
      <c r="N314" s="11" t="n">
        <f aca="false">M314-I314*L314</f>
        <v>3600</v>
      </c>
    </row>
    <row r="315" customFormat="false" ht="15" hidden="false" customHeight="false" outlineLevel="0" collapsed="false">
      <c r="A315" s="2" t="s">
        <v>2799</v>
      </c>
      <c r="B315" s="2" t="s">
        <v>2795</v>
      </c>
      <c r="C315" s="10" t="n">
        <v>45717</v>
      </c>
      <c r="D315" s="2" t="n">
        <f aca="false">MONTH(C315)</f>
        <v>3</v>
      </c>
      <c r="E315" s="2" t="s">
        <v>91</v>
      </c>
      <c r="F315" s="2" t="s">
        <v>64</v>
      </c>
      <c r="G315" s="2" t="s">
        <v>73</v>
      </c>
      <c r="H315" s="2" t="s">
        <v>104</v>
      </c>
      <c r="I315" s="2" t="n">
        <v>2</v>
      </c>
      <c r="J315" s="11" t="n">
        <v>5500</v>
      </c>
      <c r="K315" s="12" t="n">
        <v>0</v>
      </c>
      <c r="L315" s="11" t="n">
        <v>3600</v>
      </c>
      <c r="M315" s="11" t="n">
        <f aca="false">I315*J315*(1-K315)</f>
        <v>11000</v>
      </c>
      <c r="N315" s="11" t="n">
        <f aca="false">M315-I315*L315</f>
        <v>3800</v>
      </c>
    </row>
    <row r="316" customFormat="false" ht="15" hidden="false" customHeight="false" outlineLevel="0" collapsed="false">
      <c r="A316" s="2" t="s">
        <v>578</v>
      </c>
      <c r="B316" s="2" t="s">
        <v>570</v>
      </c>
      <c r="C316" s="10" t="n">
        <v>45718</v>
      </c>
      <c r="D316" s="2" t="n">
        <f aca="false">MONTH(C316)</f>
        <v>3</v>
      </c>
      <c r="E316" s="2" t="s">
        <v>63</v>
      </c>
      <c r="F316" s="2" t="s">
        <v>92</v>
      </c>
      <c r="G316" s="2" t="s">
        <v>65</v>
      </c>
      <c r="H316" s="2" t="s">
        <v>66</v>
      </c>
      <c r="I316" s="2" t="n">
        <v>15</v>
      </c>
      <c r="J316" s="11" t="n">
        <v>600</v>
      </c>
      <c r="K316" s="12" t="n">
        <v>0.15</v>
      </c>
      <c r="L316" s="11" t="n">
        <v>300</v>
      </c>
      <c r="M316" s="11" t="n">
        <f aca="false">I316*J316*(1-K316)</f>
        <v>7650</v>
      </c>
      <c r="N316" s="11" t="n">
        <f aca="false">M316-I316*L316</f>
        <v>3150</v>
      </c>
    </row>
    <row r="317" customFormat="false" ht="15" hidden="false" customHeight="false" outlineLevel="0" collapsed="false">
      <c r="A317" s="2" t="s">
        <v>1225</v>
      </c>
      <c r="B317" s="2" t="s">
        <v>1223</v>
      </c>
      <c r="C317" s="10" t="n">
        <v>45718</v>
      </c>
      <c r="D317" s="2" t="n">
        <f aca="false">MONTH(C317)</f>
        <v>3</v>
      </c>
      <c r="E317" s="2" t="s">
        <v>63</v>
      </c>
      <c r="F317" s="2" t="s">
        <v>69</v>
      </c>
      <c r="G317" s="2" t="s">
        <v>65</v>
      </c>
      <c r="H317" s="2" t="s">
        <v>82</v>
      </c>
      <c r="I317" s="2" t="n">
        <v>8</v>
      </c>
      <c r="J317" s="11" t="n">
        <v>250</v>
      </c>
      <c r="K317" s="12" t="n">
        <v>0</v>
      </c>
      <c r="L317" s="11" t="n">
        <v>100</v>
      </c>
      <c r="M317" s="11" t="n">
        <f aca="false">I317*J317*(1-K317)</f>
        <v>2000</v>
      </c>
      <c r="N317" s="11" t="n">
        <f aca="false">M317-I317*L317</f>
        <v>1200</v>
      </c>
    </row>
    <row r="318" customFormat="false" ht="15" hidden="false" customHeight="false" outlineLevel="0" collapsed="false">
      <c r="A318" s="2" t="s">
        <v>2498</v>
      </c>
      <c r="B318" s="2" t="s">
        <v>2499</v>
      </c>
      <c r="C318" s="10" t="n">
        <v>45718</v>
      </c>
      <c r="D318" s="2" t="n">
        <f aca="false">MONTH(C318)</f>
        <v>3</v>
      </c>
      <c r="E318" s="2" t="s">
        <v>63</v>
      </c>
      <c r="F318" s="2" t="s">
        <v>92</v>
      </c>
      <c r="G318" s="2" t="s">
        <v>73</v>
      </c>
      <c r="H318" s="2" t="s">
        <v>85</v>
      </c>
      <c r="I318" s="2" t="n">
        <v>6</v>
      </c>
      <c r="J318" s="11" t="n">
        <v>1200</v>
      </c>
      <c r="K318" s="12" t="n">
        <v>0.05</v>
      </c>
      <c r="L318" s="11" t="n">
        <v>600</v>
      </c>
      <c r="M318" s="11" t="n">
        <f aca="false">I318*J318*(1-K318)</f>
        <v>6840</v>
      </c>
      <c r="N318" s="11" t="n">
        <f aca="false">M318-I318*L318</f>
        <v>3240</v>
      </c>
    </row>
    <row r="319" customFormat="false" ht="15" hidden="false" customHeight="false" outlineLevel="0" collapsed="false">
      <c r="A319" s="2" t="s">
        <v>61</v>
      </c>
      <c r="B319" s="2" t="s">
        <v>62</v>
      </c>
      <c r="C319" s="10" t="n">
        <v>45719</v>
      </c>
      <c r="D319" s="2" t="n">
        <f aca="false">MONTH(C319)</f>
        <v>3</v>
      </c>
      <c r="E319" s="2" t="s">
        <v>63</v>
      </c>
      <c r="F319" s="2" t="s">
        <v>64</v>
      </c>
      <c r="G319" s="2" t="s">
        <v>65</v>
      </c>
      <c r="H319" s="2" t="s">
        <v>66</v>
      </c>
      <c r="I319" s="2" t="n">
        <v>3</v>
      </c>
      <c r="J319" s="11" t="n">
        <v>600</v>
      </c>
      <c r="K319" s="12" t="n">
        <v>0</v>
      </c>
      <c r="L319" s="11" t="n">
        <v>300</v>
      </c>
      <c r="M319" s="11" t="n">
        <f aca="false">I319*J319*(1-K319)</f>
        <v>1800</v>
      </c>
      <c r="N319" s="11" t="n">
        <f aca="false">M319-I319*L319</f>
        <v>900</v>
      </c>
    </row>
    <row r="320" customFormat="false" ht="15" hidden="false" customHeight="false" outlineLevel="0" collapsed="false">
      <c r="A320" s="2" t="s">
        <v>362</v>
      </c>
      <c r="B320" s="2" t="s">
        <v>361</v>
      </c>
      <c r="C320" s="10" t="n">
        <v>45719</v>
      </c>
      <c r="D320" s="2" t="n">
        <f aca="false">MONTH(C320)</f>
        <v>3</v>
      </c>
      <c r="E320" s="2" t="s">
        <v>77</v>
      </c>
      <c r="F320" s="2" t="s">
        <v>64</v>
      </c>
      <c r="G320" s="2" t="s">
        <v>70</v>
      </c>
      <c r="H320" s="2" t="s">
        <v>97</v>
      </c>
      <c r="I320" s="2" t="n">
        <v>3</v>
      </c>
      <c r="J320" s="11" t="n">
        <v>3000</v>
      </c>
      <c r="K320" s="12" t="n">
        <v>0.1</v>
      </c>
      <c r="L320" s="11" t="n">
        <v>2000</v>
      </c>
      <c r="M320" s="11" t="n">
        <f aca="false">I320*J320*(1-K320)</f>
        <v>8100</v>
      </c>
      <c r="N320" s="11" t="n">
        <f aca="false">M320-I320*L320</f>
        <v>2100</v>
      </c>
    </row>
    <row r="321" customFormat="false" ht="15" hidden="false" customHeight="false" outlineLevel="0" collapsed="false">
      <c r="A321" s="2" t="s">
        <v>387</v>
      </c>
      <c r="B321" s="2" t="s">
        <v>388</v>
      </c>
      <c r="C321" s="10" t="n">
        <v>45719</v>
      </c>
      <c r="D321" s="2" t="n">
        <f aca="false">MONTH(C321)</f>
        <v>3</v>
      </c>
      <c r="E321" s="2" t="s">
        <v>81</v>
      </c>
      <c r="F321" s="2" t="s">
        <v>64</v>
      </c>
      <c r="G321" s="2" t="s">
        <v>70</v>
      </c>
      <c r="H321" s="2" t="s">
        <v>97</v>
      </c>
      <c r="I321" s="2" t="n">
        <v>1</v>
      </c>
      <c r="J321" s="11" t="n">
        <v>3000</v>
      </c>
      <c r="K321" s="12" t="n">
        <v>0</v>
      </c>
      <c r="L321" s="11" t="n">
        <v>2000</v>
      </c>
      <c r="M321" s="11" t="n">
        <f aca="false">I321*J321*(1-K321)</f>
        <v>3000</v>
      </c>
      <c r="N321" s="11" t="n">
        <f aca="false">M321-I321*L321</f>
        <v>1000</v>
      </c>
    </row>
    <row r="322" customFormat="false" ht="15" hidden="false" customHeight="false" outlineLevel="0" collapsed="false">
      <c r="A322" s="2" t="s">
        <v>1572</v>
      </c>
      <c r="B322" s="2" t="s">
        <v>1573</v>
      </c>
      <c r="C322" s="10" t="n">
        <v>45719</v>
      </c>
      <c r="D322" s="2" t="n">
        <f aca="false">MONTH(C322)</f>
        <v>3</v>
      </c>
      <c r="E322" s="2" t="s">
        <v>77</v>
      </c>
      <c r="F322" s="2" t="s">
        <v>69</v>
      </c>
      <c r="G322" s="2" t="s">
        <v>73</v>
      </c>
      <c r="H322" s="2" t="s">
        <v>104</v>
      </c>
      <c r="I322" s="2" t="n">
        <v>3</v>
      </c>
      <c r="J322" s="11" t="n">
        <v>5500</v>
      </c>
      <c r="K322" s="12" t="n">
        <v>0.05</v>
      </c>
      <c r="L322" s="11" t="n">
        <v>3600</v>
      </c>
      <c r="M322" s="11" t="n">
        <f aca="false">I322*J322*(1-K322)</f>
        <v>15675</v>
      </c>
      <c r="N322" s="11" t="n">
        <f aca="false">M322-I322*L322</f>
        <v>4875</v>
      </c>
    </row>
    <row r="323" customFormat="false" ht="15" hidden="false" customHeight="false" outlineLevel="0" collapsed="false">
      <c r="A323" s="2" t="s">
        <v>1744</v>
      </c>
      <c r="B323" s="2" t="s">
        <v>1745</v>
      </c>
      <c r="C323" s="10" t="n">
        <v>45719</v>
      </c>
      <c r="D323" s="2" t="n">
        <f aca="false">MONTH(C323)</f>
        <v>3</v>
      </c>
      <c r="E323" s="2" t="s">
        <v>81</v>
      </c>
      <c r="F323" s="2" t="s">
        <v>64</v>
      </c>
      <c r="G323" s="2" t="s">
        <v>70</v>
      </c>
      <c r="H323" s="2" t="s">
        <v>126</v>
      </c>
      <c r="I323" s="2" t="n">
        <v>3</v>
      </c>
      <c r="J323" s="11" t="n">
        <v>4500</v>
      </c>
      <c r="K323" s="12" t="n">
        <v>0</v>
      </c>
      <c r="L323" s="11" t="n">
        <v>3300</v>
      </c>
      <c r="M323" s="11" t="n">
        <f aca="false">I323*J323*(1-K323)</f>
        <v>13500</v>
      </c>
      <c r="N323" s="11" t="n">
        <f aca="false">M323-I323*L323</f>
        <v>3600</v>
      </c>
    </row>
    <row r="324" customFormat="false" ht="15" hidden="false" customHeight="false" outlineLevel="0" collapsed="false">
      <c r="A324" s="2" t="s">
        <v>2231</v>
      </c>
      <c r="B324" s="2" t="s">
        <v>2232</v>
      </c>
      <c r="C324" s="10" t="n">
        <v>45719</v>
      </c>
      <c r="D324" s="2" t="n">
        <f aca="false">MONTH(C324)</f>
        <v>3</v>
      </c>
      <c r="E324" s="2" t="s">
        <v>77</v>
      </c>
      <c r="F324" s="2" t="s">
        <v>69</v>
      </c>
      <c r="G324" s="2" t="s">
        <v>73</v>
      </c>
      <c r="H324" s="2" t="s">
        <v>104</v>
      </c>
      <c r="I324" s="2" t="n">
        <v>5</v>
      </c>
      <c r="J324" s="11" t="n">
        <v>5500</v>
      </c>
      <c r="K324" s="12" t="n">
        <v>0</v>
      </c>
      <c r="L324" s="11" t="n">
        <v>3600</v>
      </c>
      <c r="M324" s="11" t="n">
        <f aca="false">I324*J324*(1-K324)</f>
        <v>27500</v>
      </c>
      <c r="N324" s="11" t="n">
        <f aca="false">M324-I324*L324</f>
        <v>9500</v>
      </c>
    </row>
    <row r="325" customFormat="false" ht="15" hidden="false" customHeight="false" outlineLevel="0" collapsed="false">
      <c r="A325" s="2" t="s">
        <v>2468</v>
      </c>
      <c r="B325" s="2" t="s">
        <v>2469</v>
      </c>
      <c r="C325" s="10" t="n">
        <v>45719</v>
      </c>
      <c r="D325" s="2" t="n">
        <f aca="false">MONTH(C325)</f>
        <v>3</v>
      </c>
      <c r="E325" s="2" t="s">
        <v>81</v>
      </c>
      <c r="F325" s="2" t="s">
        <v>64</v>
      </c>
      <c r="G325" s="2" t="s">
        <v>70</v>
      </c>
      <c r="H325" s="2" t="s">
        <v>122</v>
      </c>
      <c r="I325" s="2" t="n">
        <v>2</v>
      </c>
      <c r="J325" s="11" t="n">
        <v>1500</v>
      </c>
      <c r="K325" s="12" t="n">
        <v>0.05</v>
      </c>
      <c r="L325" s="11" t="n">
        <v>900</v>
      </c>
      <c r="M325" s="11" t="n">
        <f aca="false">I325*J325*(1-K325)</f>
        <v>2850</v>
      </c>
      <c r="N325" s="11" t="n">
        <f aca="false">M325-I325*L325</f>
        <v>1050</v>
      </c>
    </row>
    <row r="326" customFormat="false" ht="15" hidden="false" customHeight="false" outlineLevel="0" collapsed="false">
      <c r="A326" s="2" t="s">
        <v>360</v>
      </c>
      <c r="B326" s="2" t="s">
        <v>361</v>
      </c>
      <c r="C326" s="10" t="n">
        <v>45720</v>
      </c>
      <c r="D326" s="2" t="n">
        <f aca="false">MONTH(C326)</f>
        <v>3</v>
      </c>
      <c r="E326" s="2" t="s">
        <v>77</v>
      </c>
      <c r="F326" s="2" t="s">
        <v>64</v>
      </c>
      <c r="G326" s="2" t="s">
        <v>73</v>
      </c>
      <c r="H326" s="2" t="s">
        <v>85</v>
      </c>
      <c r="I326" s="2" t="n">
        <v>3</v>
      </c>
      <c r="J326" s="11" t="n">
        <v>1200</v>
      </c>
      <c r="K326" s="12" t="n">
        <v>0.05</v>
      </c>
      <c r="L326" s="11" t="n">
        <v>600</v>
      </c>
      <c r="M326" s="11" t="n">
        <f aca="false">I326*J326*(1-K326)</f>
        <v>3420</v>
      </c>
      <c r="N326" s="11" t="n">
        <f aca="false">M326-I326*L326</f>
        <v>1620</v>
      </c>
    </row>
    <row r="327" customFormat="false" ht="15" hidden="false" customHeight="false" outlineLevel="0" collapsed="false">
      <c r="A327" s="2" t="s">
        <v>453</v>
      </c>
      <c r="B327" s="2" t="s">
        <v>450</v>
      </c>
      <c r="C327" s="10" t="n">
        <v>45720</v>
      </c>
      <c r="D327" s="2" t="n">
        <f aca="false">MONTH(C327)</f>
        <v>3</v>
      </c>
      <c r="E327" s="2" t="s">
        <v>77</v>
      </c>
      <c r="F327" s="2" t="s">
        <v>64</v>
      </c>
      <c r="G327" s="2" t="s">
        <v>73</v>
      </c>
      <c r="H327" s="2" t="s">
        <v>87</v>
      </c>
      <c r="I327" s="2" t="n">
        <v>1</v>
      </c>
      <c r="J327" s="11" t="n">
        <v>9000</v>
      </c>
      <c r="K327" s="12" t="n">
        <v>0</v>
      </c>
      <c r="L327" s="11" t="n">
        <v>6200</v>
      </c>
      <c r="M327" s="11" t="n">
        <f aca="false">I327*J327*(1-K327)</f>
        <v>9000</v>
      </c>
      <c r="N327" s="11" t="n">
        <f aca="false">M327-I327*L327</f>
        <v>2800</v>
      </c>
    </row>
    <row r="328" customFormat="false" ht="15" hidden="false" customHeight="false" outlineLevel="0" collapsed="false">
      <c r="A328" s="2" t="s">
        <v>990</v>
      </c>
      <c r="B328" s="2" t="s">
        <v>991</v>
      </c>
      <c r="C328" s="10" t="n">
        <v>45720</v>
      </c>
      <c r="D328" s="2" t="n">
        <f aca="false">MONTH(C328)</f>
        <v>3</v>
      </c>
      <c r="E328" s="2" t="s">
        <v>77</v>
      </c>
      <c r="F328" s="2" t="s">
        <v>64</v>
      </c>
      <c r="G328" s="2" t="s">
        <v>73</v>
      </c>
      <c r="H328" s="2" t="s">
        <v>85</v>
      </c>
      <c r="I328" s="2" t="n">
        <v>2</v>
      </c>
      <c r="J328" s="11" t="n">
        <v>1200</v>
      </c>
      <c r="K328" s="12" t="n">
        <v>0</v>
      </c>
      <c r="L328" s="11" t="n">
        <v>600</v>
      </c>
      <c r="M328" s="11" t="n">
        <f aca="false">I328*J328*(1-K328)</f>
        <v>2400</v>
      </c>
      <c r="N328" s="11" t="n">
        <f aca="false">M328-I328*L328</f>
        <v>1200</v>
      </c>
    </row>
    <row r="329" customFormat="false" ht="15" hidden="false" customHeight="false" outlineLevel="0" collapsed="false">
      <c r="A329" s="2" t="s">
        <v>2438</v>
      </c>
      <c r="B329" s="2" t="s">
        <v>2436</v>
      </c>
      <c r="C329" s="10" t="n">
        <v>45720</v>
      </c>
      <c r="D329" s="2" t="n">
        <f aca="false">MONTH(C329)</f>
        <v>3</v>
      </c>
      <c r="E329" s="2" t="s">
        <v>77</v>
      </c>
      <c r="F329" s="2" t="s">
        <v>92</v>
      </c>
      <c r="G329" s="2" t="s">
        <v>70</v>
      </c>
      <c r="H329" s="2" t="s">
        <v>71</v>
      </c>
      <c r="I329" s="2" t="n">
        <v>6</v>
      </c>
      <c r="J329" s="11" t="n">
        <v>2500</v>
      </c>
      <c r="K329" s="12" t="n">
        <v>0</v>
      </c>
      <c r="L329" s="11" t="n">
        <v>1600</v>
      </c>
      <c r="M329" s="11" t="n">
        <f aca="false">I329*J329*(1-K329)</f>
        <v>15000</v>
      </c>
      <c r="N329" s="11" t="n">
        <f aca="false">M329-I329*L329</f>
        <v>5400</v>
      </c>
    </row>
    <row r="330" customFormat="false" ht="15" hidden="false" customHeight="false" outlineLevel="0" collapsed="false">
      <c r="A330" s="2" t="s">
        <v>2489</v>
      </c>
      <c r="B330" s="2" t="s">
        <v>2486</v>
      </c>
      <c r="C330" s="10" t="n">
        <v>45720</v>
      </c>
      <c r="D330" s="2" t="n">
        <f aca="false">MONTH(C330)</f>
        <v>3</v>
      </c>
      <c r="E330" s="2" t="s">
        <v>63</v>
      </c>
      <c r="F330" s="2" t="s">
        <v>64</v>
      </c>
      <c r="G330" s="2" t="s">
        <v>70</v>
      </c>
      <c r="H330" s="2" t="s">
        <v>122</v>
      </c>
      <c r="I330" s="2" t="n">
        <v>2</v>
      </c>
      <c r="J330" s="11" t="n">
        <v>1500</v>
      </c>
      <c r="K330" s="12" t="n">
        <v>0</v>
      </c>
      <c r="L330" s="11" t="n">
        <v>900</v>
      </c>
      <c r="M330" s="11" t="n">
        <f aca="false">I330*J330*(1-K330)</f>
        <v>3000</v>
      </c>
      <c r="N330" s="11" t="n">
        <f aca="false">M330-I330*L330</f>
        <v>1200</v>
      </c>
    </row>
    <row r="331" customFormat="false" ht="15" hidden="false" customHeight="false" outlineLevel="0" collapsed="false">
      <c r="A331" s="2" t="s">
        <v>2746</v>
      </c>
      <c r="B331" s="2" t="s">
        <v>2747</v>
      </c>
      <c r="C331" s="10" t="n">
        <v>45720</v>
      </c>
      <c r="D331" s="2" t="n">
        <f aca="false">MONTH(C331)</f>
        <v>3</v>
      </c>
      <c r="E331" s="2" t="s">
        <v>63</v>
      </c>
      <c r="F331" s="2" t="s">
        <v>64</v>
      </c>
      <c r="G331" s="2" t="s">
        <v>70</v>
      </c>
      <c r="H331" s="2" t="s">
        <v>122</v>
      </c>
      <c r="I331" s="2" t="n">
        <v>3</v>
      </c>
      <c r="J331" s="11" t="n">
        <v>1500</v>
      </c>
      <c r="K331" s="12" t="n">
        <v>0.1</v>
      </c>
      <c r="L331" s="11" t="n">
        <v>900</v>
      </c>
      <c r="M331" s="11" t="n">
        <f aca="false">I331*J331*(1-K331)</f>
        <v>4050</v>
      </c>
      <c r="N331" s="11" t="n">
        <f aca="false">M331-I331*L331</f>
        <v>1350</v>
      </c>
    </row>
    <row r="332" customFormat="false" ht="15" hidden="false" customHeight="false" outlineLevel="0" collapsed="false">
      <c r="A332" s="2" t="s">
        <v>237</v>
      </c>
      <c r="B332" s="2" t="s">
        <v>236</v>
      </c>
      <c r="C332" s="10" t="n">
        <v>45721</v>
      </c>
      <c r="D332" s="2" t="n">
        <f aca="false">MONTH(C332)</f>
        <v>3</v>
      </c>
      <c r="E332" s="2" t="s">
        <v>91</v>
      </c>
      <c r="F332" s="2" t="s">
        <v>64</v>
      </c>
      <c r="G332" s="2" t="s">
        <v>65</v>
      </c>
      <c r="H332" s="2" t="s">
        <v>66</v>
      </c>
      <c r="I332" s="2" t="n">
        <v>4</v>
      </c>
      <c r="J332" s="11" t="n">
        <v>600</v>
      </c>
      <c r="K332" s="12" t="n">
        <v>0.1</v>
      </c>
      <c r="L332" s="11" t="n">
        <v>300</v>
      </c>
      <c r="M332" s="11" t="n">
        <f aca="false">I332*J332*(1-K332)</f>
        <v>2160</v>
      </c>
      <c r="N332" s="11" t="n">
        <f aca="false">M332-I332*L332</f>
        <v>960</v>
      </c>
    </row>
    <row r="333" customFormat="false" ht="15" hidden="false" customHeight="false" outlineLevel="0" collapsed="false">
      <c r="A333" s="2" t="s">
        <v>704</v>
      </c>
      <c r="B333" s="2" t="s">
        <v>703</v>
      </c>
      <c r="C333" s="10" t="n">
        <v>45721</v>
      </c>
      <c r="D333" s="2" t="n">
        <f aca="false">MONTH(C333)</f>
        <v>3</v>
      </c>
      <c r="E333" s="2" t="s">
        <v>63</v>
      </c>
      <c r="F333" s="2" t="s">
        <v>64</v>
      </c>
      <c r="G333" s="2" t="s">
        <v>70</v>
      </c>
      <c r="H333" s="2" t="s">
        <v>122</v>
      </c>
      <c r="I333" s="2" t="n">
        <v>1</v>
      </c>
      <c r="J333" s="11" t="n">
        <v>1500</v>
      </c>
      <c r="K333" s="12" t="n">
        <v>0.05</v>
      </c>
      <c r="L333" s="11" t="n">
        <v>900</v>
      </c>
      <c r="M333" s="11" t="n">
        <f aca="false">I333*J333*(1-K333)</f>
        <v>1425</v>
      </c>
      <c r="N333" s="11" t="n">
        <f aca="false">M333-I333*L333</f>
        <v>525</v>
      </c>
    </row>
    <row r="334" customFormat="false" ht="15" hidden="false" customHeight="false" outlineLevel="0" collapsed="false">
      <c r="A334" s="2" t="s">
        <v>977</v>
      </c>
      <c r="B334" s="2" t="s">
        <v>976</v>
      </c>
      <c r="C334" s="10" t="n">
        <v>45721</v>
      </c>
      <c r="D334" s="2" t="n">
        <f aca="false">MONTH(C334)</f>
        <v>3</v>
      </c>
      <c r="E334" s="2" t="s">
        <v>77</v>
      </c>
      <c r="F334" s="2" t="s">
        <v>69</v>
      </c>
      <c r="G334" s="2" t="s">
        <v>73</v>
      </c>
      <c r="H334" s="2" t="s">
        <v>104</v>
      </c>
      <c r="I334" s="2" t="n">
        <v>5</v>
      </c>
      <c r="J334" s="11" t="n">
        <v>5500</v>
      </c>
      <c r="K334" s="12" t="n">
        <v>0.1</v>
      </c>
      <c r="L334" s="11" t="n">
        <v>3600</v>
      </c>
      <c r="M334" s="11" t="n">
        <f aca="false">I334*J334*(1-K334)</f>
        <v>24750</v>
      </c>
      <c r="N334" s="11" t="n">
        <f aca="false">M334-I334*L334</f>
        <v>6750</v>
      </c>
    </row>
    <row r="335" customFormat="false" ht="15" hidden="false" customHeight="false" outlineLevel="0" collapsed="false">
      <c r="A335" s="2" t="s">
        <v>1337</v>
      </c>
      <c r="B335" s="2" t="s">
        <v>1338</v>
      </c>
      <c r="C335" s="10" t="n">
        <v>45721</v>
      </c>
      <c r="D335" s="2" t="n">
        <f aca="false">MONTH(C335)</f>
        <v>3</v>
      </c>
      <c r="E335" s="2" t="s">
        <v>91</v>
      </c>
      <c r="F335" s="2" t="s">
        <v>64</v>
      </c>
      <c r="G335" s="2" t="s">
        <v>73</v>
      </c>
      <c r="H335" s="2" t="s">
        <v>87</v>
      </c>
      <c r="I335" s="2" t="n">
        <v>3</v>
      </c>
      <c r="J335" s="11" t="n">
        <v>9000</v>
      </c>
      <c r="K335" s="12" t="n">
        <v>0.1</v>
      </c>
      <c r="L335" s="11" t="n">
        <v>6200</v>
      </c>
      <c r="M335" s="11" t="n">
        <f aca="false">I335*J335*(1-K335)</f>
        <v>24300</v>
      </c>
      <c r="N335" s="11" t="n">
        <f aca="false">M335-I335*L335</f>
        <v>5700</v>
      </c>
    </row>
    <row r="336" customFormat="false" ht="15" hidden="false" customHeight="false" outlineLevel="0" collapsed="false">
      <c r="A336" s="2" t="s">
        <v>1620</v>
      </c>
      <c r="B336" s="2" t="s">
        <v>1621</v>
      </c>
      <c r="C336" s="10" t="n">
        <v>45721</v>
      </c>
      <c r="D336" s="2" t="n">
        <f aca="false">MONTH(C336)</f>
        <v>3</v>
      </c>
      <c r="E336" s="2" t="s">
        <v>77</v>
      </c>
      <c r="F336" s="2" t="s">
        <v>92</v>
      </c>
      <c r="G336" s="2" t="s">
        <v>73</v>
      </c>
      <c r="H336" s="2" t="s">
        <v>74</v>
      </c>
      <c r="I336" s="2" t="n">
        <v>4</v>
      </c>
      <c r="J336" s="11" t="n">
        <v>7000</v>
      </c>
      <c r="K336" s="12" t="n">
        <v>0.05</v>
      </c>
      <c r="L336" s="11" t="n">
        <v>4800</v>
      </c>
      <c r="M336" s="11" t="n">
        <f aca="false">I336*J336*(1-K336)</f>
        <v>26600</v>
      </c>
      <c r="N336" s="11" t="n">
        <f aca="false">M336-I336*L336</f>
        <v>7400</v>
      </c>
    </row>
    <row r="337" customFormat="false" ht="15" hidden="false" customHeight="false" outlineLevel="0" collapsed="false">
      <c r="A337" s="2" t="s">
        <v>2122</v>
      </c>
      <c r="B337" s="2" t="s">
        <v>2123</v>
      </c>
      <c r="C337" s="10" t="n">
        <v>45721</v>
      </c>
      <c r="D337" s="2" t="n">
        <f aca="false">MONTH(C337)</f>
        <v>3</v>
      </c>
      <c r="E337" s="2" t="s">
        <v>63</v>
      </c>
      <c r="F337" s="2" t="s">
        <v>64</v>
      </c>
      <c r="G337" s="2" t="s">
        <v>70</v>
      </c>
      <c r="H337" s="2" t="s">
        <v>126</v>
      </c>
      <c r="I337" s="2" t="n">
        <v>1</v>
      </c>
      <c r="J337" s="11" t="n">
        <v>4500</v>
      </c>
      <c r="K337" s="12" t="n">
        <v>0.1</v>
      </c>
      <c r="L337" s="11" t="n">
        <v>3300</v>
      </c>
      <c r="M337" s="11" t="n">
        <f aca="false">I337*J337*(1-K337)</f>
        <v>4050</v>
      </c>
      <c r="N337" s="11" t="n">
        <f aca="false">M337-I337*L337</f>
        <v>750</v>
      </c>
    </row>
    <row r="338" customFormat="false" ht="15" hidden="false" customHeight="false" outlineLevel="0" collapsed="false">
      <c r="A338" s="2" t="s">
        <v>2432</v>
      </c>
      <c r="B338" s="2" t="s">
        <v>2433</v>
      </c>
      <c r="C338" s="10" t="n">
        <v>45721</v>
      </c>
      <c r="D338" s="2" t="n">
        <f aca="false">MONTH(C338)</f>
        <v>3</v>
      </c>
      <c r="E338" s="2" t="s">
        <v>81</v>
      </c>
      <c r="F338" s="2" t="s">
        <v>64</v>
      </c>
      <c r="G338" s="2" t="s">
        <v>65</v>
      </c>
      <c r="H338" s="2" t="s">
        <v>107</v>
      </c>
      <c r="I338" s="2" t="n">
        <v>3</v>
      </c>
      <c r="J338" s="11" t="n">
        <v>500</v>
      </c>
      <c r="K338" s="12" t="n">
        <v>0</v>
      </c>
      <c r="L338" s="11" t="n">
        <v>250</v>
      </c>
      <c r="M338" s="11" t="n">
        <f aca="false">I338*J338*(1-K338)</f>
        <v>1500</v>
      </c>
      <c r="N338" s="11" t="n">
        <f aca="false">M338-I338*L338</f>
        <v>750</v>
      </c>
    </row>
    <row r="339" customFormat="false" ht="15" hidden="false" customHeight="false" outlineLevel="0" collapsed="false">
      <c r="A339" s="2" t="s">
        <v>2740</v>
      </c>
      <c r="B339" s="2" t="s">
        <v>2741</v>
      </c>
      <c r="C339" s="10" t="n">
        <v>45721</v>
      </c>
      <c r="D339" s="2" t="n">
        <f aca="false">MONTH(C339)</f>
        <v>3</v>
      </c>
      <c r="E339" s="2" t="s">
        <v>91</v>
      </c>
      <c r="F339" s="2" t="s">
        <v>64</v>
      </c>
      <c r="G339" s="2" t="s">
        <v>70</v>
      </c>
      <c r="H339" s="2" t="s">
        <v>126</v>
      </c>
      <c r="I339" s="2" t="n">
        <v>1</v>
      </c>
      <c r="J339" s="11" t="n">
        <v>4500</v>
      </c>
      <c r="K339" s="12" t="n">
        <v>0.05</v>
      </c>
      <c r="L339" s="11" t="n">
        <v>3300</v>
      </c>
      <c r="M339" s="11" t="n">
        <f aca="false">I339*J339*(1-K339)</f>
        <v>4275</v>
      </c>
      <c r="N339" s="11" t="n">
        <f aca="false">M339-I339*L339</f>
        <v>975</v>
      </c>
    </row>
    <row r="340" customFormat="false" ht="15" hidden="false" customHeight="false" outlineLevel="0" collapsed="false">
      <c r="A340" s="2" t="s">
        <v>179</v>
      </c>
      <c r="B340" s="2" t="s">
        <v>175</v>
      </c>
      <c r="C340" s="10" t="n">
        <v>45722</v>
      </c>
      <c r="D340" s="2" t="n">
        <f aca="false">MONTH(C340)</f>
        <v>3</v>
      </c>
      <c r="E340" s="2" t="s">
        <v>77</v>
      </c>
      <c r="F340" s="2" t="s">
        <v>64</v>
      </c>
      <c r="G340" s="2" t="s">
        <v>73</v>
      </c>
      <c r="H340" s="2" t="s">
        <v>74</v>
      </c>
      <c r="I340" s="2" t="n">
        <v>2</v>
      </c>
      <c r="J340" s="11" t="n">
        <v>7000</v>
      </c>
      <c r="K340" s="12" t="n">
        <v>0</v>
      </c>
      <c r="L340" s="11" t="n">
        <v>4800</v>
      </c>
      <c r="M340" s="11" t="n">
        <f aca="false">I340*J340*(1-K340)</f>
        <v>14000</v>
      </c>
      <c r="N340" s="11" t="n">
        <f aca="false">M340-I340*L340</f>
        <v>4400</v>
      </c>
    </row>
    <row r="341" customFormat="false" ht="15" hidden="false" customHeight="false" outlineLevel="0" collapsed="false">
      <c r="A341" s="2" t="s">
        <v>1772</v>
      </c>
      <c r="B341" s="2" t="s">
        <v>1770</v>
      </c>
      <c r="C341" s="10" t="n">
        <v>45722</v>
      </c>
      <c r="D341" s="2" t="n">
        <f aca="false">MONTH(C341)</f>
        <v>3</v>
      </c>
      <c r="E341" s="2" t="s">
        <v>81</v>
      </c>
      <c r="F341" s="2" t="s">
        <v>69</v>
      </c>
      <c r="G341" s="2" t="s">
        <v>70</v>
      </c>
      <c r="H341" s="2" t="s">
        <v>126</v>
      </c>
      <c r="I341" s="2" t="n">
        <v>4</v>
      </c>
      <c r="J341" s="11" t="n">
        <v>4500</v>
      </c>
      <c r="K341" s="12" t="n">
        <v>0.1</v>
      </c>
      <c r="L341" s="11" t="n">
        <v>3300</v>
      </c>
      <c r="M341" s="11" t="n">
        <f aca="false">I341*J341*(1-K341)</f>
        <v>16200</v>
      </c>
      <c r="N341" s="11" t="n">
        <f aca="false">M341-I341*L341</f>
        <v>3000</v>
      </c>
    </row>
    <row r="342" customFormat="false" ht="15" hidden="false" customHeight="false" outlineLevel="0" collapsed="false">
      <c r="A342" s="2" t="s">
        <v>1794</v>
      </c>
      <c r="B342" s="2" t="s">
        <v>1795</v>
      </c>
      <c r="C342" s="10" t="n">
        <v>45722</v>
      </c>
      <c r="D342" s="2" t="n">
        <f aca="false">MONTH(C342)</f>
        <v>3</v>
      </c>
      <c r="E342" s="2" t="s">
        <v>63</v>
      </c>
      <c r="F342" s="2" t="s">
        <v>64</v>
      </c>
      <c r="G342" s="2" t="s">
        <v>70</v>
      </c>
      <c r="H342" s="2" t="s">
        <v>126</v>
      </c>
      <c r="I342" s="2" t="n">
        <v>1</v>
      </c>
      <c r="J342" s="11" t="n">
        <v>4500</v>
      </c>
      <c r="K342" s="12" t="n">
        <v>0.05</v>
      </c>
      <c r="L342" s="11" t="n">
        <v>3300</v>
      </c>
      <c r="M342" s="11" t="n">
        <f aca="false">I342*J342*(1-K342)</f>
        <v>4275</v>
      </c>
      <c r="N342" s="11" t="n">
        <f aca="false">M342-I342*L342</f>
        <v>975</v>
      </c>
    </row>
    <row r="343" customFormat="false" ht="15" hidden="false" customHeight="false" outlineLevel="0" collapsed="false">
      <c r="A343" s="2" t="s">
        <v>1809</v>
      </c>
      <c r="B343" s="2" t="s">
        <v>1805</v>
      </c>
      <c r="C343" s="10" t="n">
        <v>45722</v>
      </c>
      <c r="D343" s="2" t="n">
        <f aca="false">MONTH(C343)</f>
        <v>3</v>
      </c>
      <c r="E343" s="2" t="s">
        <v>91</v>
      </c>
      <c r="F343" s="2" t="s">
        <v>64</v>
      </c>
      <c r="G343" s="2" t="s">
        <v>73</v>
      </c>
      <c r="H343" s="2" t="s">
        <v>74</v>
      </c>
      <c r="I343" s="2" t="n">
        <v>1</v>
      </c>
      <c r="J343" s="11" t="n">
        <v>7000</v>
      </c>
      <c r="K343" s="12" t="n">
        <v>0</v>
      </c>
      <c r="L343" s="11" t="n">
        <v>4800</v>
      </c>
      <c r="M343" s="11" t="n">
        <f aca="false">I343*J343*(1-K343)</f>
        <v>7000</v>
      </c>
      <c r="N343" s="11" t="n">
        <f aca="false">M343-I343*L343</f>
        <v>2200</v>
      </c>
    </row>
    <row r="344" customFormat="false" ht="15" hidden="false" customHeight="false" outlineLevel="0" collapsed="false">
      <c r="A344" s="2" t="s">
        <v>960</v>
      </c>
      <c r="B344" s="2" t="s">
        <v>956</v>
      </c>
      <c r="C344" s="10" t="n">
        <v>45723</v>
      </c>
      <c r="D344" s="2" t="n">
        <f aca="false">MONTH(C344)</f>
        <v>3</v>
      </c>
      <c r="E344" s="2" t="s">
        <v>91</v>
      </c>
      <c r="F344" s="2" t="s">
        <v>69</v>
      </c>
      <c r="G344" s="2" t="s">
        <v>73</v>
      </c>
      <c r="H344" s="2" t="s">
        <v>87</v>
      </c>
      <c r="I344" s="2" t="n">
        <v>3</v>
      </c>
      <c r="J344" s="11" t="n">
        <v>9000</v>
      </c>
      <c r="K344" s="12" t="n">
        <v>0</v>
      </c>
      <c r="L344" s="11" t="n">
        <v>6200</v>
      </c>
      <c r="M344" s="11" t="n">
        <f aca="false">I344*J344*(1-K344)</f>
        <v>27000</v>
      </c>
      <c r="N344" s="11" t="n">
        <f aca="false">M344-I344*L344</f>
        <v>8400</v>
      </c>
    </row>
    <row r="345" customFormat="false" ht="15" hidden="false" customHeight="false" outlineLevel="0" collapsed="false">
      <c r="A345" s="2" t="s">
        <v>1791</v>
      </c>
      <c r="B345" s="2" t="s">
        <v>1789</v>
      </c>
      <c r="C345" s="10" t="n">
        <v>45723</v>
      </c>
      <c r="D345" s="2" t="n">
        <f aca="false">MONTH(C345)</f>
        <v>3</v>
      </c>
      <c r="E345" s="2" t="s">
        <v>77</v>
      </c>
      <c r="F345" s="2" t="s">
        <v>64</v>
      </c>
      <c r="G345" s="2" t="s">
        <v>65</v>
      </c>
      <c r="H345" s="2" t="s">
        <v>66</v>
      </c>
      <c r="I345" s="2" t="n">
        <v>5</v>
      </c>
      <c r="J345" s="11" t="n">
        <v>600</v>
      </c>
      <c r="K345" s="12" t="n">
        <v>0</v>
      </c>
      <c r="L345" s="11" t="n">
        <v>300</v>
      </c>
      <c r="M345" s="11" t="n">
        <f aca="false">I345*J345*(1-K345)</f>
        <v>3000</v>
      </c>
      <c r="N345" s="11" t="n">
        <f aca="false">M345-I345*L345</f>
        <v>1500</v>
      </c>
    </row>
    <row r="346" customFormat="false" ht="15" hidden="false" customHeight="false" outlineLevel="0" collapsed="false">
      <c r="A346" s="2" t="s">
        <v>1905</v>
      </c>
      <c r="B346" s="2" t="s">
        <v>1901</v>
      </c>
      <c r="C346" s="10" t="n">
        <v>45723</v>
      </c>
      <c r="D346" s="2" t="n">
        <f aca="false">MONTH(C346)</f>
        <v>3</v>
      </c>
      <c r="E346" s="2" t="s">
        <v>63</v>
      </c>
      <c r="F346" s="2" t="s">
        <v>64</v>
      </c>
      <c r="G346" s="2" t="s">
        <v>73</v>
      </c>
      <c r="H346" s="2" t="s">
        <v>85</v>
      </c>
      <c r="I346" s="2" t="n">
        <v>2</v>
      </c>
      <c r="J346" s="11" t="n">
        <v>1200</v>
      </c>
      <c r="K346" s="12" t="n">
        <v>0</v>
      </c>
      <c r="L346" s="11" t="n">
        <v>600</v>
      </c>
      <c r="M346" s="11" t="n">
        <f aca="false">I346*J346*(1-K346)</f>
        <v>2400</v>
      </c>
      <c r="N346" s="11" t="n">
        <f aca="false">M346-I346*L346</f>
        <v>1200</v>
      </c>
    </row>
    <row r="347" customFormat="false" ht="15" hidden="false" customHeight="false" outlineLevel="0" collapsed="false">
      <c r="A347" s="2" t="s">
        <v>2983</v>
      </c>
      <c r="B347" s="2" t="s">
        <v>2980</v>
      </c>
      <c r="C347" s="10" t="n">
        <v>45723</v>
      </c>
      <c r="D347" s="2" t="n">
        <f aca="false">MONTH(C347)</f>
        <v>3</v>
      </c>
      <c r="E347" s="2" t="s">
        <v>77</v>
      </c>
      <c r="F347" s="2" t="s">
        <v>92</v>
      </c>
      <c r="G347" s="2" t="s">
        <v>65</v>
      </c>
      <c r="H347" s="2" t="s">
        <v>78</v>
      </c>
      <c r="I347" s="2" t="n">
        <v>34</v>
      </c>
      <c r="J347" s="11" t="n">
        <v>400</v>
      </c>
      <c r="K347" s="12" t="n">
        <v>0.05</v>
      </c>
      <c r="L347" s="11" t="n">
        <v>200</v>
      </c>
      <c r="M347" s="11" t="n">
        <f aca="false">I347*J347*(1-K347)</f>
        <v>12920</v>
      </c>
      <c r="N347" s="11" t="n">
        <f aca="false">M347-I347*L347</f>
        <v>6120</v>
      </c>
    </row>
    <row r="348" customFormat="false" ht="15" hidden="false" customHeight="false" outlineLevel="0" collapsed="false">
      <c r="A348" s="2" t="s">
        <v>147</v>
      </c>
      <c r="B348" s="2" t="s">
        <v>145</v>
      </c>
      <c r="C348" s="10" t="n">
        <v>45724</v>
      </c>
      <c r="D348" s="2" t="n">
        <f aca="false">MONTH(C348)</f>
        <v>3</v>
      </c>
      <c r="E348" s="2" t="s">
        <v>91</v>
      </c>
      <c r="F348" s="2" t="s">
        <v>92</v>
      </c>
      <c r="G348" s="2" t="s">
        <v>73</v>
      </c>
      <c r="H348" s="2" t="s">
        <v>104</v>
      </c>
      <c r="I348" s="2" t="n">
        <v>3</v>
      </c>
      <c r="J348" s="11" t="n">
        <v>5500</v>
      </c>
      <c r="K348" s="12" t="n">
        <v>0</v>
      </c>
      <c r="L348" s="11" t="n">
        <v>3600</v>
      </c>
      <c r="M348" s="11" t="n">
        <f aca="false">I348*J348*(1-K348)</f>
        <v>16500</v>
      </c>
      <c r="N348" s="11" t="n">
        <f aca="false">M348-I348*L348</f>
        <v>5700</v>
      </c>
    </row>
    <row r="349" customFormat="false" ht="15" hidden="false" customHeight="false" outlineLevel="0" collapsed="false">
      <c r="A349" s="2" t="s">
        <v>344</v>
      </c>
      <c r="B349" s="2" t="s">
        <v>345</v>
      </c>
      <c r="C349" s="10" t="n">
        <v>45724</v>
      </c>
      <c r="D349" s="2" t="n">
        <f aca="false">MONTH(C349)</f>
        <v>3</v>
      </c>
      <c r="E349" s="2" t="s">
        <v>77</v>
      </c>
      <c r="F349" s="2" t="s">
        <v>69</v>
      </c>
      <c r="G349" s="2" t="s">
        <v>65</v>
      </c>
      <c r="H349" s="2" t="s">
        <v>66</v>
      </c>
      <c r="I349" s="2" t="n">
        <v>13</v>
      </c>
      <c r="J349" s="11" t="n">
        <v>600</v>
      </c>
      <c r="K349" s="12" t="n">
        <v>0.05</v>
      </c>
      <c r="L349" s="11" t="n">
        <v>300</v>
      </c>
      <c r="M349" s="11" t="n">
        <f aca="false">I349*J349*(1-K349)</f>
        <v>7410</v>
      </c>
      <c r="N349" s="11" t="n">
        <f aca="false">M349-I349*L349</f>
        <v>3510</v>
      </c>
    </row>
    <row r="350" customFormat="false" ht="15" hidden="false" customHeight="false" outlineLevel="0" collapsed="false">
      <c r="A350" s="2" t="s">
        <v>414</v>
      </c>
      <c r="B350" s="2" t="s">
        <v>413</v>
      </c>
      <c r="C350" s="10" t="n">
        <v>45724</v>
      </c>
      <c r="D350" s="2" t="n">
        <f aca="false">MONTH(C350)</f>
        <v>3</v>
      </c>
      <c r="E350" s="2" t="s">
        <v>77</v>
      </c>
      <c r="F350" s="2" t="s">
        <v>69</v>
      </c>
      <c r="G350" s="2" t="s">
        <v>65</v>
      </c>
      <c r="H350" s="2" t="s">
        <v>66</v>
      </c>
      <c r="I350" s="2" t="n">
        <v>5</v>
      </c>
      <c r="J350" s="11" t="n">
        <v>600</v>
      </c>
      <c r="K350" s="12" t="n">
        <v>0</v>
      </c>
      <c r="L350" s="11" t="n">
        <v>300</v>
      </c>
      <c r="M350" s="11" t="n">
        <f aca="false">I350*J350*(1-K350)</f>
        <v>3000</v>
      </c>
      <c r="N350" s="11" t="n">
        <f aca="false">M350-I350*L350</f>
        <v>1500</v>
      </c>
    </row>
    <row r="351" customFormat="false" ht="15" hidden="false" customHeight="false" outlineLevel="0" collapsed="false">
      <c r="A351" s="2" t="s">
        <v>1852</v>
      </c>
      <c r="B351" s="2" t="s">
        <v>1843</v>
      </c>
      <c r="C351" s="10" t="n">
        <v>45724</v>
      </c>
      <c r="D351" s="2" t="n">
        <f aca="false">MONTH(C351)</f>
        <v>3</v>
      </c>
      <c r="E351" s="2" t="s">
        <v>63</v>
      </c>
      <c r="F351" s="2" t="s">
        <v>64</v>
      </c>
      <c r="G351" s="2" t="s">
        <v>65</v>
      </c>
      <c r="H351" s="2" t="s">
        <v>107</v>
      </c>
      <c r="I351" s="2" t="n">
        <v>5</v>
      </c>
      <c r="J351" s="11" t="n">
        <v>500</v>
      </c>
      <c r="K351" s="12" t="n">
        <v>0.05</v>
      </c>
      <c r="L351" s="11" t="n">
        <v>250</v>
      </c>
      <c r="M351" s="11" t="n">
        <f aca="false">I351*J351*(1-K351)</f>
        <v>2375</v>
      </c>
      <c r="N351" s="11" t="n">
        <f aca="false">M351-I351*L351</f>
        <v>1125</v>
      </c>
    </row>
    <row r="352" customFormat="false" ht="15" hidden="false" customHeight="false" outlineLevel="0" collapsed="false">
      <c r="A352" s="2" t="s">
        <v>1915</v>
      </c>
      <c r="B352" s="2" t="s">
        <v>1916</v>
      </c>
      <c r="C352" s="10" t="n">
        <v>45724</v>
      </c>
      <c r="D352" s="2" t="n">
        <f aca="false">MONTH(C352)</f>
        <v>3</v>
      </c>
      <c r="E352" s="2" t="s">
        <v>63</v>
      </c>
      <c r="F352" s="2" t="s">
        <v>64</v>
      </c>
      <c r="G352" s="2" t="s">
        <v>73</v>
      </c>
      <c r="H352" s="2" t="s">
        <v>74</v>
      </c>
      <c r="I352" s="2" t="n">
        <v>3</v>
      </c>
      <c r="J352" s="11" t="n">
        <v>7000</v>
      </c>
      <c r="K352" s="12" t="n">
        <v>0</v>
      </c>
      <c r="L352" s="11" t="n">
        <v>4800</v>
      </c>
      <c r="M352" s="11" t="n">
        <f aca="false">I352*J352*(1-K352)</f>
        <v>21000</v>
      </c>
      <c r="N352" s="11" t="n">
        <f aca="false">M352-I352*L352</f>
        <v>6600</v>
      </c>
    </row>
    <row r="353" customFormat="false" ht="15" hidden="false" customHeight="false" outlineLevel="0" collapsed="false">
      <c r="A353" s="2" t="s">
        <v>2227</v>
      </c>
      <c r="B353" s="2" t="s">
        <v>2226</v>
      </c>
      <c r="C353" s="10" t="n">
        <v>45724</v>
      </c>
      <c r="D353" s="2" t="n">
        <f aca="false">MONTH(C353)</f>
        <v>3</v>
      </c>
      <c r="E353" s="2" t="s">
        <v>81</v>
      </c>
      <c r="F353" s="2" t="s">
        <v>92</v>
      </c>
      <c r="G353" s="2" t="s">
        <v>73</v>
      </c>
      <c r="H353" s="2" t="s">
        <v>74</v>
      </c>
      <c r="I353" s="2" t="n">
        <v>7</v>
      </c>
      <c r="J353" s="11" t="n">
        <v>7000</v>
      </c>
      <c r="K353" s="12" t="n">
        <v>0.1</v>
      </c>
      <c r="L353" s="11" t="n">
        <v>4800</v>
      </c>
      <c r="M353" s="11" t="n">
        <f aca="false">I353*J353*(1-K353)</f>
        <v>44100</v>
      </c>
      <c r="N353" s="11" t="n">
        <f aca="false">M353-I353*L353</f>
        <v>10500</v>
      </c>
    </row>
    <row r="354" customFormat="false" ht="15" hidden="false" customHeight="false" outlineLevel="0" collapsed="false">
      <c r="A354" s="2" t="s">
        <v>2314</v>
      </c>
      <c r="B354" s="2" t="s">
        <v>2315</v>
      </c>
      <c r="C354" s="10" t="n">
        <v>45724</v>
      </c>
      <c r="D354" s="2" t="n">
        <f aca="false">MONTH(C354)</f>
        <v>3</v>
      </c>
      <c r="E354" s="2" t="s">
        <v>91</v>
      </c>
      <c r="F354" s="2" t="s">
        <v>64</v>
      </c>
      <c r="G354" s="2" t="s">
        <v>65</v>
      </c>
      <c r="H354" s="2" t="s">
        <v>78</v>
      </c>
      <c r="I354" s="2" t="n">
        <v>8</v>
      </c>
      <c r="J354" s="11" t="n">
        <v>400</v>
      </c>
      <c r="K354" s="12" t="n">
        <v>0.1</v>
      </c>
      <c r="L354" s="11" t="n">
        <v>200</v>
      </c>
      <c r="M354" s="11" t="n">
        <f aca="false">I354*J354*(1-K354)</f>
        <v>2880</v>
      </c>
      <c r="N354" s="11" t="n">
        <f aca="false">M354-I354*L354</f>
        <v>1280</v>
      </c>
    </row>
    <row r="355" customFormat="false" ht="15" hidden="false" customHeight="false" outlineLevel="0" collapsed="false">
      <c r="A355" s="2" t="s">
        <v>615</v>
      </c>
      <c r="B355" s="2" t="s">
        <v>616</v>
      </c>
      <c r="C355" s="10" t="n">
        <v>45725</v>
      </c>
      <c r="D355" s="2" t="n">
        <f aca="false">MONTH(C355)</f>
        <v>3</v>
      </c>
      <c r="E355" s="2" t="s">
        <v>81</v>
      </c>
      <c r="F355" s="2" t="s">
        <v>64</v>
      </c>
      <c r="G355" s="2" t="s">
        <v>65</v>
      </c>
      <c r="H355" s="2" t="s">
        <v>78</v>
      </c>
      <c r="I355" s="2" t="n">
        <v>7</v>
      </c>
      <c r="J355" s="11" t="n">
        <v>400</v>
      </c>
      <c r="K355" s="12" t="n">
        <v>0</v>
      </c>
      <c r="L355" s="11" t="n">
        <v>200</v>
      </c>
      <c r="M355" s="11" t="n">
        <f aca="false">I355*J355*(1-K355)</f>
        <v>2800</v>
      </c>
      <c r="N355" s="11" t="n">
        <f aca="false">M355-I355*L355</f>
        <v>1400</v>
      </c>
    </row>
    <row r="356" customFormat="false" ht="15" hidden="false" customHeight="false" outlineLevel="0" collapsed="false">
      <c r="A356" s="2" t="s">
        <v>720</v>
      </c>
      <c r="B356" s="2" t="s">
        <v>721</v>
      </c>
      <c r="C356" s="10" t="n">
        <v>45725</v>
      </c>
      <c r="D356" s="2" t="n">
        <f aca="false">MONTH(C356)</f>
        <v>3</v>
      </c>
      <c r="E356" s="2" t="s">
        <v>81</v>
      </c>
      <c r="F356" s="2" t="s">
        <v>64</v>
      </c>
      <c r="G356" s="2" t="s">
        <v>65</v>
      </c>
      <c r="H356" s="2" t="s">
        <v>78</v>
      </c>
      <c r="I356" s="2" t="n">
        <v>8</v>
      </c>
      <c r="J356" s="11" t="n">
        <v>400</v>
      </c>
      <c r="K356" s="12" t="n">
        <v>0.1</v>
      </c>
      <c r="L356" s="11" t="n">
        <v>200</v>
      </c>
      <c r="M356" s="11" t="n">
        <f aca="false">I356*J356*(1-K356)</f>
        <v>2880</v>
      </c>
      <c r="N356" s="11" t="n">
        <f aca="false">M356-I356*L356</f>
        <v>1280</v>
      </c>
    </row>
    <row r="357" customFormat="false" ht="15" hidden="false" customHeight="false" outlineLevel="0" collapsed="false">
      <c r="A357" s="2" t="s">
        <v>2641</v>
      </c>
      <c r="B357" s="2" t="s">
        <v>2640</v>
      </c>
      <c r="C357" s="10" t="n">
        <v>45725</v>
      </c>
      <c r="D357" s="2" t="n">
        <f aca="false">MONTH(C357)</f>
        <v>3</v>
      </c>
      <c r="E357" s="2" t="s">
        <v>91</v>
      </c>
      <c r="F357" s="2" t="s">
        <v>92</v>
      </c>
      <c r="G357" s="2" t="s">
        <v>73</v>
      </c>
      <c r="H357" s="2" t="s">
        <v>104</v>
      </c>
      <c r="I357" s="2" t="n">
        <v>8</v>
      </c>
      <c r="J357" s="11" t="n">
        <v>5500</v>
      </c>
      <c r="K357" s="12" t="n">
        <v>0.05</v>
      </c>
      <c r="L357" s="11" t="n">
        <v>3600</v>
      </c>
      <c r="M357" s="11" t="n">
        <f aca="false">I357*J357*(1-K357)</f>
        <v>41800</v>
      </c>
      <c r="N357" s="11" t="n">
        <f aca="false">M357-I357*L357</f>
        <v>13000</v>
      </c>
    </row>
    <row r="358" customFormat="false" ht="15" hidden="false" customHeight="false" outlineLevel="0" collapsed="false">
      <c r="A358" s="2" t="s">
        <v>613</v>
      </c>
      <c r="B358" s="2" t="s">
        <v>614</v>
      </c>
      <c r="C358" s="10" t="n">
        <v>45726</v>
      </c>
      <c r="D358" s="2" t="n">
        <f aca="false">MONTH(C358)</f>
        <v>3</v>
      </c>
      <c r="E358" s="2" t="s">
        <v>77</v>
      </c>
      <c r="F358" s="2" t="s">
        <v>69</v>
      </c>
      <c r="G358" s="2" t="s">
        <v>65</v>
      </c>
      <c r="H358" s="2" t="s">
        <v>107</v>
      </c>
      <c r="I358" s="2" t="n">
        <v>17</v>
      </c>
      <c r="J358" s="11" t="n">
        <v>500</v>
      </c>
      <c r="K358" s="12" t="n">
        <v>0</v>
      </c>
      <c r="L358" s="11" t="n">
        <v>250</v>
      </c>
      <c r="M358" s="11" t="n">
        <f aca="false">I358*J358*(1-K358)</f>
        <v>8500</v>
      </c>
      <c r="N358" s="11" t="n">
        <f aca="false">M358-I358*L358</f>
        <v>4250</v>
      </c>
    </row>
    <row r="359" customFormat="false" ht="15" hidden="false" customHeight="false" outlineLevel="0" collapsed="false">
      <c r="A359" s="2" t="s">
        <v>739</v>
      </c>
      <c r="B359" s="2" t="s">
        <v>737</v>
      </c>
      <c r="C359" s="10" t="n">
        <v>45726</v>
      </c>
      <c r="D359" s="2" t="n">
        <f aca="false">MONTH(C359)</f>
        <v>3</v>
      </c>
      <c r="E359" s="2" t="s">
        <v>63</v>
      </c>
      <c r="F359" s="2" t="s">
        <v>64</v>
      </c>
      <c r="G359" s="2" t="s">
        <v>73</v>
      </c>
      <c r="H359" s="2" t="s">
        <v>104</v>
      </c>
      <c r="I359" s="2" t="n">
        <v>2</v>
      </c>
      <c r="J359" s="11" t="n">
        <v>5500</v>
      </c>
      <c r="K359" s="12" t="n">
        <v>0</v>
      </c>
      <c r="L359" s="11" t="n">
        <v>3600</v>
      </c>
      <c r="M359" s="11" t="n">
        <f aca="false">I359*J359*(1-K359)</f>
        <v>11000</v>
      </c>
      <c r="N359" s="11" t="n">
        <f aca="false">M359-I359*L359</f>
        <v>3800</v>
      </c>
    </row>
    <row r="360" customFormat="false" ht="15" hidden="false" customHeight="false" outlineLevel="0" collapsed="false">
      <c r="A360" s="2" t="s">
        <v>867</v>
      </c>
      <c r="B360" s="2" t="s">
        <v>864</v>
      </c>
      <c r="C360" s="10" t="n">
        <v>45726</v>
      </c>
      <c r="D360" s="2" t="n">
        <f aca="false">MONTH(C360)</f>
        <v>3</v>
      </c>
      <c r="E360" s="2" t="s">
        <v>91</v>
      </c>
      <c r="F360" s="2" t="s">
        <v>64</v>
      </c>
      <c r="G360" s="2" t="s">
        <v>73</v>
      </c>
      <c r="H360" s="2" t="s">
        <v>104</v>
      </c>
      <c r="I360" s="2" t="n">
        <v>2</v>
      </c>
      <c r="J360" s="11" t="n">
        <v>5500</v>
      </c>
      <c r="K360" s="12" t="n">
        <v>0</v>
      </c>
      <c r="L360" s="11" t="n">
        <v>3600</v>
      </c>
      <c r="M360" s="11" t="n">
        <f aca="false">I360*J360*(1-K360)</f>
        <v>11000</v>
      </c>
      <c r="N360" s="11" t="n">
        <f aca="false">M360-I360*L360</f>
        <v>3800</v>
      </c>
    </row>
    <row r="361" customFormat="false" ht="15" hidden="false" customHeight="false" outlineLevel="0" collapsed="false">
      <c r="A361" s="2" t="s">
        <v>1946</v>
      </c>
      <c r="B361" s="2" t="s">
        <v>1945</v>
      </c>
      <c r="C361" s="10" t="n">
        <v>45726</v>
      </c>
      <c r="D361" s="2" t="n">
        <f aca="false">MONTH(C361)</f>
        <v>3</v>
      </c>
      <c r="E361" s="2" t="s">
        <v>77</v>
      </c>
      <c r="F361" s="2" t="s">
        <v>92</v>
      </c>
      <c r="G361" s="2" t="s">
        <v>70</v>
      </c>
      <c r="H361" s="2" t="s">
        <v>97</v>
      </c>
      <c r="I361" s="2" t="n">
        <v>3</v>
      </c>
      <c r="J361" s="11" t="n">
        <v>3000</v>
      </c>
      <c r="K361" s="12" t="n">
        <v>0.15</v>
      </c>
      <c r="L361" s="11" t="n">
        <v>2000</v>
      </c>
      <c r="M361" s="11" t="n">
        <f aca="false">I361*J361*(1-K361)</f>
        <v>7650</v>
      </c>
      <c r="N361" s="11" t="n">
        <f aca="false">M361-I361*L361</f>
        <v>1650</v>
      </c>
    </row>
    <row r="362" customFormat="false" ht="15" hidden="false" customHeight="false" outlineLevel="0" collapsed="false">
      <c r="A362" s="2" t="s">
        <v>94</v>
      </c>
      <c r="B362" s="2" t="s">
        <v>90</v>
      </c>
      <c r="C362" s="10" t="n">
        <v>45727</v>
      </c>
      <c r="D362" s="2" t="n">
        <f aca="false">MONTH(C362)</f>
        <v>3</v>
      </c>
      <c r="E362" s="2" t="s">
        <v>91</v>
      </c>
      <c r="F362" s="2" t="s">
        <v>92</v>
      </c>
      <c r="G362" s="2" t="s">
        <v>73</v>
      </c>
      <c r="H362" s="2" t="s">
        <v>87</v>
      </c>
      <c r="I362" s="2" t="n">
        <v>4</v>
      </c>
      <c r="J362" s="11" t="n">
        <v>9000</v>
      </c>
      <c r="K362" s="12" t="n">
        <v>0.15</v>
      </c>
      <c r="L362" s="11" t="n">
        <v>6200</v>
      </c>
      <c r="M362" s="11" t="n">
        <f aca="false">I362*J362*(1-K362)</f>
        <v>30600</v>
      </c>
      <c r="N362" s="11" t="n">
        <f aca="false">M362-I362*L362</f>
        <v>5800</v>
      </c>
    </row>
    <row r="363" customFormat="false" ht="15" hidden="false" customHeight="false" outlineLevel="0" collapsed="false">
      <c r="A363" s="2" t="s">
        <v>194</v>
      </c>
      <c r="B363" s="2" t="s">
        <v>193</v>
      </c>
      <c r="C363" s="10" t="n">
        <v>45727</v>
      </c>
      <c r="D363" s="2" t="n">
        <f aca="false">MONTH(C363)</f>
        <v>3</v>
      </c>
      <c r="E363" s="2" t="s">
        <v>77</v>
      </c>
      <c r="F363" s="2" t="s">
        <v>64</v>
      </c>
      <c r="G363" s="2" t="s">
        <v>65</v>
      </c>
      <c r="H363" s="2" t="s">
        <v>66</v>
      </c>
      <c r="I363" s="2" t="n">
        <v>8</v>
      </c>
      <c r="J363" s="11" t="n">
        <v>600</v>
      </c>
      <c r="K363" s="12" t="n">
        <v>0</v>
      </c>
      <c r="L363" s="11" t="n">
        <v>300</v>
      </c>
      <c r="M363" s="11" t="n">
        <f aca="false">I363*J363*(1-K363)</f>
        <v>4800</v>
      </c>
      <c r="N363" s="11" t="n">
        <f aca="false">M363-I363*L363</f>
        <v>2400</v>
      </c>
    </row>
    <row r="364" customFormat="false" ht="15" hidden="false" customHeight="false" outlineLevel="0" collapsed="false">
      <c r="A364" s="2" t="s">
        <v>297</v>
      </c>
      <c r="B364" s="2" t="s">
        <v>295</v>
      </c>
      <c r="C364" s="10" t="n">
        <v>45727</v>
      </c>
      <c r="D364" s="2" t="n">
        <f aca="false">MONTH(C364)</f>
        <v>3</v>
      </c>
      <c r="E364" s="2" t="s">
        <v>81</v>
      </c>
      <c r="F364" s="2" t="s">
        <v>69</v>
      </c>
      <c r="G364" s="2" t="s">
        <v>73</v>
      </c>
      <c r="H364" s="2" t="s">
        <v>74</v>
      </c>
      <c r="I364" s="2" t="n">
        <v>3</v>
      </c>
      <c r="J364" s="11" t="n">
        <v>7000</v>
      </c>
      <c r="K364" s="12" t="n">
        <v>0</v>
      </c>
      <c r="L364" s="11" t="n">
        <v>4800</v>
      </c>
      <c r="M364" s="11" t="n">
        <f aca="false">I364*J364*(1-K364)</f>
        <v>21000</v>
      </c>
      <c r="N364" s="11" t="n">
        <f aca="false">M364-I364*L364</f>
        <v>6600</v>
      </c>
    </row>
    <row r="365" customFormat="false" ht="15" hidden="false" customHeight="false" outlineLevel="0" collapsed="false">
      <c r="A365" s="2" t="s">
        <v>1466</v>
      </c>
      <c r="B365" s="2" t="s">
        <v>1461</v>
      </c>
      <c r="C365" s="10" t="n">
        <v>45727</v>
      </c>
      <c r="D365" s="2" t="n">
        <f aca="false">MONTH(C365)</f>
        <v>3</v>
      </c>
      <c r="E365" s="2" t="s">
        <v>77</v>
      </c>
      <c r="F365" s="2" t="s">
        <v>69</v>
      </c>
      <c r="G365" s="2" t="s">
        <v>70</v>
      </c>
      <c r="H365" s="2" t="s">
        <v>122</v>
      </c>
      <c r="I365" s="2" t="n">
        <v>3</v>
      </c>
      <c r="J365" s="11" t="n">
        <v>1500</v>
      </c>
      <c r="K365" s="12" t="n">
        <v>0.1</v>
      </c>
      <c r="L365" s="11" t="n">
        <v>900</v>
      </c>
      <c r="M365" s="11" t="n">
        <f aca="false">I365*J365*(1-K365)</f>
        <v>4050</v>
      </c>
      <c r="N365" s="11" t="n">
        <f aca="false">M365-I365*L365</f>
        <v>1350</v>
      </c>
    </row>
    <row r="366" customFormat="false" ht="15" hidden="false" customHeight="false" outlineLevel="0" collapsed="false">
      <c r="A366" s="2" t="s">
        <v>1498</v>
      </c>
      <c r="B366" s="2" t="s">
        <v>1497</v>
      </c>
      <c r="C366" s="10" t="n">
        <v>45727</v>
      </c>
      <c r="D366" s="2" t="n">
        <f aca="false">MONTH(C366)</f>
        <v>3</v>
      </c>
      <c r="E366" s="2" t="s">
        <v>81</v>
      </c>
      <c r="F366" s="2" t="s">
        <v>69</v>
      </c>
      <c r="G366" s="2" t="s">
        <v>65</v>
      </c>
      <c r="H366" s="2" t="s">
        <v>66</v>
      </c>
      <c r="I366" s="2" t="n">
        <v>6</v>
      </c>
      <c r="J366" s="11" t="n">
        <v>600</v>
      </c>
      <c r="K366" s="12" t="n">
        <v>0</v>
      </c>
      <c r="L366" s="11" t="n">
        <v>300</v>
      </c>
      <c r="M366" s="11" t="n">
        <f aca="false">I366*J366*(1-K366)</f>
        <v>3600</v>
      </c>
      <c r="N366" s="11" t="n">
        <f aca="false">M366-I366*L366</f>
        <v>1800</v>
      </c>
    </row>
    <row r="367" customFormat="false" ht="15" hidden="false" customHeight="false" outlineLevel="0" collapsed="false">
      <c r="A367" s="2" t="s">
        <v>1913</v>
      </c>
      <c r="B367" s="2" t="s">
        <v>1914</v>
      </c>
      <c r="C367" s="10" t="n">
        <v>45727</v>
      </c>
      <c r="D367" s="2" t="n">
        <f aca="false">MONTH(C367)</f>
        <v>3</v>
      </c>
      <c r="E367" s="2" t="s">
        <v>77</v>
      </c>
      <c r="F367" s="2" t="s">
        <v>69</v>
      </c>
      <c r="G367" s="2" t="s">
        <v>65</v>
      </c>
      <c r="H367" s="2" t="s">
        <v>107</v>
      </c>
      <c r="I367" s="2" t="n">
        <v>19</v>
      </c>
      <c r="J367" s="11" t="n">
        <v>500</v>
      </c>
      <c r="K367" s="12" t="n">
        <v>0.1</v>
      </c>
      <c r="L367" s="11" t="n">
        <v>250</v>
      </c>
      <c r="M367" s="11" t="n">
        <f aca="false">I367*J367*(1-K367)</f>
        <v>8550</v>
      </c>
      <c r="N367" s="11" t="n">
        <f aca="false">M367-I367*L367</f>
        <v>3800</v>
      </c>
    </row>
    <row r="368" customFormat="false" ht="15" hidden="false" customHeight="false" outlineLevel="0" collapsed="false">
      <c r="A368" s="2" t="s">
        <v>2015</v>
      </c>
      <c r="B368" s="2" t="s">
        <v>2013</v>
      </c>
      <c r="C368" s="10" t="n">
        <v>45727</v>
      </c>
      <c r="D368" s="2" t="n">
        <f aca="false">MONTH(C368)</f>
        <v>3</v>
      </c>
      <c r="E368" s="2" t="s">
        <v>81</v>
      </c>
      <c r="F368" s="2" t="s">
        <v>64</v>
      </c>
      <c r="G368" s="2" t="s">
        <v>65</v>
      </c>
      <c r="H368" s="2" t="s">
        <v>66</v>
      </c>
      <c r="I368" s="2" t="n">
        <v>4</v>
      </c>
      <c r="J368" s="11" t="n">
        <v>600</v>
      </c>
      <c r="K368" s="12" t="n">
        <v>0.1</v>
      </c>
      <c r="L368" s="11" t="n">
        <v>300</v>
      </c>
      <c r="M368" s="11" t="n">
        <f aca="false">I368*J368*(1-K368)</f>
        <v>2160</v>
      </c>
      <c r="N368" s="11" t="n">
        <f aca="false">M368-I368*L368</f>
        <v>960</v>
      </c>
    </row>
    <row r="369" customFormat="false" ht="15" hidden="false" customHeight="false" outlineLevel="0" collapsed="false">
      <c r="A369" s="2" t="s">
        <v>2061</v>
      </c>
      <c r="B369" s="2" t="s">
        <v>2054</v>
      </c>
      <c r="C369" s="10" t="n">
        <v>45727</v>
      </c>
      <c r="D369" s="2" t="n">
        <f aca="false">MONTH(C369)</f>
        <v>3</v>
      </c>
      <c r="E369" s="2" t="s">
        <v>91</v>
      </c>
      <c r="F369" s="2" t="s">
        <v>64</v>
      </c>
      <c r="G369" s="2" t="s">
        <v>65</v>
      </c>
      <c r="H369" s="2" t="s">
        <v>66</v>
      </c>
      <c r="I369" s="2" t="n">
        <v>5</v>
      </c>
      <c r="J369" s="11" t="n">
        <v>600</v>
      </c>
      <c r="K369" s="12" t="n">
        <v>0.05</v>
      </c>
      <c r="L369" s="11" t="n">
        <v>300</v>
      </c>
      <c r="M369" s="11" t="n">
        <f aca="false">I369*J369*(1-K369)</f>
        <v>2850</v>
      </c>
      <c r="N369" s="11" t="n">
        <f aca="false">M369-I369*L369</f>
        <v>1350</v>
      </c>
    </row>
    <row r="370" customFormat="false" ht="15" hidden="false" customHeight="false" outlineLevel="0" collapsed="false">
      <c r="A370" s="2" t="s">
        <v>2913</v>
      </c>
      <c r="B370" s="2" t="s">
        <v>2912</v>
      </c>
      <c r="C370" s="10" t="n">
        <v>45727</v>
      </c>
      <c r="D370" s="2" t="n">
        <f aca="false">MONTH(C370)</f>
        <v>3</v>
      </c>
      <c r="E370" s="2" t="s">
        <v>81</v>
      </c>
      <c r="F370" s="2" t="s">
        <v>69</v>
      </c>
      <c r="G370" s="2" t="s">
        <v>73</v>
      </c>
      <c r="H370" s="2" t="s">
        <v>87</v>
      </c>
      <c r="I370" s="2" t="n">
        <v>4</v>
      </c>
      <c r="J370" s="11" t="n">
        <v>9000</v>
      </c>
      <c r="K370" s="12" t="n">
        <v>0</v>
      </c>
      <c r="L370" s="11" t="n">
        <v>6200</v>
      </c>
      <c r="M370" s="11" t="n">
        <f aca="false">I370*J370*(1-K370)</f>
        <v>36000</v>
      </c>
      <c r="N370" s="11" t="n">
        <f aca="false">M370-I370*L370</f>
        <v>11200</v>
      </c>
    </row>
    <row r="371" customFormat="false" ht="15" hidden="false" customHeight="false" outlineLevel="0" collapsed="false">
      <c r="A371" s="2" t="s">
        <v>364</v>
      </c>
      <c r="B371" s="2" t="s">
        <v>361</v>
      </c>
      <c r="C371" s="10" t="n">
        <v>45728</v>
      </c>
      <c r="D371" s="2" t="n">
        <f aca="false">MONTH(C371)</f>
        <v>3</v>
      </c>
      <c r="E371" s="2" t="s">
        <v>77</v>
      </c>
      <c r="F371" s="2" t="s">
        <v>64</v>
      </c>
      <c r="G371" s="2" t="s">
        <v>70</v>
      </c>
      <c r="H371" s="2" t="s">
        <v>122</v>
      </c>
      <c r="I371" s="2" t="n">
        <v>2</v>
      </c>
      <c r="J371" s="11" t="n">
        <v>1500</v>
      </c>
      <c r="K371" s="12" t="n">
        <v>0.1</v>
      </c>
      <c r="L371" s="11" t="n">
        <v>900</v>
      </c>
      <c r="M371" s="11" t="n">
        <f aca="false">I371*J371*(1-K371)</f>
        <v>2700</v>
      </c>
      <c r="N371" s="11" t="n">
        <f aca="false">M371-I371*L371</f>
        <v>900</v>
      </c>
    </row>
    <row r="372" customFormat="false" ht="15" hidden="false" customHeight="false" outlineLevel="0" collapsed="false">
      <c r="A372" s="2" t="s">
        <v>597</v>
      </c>
      <c r="B372" s="2" t="s">
        <v>598</v>
      </c>
      <c r="C372" s="10" t="n">
        <v>45728</v>
      </c>
      <c r="D372" s="2" t="n">
        <f aca="false">MONTH(C372)</f>
        <v>3</v>
      </c>
      <c r="E372" s="2" t="s">
        <v>63</v>
      </c>
      <c r="F372" s="2" t="s">
        <v>69</v>
      </c>
      <c r="G372" s="2" t="s">
        <v>70</v>
      </c>
      <c r="H372" s="2" t="s">
        <v>97</v>
      </c>
      <c r="I372" s="2" t="n">
        <v>2</v>
      </c>
      <c r="J372" s="11" t="n">
        <v>3000</v>
      </c>
      <c r="K372" s="12" t="n">
        <v>0</v>
      </c>
      <c r="L372" s="11" t="n">
        <v>2000</v>
      </c>
      <c r="M372" s="11" t="n">
        <f aca="false">I372*J372*(1-K372)</f>
        <v>6000</v>
      </c>
      <c r="N372" s="11" t="n">
        <f aca="false">M372-I372*L372</f>
        <v>2000</v>
      </c>
    </row>
    <row r="373" customFormat="false" ht="15" hidden="false" customHeight="false" outlineLevel="0" collapsed="false">
      <c r="A373" s="2" t="s">
        <v>944</v>
      </c>
      <c r="B373" s="2" t="s">
        <v>943</v>
      </c>
      <c r="C373" s="10" t="n">
        <v>45728</v>
      </c>
      <c r="D373" s="2" t="n">
        <f aca="false">MONTH(C373)</f>
        <v>3</v>
      </c>
      <c r="E373" s="2" t="s">
        <v>81</v>
      </c>
      <c r="F373" s="2" t="s">
        <v>69</v>
      </c>
      <c r="G373" s="2" t="s">
        <v>73</v>
      </c>
      <c r="H373" s="2" t="s">
        <v>87</v>
      </c>
      <c r="I373" s="2" t="n">
        <v>5</v>
      </c>
      <c r="J373" s="11" t="n">
        <v>9000</v>
      </c>
      <c r="K373" s="12" t="n">
        <v>0</v>
      </c>
      <c r="L373" s="11" t="n">
        <v>6200</v>
      </c>
      <c r="M373" s="11" t="n">
        <f aca="false">I373*J373*(1-K373)</f>
        <v>45000</v>
      </c>
      <c r="N373" s="11" t="n">
        <f aca="false">M373-I373*L373</f>
        <v>14000</v>
      </c>
    </row>
    <row r="374" customFormat="false" ht="15" hidden="false" customHeight="false" outlineLevel="0" collapsed="false">
      <c r="A374" s="2" t="s">
        <v>1064</v>
      </c>
      <c r="B374" s="2" t="s">
        <v>1063</v>
      </c>
      <c r="C374" s="10" t="n">
        <v>45728</v>
      </c>
      <c r="D374" s="2" t="n">
        <f aca="false">MONTH(C374)</f>
        <v>3</v>
      </c>
      <c r="E374" s="2" t="s">
        <v>91</v>
      </c>
      <c r="F374" s="2" t="s">
        <v>64</v>
      </c>
      <c r="G374" s="2" t="s">
        <v>73</v>
      </c>
      <c r="H374" s="2" t="s">
        <v>87</v>
      </c>
      <c r="I374" s="2" t="n">
        <v>3</v>
      </c>
      <c r="J374" s="11" t="n">
        <v>9000</v>
      </c>
      <c r="K374" s="12" t="n">
        <v>0.1</v>
      </c>
      <c r="L374" s="11" t="n">
        <v>6200</v>
      </c>
      <c r="M374" s="11" t="n">
        <f aca="false">I374*J374*(1-K374)</f>
        <v>24300</v>
      </c>
      <c r="N374" s="11" t="n">
        <f aca="false">M374-I374*L374</f>
        <v>5700</v>
      </c>
    </row>
    <row r="375" customFormat="false" ht="15" hidden="false" customHeight="false" outlineLevel="0" collapsed="false">
      <c r="A375" s="2" t="s">
        <v>1505</v>
      </c>
      <c r="B375" s="2" t="s">
        <v>1506</v>
      </c>
      <c r="C375" s="10" t="n">
        <v>45728</v>
      </c>
      <c r="D375" s="2" t="n">
        <f aca="false">MONTH(C375)</f>
        <v>3</v>
      </c>
      <c r="E375" s="2" t="s">
        <v>77</v>
      </c>
      <c r="F375" s="2" t="s">
        <v>64</v>
      </c>
      <c r="G375" s="2" t="s">
        <v>73</v>
      </c>
      <c r="H375" s="2" t="s">
        <v>87</v>
      </c>
      <c r="I375" s="2" t="n">
        <v>3</v>
      </c>
      <c r="J375" s="11" t="n">
        <v>9000</v>
      </c>
      <c r="K375" s="12" t="n">
        <v>0</v>
      </c>
      <c r="L375" s="11" t="n">
        <v>6200</v>
      </c>
      <c r="M375" s="11" t="n">
        <f aca="false">I375*J375*(1-K375)</f>
        <v>27000</v>
      </c>
      <c r="N375" s="11" t="n">
        <f aca="false">M375-I375*L375</f>
        <v>8400</v>
      </c>
    </row>
    <row r="376" customFormat="false" ht="15" hidden="false" customHeight="false" outlineLevel="0" collapsed="false">
      <c r="A376" s="2" t="s">
        <v>220</v>
      </c>
      <c r="B376" s="2" t="s">
        <v>218</v>
      </c>
      <c r="C376" s="10" t="n">
        <v>45729</v>
      </c>
      <c r="D376" s="2" t="n">
        <f aca="false">MONTH(C376)</f>
        <v>3</v>
      </c>
      <c r="E376" s="2" t="s">
        <v>63</v>
      </c>
      <c r="F376" s="2" t="s">
        <v>69</v>
      </c>
      <c r="G376" s="2" t="s">
        <v>65</v>
      </c>
      <c r="H376" s="2" t="s">
        <v>82</v>
      </c>
      <c r="I376" s="2" t="n">
        <v>9</v>
      </c>
      <c r="J376" s="11" t="n">
        <v>250</v>
      </c>
      <c r="K376" s="12" t="n">
        <v>0.1</v>
      </c>
      <c r="L376" s="11" t="n">
        <v>100</v>
      </c>
      <c r="M376" s="11" t="n">
        <f aca="false">I376*J376*(1-K376)</f>
        <v>2025</v>
      </c>
      <c r="N376" s="11" t="n">
        <f aca="false">M376-I376*L376</f>
        <v>1125</v>
      </c>
    </row>
    <row r="377" customFormat="false" ht="15" hidden="false" customHeight="false" outlineLevel="0" collapsed="false">
      <c r="A377" s="2" t="s">
        <v>282</v>
      </c>
      <c r="B377" s="2" t="s">
        <v>281</v>
      </c>
      <c r="C377" s="10" t="n">
        <v>45729</v>
      </c>
      <c r="D377" s="2" t="n">
        <f aca="false">MONTH(C377)</f>
        <v>3</v>
      </c>
      <c r="E377" s="2" t="s">
        <v>77</v>
      </c>
      <c r="F377" s="2" t="s">
        <v>69</v>
      </c>
      <c r="G377" s="2" t="s">
        <v>73</v>
      </c>
      <c r="H377" s="2" t="s">
        <v>87</v>
      </c>
      <c r="I377" s="2" t="n">
        <v>3</v>
      </c>
      <c r="J377" s="11" t="n">
        <v>9000</v>
      </c>
      <c r="K377" s="12" t="n">
        <v>0.05</v>
      </c>
      <c r="L377" s="11" t="n">
        <v>6200</v>
      </c>
      <c r="M377" s="11" t="n">
        <f aca="false">I377*J377*(1-K377)</f>
        <v>25650</v>
      </c>
      <c r="N377" s="11" t="n">
        <f aca="false">M377-I377*L377</f>
        <v>7050</v>
      </c>
    </row>
    <row r="378" customFormat="false" ht="15" hidden="false" customHeight="false" outlineLevel="0" collapsed="false">
      <c r="A378" s="2" t="s">
        <v>1886</v>
      </c>
      <c r="B378" s="2" t="s">
        <v>1883</v>
      </c>
      <c r="C378" s="10" t="n">
        <v>45729</v>
      </c>
      <c r="D378" s="2" t="n">
        <f aca="false">MONTH(C378)</f>
        <v>3</v>
      </c>
      <c r="E378" s="2" t="s">
        <v>63</v>
      </c>
      <c r="F378" s="2" t="s">
        <v>64</v>
      </c>
      <c r="G378" s="2" t="s">
        <v>65</v>
      </c>
      <c r="H378" s="2" t="s">
        <v>66</v>
      </c>
      <c r="I378" s="2" t="n">
        <v>7</v>
      </c>
      <c r="J378" s="11" t="n">
        <v>600</v>
      </c>
      <c r="K378" s="12" t="n">
        <v>0.1</v>
      </c>
      <c r="L378" s="11" t="n">
        <v>300</v>
      </c>
      <c r="M378" s="11" t="n">
        <f aca="false">I378*J378*(1-K378)</f>
        <v>3780</v>
      </c>
      <c r="N378" s="11" t="n">
        <f aca="false">M378-I378*L378</f>
        <v>1680</v>
      </c>
    </row>
    <row r="379" customFormat="false" ht="15" hidden="false" customHeight="false" outlineLevel="0" collapsed="false">
      <c r="A379" s="2" t="s">
        <v>1982</v>
      </c>
      <c r="B379" s="2" t="s">
        <v>1981</v>
      </c>
      <c r="C379" s="10" t="n">
        <v>45729</v>
      </c>
      <c r="D379" s="2" t="n">
        <f aca="false">MONTH(C379)</f>
        <v>3</v>
      </c>
      <c r="E379" s="2" t="s">
        <v>91</v>
      </c>
      <c r="F379" s="2" t="s">
        <v>92</v>
      </c>
      <c r="G379" s="2" t="s">
        <v>73</v>
      </c>
      <c r="H379" s="2" t="s">
        <v>104</v>
      </c>
      <c r="I379" s="2" t="n">
        <v>4</v>
      </c>
      <c r="J379" s="11" t="n">
        <v>5500</v>
      </c>
      <c r="K379" s="12" t="n">
        <v>0.05</v>
      </c>
      <c r="L379" s="11" t="n">
        <v>3600</v>
      </c>
      <c r="M379" s="11" t="n">
        <f aca="false">I379*J379*(1-K379)</f>
        <v>20900</v>
      </c>
      <c r="N379" s="11" t="n">
        <f aca="false">M379-I379*L379</f>
        <v>6500</v>
      </c>
    </row>
    <row r="380" customFormat="false" ht="15" hidden="false" customHeight="false" outlineLevel="0" collapsed="false">
      <c r="A380" s="2" t="s">
        <v>2782</v>
      </c>
      <c r="B380" s="2" t="s">
        <v>2781</v>
      </c>
      <c r="C380" s="10" t="n">
        <v>45729</v>
      </c>
      <c r="D380" s="2" t="n">
        <f aca="false">MONTH(C380)</f>
        <v>3</v>
      </c>
      <c r="E380" s="2" t="s">
        <v>77</v>
      </c>
      <c r="F380" s="2" t="s">
        <v>69</v>
      </c>
      <c r="G380" s="2" t="s">
        <v>73</v>
      </c>
      <c r="H380" s="2" t="s">
        <v>85</v>
      </c>
      <c r="I380" s="2" t="n">
        <v>1</v>
      </c>
      <c r="J380" s="11" t="n">
        <v>1200</v>
      </c>
      <c r="K380" s="12" t="n">
        <v>0</v>
      </c>
      <c r="L380" s="11" t="n">
        <v>600</v>
      </c>
      <c r="M380" s="11" t="n">
        <f aca="false">I380*J380*(1-K380)</f>
        <v>1200</v>
      </c>
      <c r="N380" s="11" t="n">
        <f aca="false">M380-I380*L380</f>
        <v>600</v>
      </c>
    </row>
    <row r="381" customFormat="false" ht="15" hidden="false" customHeight="false" outlineLevel="0" collapsed="false">
      <c r="A381" s="2" t="s">
        <v>366</v>
      </c>
      <c r="B381" s="2" t="s">
        <v>361</v>
      </c>
      <c r="C381" s="10" t="n">
        <v>45730</v>
      </c>
      <c r="D381" s="2" t="n">
        <f aca="false">MONTH(C381)</f>
        <v>3</v>
      </c>
      <c r="E381" s="2" t="s">
        <v>77</v>
      </c>
      <c r="F381" s="2" t="s">
        <v>64</v>
      </c>
      <c r="G381" s="2" t="s">
        <v>70</v>
      </c>
      <c r="H381" s="2" t="s">
        <v>126</v>
      </c>
      <c r="I381" s="2" t="n">
        <v>2</v>
      </c>
      <c r="J381" s="11" t="n">
        <v>4500</v>
      </c>
      <c r="K381" s="12" t="n">
        <v>0</v>
      </c>
      <c r="L381" s="11" t="n">
        <v>3300</v>
      </c>
      <c r="M381" s="11" t="n">
        <f aca="false">I381*J381*(1-K381)</f>
        <v>9000</v>
      </c>
      <c r="N381" s="11" t="n">
        <f aca="false">M381-I381*L381</f>
        <v>2400</v>
      </c>
    </row>
    <row r="382" customFormat="false" ht="15" hidden="false" customHeight="false" outlineLevel="0" collapsed="false">
      <c r="A382" s="2" t="s">
        <v>1828</v>
      </c>
      <c r="B382" s="2" t="s">
        <v>1829</v>
      </c>
      <c r="C382" s="10" t="n">
        <v>45730</v>
      </c>
      <c r="D382" s="2" t="n">
        <f aca="false">MONTH(C382)</f>
        <v>3</v>
      </c>
      <c r="E382" s="2" t="s">
        <v>77</v>
      </c>
      <c r="F382" s="2" t="s">
        <v>69</v>
      </c>
      <c r="G382" s="2" t="s">
        <v>70</v>
      </c>
      <c r="H382" s="2" t="s">
        <v>126</v>
      </c>
      <c r="I382" s="2" t="n">
        <v>1</v>
      </c>
      <c r="J382" s="11" t="n">
        <v>4500</v>
      </c>
      <c r="K382" s="12" t="n">
        <v>0.05</v>
      </c>
      <c r="L382" s="11" t="n">
        <v>3300</v>
      </c>
      <c r="M382" s="11" t="n">
        <f aca="false">I382*J382*(1-K382)</f>
        <v>4275</v>
      </c>
      <c r="N382" s="11" t="n">
        <f aca="false">M382-I382*L382</f>
        <v>975</v>
      </c>
    </row>
    <row r="383" customFormat="false" ht="15" hidden="false" customHeight="false" outlineLevel="0" collapsed="false">
      <c r="A383" s="2" t="s">
        <v>2100</v>
      </c>
      <c r="B383" s="2" t="s">
        <v>2098</v>
      </c>
      <c r="C383" s="10" t="n">
        <v>45730</v>
      </c>
      <c r="D383" s="2" t="n">
        <f aca="false">MONTH(C383)</f>
        <v>3</v>
      </c>
      <c r="E383" s="2" t="s">
        <v>91</v>
      </c>
      <c r="F383" s="2" t="s">
        <v>92</v>
      </c>
      <c r="G383" s="2" t="s">
        <v>73</v>
      </c>
      <c r="H383" s="2" t="s">
        <v>85</v>
      </c>
      <c r="I383" s="2" t="n">
        <v>3</v>
      </c>
      <c r="J383" s="11" t="n">
        <v>1200</v>
      </c>
      <c r="K383" s="12" t="n">
        <v>0.1</v>
      </c>
      <c r="L383" s="11" t="n">
        <v>600</v>
      </c>
      <c r="M383" s="11" t="n">
        <f aca="false">I383*J383*(1-K383)</f>
        <v>3240</v>
      </c>
      <c r="N383" s="11" t="n">
        <f aca="false">M383-I383*L383</f>
        <v>1440</v>
      </c>
    </row>
    <row r="384" customFormat="false" ht="15" hidden="false" customHeight="false" outlineLevel="0" collapsed="false">
      <c r="A384" s="2" t="s">
        <v>2246</v>
      </c>
      <c r="B384" s="2" t="s">
        <v>2247</v>
      </c>
      <c r="C384" s="10" t="n">
        <v>45730</v>
      </c>
      <c r="D384" s="2" t="n">
        <f aca="false">MONTH(C384)</f>
        <v>3</v>
      </c>
      <c r="E384" s="2" t="s">
        <v>77</v>
      </c>
      <c r="F384" s="2" t="s">
        <v>64</v>
      </c>
      <c r="G384" s="2" t="s">
        <v>73</v>
      </c>
      <c r="H384" s="2" t="s">
        <v>74</v>
      </c>
      <c r="I384" s="2" t="n">
        <v>1</v>
      </c>
      <c r="J384" s="11" t="n">
        <v>7000</v>
      </c>
      <c r="K384" s="12" t="n">
        <v>0</v>
      </c>
      <c r="L384" s="11" t="n">
        <v>4800</v>
      </c>
      <c r="M384" s="11" t="n">
        <f aca="false">I384*J384*(1-K384)</f>
        <v>7000</v>
      </c>
      <c r="N384" s="11" t="n">
        <f aca="false">M384-I384*L384</f>
        <v>2200</v>
      </c>
    </row>
    <row r="385" customFormat="false" ht="15" hidden="false" customHeight="false" outlineLevel="0" collapsed="false">
      <c r="A385" s="2" t="s">
        <v>2869</v>
      </c>
      <c r="B385" s="2" t="s">
        <v>2870</v>
      </c>
      <c r="C385" s="10" t="n">
        <v>45730</v>
      </c>
      <c r="D385" s="2" t="n">
        <f aca="false">MONTH(C385)</f>
        <v>3</v>
      </c>
      <c r="E385" s="2" t="s">
        <v>91</v>
      </c>
      <c r="F385" s="2" t="s">
        <v>64</v>
      </c>
      <c r="G385" s="2" t="s">
        <v>65</v>
      </c>
      <c r="H385" s="2" t="s">
        <v>78</v>
      </c>
      <c r="I385" s="2" t="n">
        <v>7</v>
      </c>
      <c r="J385" s="11" t="n">
        <v>400</v>
      </c>
      <c r="K385" s="12" t="n">
        <v>0</v>
      </c>
      <c r="L385" s="11" t="n">
        <v>200</v>
      </c>
      <c r="M385" s="11" t="n">
        <f aca="false">I385*J385*(1-K385)</f>
        <v>2800</v>
      </c>
      <c r="N385" s="11" t="n">
        <f aca="false">M385-I385*L385</f>
        <v>1400</v>
      </c>
    </row>
    <row r="386" customFormat="false" ht="15" hidden="false" customHeight="false" outlineLevel="0" collapsed="false">
      <c r="A386" s="2" t="s">
        <v>653</v>
      </c>
      <c r="B386" s="2" t="s">
        <v>654</v>
      </c>
      <c r="C386" s="10" t="n">
        <v>45731</v>
      </c>
      <c r="D386" s="2" t="n">
        <f aca="false">MONTH(C386)</f>
        <v>3</v>
      </c>
      <c r="E386" s="2" t="s">
        <v>63</v>
      </c>
      <c r="F386" s="2" t="s">
        <v>64</v>
      </c>
      <c r="G386" s="2" t="s">
        <v>65</v>
      </c>
      <c r="H386" s="2" t="s">
        <v>82</v>
      </c>
      <c r="I386" s="2" t="n">
        <v>8</v>
      </c>
      <c r="J386" s="11" t="n">
        <v>250</v>
      </c>
      <c r="K386" s="12" t="n">
        <v>0</v>
      </c>
      <c r="L386" s="11" t="n">
        <v>100</v>
      </c>
      <c r="M386" s="11" t="n">
        <f aca="false">I386*J386*(1-K386)</f>
        <v>2000</v>
      </c>
      <c r="N386" s="11" t="n">
        <f aca="false">M386-I386*L386</f>
        <v>1200</v>
      </c>
    </row>
    <row r="387" customFormat="false" ht="15" hidden="false" customHeight="false" outlineLevel="0" collapsed="false">
      <c r="A387" s="2" t="s">
        <v>727</v>
      </c>
      <c r="B387" s="2" t="s">
        <v>725</v>
      </c>
      <c r="C387" s="10" t="n">
        <v>45731</v>
      </c>
      <c r="D387" s="2" t="n">
        <f aca="false">MONTH(C387)</f>
        <v>3</v>
      </c>
      <c r="E387" s="2" t="s">
        <v>77</v>
      </c>
      <c r="F387" s="2" t="s">
        <v>64</v>
      </c>
      <c r="G387" s="2" t="s">
        <v>70</v>
      </c>
      <c r="H387" s="2" t="s">
        <v>71</v>
      </c>
      <c r="I387" s="2" t="n">
        <v>3</v>
      </c>
      <c r="J387" s="11" t="n">
        <v>2500</v>
      </c>
      <c r="K387" s="12" t="n">
        <v>0</v>
      </c>
      <c r="L387" s="11" t="n">
        <v>1600</v>
      </c>
      <c r="M387" s="11" t="n">
        <f aca="false">I387*J387*(1-K387)</f>
        <v>7500</v>
      </c>
      <c r="N387" s="11" t="n">
        <f aca="false">M387-I387*L387</f>
        <v>2700</v>
      </c>
    </row>
    <row r="388" customFormat="false" ht="15" hidden="false" customHeight="false" outlineLevel="0" collapsed="false">
      <c r="A388" s="2" t="s">
        <v>793</v>
      </c>
      <c r="B388" s="2" t="s">
        <v>792</v>
      </c>
      <c r="C388" s="10" t="n">
        <v>45731</v>
      </c>
      <c r="D388" s="2" t="n">
        <f aca="false">MONTH(C388)</f>
        <v>3</v>
      </c>
      <c r="E388" s="2" t="s">
        <v>63</v>
      </c>
      <c r="F388" s="2" t="s">
        <v>69</v>
      </c>
      <c r="G388" s="2" t="s">
        <v>65</v>
      </c>
      <c r="H388" s="2" t="s">
        <v>78</v>
      </c>
      <c r="I388" s="2" t="n">
        <v>7</v>
      </c>
      <c r="J388" s="11" t="n">
        <v>400</v>
      </c>
      <c r="K388" s="12" t="n">
        <v>0</v>
      </c>
      <c r="L388" s="11" t="n">
        <v>200</v>
      </c>
      <c r="M388" s="11" t="n">
        <f aca="false">I388*J388*(1-K388)</f>
        <v>2800</v>
      </c>
      <c r="N388" s="11" t="n">
        <f aca="false">M388-I388*L388</f>
        <v>1400</v>
      </c>
    </row>
    <row r="389" customFormat="false" ht="15" hidden="false" customHeight="false" outlineLevel="0" collapsed="false">
      <c r="A389" s="2" t="s">
        <v>883</v>
      </c>
      <c r="B389" s="2" t="s">
        <v>884</v>
      </c>
      <c r="C389" s="10" t="n">
        <v>45731</v>
      </c>
      <c r="D389" s="2" t="n">
        <f aca="false">MONTH(C389)</f>
        <v>3</v>
      </c>
      <c r="E389" s="2" t="s">
        <v>77</v>
      </c>
      <c r="F389" s="2" t="s">
        <v>64</v>
      </c>
      <c r="G389" s="2" t="s">
        <v>70</v>
      </c>
      <c r="H389" s="2" t="s">
        <v>71</v>
      </c>
      <c r="I389" s="2" t="n">
        <v>1</v>
      </c>
      <c r="J389" s="11" t="n">
        <v>2500</v>
      </c>
      <c r="K389" s="12" t="n">
        <v>0</v>
      </c>
      <c r="L389" s="11" t="n">
        <v>1600</v>
      </c>
      <c r="M389" s="11" t="n">
        <f aca="false">I389*J389*(1-K389)</f>
        <v>2500</v>
      </c>
      <c r="N389" s="11" t="n">
        <f aca="false">M389-I389*L389</f>
        <v>900</v>
      </c>
    </row>
    <row r="390" customFormat="false" ht="15" hidden="false" customHeight="false" outlineLevel="0" collapsed="false">
      <c r="A390" s="2" t="s">
        <v>1725</v>
      </c>
      <c r="B390" s="2" t="s">
        <v>1723</v>
      </c>
      <c r="C390" s="10" t="n">
        <v>45731</v>
      </c>
      <c r="D390" s="2" t="n">
        <f aca="false">MONTH(C390)</f>
        <v>3</v>
      </c>
      <c r="E390" s="2" t="s">
        <v>77</v>
      </c>
      <c r="F390" s="2" t="s">
        <v>92</v>
      </c>
      <c r="G390" s="2" t="s">
        <v>70</v>
      </c>
      <c r="H390" s="2" t="s">
        <v>122</v>
      </c>
      <c r="I390" s="2" t="n">
        <v>2</v>
      </c>
      <c r="J390" s="11" t="n">
        <v>1500</v>
      </c>
      <c r="K390" s="12" t="n">
        <v>0.1</v>
      </c>
      <c r="L390" s="11" t="n">
        <v>900</v>
      </c>
      <c r="M390" s="11" t="n">
        <f aca="false">I390*J390*(1-K390)</f>
        <v>2700</v>
      </c>
      <c r="N390" s="11" t="n">
        <f aca="false">M390-I390*L390</f>
        <v>900</v>
      </c>
    </row>
    <row r="391" customFormat="false" ht="15" hidden="false" customHeight="false" outlineLevel="0" collapsed="false">
      <c r="A391" s="2" t="s">
        <v>2181</v>
      </c>
      <c r="B391" s="2" t="s">
        <v>2177</v>
      </c>
      <c r="C391" s="10" t="n">
        <v>45731</v>
      </c>
      <c r="D391" s="2" t="n">
        <f aca="false">MONTH(C391)</f>
        <v>3</v>
      </c>
      <c r="E391" s="2" t="s">
        <v>63</v>
      </c>
      <c r="F391" s="2" t="s">
        <v>64</v>
      </c>
      <c r="G391" s="2" t="s">
        <v>70</v>
      </c>
      <c r="H391" s="2" t="s">
        <v>122</v>
      </c>
      <c r="I391" s="2" t="n">
        <v>3</v>
      </c>
      <c r="J391" s="11" t="n">
        <v>1500</v>
      </c>
      <c r="K391" s="12" t="n">
        <v>0</v>
      </c>
      <c r="L391" s="11" t="n">
        <v>900</v>
      </c>
      <c r="M391" s="11" t="n">
        <f aca="false">I391*J391*(1-K391)</f>
        <v>4500</v>
      </c>
      <c r="N391" s="11" t="n">
        <f aca="false">M391-I391*L391</f>
        <v>1800</v>
      </c>
    </row>
    <row r="392" customFormat="false" ht="15" hidden="false" customHeight="false" outlineLevel="0" collapsed="false">
      <c r="A392" s="2" t="s">
        <v>1762</v>
      </c>
      <c r="B392" s="2" t="s">
        <v>1763</v>
      </c>
      <c r="C392" s="10" t="n">
        <v>45732</v>
      </c>
      <c r="D392" s="2" t="n">
        <f aca="false">MONTH(C392)</f>
        <v>3</v>
      </c>
      <c r="E392" s="2" t="s">
        <v>81</v>
      </c>
      <c r="F392" s="2" t="s">
        <v>64</v>
      </c>
      <c r="G392" s="2" t="s">
        <v>70</v>
      </c>
      <c r="H392" s="2" t="s">
        <v>122</v>
      </c>
      <c r="I392" s="2" t="n">
        <v>3</v>
      </c>
      <c r="J392" s="11" t="n">
        <v>1500</v>
      </c>
      <c r="K392" s="12" t="n">
        <v>0</v>
      </c>
      <c r="L392" s="11" t="n">
        <v>900</v>
      </c>
      <c r="M392" s="11" t="n">
        <f aca="false">I392*J392*(1-K392)</f>
        <v>4500</v>
      </c>
      <c r="N392" s="11" t="n">
        <f aca="false">M392-I392*L392</f>
        <v>1800</v>
      </c>
    </row>
    <row r="393" customFormat="false" ht="15" hidden="false" customHeight="false" outlineLevel="0" collapsed="false">
      <c r="A393" s="2" t="s">
        <v>2201</v>
      </c>
      <c r="B393" s="2" t="s">
        <v>2202</v>
      </c>
      <c r="C393" s="10" t="n">
        <v>45732</v>
      </c>
      <c r="D393" s="2" t="n">
        <f aca="false">MONTH(C393)</f>
        <v>3</v>
      </c>
      <c r="E393" s="2" t="s">
        <v>81</v>
      </c>
      <c r="F393" s="2" t="s">
        <v>64</v>
      </c>
      <c r="G393" s="2" t="s">
        <v>65</v>
      </c>
      <c r="H393" s="2" t="s">
        <v>78</v>
      </c>
      <c r="I393" s="2" t="n">
        <v>7</v>
      </c>
      <c r="J393" s="11" t="n">
        <v>400</v>
      </c>
      <c r="K393" s="12" t="n">
        <v>0</v>
      </c>
      <c r="L393" s="11" t="n">
        <v>200</v>
      </c>
      <c r="M393" s="11" t="n">
        <f aca="false">I393*J393*(1-K393)</f>
        <v>2800</v>
      </c>
      <c r="N393" s="11" t="n">
        <f aca="false">M393-I393*L393</f>
        <v>1400</v>
      </c>
    </row>
    <row r="394" customFormat="false" ht="15" hidden="false" customHeight="false" outlineLevel="0" collapsed="false">
      <c r="A394" s="2" t="s">
        <v>2532</v>
      </c>
      <c r="B394" s="2" t="s">
        <v>2528</v>
      </c>
      <c r="C394" s="10" t="n">
        <v>45732</v>
      </c>
      <c r="D394" s="2" t="n">
        <f aca="false">MONTH(C394)</f>
        <v>3</v>
      </c>
      <c r="E394" s="2" t="s">
        <v>63</v>
      </c>
      <c r="F394" s="2" t="s">
        <v>69</v>
      </c>
      <c r="G394" s="2" t="s">
        <v>73</v>
      </c>
      <c r="H394" s="2" t="s">
        <v>85</v>
      </c>
      <c r="I394" s="2" t="n">
        <v>1</v>
      </c>
      <c r="J394" s="11" t="n">
        <v>1200</v>
      </c>
      <c r="K394" s="12" t="n">
        <v>0</v>
      </c>
      <c r="L394" s="11" t="n">
        <v>600</v>
      </c>
      <c r="M394" s="11" t="n">
        <f aca="false">I394*J394*(1-K394)</f>
        <v>1200</v>
      </c>
      <c r="N394" s="11" t="n">
        <f aca="false">M394-I394*L394</f>
        <v>600</v>
      </c>
    </row>
    <row r="395" customFormat="false" ht="15" hidden="false" customHeight="false" outlineLevel="0" collapsed="false">
      <c r="A395" s="2" t="s">
        <v>678</v>
      </c>
      <c r="B395" s="2" t="s">
        <v>676</v>
      </c>
      <c r="C395" s="10" t="n">
        <v>45733</v>
      </c>
      <c r="D395" s="2" t="n">
        <f aca="false">MONTH(C395)</f>
        <v>3</v>
      </c>
      <c r="E395" s="2" t="s">
        <v>81</v>
      </c>
      <c r="F395" s="2" t="s">
        <v>69</v>
      </c>
      <c r="G395" s="2" t="s">
        <v>70</v>
      </c>
      <c r="H395" s="2" t="s">
        <v>122</v>
      </c>
      <c r="I395" s="2" t="n">
        <v>2</v>
      </c>
      <c r="J395" s="11" t="n">
        <v>1500</v>
      </c>
      <c r="K395" s="12" t="n">
        <v>0</v>
      </c>
      <c r="L395" s="11" t="n">
        <v>900</v>
      </c>
      <c r="M395" s="11" t="n">
        <f aca="false">I395*J395*(1-K395)</f>
        <v>3000</v>
      </c>
      <c r="N395" s="11" t="n">
        <f aca="false">M395-I395*L395</f>
        <v>1200</v>
      </c>
    </row>
    <row r="396" customFormat="false" ht="15" hidden="false" customHeight="false" outlineLevel="0" collapsed="false">
      <c r="A396" s="2" t="s">
        <v>887</v>
      </c>
      <c r="B396" s="2" t="s">
        <v>884</v>
      </c>
      <c r="C396" s="10" t="n">
        <v>45733</v>
      </c>
      <c r="D396" s="2" t="n">
        <f aca="false">MONTH(C396)</f>
        <v>3</v>
      </c>
      <c r="E396" s="2" t="s">
        <v>77</v>
      </c>
      <c r="F396" s="2" t="s">
        <v>64</v>
      </c>
      <c r="G396" s="2" t="s">
        <v>65</v>
      </c>
      <c r="H396" s="2" t="s">
        <v>107</v>
      </c>
      <c r="I396" s="2" t="n">
        <v>3</v>
      </c>
      <c r="J396" s="11" t="n">
        <v>500</v>
      </c>
      <c r="K396" s="12" t="n">
        <v>0</v>
      </c>
      <c r="L396" s="11" t="n">
        <v>250</v>
      </c>
      <c r="M396" s="11" t="n">
        <f aca="false">I396*J396*(1-K396)</f>
        <v>1500</v>
      </c>
      <c r="N396" s="11" t="n">
        <f aca="false">M396-I396*L396</f>
        <v>750</v>
      </c>
    </row>
    <row r="397" customFormat="false" ht="15" hidden="false" customHeight="false" outlineLevel="0" collapsed="false">
      <c r="A397" s="2" t="s">
        <v>2083</v>
      </c>
      <c r="B397" s="2" t="s">
        <v>2084</v>
      </c>
      <c r="C397" s="10" t="n">
        <v>45733</v>
      </c>
      <c r="D397" s="2" t="n">
        <f aca="false">MONTH(C397)</f>
        <v>3</v>
      </c>
      <c r="E397" s="2" t="s">
        <v>77</v>
      </c>
      <c r="F397" s="2" t="s">
        <v>69</v>
      </c>
      <c r="G397" s="2" t="s">
        <v>73</v>
      </c>
      <c r="H397" s="2" t="s">
        <v>87</v>
      </c>
      <c r="I397" s="2" t="n">
        <v>4</v>
      </c>
      <c r="J397" s="11" t="n">
        <v>9000</v>
      </c>
      <c r="K397" s="12" t="n">
        <v>0</v>
      </c>
      <c r="L397" s="11" t="n">
        <v>6200</v>
      </c>
      <c r="M397" s="11" t="n">
        <f aca="false">I397*J397*(1-K397)</f>
        <v>36000</v>
      </c>
      <c r="N397" s="11" t="n">
        <f aca="false">M397-I397*L397</f>
        <v>11200</v>
      </c>
    </row>
    <row r="398" customFormat="false" ht="15" hidden="false" customHeight="false" outlineLevel="0" collapsed="false">
      <c r="A398" s="2" t="s">
        <v>2383</v>
      </c>
      <c r="B398" s="2" t="s">
        <v>2382</v>
      </c>
      <c r="C398" s="10" t="n">
        <v>45733</v>
      </c>
      <c r="D398" s="2" t="n">
        <f aca="false">MONTH(C398)</f>
        <v>3</v>
      </c>
      <c r="E398" s="2" t="s">
        <v>63</v>
      </c>
      <c r="F398" s="2" t="s">
        <v>69</v>
      </c>
      <c r="G398" s="2" t="s">
        <v>73</v>
      </c>
      <c r="H398" s="2" t="s">
        <v>74</v>
      </c>
      <c r="I398" s="2" t="n">
        <v>3</v>
      </c>
      <c r="J398" s="11" t="n">
        <v>7000</v>
      </c>
      <c r="K398" s="12" t="n">
        <v>0</v>
      </c>
      <c r="L398" s="11" t="n">
        <v>4800</v>
      </c>
      <c r="M398" s="11" t="n">
        <f aca="false">I398*J398*(1-K398)</f>
        <v>21000</v>
      </c>
      <c r="N398" s="11" t="n">
        <f aca="false">M398-I398*L398</f>
        <v>6600</v>
      </c>
    </row>
    <row r="399" customFormat="false" ht="15" hidden="false" customHeight="false" outlineLevel="0" collapsed="false">
      <c r="A399" s="2" t="s">
        <v>2394</v>
      </c>
      <c r="B399" s="2" t="s">
        <v>2393</v>
      </c>
      <c r="C399" s="10" t="n">
        <v>45733</v>
      </c>
      <c r="D399" s="2" t="n">
        <f aca="false">MONTH(C399)</f>
        <v>3</v>
      </c>
      <c r="E399" s="2" t="s">
        <v>77</v>
      </c>
      <c r="F399" s="2" t="s">
        <v>69</v>
      </c>
      <c r="G399" s="2" t="s">
        <v>65</v>
      </c>
      <c r="H399" s="2" t="s">
        <v>82</v>
      </c>
      <c r="I399" s="2" t="n">
        <v>8</v>
      </c>
      <c r="J399" s="11" t="n">
        <v>250</v>
      </c>
      <c r="K399" s="12" t="n">
        <v>0</v>
      </c>
      <c r="L399" s="11" t="n">
        <v>100</v>
      </c>
      <c r="M399" s="11" t="n">
        <f aca="false">I399*J399*(1-K399)</f>
        <v>2000</v>
      </c>
      <c r="N399" s="11" t="n">
        <f aca="false">M399-I399*L399</f>
        <v>1200</v>
      </c>
    </row>
    <row r="400" customFormat="false" ht="15" hidden="false" customHeight="false" outlineLevel="0" collapsed="false">
      <c r="A400" s="2" t="s">
        <v>2571</v>
      </c>
      <c r="B400" s="2" t="s">
        <v>2570</v>
      </c>
      <c r="C400" s="10" t="n">
        <v>45733</v>
      </c>
      <c r="D400" s="2" t="n">
        <f aca="false">MONTH(C400)</f>
        <v>3</v>
      </c>
      <c r="E400" s="2" t="s">
        <v>63</v>
      </c>
      <c r="F400" s="2" t="s">
        <v>64</v>
      </c>
      <c r="G400" s="2" t="s">
        <v>65</v>
      </c>
      <c r="H400" s="2" t="s">
        <v>78</v>
      </c>
      <c r="I400" s="2" t="n">
        <v>3</v>
      </c>
      <c r="J400" s="11" t="n">
        <v>400</v>
      </c>
      <c r="K400" s="12" t="n">
        <v>0</v>
      </c>
      <c r="L400" s="11" t="n">
        <v>200</v>
      </c>
      <c r="M400" s="11" t="n">
        <f aca="false">I400*J400*(1-K400)</f>
        <v>1200</v>
      </c>
      <c r="N400" s="11" t="n">
        <f aca="false">M400-I400*L400</f>
        <v>600</v>
      </c>
    </row>
    <row r="401" customFormat="false" ht="15" hidden="false" customHeight="false" outlineLevel="0" collapsed="false">
      <c r="A401" s="2" t="s">
        <v>2659</v>
      </c>
      <c r="B401" s="2" t="s">
        <v>2660</v>
      </c>
      <c r="C401" s="10" t="n">
        <v>45733</v>
      </c>
      <c r="D401" s="2" t="n">
        <f aca="false">MONTH(C401)</f>
        <v>3</v>
      </c>
      <c r="E401" s="2" t="s">
        <v>77</v>
      </c>
      <c r="F401" s="2" t="s">
        <v>64</v>
      </c>
      <c r="G401" s="2" t="s">
        <v>70</v>
      </c>
      <c r="H401" s="2" t="s">
        <v>122</v>
      </c>
      <c r="I401" s="2" t="n">
        <v>3</v>
      </c>
      <c r="J401" s="11" t="n">
        <v>1500</v>
      </c>
      <c r="K401" s="12" t="n">
        <v>0.1</v>
      </c>
      <c r="L401" s="11" t="n">
        <v>900</v>
      </c>
      <c r="M401" s="11" t="n">
        <f aca="false">I401*J401*(1-K401)</f>
        <v>4050</v>
      </c>
      <c r="N401" s="11" t="n">
        <f aca="false">M401-I401*L401</f>
        <v>1350</v>
      </c>
    </row>
    <row r="402" customFormat="false" ht="15" hidden="false" customHeight="false" outlineLevel="0" collapsed="false">
      <c r="A402" s="2" t="s">
        <v>577</v>
      </c>
      <c r="B402" s="2" t="s">
        <v>570</v>
      </c>
      <c r="C402" s="10" t="n">
        <v>45734</v>
      </c>
      <c r="D402" s="2" t="n">
        <f aca="false">MONTH(C402)</f>
        <v>3</v>
      </c>
      <c r="E402" s="2" t="s">
        <v>63</v>
      </c>
      <c r="F402" s="2" t="s">
        <v>92</v>
      </c>
      <c r="G402" s="2" t="s">
        <v>70</v>
      </c>
      <c r="H402" s="2" t="s">
        <v>71</v>
      </c>
      <c r="I402" s="2" t="n">
        <v>8</v>
      </c>
      <c r="J402" s="11" t="n">
        <v>2500</v>
      </c>
      <c r="K402" s="12" t="n">
        <v>0.1</v>
      </c>
      <c r="L402" s="11" t="n">
        <v>1600</v>
      </c>
      <c r="M402" s="11" t="n">
        <f aca="false">I402*J402*(1-K402)</f>
        <v>18000</v>
      </c>
      <c r="N402" s="11" t="n">
        <f aca="false">M402-I402*L402</f>
        <v>5200</v>
      </c>
    </row>
    <row r="403" customFormat="false" ht="15" hidden="false" customHeight="false" outlineLevel="0" collapsed="false">
      <c r="A403" s="2" t="s">
        <v>617</v>
      </c>
      <c r="B403" s="2" t="s">
        <v>616</v>
      </c>
      <c r="C403" s="10" t="n">
        <v>45734</v>
      </c>
      <c r="D403" s="2" t="n">
        <f aca="false">MONTH(C403)</f>
        <v>3</v>
      </c>
      <c r="E403" s="2" t="s">
        <v>81</v>
      </c>
      <c r="F403" s="2" t="s">
        <v>64</v>
      </c>
      <c r="G403" s="2" t="s">
        <v>70</v>
      </c>
      <c r="H403" s="2" t="s">
        <v>71</v>
      </c>
      <c r="I403" s="2" t="n">
        <v>2</v>
      </c>
      <c r="J403" s="11" t="n">
        <v>2500</v>
      </c>
      <c r="K403" s="12" t="n">
        <v>0</v>
      </c>
      <c r="L403" s="11" t="n">
        <v>1600</v>
      </c>
      <c r="M403" s="11" t="n">
        <f aca="false">I403*J403*(1-K403)</f>
        <v>5000</v>
      </c>
      <c r="N403" s="11" t="n">
        <f aca="false">M403-I403*L403</f>
        <v>1800</v>
      </c>
    </row>
    <row r="404" customFormat="false" ht="15" hidden="false" customHeight="false" outlineLevel="0" collapsed="false">
      <c r="A404" s="2" t="s">
        <v>2228</v>
      </c>
      <c r="B404" s="2" t="s">
        <v>2226</v>
      </c>
      <c r="C404" s="10" t="n">
        <v>45734</v>
      </c>
      <c r="D404" s="2" t="n">
        <f aca="false">MONTH(C404)</f>
        <v>3</v>
      </c>
      <c r="E404" s="2" t="s">
        <v>81</v>
      </c>
      <c r="F404" s="2" t="s">
        <v>92</v>
      </c>
      <c r="G404" s="2" t="s">
        <v>65</v>
      </c>
      <c r="H404" s="2" t="s">
        <v>78</v>
      </c>
      <c r="I404" s="2" t="n">
        <v>16</v>
      </c>
      <c r="J404" s="11" t="n">
        <v>400</v>
      </c>
      <c r="K404" s="12" t="n">
        <v>0.15</v>
      </c>
      <c r="L404" s="11" t="n">
        <v>200</v>
      </c>
      <c r="M404" s="11" t="n">
        <f aca="false">I404*J404*(1-K404)</f>
        <v>5440</v>
      </c>
      <c r="N404" s="11" t="n">
        <f aca="false">M404-I404*L404</f>
        <v>2240</v>
      </c>
    </row>
    <row r="405" customFormat="false" ht="15" hidden="false" customHeight="false" outlineLevel="0" collapsed="false">
      <c r="A405" s="2" t="s">
        <v>2600</v>
      </c>
      <c r="B405" s="2" t="s">
        <v>2598</v>
      </c>
      <c r="C405" s="10" t="n">
        <v>45734</v>
      </c>
      <c r="D405" s="2" t="n">
        <f aca="false">MONTH(C405)</f>
        <v>3</v>
      </c>
      <c r="E405" s="2" t="s">
        <v>63</v>
      </c>
      <c r="F405" s="2" t="s">
        <v>69</v>
      </c>
      <c r="G405" s="2" t="s">
        <v>65</v>
      </c>
      <c r="H405" s="2" t="s">
        <v>78</v>
      </c>
      <c r="I405" s="2" t="n">
        <v>19</v>
      </c>
      <c r="J405" s="11" t="n">
        <v>400</v>
      </c>
      <c r="K405" s="12" t="n">
        <v>0.1</v>
      </c>
      <c r="L405" s="11" t="n">
        <v>200</v>
      </c>
      <c r="M405" s="11" t="n">
        <f aca="false">I405*J405*(1-K405)</f>
        <v>6840</v>
      </c>
      <c r="N405" s="11" t="n">
        <f aca="false">M405-I405*L405</f>
        <v>3040</v>
      </c>
    </row>
    <row r="406" customFormat="false" ht="15" hidden="false" customHeight="false" outlineLevel="0" collapsed="false">
      <c r="A406" s="2" t="s">
        <v>187</v>
      </c>
      <c r="B406" s="2" t="s">
        <v>186</v>
      </c>
      <c r="C406" s="10" t="n">
        <v>45735</v>
      </c>
      <c r="D406" s="2" t="n">
        <f aca="false">MONTH(C406)</f>
        <v>3</v>
      </c>
      <c r="E406" s="2" t="s">
        <v>91</v>
      </c>
      <c r="F406" s="2" t="s">
        <v>64</v>
      </c>
      <c r="G406" s="2" t="s">
        <v>70</v>
      </c>
      <c r="H406" s="2" t="s">
        <v>122</v>
      </c>
      <c r="I406" s="2" t="n">
        <v>2</v>
      </c>
      <c r="J406" s="11" t="n">
        <v>1500</v>
      </c>
      <c r="K406" s="12" t="n">
        <v>0.1</v>
      </c>
      <c r="L406" s="11" t="n">
        <v>900</v>
      </c>
      <c r="M406" s="11" t="n">
        <f aca="false">I406*J406*(1-K406)</f>
        <v>2700</v>
      </c>
      <c r="N406" s="11" t="n">
        <f aca="false">M406-I406*L406</f>
        <v>900</v>
      </c>
    </row>
    <row r="407" customFormat="false" ht="15" hidden="false" customHeight="false" outlineLevel="0" collapsed="false">
      <c r="A407" s="2" t="s">
        <v>736</v>
      </c>
      <c r="B407" s="2" t="s">
        <v>737</v>
      </c>
      <c r="C407" s="10" t="n">
        <v>45735</v>
      </c>
      <c r="D407" s="2" t="n">
        <f aca="false">MONTH(C407)</f>
        <v>3</v>
      </c>
      <c r="E407" s="2" t="s">
        <v>63</v>
      </c>
      <c r="F407" s="2" t="s">
        <v>64</v>
      </c>
      <c r="G407" s="2" t="s">
        <v>70</v>
      </c>
      <c r="H407" s="2" t="s">
        <v>126</v>
      </c>
      <c r="I407" s="2" t="n">
        <v>1</v>
      </c>
      <c r="J407" s="11" t="n">
        <v>4500</v>
      </c>
      <c r="K407" s="12" t="n">
        <v>0.05</v>
      </c>
      <c r="L407" s="11" t="n">
        <v>3300</v>
      </c>
      <c r="M407" s="11" t="n">
        <f aca="false">I407*J407*(1-K407)</f>
        <v>4275</v>
      </c>
      <c r="N407" s="11" t="n">
        <f aca="false">M407-I407*L407</f>
        <v>975</v>
      </c>
    </row>
    <row r="408" customFormat="false" ht="15" hidden="false" customHeight="false" outlineLevel="0" collapsed="false">
      <c r="A408" s="2" t="s">
        <v>1260</v>
      </c>
      <c r="B408" s="2" t="s">
        <v>1259</v>
      </c>
      <c r="C408" s="10" t="n">
        <v>45735</v>
      </c>
      <c r="D408" s="2" t="n">
        <f aca="false">MONTH(C408)</f>
        <v>3</v>
      </c>
      <c r="E408" s="2" t="s">
        <v>77</v>
      </c>
      <c r="F408" s="2" t="s">
        <v>64</v>
      </c>
      <c r="G408" s="2" t="s">
        <v>73</v>
      </c>
      <c r="H408" s="2" t="s">
        <v>104</v>
      </c>
      <c r="I408" s="2" t="n">
        <v>3</v>
      </c>
      <c r="J408" s="11" t="n">
        <v>5500</v>
      </c>
      <c r="K408" s="12" t="n">
        <v>0</v>
      </c>
      <c r="L408" s="11" t="n">
        <v>3600</v>
      </c>
      <c r="M408" s="11" t="n">
        <f aca="false">I408*J408*(1-K408)</f>
        <v>16500</v>
      </c>
      <c r="N408" s="11" t="n">
        <f aca="false">M408-I408*L408</f>
        <v>5700</v>
      </c>
    </row>
    <row r="409" customFormat="false" ht="15" hidden="false" customHeight="false" outlineLevel="0" collapsed="false">
      <c r="A409" s="2" t="s">
        <v>1868</v>
      </c>
      <c r="B409" s="2" t="s">
        <v>1861</v>
      </c>
      <c r="C409" s="10" t="n">
        <v>45735</v>
      </c>
      <c r="D409" s="2" t="n">
        <f aca="false">MONTH(C409)</f>
        <v>3</v>
      </c>
      <c r="E409" s="2" t="s">
        <v>81</v>
      </c>
      <c r="F409" s="2" t="s">
        <v>92</v>
      </c>
      <c r="G409" s="2" t="s">
        <v>73</v>
      </c>
      <c r="H409" s="2" t="s">
        <v>74</v>
      </c>
      <c r="I409" s="2" t="n">
        <v>5</v>
      </c>
      <c r="J409" s="11" t="n">
        <v>7000</v>
      </c>
      <c r="K409" s="12" t="n">
        <v>0</v>
      </c>
      <c r="L409" s="11" t="n">
        <v>4800</v>
      </c>
      <c r="M409" s="11" t="n">
        <f aca="false">I409*J409*(1-K409)</f>
        <v>35000</v>
      </c>
      <c r="N409" s="11" t="n">
        <f aca="false">M409-I409*L409</f>
        <v>11000</v>
      </c>
    </row>
    <row r="410" customFormat="false" ht="15" hidden="false" customHeight="false" outlineLevel="0" collapsed="false">
      <c r="A410" s="2" t="s">
        <v>1899</v>
      </c>
      <c r="B410" s="2" t="s">
        <v>1897</v>
      </c>
      <c r="C410" s="10" t="n">
        <v>45735</v>
      </c>
      <c r="D410" s="2" t="n">
        <f aca="false">MONTH(C410)</f>
        <v>3</v>
      </c>
      <c r="E410" s="2" t="s">
        <v>63</v>
      </c>
      <c r="F410" s="2" t="s">
        <v>64</v>
      </c>
      <c r="G410" s="2" t="s">
        <v>65</v>
      </c>
      <c r="H410" s="2" t="s">
        <v>82</v>
      </c>
      <c r="I410" s="2" t="n">
        <v>5</v>
      </c>
      <c r="J410" s="11" t="n">
        <v>250</v>
      </c>
      <c r="K410" s="12" t="n">
        <v>0</v>
      </c>
      <c r="L410" s="11" t="n">
        <v>100</v>
      </c>
      <c r="M410" s="11" t="n">
        <f aca="false">I410*J410*(1-K410)</f>
        <v>1250</v>
      </c>
      <c r="N410" s="11" t="n">
        <f aca="false">M410-I410*L410</f>
        <v>750</v>
      </c>
    </row>
    <row r="411" customFormat="false" ht="15" hidden="false" customHeight="false" outlineLevel="0" collapsed="false">
      <c r="A411" s="2" t="s">
        <v>128</v>
      </c>
      <c r="B411" s="2" t="s">
        <v>129</v>
      </c>
      <c r="C411" s="10" t="n">
        <v>45736</v>
      </c>
      <c r="D411" s="2" t="n">
        <f aca="false">MONTH(C411)</f>
        <v>3</v>
      </c>
      <c r="E411" s="2" t="s">
        <v>77</v>
      </c>
      <c r="F411" s="2" t="s">
        <v>64</v>
      </c>
      <c r="G411" s="2" t="s">
        <v>65</v>
      </c>
      <c r="H411" s="2" t="s">
        <v>82</v>
      </c>
      <c r="I411" s="2" t="n">
        <v>6</v>
      </c>
      <c r="J411" s="11" t="n">
        <v>250</v>
      </c>
      <c r="K411" s="12" t="n">
        <v>0</v>
      </c>
      <c r="L411" s="11" t="n">
        <v>100</v>
      </c>
      <c r="M411" s="11" t="n">
        <f aca="false">I411*J411*(1-K411)</f>
        <v>1500</v>
      </c>
      <c r="N411" s="11" t="n">
        <f aca="false">M411-I411*L411</f>
        <v>900</v>
      </c>
    </row>
    <row r="412" customFormat="false" ht="15" hidden="false" customHeight="false" outlineLevel="0" collapsed="false">
      <c r="A412" s="2" t="s">
        <v>605</v>
      </c>
      <c r="B412" s="2" t="s">
        <v>606</v>
      </c>
      <c r="C412" s="10" t="n">
        <v>45736</v>
      </c>
      <c r="D412" s="2" t="n">
        <f aca="false">MONTH(C412)</f>
        <v>3</v>
      </c>
      <c r="E412" s="2" t="s">
        <v>91</v>
      </c>
      <c r="F412" s="2" t="s">
        <v>64</v>
      </c>
      <c r="G412" s="2" t="s">
        <v>65</v>
      </c>
      <c r="H412" s="2" t="s">
        <v>107</v>
      </c>
      <c r="I412" s="2" t="n">
        <v>3</v>
      </c>
      <c r="J412" s="11" t="n">
        <v>500</v>
      </c>
      <c r="K412" s="12" t="n">
        <v>0.05</v>
      </c>
      <c r="L412" s="11" t="n">
        <v>250</v>
      </c>
      <c r="M412" s="11" t="n">
        <f aca="false">I412*J412*(1-K412)</f>
        <v>1425</v>
      </c>
      <c r="N412" s="11" t="n">
        <f aca="false">M412-I412*L412</f>
        <v>675</v>
      </c>
    </row>
    <row r="413" customFormat="false" ht="15" hidden="false" customHeight="false" outlineLevel="0" collapsed="false">
      <c r="A413" s="2" t="s">
        <v>731</v>
      </c>
      <c r="B413" s="2" t="s">
        <v>730</v>
      </c>
      <c r="C413" s="10" t="n">
        <v>45736</v>
      </c>
      <c r="D413" s="2" t="n">
        <f aca="false">MONTH(C413)</f>
        <v>3</v>
      </c>
      <c r="E413" s="2" t="s">
        <v>91</v>
      </c>
      <c r="F413" s="2" t="s">
        <v>69</v>
      </c>
      <c r="G413" s="2" t="s">
        <v>73</v>
      </c>
      <c r="H413" s="2" t="s">
        <v>74</v>
      </c>
      <c r="I413" s="2" t="n">
        <v>5</v>
      </c>
      <c r="J413" s="11" t="n">
        <v>7000</v>
      </c>
      <c r="K413" s="12" t="n">
        <v>0.05</v>
      </c>
      <c r="L413" s="11" t="n">
        <v>4800</v>
      </c>
      <c r="M413" s="11" t="n">
        <f aca="false">I413*J413*(1-K413)</f>
        <v>33250</v>
      </c>
      <c r="N413" s="11" t="n">
        <f aca="false">M413-I413*L413</f>
        <v>9250</v>
      </c>
    </row>
    <row r="414" customFormat="false" ht="15" hidden="false" customHeight="false" outlineLevel="0" collapsed="false">
      <c r="A414" s="2" t="s">
        <v>1585</v>
      </c>
      <c r="B414" s="2" t="s">
        <v>1586</v>
      </c>
      <c r="C414" s="10" t="n">
        <v>45736</v>
      </c>
      <c r="D414" s="2" t="n">
        <f aca="false">MONTH(C414)</f>
        <v>3</v>
      </c>
      <c r="E414" s="2" t="s">
        <v>77</v>
      </c>
      <c r="F414" s="2" t="s">
        <v>64</v>
      </c>
      <c r="G414" s="2" t="s">
        <v>70</v>
      </c>
      <c r="H414" s="2" t="s">
        <v>97</v>
      </c>
      <c r="I414" s="2" t="n">
        <v>1</v>
      </c>
      <c r="J414" s="11" t="n">
        <v>3000</v>
      </c>
      <c r="K414" s="12" t="n">
        <v>0</v>
      </c>
      <c r="L414" s="11" t="n">
        <v>2000</v>
      </c>
      <c r="M414" s="11" t="n">
        <f aca="false">I414*J414*(1-K414)</f>
        <v>3000</v>
      </c>
      <c r="N414" s="11" t="n">
        <f aca="false">M414-I414*L414</f>
        <v>1000</v>
      </c>
    </row>
    <row r="415" customFormat="false" ht="15" hidden="false" customHeight="false" outlineLevel="0" collapsed="false">
      <c r="A415" s="2" t="s">
        <v>1773</v>
      </c>
      <c r="B415" s="2" t="s">
        <v>1770</v>
      </c>
      <c r="C415" s="10" t="n">
        <v>45736</v>
      </c>
      <c r="D415" s="2" t="n">
        <f aca="false">MONTH(C415)</f>
        <v>3</v>
      </c>
      <c r="E415" s="2" t="s">
        <v>81</v>
      </c>
      <c r="F415" s="2" t="s">
        <v>69</v>
      </c>
      <c r="G415" s="2" t="s">
        <v>65</v>
      </c>
      <c r="H415" s="2" t="s">
        <v>78</v>
      </c>
      <c r="I415" s="2" t="n">
        <v>8</v>
      </c>
      <c r="J415" s="11" t="n">
        <v>400</v>
      </c>
      <c r="K415" s="12" t="n">
        <v>0.1</v>
      </c>
      <c r="L415" s="11" t="n">
        <v>200</v>
      </c>
      <c r="M415" s="11" t="n">
        <f aca="false">I415*J415*(1-K415)</f>
        <v>2880</v>
      </c>
      <c r="N415" s="11" t="n">
        <f aca="false">M415-I415*L415</f>
        <v>1280</v>
      </c>
    </row>
    <row r="416" customFormat="false" ht="15" hidden="false" customHeight="false" outlineLevel="0" collapsed="false">
      <c r="A416" s="2" t="s">
        <v>2021</v>
      </c>
      <c r="B416" s="2" t="s">
        <v>2019</v>
      </c>
      <c r="C416" s="10" t="n">
        <v>45736</v>
      </c>
      <c r="D416" s="2" t="n">
        <f aca="false">MONTH(C416)</f>
        <v>3</v>
      </c>
      <c r="E416" s="2" t="s">
        <v>81</v>
      </c>
      <c r="F416" s="2" t="s">
        <v>92</v>
      </c>
      <c r="G416" s="2" t="s">
        <v>73</v>
      </c>
      <c r="H416" s="2" t="s">
        <v>87</v>
      </c>
      <c r="I416" s="2" t="n">
        <v>8</v>
      </c>
      <c r="J416" s="11" t="n">
        <v>9000</v>
      </c>
      <c r="K416" s="12" t="n">
        <v>0.05</v>
      </c>
      <c r="L416" s="11" t="n">
        <v>6200</v>
      </c>
      <c r="M416" s="11" t="n">
        <f aca="false">I416*J416*(1-K416)</f>
        <v>68400</v>
      </c>
      <c r="N416" s="11" t="n">
        <f aca="false">M416-I416*L416</f>
        <v>18800</v>
      </c>
    </row>
    <row r="417" customFormat="false" ht="15" hidden="false" customHeight="false" outlineLevel="0" collapsed="false">
      <c r="A417" s="2" t="s">
        <v>2816</v>
      </c>
      <c r="B417" s="2" t="s">
        <v>2817</v>
      </c>
      <c r="C417" s="10" t="n">
        <v>45736</v>
      </c>
      <c r="D417" s="2" t="n">
        <f aca="false">MONTH(C417)</f>
        <v>3</v>
      </c>
      <c r="E417" s="2" t="s">
        <v>63</v>
      </c>
      <c r="F417" s="2" t="s">
        <v>69</v>
      </c>
      <c r="G417" s="2" t="s">
        <v>70</v>
      </c>
      <c r="H417" s="2" t="s">
        <v>71</v>
      </c>
      <c r="I417" s="2" t="n">
        <v>1</v>
      </c>
      <c r="J417" s="11" t="n">
        <v>2500</v>
      </c>
      <c r="K417" s="12" t="n">
        <v>0.1</v>
      </c>
      <c r="L417" s="11" t="n">
        <v>1600</v>
      </c>
      <c r="M417" s="11" t="n">
        <f aca="false">I417*J417*(1-K417)</f>
        <v>2250</v>
      </c>
      <c r="N417" s="11" t="n">
        <f aca="false">M417-I417*L417</f>
        <v>650</v>
      </c>
    </row>
    <row r="418" customFormat="false" ht="15" hidden="false" customHeight="false" outlineLevel="0" collapsed="false">
      <c r="A418" s="2" t="s">
        <v>876</v>
      </c>
      <c r="B418" s="2" t="s">
        <v>875</v>
      </c>
      <c r="C418" s="10" t="n">
        <v>45737</v>
      </c>
      <c r="D418" s="2" t="n">
        <f aca="false">MONTH(C418)</f>
        <v>3</v>
      </c>
      <c r="E418" s="2" t="s">
        <v>77</v>
      </c>
      <c r="F418" s="2" t="s">
        <v>64</v>
      </c>
      <c r="G418" s="2" t="s">
        <v>70</v>
      </c>
      <c r="H418" s="2" t="s">
        <v>97</v>
      </c>
      <c r="I418" s="2" t="n">
        <v>1</v>
      </c>
      <c r="J418" s="11" t="n">
        <v>3000</v>
      </c>
      <c r="K418" s="12" t="n">
        <v>0</v>
      </c>
      <c r="L418" s="11" t="n">
        <v>2000</v>
      </c>
      <c r="M418" s="11" t="n">
        <f aca="false">I418*J418*(1-K418)</f>
        <v>3000</v>
      </c>
      <c r="N418" s="11" t="n">
        <f aca="false">M418-I418*L418</f>
        <v>1000</v>
      </c>
    </row>
    <row r="419" customFormat="false" ht="15" hidden="false" customHeight="false" outlineLevel="0" collapsed="false">
      <c r="A419" s="2" t="s">
        <v>1022</v>
      </c>
      <c r="B419" s="2" t="s">
        <v>1023</v>
      </c>
      <c r="C419" s="10" t="n">
        <v>45737</v>
      </c>
      <c r="D419" s="2" t="n">
        <f aca="false">MONTH(C419)</f>
        <v>3</v>
      </c>
      <c r="E419" s="2" t="s">
        <v>77</v>
      </c>
      <c r="F419" s="2" t="s">
        <v>92</v>
      </c>
      <c r="G419" s="2" t="s">
        <v>73</v>
      </c>
      <c r="H419" s="2" t="s">
        <v>104</v>
      </c>
      <c r="I419" s="2" t="n">
        <v>7</v>
      </c>
      <c r="J419" s="11" t="n">
        <v>5500</v>
      </c>
      <c r="K419" s="12" t="n">
        <v>0</v>
      </c>
      <c r="L419" s="11" t="n">
        <v>3600</v>
      </c>
      <c r="M419" s="11" t="n">
        <f aca="false">I419*J419*(1-K419)</f>
        <v>38500</v>
      </c>
      <c r="N419" s="11" t="n">
        <f aca="false">M419-I419*L419</f>
        <v>13300</v>
      </c>
    </row>
    <row r="420" customFormat="false" ht="15" hidden="false" customHeight="false" outlineLevel="0" collapsed="false">
      <c r="A420" s="2" t="s">
        <v>1213</v>
      </c>
      <c r="B420" s="2" t="s">
        <v>1210</v>
      </c>
      <c r="C420" s="10" t="n">
        <v>45737</v>
      </c>
      <c r="D420" s="2" t="n">
        <f aca="false">MONTH(C420)</f>
        <v>3</v>
      </c>
      <c r="E420" s="2" t="s">
        <v>63</v>
      </c>
      <c r="F420" s="2" t="s">
        <v>92</v>
      </c>
      <c r="G420" s="2" t="s">
        <v>70</v>
      </c>
      <c r="H420" s="2" t="s">
        <v>97</v>
      </c>
      <c r="I420" s="2" t="n">
        <v>4</v>
      </c>
      <c r="J420" s="11" t="n">
        <v>3000</v>
      </c>
      <c r="K420" s="12" t="n">
        <v>0.05</v>
      </c>
      <c r="L420" s="11" t="n">
        <v>2000</v>
      </c>
      <c r="M420" s="11" t="n">
        <f aca="false">I420*J420*(1-K420)</f>
        <v>11400</v>
      </c>
      <c r="N420" s="11" t="n">
        <f aca="false">M420-I420*L420</f>
        <v>3400</v>
      </c>
    </row>
    <row r="421" customFormat="false" ht="15" hidden="false" customHeight="false" outlineLevel="0" collapsed="false">
      <c r="A421" s="2" t="s">
        <v>1817</v>
      </c>
      <c r="B421" s="2" t="s">
        <v>1816</v>
      </c>
      <c r="C421" s="10" t="n">
        <v>45737</v>
      </c>
      <c r="D421" s="2" t="n">
        <f aca="false">MONTH(C421)</f>
        <v>3</v>
      </c>
      <c r="E421" s="2" t="s">
        <v>63</v>
      </c>
      <c r="F421" s="2" t="s">
        <v>64</v>
      </c>
      <c r="G421" s="2" t="s">
        <v>70</v>
      </c>
      <c r="H421" s="2" t="s">
        <v>122</v>
      </c>
      <c r="I421" s="2" t="n">
        <v>2</v>
      </c>
      <c r="J421" s="11" t="n">
        <v>1500</v>
      </c>
      <c r="K421" s="12" t="n">
        <v>0</v>
      </c>
      <c r="L421" s="11" t="n">
        <v>900</v>
      </c>
      <c r="M421" s="11" t="n">
        <f aca="false">I421*J421*(1-K421)</f>
        <v>3000</v>
      </c>
      <c r="N421" s="11" t="n">
        <f aca="false">M421-I421*L421</f>
        <v>1200</v>
      </c>
    </row>
    <row r="422" customFormat="false" ht="15" hidden="false" customHeight="false" outlineLevel="0" collapsed="false">
      <c r="A422" s="2" t="s">
        <v>2120</v>
      </c>
      <c r="B422" s="2" t="s">
        <v>2118</v>
      </c>
      <c r="C422" s="10" t="n">
        <v>45737</v>
      </c>
      <c r="D422" s="2" t="n">
        <f aca="false">MONTH(C422)</f>
        <v>3</v>
      </c>
      <c r="E422" s="2" t="s">
        <v>91</v>
      </c>
      <c r="F422" s="2" t="s">
        <v>92</v>
      </c>
      <c r="G422" s="2" t="s">
        <v>73</v>
      </c>
      <c r="H422" s="2" t="s">
        <v>74</v>
      </c>
      <c r="I422" s="2" t="n">
        <v>5</v>
      </c>
      <c r="J422" s="11" t="n">
        <v>7000</v>
      </c>
      <c r="K422" s="12" t="n">
        <v>0.05</v>
      </c>
      <c r="L422" s="11" t="n">
        <v>4800</v>
      </c>
      <c r="M422" s="11" t="n">
        <f aca="false">I422*J422*(1-K422)</f>
        <v>33250</v>
      </c>
      <c r="N422" s="11" t="n">
        <f aca="false">M422-I422*L422</f>
        <v>9250</v>
      </c>
    </row>
    <row r="423" customFormat="false" ht="15" hidden="false" customHeight="false" outlineLevel="0" collapsed="false">
      <c r="A423" s="2" t="s">
        <v>116</v>
      </c>
      <c r="B423" s="2" t="s">
        <v>117</v>
      </c>
      <c r="C423" s="10" t="n">
        <v>45738</v>
      </c>
      <c r="D423" s="2" t="n">
        <f aca="false">MONTH(C423)</f>
        <v>3</v>
      </c>
      <c r="E423" s="2" t="s">
        <v>81</v>
      </c>
      <c r="F423" s="2" t="s">
        <v>69</v>
      </c>
      <c r="G423" s="2" t="s">
        <v>73</v>
      </c>
      <c r="H423" s="2" t="s">
        <v>87</v>
      </c>
      <c r="I423" s="2" t="n">
        <v>2</v>
      </c>
      <c r="J423" s="11" t="n">
        <v>9000</v>
      </c>
      <c r="K423" s="12" t="n">
        <v>0</v>
      </c>
      <c r="L423" s="11" t="n">
        <v>6200</v>
      </c>
      <c r="M423" s="11" t="n">
        <f aca="false">I423*J423*(1-K423)</f>
        <v>18000</v>
      </c>
      <c r="N423" s="11" t="n">
        <f aca="false">M423-I423*L423</f>
        <v>5600</v>
      </c>
    </row>
    <row r="424" customFormat="false" ht="15" hidden="false" customHeight="false" outlineLevel="0" collapsed="false">
      <c r="A424" s="2" t="s">
        <v>1072</v>
      </c>
      <c r="B424" s="2" t="s">
        <v>1071</v>
      </c>
      <c r="C424" s="10" t="n">
        <v>45738</v>
      </c>
      <c r="D424" s="2" t="n">
        <f aca="false">MONTH(C424)</f>
        <v>3</v>
      </c>
      <c r="E424" s="2" t="s">
        <v>77</v>
      </c>
      <c r="F424" s="2" t="s">
        <v>92</v>
      </c>
      <c r="G424" s="2" t="s">
        <v>70</v>
      </c>
      <c r="H424" s="2" t="s">
        <v>126</v>
      </c>
      <c r="I424" s="2" t="n">
        <v>5</v>
      </c>
      <c r="J424" s="11" t="n">
        <v>4500</v>
      </c>
      <c r="K424" s="12" t="n">
        <v>0</v>
      </c>
      <c r="L424" s="11" t="n">
        <v>3300</v>
      </c>
      <c r="M424" s="11" t="n">
        <f aca="false">I424*J424*(1-K424)</f>
        <v>22500</v>
      </c>
      <c r="N424" s="11" t="n">
        <f aca="false">M424-I424*L424</f>
        <v>6000</v>
      </c>
    </row>
    <row r="425" customFormat="false" ht="15" hidden="false" customHeight="false" outlineLevel="0" collapsed="false">
      <c r="A425" s="2" t="s">
        <v>1644</v>
      </c>
      <c r="B425" s="2" t="s">
        <v>1643</v>
      </c>
      <c r="C425" s="10" t="n">
        <v>45738</v>
      </c>
      <c r="D425" s="2" t="n">
        <f aca="false">MONTH(C425)</f>
        <v>3</v>
      </c>
      <c r="E425" s="2" t="s">
        <v>81</v>
      </c>
      <c r="F425" s="2" t="s">
        <v>92</v>
      </c>
      <c r="G425" s="2" t="s">
        <v>65</v>
      </c>
      <c r="H425" s="2" t="s">
        <v>78</v>
      </c>
      <c r="I425" s="2" t="n">
        <v>31</v>
      </c>
      <c r="J425" s="11" t="n">
        <v>400</v>
      </c>
      <c r="K425" s="12" t="n">
        <v>0</v>
      </c>
      <c r="L425" s="11" t="n">
        <v>200</v>
      </c>
      <c r="M425" s="11" t="n">
        <f aca="false">I425*J425*(1-K425)</f>
        <v>12400</v>
      </c>
      <c r="N425" s="11" t="n">
        <f aca="false">M425-I425*L425</f>
        <v>6200</v>
      </c>
    </row>
    <row r="426" customFormat="false" ht="15" hidden="false" customHeight="false" outlineLevel="0" collapsed="false">
      <c r="A426" s="2" t="s">
        <v>462</v>
      </c>
      <c r="B426" s="2" t="s">
        <v>463</v>
      </c>
      <c r="C426" s="10" t="n">
        <v>45739</v>
      </c>
      <c r="D426" s="2" t="n">
        <f aca="false">MONTH(C426)</f>
        <v>3</v>
      </c>
      <c r="E426" s="2" t="s">
        <v>81</v>
      </c>
      <c r="F426" s="2" t="s">
        <v>64</v>
      </c>
      <c r="G426" s="2" t="s">
        <v>70</v>
      </c>
      <c r="H426" s="2" t="s">
        <v>71</v>
      </c>
      <c r="I426" s="2" t="n">
        <v>2</v>
      </c>
      <c r="J426" s="11" t="n">
        <v>2500</v>
      </c>
      <c r="K426" s="12" t="n">
        <v>0</v>
      </c>
      <c r="L426" s="11" t="n">
        <v>1600</v>
      </c>
      <c r="M426" s="11" t="n">
        <f aca="false">I426*J426*(1-K426)</f>
        <v>5000</v>
      </c>
      <c r="N426" s="11" t="n">
        <f aca="false">M426-I426*L426</f>
        <v>1800</v>
      </c>
    </row>
    <row r="427" customFormat="false" ht="15" hidden="false" customHeight="false" outlineLevel="0" collapsed="false">
      <c r="A427" s="2" t="s">
        <v>823</v>
      </c>
      <c r="B427" s="2" t="s">
        <v>822</v>
      </c>
      <c r="C427" s="10" t="n">
        <v>45739</v>
      </c>
      <c r="D427" s="2" t="n">
        <f aca="false">MONTH(C427)</f>
        <v>3</v>
      </c>
      <c r="E427" s="2" t="s">
        <v>91</v>
      </c>
      <c r="F427" s="2" t="s">
        <v>69</v>
      </c>
      <c r="G427" s="2" t="s">
        <v>70</v>
      </c>
      <c r="H427" s="2" t="s">
        <v>122</v>
      </c>
      <c r="I427" s="2" t="n">
        <v>4</v>
      </c>
      <c r="J427" s="11" t="n">
        <v>1500</v>
      </c>
      <c r="K427" s="12" t="n">
        <v>0</v>
      </c>
      <c r="L427" s="11" t="n">
        <v>900</v>
      </c>
      <c r="M427" s="11" t="n">
        <f aca="false">I427*J427*(1-K427)</f>
        <v>6000</v>
      </c>
      <c r="N427" s="11" t="n">
        <f aca="false">M427-I427*L427</f>
        <v>2400</v>
      </c>
    </row>
    <row r="428" customFormat="false" ht="15" hidden="false" customHeight="false" outlineLevel="0" collapsed="false">
      <c r="A428" s="2" t="s">
        <v>979</v>
      </c>
      <c r="B428" s="2" t="s">
        <v>976</v>
      </c>
      <c r="C428" s="10" t="n">
        <v>45739</v>
      </c>
      <c r="D428" s="2" t="n">
        <f aca="false">MONTH(C428)</f>
        <v>3</v>
      </c>
      <c r="E428" s="2" t="s">
        <v>77</v>
      </c>
      <c r="F428" s="2" t="s">
        <v>69</v>
      </c>
      <c r="G428" s="2" t="s">
        <v>70</v>
      </c>
      <c r="H428" s="2" t="s">
        <v>71</v>
      </c>
      <c r="I428" s="2" t="n">
        <v>3</v>
      </c>
      <c r="J428" s="11" t="n">
        <v>2500</v>
      </c>
      <c r="K428" s="12" t="n">
        <v>0.1</v>
      </c>
      <c r="L428" s="11" t="n">
        <v>1600</v>
      </c>
      <c r="M428" s="11" t="n">
        <f aca="false">I428*J428*(1-K428)</f>
        <v>6750</v>
      </c>
      <c r="N428" s="11" t="n">
        <f aca="false">M428-I428*L428</f>
        <v>1950</v>
      </c>
    </row>
    <row r="429" customFormat="false" ht="15" hidden="false" customHeight="false" outlineLevel="0" collapsed="false">
      <c r="A429" s="2" t="s">
        <v>1067</v>
      </c>
      <c r="B429" s="2" t="s">
        <v>1063</v>
      </c>
      <c r="C429" s="10" t="n">
        <v>45739</v>
      </c>
      <c r="D429" s="2" t="n">
        <f aca="false">MONTH(C429)</f>
        <v>3</v>
      </c>
      <c r="E429" s="2" t="s">
        <v>91</v>
      </c>
      <c r="F429" s="2" t="s">
        <v>64</v>
      </c>
      <c r="G429" s="2" t="s">
        <v>65</v>
      </c>
      <c r="H429" s="2" t="s">
        <v>78</v>
      </c>
      <c r="I429" s="2" t="n">
        <v>2</v>
      </c>
      <c r="J429" s="11" t="n">
        <v>400</v>
      </c>
      <c r="K429" s="12" t="n">
        <v>0.05</v>
      </c>
      <c r="L429" s="11" t="n">
        <v>200</v>
      </c>
      <c r="M429" s="11" t="n">
        <f aca="false">I429*J429*(1-K429)</f>
        <v>760</v>
      </c>
      <c r="N429" s="11" t="n">
        <f aca="false">M429-I429*L429</f>
        <v>360</v>
      </c>
    </row>
    <row r="430" customFormat="false" ht="15" hidden="false" customHeight="false" outlineLevel="0" collapsed="false">
      <c r="A430" s="2" t="s">
        <v>1286</v>
      </c>
      <c r="B430" s="2" t="s">
        <v>1287</v>
      </c>
      <c r="C430" s="10" t="n">
        <v>45739</v>
      </c>
      <c r="D430" s="2" t="n">
        <f aca="false">MONTH(C430)</f>
        <v>3</v>
      </c>
      <c r="E430" s="2" t="s">
        <v>63</v>
      </c>
      <c r="F430" s="2" t="s">
        <v>64</v>
      </c>
      <c r="G430" s="2" t="s">
        <v>65</v>
      </c>
      <c r="H430" s="2" t="s">
        <v>107</v>
      </c>
      <c r="I430" s="2" t="n">
        <v>7</v>
      </c>
      <c r="J430" s="11" t="n">
        <v>500</v>
      </c>
      <c r="K430" s="12" t="n">
        <v>0.05</v>
      </c>
      <c r="L430" s="11" t="n">
        <v>250</v>
      </c>
      <c r="M430" s="11" t="n">
        <f aca="false">I430*J430*(1-K430)</f>
        <v>3325</v>
      </c>
      <c r="N430" s="11" t="n">
        <f aca="false">M430-I430*L430</f>
        <v>1575</v>
      </c>
    </row>
    <row r="431" customFormat="false" ht="15" hidden="false" customHeight="false" outlineLevel="0" collapsed="false">
      <c r="A431" s="2" t="s">
        <v>1790</v>
      </c>
      <c r="B431" s="2" t="s">
        <v>1789</v>
      </c>
      <c r="C431" s="10" t="n">
        <v>45739</v>
      </c>
      <c r="D431" s="2" t="n">
        <f aca="false">MONTH(C431)</f>
        <v>3</v>
      </c>
      <c r="E431" s="2" t="s">
        <v>77</v>
      </c>
      <c r="F431" s="2" t="s">
        <v>64</v>
      </c>
      <c r="G431" s="2" t="s">
        <v>70</v>
      </c>
      <c r="H431" s="2" t="s">
        <v>122</v>
      </c>
      <c r="I431" s="2" t="n">
        <v>2</v>
      </c>
      <c r="J431" s="11" t="n">
        <v>1500</v>
      </c>
      <c r="K431" s="12" t="n">
        <v>0</v>
      </c>
      <c r="L431" s="11" t="n">
        <v>900</v>
      </c>
      <c r="M431" s="11" t="n">
        <f aca="false">I431*J431*(1-K431)</f>
        <v>3000</v>
      </c>
      <c r="N431" s="11" t="n">
        <f aca="false">M431-I431*L431</f>
        <v>1200</v>
      </c>
    </row>
    <row r="432" customFormat="false" ht="15" hidden="false" customHeight="false" outlineLevel="0" collapsed="false">
      <c r="A432" s="2" t="s">
        <v>2216</v>
      </c>
      <c r="B432" s="2" t="s">
        <v>2215</v>
      </c>
      <c r="C432" s="10" t="n">
        <v>45739</v>
      </c>
      <c r="D432" s="2" t="n">
        <f aca="false">MONTH(C432)</f>
        <v>3</v>
      </c>
      <c r="E432" s="2" t="s">
        <v>77</v>
      </c>
      <c r="F432" s="2" t="s">
        <v>64</v>
      </c>
      <c r="G432" s="2" t="s">
        <v>65</v>
      </c>
      <c r="H432" s="2" t="s">
        <v>107</v>
      </c>
      <c r="I432" s="2" t="n">
        <v>6</v>
      </c>
      <c r="J432" s="11" t="n">
        <v>500</v>
      </c>
      <c r="K432" s="12" t="n">
        <v>0.1</v>
      </c>
      <c r="L432" s="11" t="n">
        <v>250</v>
      </c>
      <c r="M432" s="11" t="n">
        <f aca="false">I432*J432*(1-K432)</f>
        <v>2700</v>
      </c>
      <c r="N432" s="11" t="n">
        <f aca="false">M432-I432*L432</f>
        <v>1200</v>
      </c>
    </row>
    <row r="433" customFormat="false" ht="15" hidden="false" customHeight="false" outlineLevel="0" collapsed="false">
      <c r="A433" s="2" t="s">
        <v>2717</v>
      </c>
      <c r="B433" s="2" t="s">
        <v>2716</v>
      </c>
      <c r="C433" s="10" t="n">
        <v>45739</v>
      </c>
      <c r="D433" s="2" t="n">
        <f aca="false">MONTH(C433)</f>
        <v>3</v>
      </c>
      <c r="E433" s="2" t="s">
        <v>77</v>
      </c>
      <c r="F433" s="2" t="s">
        <v>64</v>
      </c>
      <c r="G433" s="2" t="s">
        <v>70</v>
      </c>
      <c r="H433" s="2" t="s">
        <v>97</v>
      </c>
      <c r="I433" s="2" t="n">
        <v>3</v>
      </c>
      <c r="J433" s="11" t="n">
        <v>3000</v>
      </c>
      <c r="K433" s="12" t="n">
        <v>0.1</v>
      </c>
      <c r="L433" s="11" t="n">
        <v>2000</v>
      </c>
      <c r="M433" s="11" t="n">
        <f aca="false">I433*J433*(1-K433)</f>
        <v>8100</v>
      </c>
      <c r="N433" s="11" t="n">
        <f aca="false">M433-I433*L433</f>
        <v>2100</v>
      </c>
    </row>
    <row r="434" customFormat="false" ht="15" hidden="false" customHeight="false" outlineLevel="0" collapsed="false">
      <c r="A434" s="2" t="s">
        <v>134</v>
      </c>
      <c r="B434" s="2" t="s">
        <v>132</v>
      </c>
      <c r="C434" s="10" t="n">
        <v>45740</v>
      </c>
      <c r="D434" s="2" t="n">
        <f aca="false">MONTH(C434)</f>
        <v>3</v>
      </c>
      <c r="E434" s="2" t="s">
        <v>77</v>
      </c>
      <c r="F434" s="2" t="s">
        <v>64</v>
      </c>
      <c r="G434" s="2" t="s">
        <v>70</v>
      </c>
      <c r="H434" s="2" t="s">
        <v>71</v>
      </c>
      <c r="I434" s="2" t="n">
        <v>1</v>
      </c>
      <c r="J434" s="11" t="n">
        <v>2500</v>
      </c>
      <c r="K434" s="12" t="n">
        <v>0</v>
      </c>
      <c r="L434" s="11" t="n">
        <v>1600</v>
      </c>
      <c r="M434" s="11" t="n">
        <f aca="false">I434*J434*(1-K434)</f>
        <v>2500</v>
      </c>
      <c r="N434" s="11" t="n">
        <f aca="false">M434-I434*L434</f>
        <v>900</v>
      </c>
    </row>
    <row r="435" customFormat="false" ht="15" hidden="false" customHeight="false" outlineLevel="0" collapsed="false">
      <c r="A435" s="2" t="s">
        <v>729</v>
      </c>
      <c r="B435" s="2" t="s">
        <v>730</v>
      </c>
      <c r="C435" s="10" t="n">
        <v>45740</v>
      </c>
      <c r="D435" s="2" t="n">
        <f aca="false">MONTH(C435)</f>
        <v>3</v>
      </c>
      <c r="E435" s="2" t="s">
        <v>91</v>
      </c>
      <c r="F435" s="2" t="s">
        <v>69</v>
      </c>
      <c r="G435" s="2" t="s">
        <v>65</v>
      </c>
      <c r="H435" s="2" t="s">
        <v>107</v>
      </c>
      <c r="I435" s="2" t="n">
        <v>14</v>
      </c>
      <c r="J435" s="11" t="n">
        <v>500</v>
      </c>
      <c r="K435" s="12" t="n">
        <v>0</v>
      </c>
      <c r="L435" s="11" t="n">
        <v>250</v>
      </c>
      <c r="M435" s="11" t="n">
        <f aca="false">I435*J435*(1-K435)</f>
        <v>7000</v>
      </c>
      <c r="N435" s="11" t="n">
        <f aca="false">M435-I435*L435</f>
        <v>3500</v>
      </c>
    </row>
    <row r="436" customFormat="false" ht="15" hidden="false" customHeight="false" outlineLevel="0" collapsed="false">
      <c r="A436" s="2" t="s">
        <v>1094</v>
      </c>
      <c r="B436" s="2" t="s">
        <v>1093</v>
      </c>
      <c r="C436" s="10" t="n">
        <v>45740</v>
      </c>
      <c r="D436" s="2" t="n">
        <f aca="false">MONTH(C436)</f>
        <v>3</v>
      </c>
      <c r="E436" s="2" t="s">
        <v>81</v>
      </c>
      <c r="F436" s="2" t="s">
        <v>64</v>
      </c>
      <c r="G436" s="2" t="s">
        <v>70</v>
      </c>
      <c r="H436" s="2" t="s">
        <v>71</v>
      </c>
      <c r="I436" s="2" t="n">
        <v>3</v>
      </c>
      <c r="J436" s="11" t="n">
        <v>2500</v>
      </c>
      <c r="K436" s="12" t="n">
        <v>0</v>
      </c>
      <c r="L436" s="11" t="n">
        <v>1600</v>
      </c>
      <c r="M436" s="11" t="n">
        <f aca="false">I436*J436*(1-K436)</f>
        <v>7500</v>
      </c>
      <c r="N436" s="11" t="n">
        <f aca="false">M436-I436*L436</f>
        <v>2700</v>
      </c>
    </row>
    <row r="437" customFormat="false" ht="15" hidden="false" customHeight="false" outlineLevel="0" collapsed="false">
      <c r="A437" s="2" t="s">
        <v>1440</v>
      </c>
      <c r="B437" s="2" t="s">
        <v>1438</v>
      </c>
      <c r="C437" s="10" t="n">
        <v>45740</v>
      </c>
      <c r="D437" s="2" t="n">
        <f aca="false">MONTH(C437)</f>
        <v>3</v>
      </c>
      <c r="E437" s="2" t="s">
        <v>77</v>
      </c>
      <c r="F437" s="2" t="s">
        <v>64</v>
      </c>
      <c r="G437" s="2" t="s">
        <v>70</v>
      </c>
      <c r="H437" s="2" t="s">
        <v>126</v>
      </c>
      <c r="I437" s="2" t="n">
        <v>1</v>
      </c>
      <c r="J437" s="11" t="n">
        <v>4500</v>
      </c>
      <c r="K437" s="12" t="n">
        <v>0.05</v>
      </c>
      <c r="L437" s="11" t="n">
        <v>3300</v>
      </c>
      <c r="M437" s="11" t="n">
        <f aca="false">I437*J437*(1-K437)</f>
        <v>4275</v>
      </c>
      <c r="N437" s="11" t="n">
        <f aca="false">M437-I437*L437</f>
        <v>975</v>
      </c>
    </row>
    <row r="438" customFormat="false" ht="15" hidden="false" customHeight="false" outlineLevel="0" collapsed="false">
      <c r="A438" s="2" t="s">
        <v>1656</v>
      </c>
      <c r="B438" s="2" t="s">
        <v>1655</v>
      </c>
      <c r="C438" s="10" t="n">
        <v>45740</v>
      </c>
      <c r="D438" s="2" t="n">
        <f aca="false">MONTH(C438)</f>
        <v>3</v>
      </c>
      <c r="E438" s="2" t="s">
        <v>91</v>
      </c>
      <c r="F438" s="2" t="s">
        <v>64</v>
      </c>
      <c r="G438" s="2" t="s">
        <v>65</v>
      </c>
      <c r="H438" s="2" t="s">
        <v>107</v>
      </c>
      <c r="I438" s="2" t="n">
        <v>6</v>
      </c>
      <c r="J438" s="11" t="n">
        <v>500</v>
      </c>
      <c r="K438" s="12" t="n">
        <v>0</v>
      </c>
      <c r="L438" s="11" t="n">
        <v>250</v>
      </c>
      <c r="M438" s="11" t="n">
        <f aca="false">I438*J438*(1-K438)</f>
        <v>3000</v>
      </c>
      <c r="N438" s="11" t="n">
        <f aca="false">M438-I438*L438</f>
        <v>1500</v>
      </c>
    </row>
    <row r="439" customFormat="false" ht="15" hidden="false" customHeight="false" outlineLevel="0" collapsed="false">
      <c r="A439" s="2" t="s">
        <v>1983</v>
      </c>
      <c r="B439" s="2" t="s">
        <v>1981</v>
      </c>
      <c r="C439" s="10" t="n">
        <v>45740</v>
      </c>
      <c r="D439" s="2" t="n">
        <f aca="false">MONTH(C439)</f>
        <v>3</v>
      </c>
      <c r="E439" s="2" t="s">
        <v>91</v>
      </c>
      <c r="F439" s="2" t="s">
        <v>92</v>
      </c>
      <c r="G439" s="2" t="s">
        <v>70</v>
      </c>
      <c r="H439" s="2" t="s">
        <v>71</v>
      </c>
      <c r="I439" s="2" t="n">
        <v>4</v>
      </c>
      <c r="J439" s="11" t="n">
        <v>2500</v>
      </c>
      <c r="K439" s="12" t="n">
        <v>0.1</v>
      </c>
      <c r="L439" s="11" t="n">
        <v>1600</v>
      </c>
      <c r="M439" s="11" t="n">
        <f aca="false">I439*J439*(1-K439)</f>
        <v>9000</v>
      </c>
      <c r="N439" s="11" t="n">
        <f aca="false">M439-I439*L439</f>
        <v>2600</v>
      </c>
    </row>
    <row r="440" customFormat="false" ht="15" hidden="false" customHeight="false" outlineLevel="0" collapsed="false">
      <c r="A440" s="2" t="s">
        <v>2595</v>
      </c>
      <c r="B440" s="2" t="s">
        <v>2596</v>
      </c>
      <c r="C440" s="10" t="n">
        <v>45740</v>
      </c>
      <c r="D440" s="2" t="n">
        <f aca="false">MONTH(C440)</f>
        <v>3</v>
      </c>
      <c r="E440" s="2" t="s">
        <v>77</v>
      </c>
      <c r="F440" s="2" t="s">
        <v>64</v>
      </c>
      <c r="G440" s="2" t="s">
        <v>73</v>
      </c>
      <c r="H440" s="2" t="s">
        <v>74</v>
      </c>
      <c r="I440" s="2" t="n">
        <v>3</v>
      </c>
      <c r="J440" s="11" t="n">
        <v>7000</v>
      </c>
      <c r="K440" s="12" t="n">
        <v>0.1</v>
      </c>
      <c r="L440" s="11" t="n">
        <v>4800</v>
      </c>
      <c r="M440" s="11" t="n">
        <f aca="false">I440*J440*(1-K440)</f>
        <v>18900</v>
      </c>
      <c r="N440" s="11" t="n">
        <f aca="false">M440-I440*L440</f>
        <v>4500</v>
      </c>
    </row>
    <row r="441" customFormat="false" ht="15" hidden="false" customHeight="false" outlineLevel="0" collapsed="false">
      <c r="A441" s="2" t="s">
        <v>1330</v>
      </c>
      <c r="B441" s="2" t="s">
        <v>1331</v>
      </c>
      <c r="C441" s="10" t="n">
        <v>45741</v>
      </c>
      <c r="D441" s="2" t="n">
        <f aca="false">MONTH(C441)</f>
        <v>3</v>
      </c>
      <c r="E441" s="2" t="s">
        <v>81</v>
      </c>
      <c r="F441" s="2" t="s">
        <v>64</v>
      </c>
      <c r="G441" s="2" t="s">
        <v>73</v>
      </c>
      <c r="H441" s="2" t="s">
        <v>74</v>
      </c>
      <c r="I441" s="2" t="n">
        <v>3</v>
      </c>
      <c r="J441" s="11" t="n">
        <v>7000</v>
      </c>
      <c r="K441" s="12" t="n">
        <v>0</v>
      </c>
      <c r="L441" s="11" t="n">
        <v>4800</v>
      </c>
      <c r="M441" s="11" t="n">
        <f aca="false">I441*J441*(1-K441)</f>
        <v>21000</v>
      </c>
      <c r="N441" s="11" t="n">
        <f aca="false">M441-I441*L441</f>
        <v>6600</v>
      </c>
    </row>
    <row r="442" customFormat="false" ht="15" hidden="false" customHeight="false" outlineLevel="0" collapsed="false">
      <c r="A442" s="2" t="s">
        <v>2041</v>
      </c>
      <c r="B442" s="2" t="s">
        <v>2040</v>
      </c>
      <c r="C442" s="10" t="n">
        <v>45741</v>
      </c>
      <c r="D442" s="2" t="n">
        <f aca="false">MONTH(C442)</f>
        <v>3</v>
      </c>
      <c r="E442" s="2" t="s">
        <v>63</v>
      </c>
      <c r="F442" s="2" t="s">
        <v>92</v>
      </c>
      <c r="G442" s="2" t="s">
        <v>70</v>
      </c>
      <c r="H442" s="2" t="s">
        <v>97</v>
      </c>
      <c r="I442" s="2" t="n">
        <v>2</v>
      </c>
      <c r="J442" s="11" t="n">
        <v>3000</v>
      </c>
      <c r="K442" s="12" t="n">
        <v>0.1</v>
      </c>
      <c r="L442" s="11" t="n">
        <v>2000</v>
      </c>
      <c r="M442" s="11" t="n">
        <f aca="false">I442*J442*(1-K442)</f>
        <v>5400</v>
      </c>
      <c r="N442" s="11" t="n">
        <f aca="false">M442-I442*L442</f>
        <v>1400</v>
      </c>
    </row>
    <row r="443" customFormat="false" ht="15" hidden="false" customHeight="false" outlineLevel="0" collapsed="false">
      <c r="A443" s="2" t="s">
        <v>2296</v>
      </c>
      <c r="B443" s="2" t="s">
        <v>2297</v>
      </c>
      <c r="C443" s="10" t="n">
        <v>45741</v>
      </c>
      <c r="D443" s="2" t="n">
        <f aca="false">MONTH(C443)</f>
        <v>3</v>
      </c>
      <c r="E443" s="2" t="s">
        <v>63</v>
      </c>
      <c r="F443" s="2" t="s">
        <v>69</v>
      </c>
      <c r="G443" s="2" t="s">
        <v>73</v>
      </c>
      <c r="H443" s="2" t="s">
        <v>87</v>
      </c>
      <c r="I443" s="2" t="n">
        <v>1</v>
      </c>
      <c r="J443" s="11" t="n">
        <v>9000</v>
      </c>
      <c r="K443" s="12" t="n">
        <v>0</v>
      </c>
      <c r="L443" s="11" t="n">
        <v>6200</v>
      </c>
      <c r="M443" s="11" t="n">
        <f aca="false">I443*J443*(1-K443)</f>
        <v>9000</v>
      </c>
      <c r="N443" s="11" t="n">
        <f aca="false">M443-I443*L443</f>
        <v>2800</v>
      </c>
    </row>
    <row r="444" customFormat="false" ht="15" hidden="false" customHeight="false" outlineLevel="0" collapsed="false">
      <c r="A444" s="2" t="s">
        <v>2533</v>
      </c>
      <c r="B444" s="2" t="s">
        <v>2528</v>
      </c>
      <c r="C444" s="10" t="n">
        <v>45741</v>
      </c>
      <c r="D444" s="2" t="n">
        <f aca="false">MONTH(C444)</f>
        <v>3</v>
      </c>
      <c r="E444" s="2" t="s">
        <v>63</v>
      </c>
      <c r="F444" s="2" t="s">
        <v>69</v>
      </c>
      <c r="G444" s="2" t="s">
        <v>65</v>
      </c>
      <c r="H444" s="2" t="s">
        <v>66</v>
      </c>
      <c r="I444" s="2" t="n">
        <v>7</v>
      </c>
      <c r="J444" s="11" t="n">
        <v>600</v>
      </c>
      <c r="K444" s="12" t="n">
        <v>0.05</v>
      </c>
      <c r="L444" s="11" t="n">
        <v>300</v>
      </c>
      <c r="M444" s="11" t="n">
        <f aca="false">I444*J444*(1-K444)</f>
        <v>3990</v>
      </c>
      <c r="N444" s="11" t="n">
        <f aca="false">M444-I444*L444</f>
        <v>1890</v>
      </c>
    </row>
    <row r="445" customFormat="false" ht="15" hidden="false" customHeight="false" outlineLevel="0" collapsed="false">
      <c r="A445" s="2" t="s">
        <v>2986</v>
      </c>
      <c r="B445" s="2" t="s">
        <v>2987</v>
      </c>
      <c r="C445" s="10" t="n">
        <v>45741</v>
      </c>
      <c r="D445" s="2" t="n">
        <f aca="false">MONTH(C445)</f>
        <v>3</v>
      </c>
      <c r="E445" s="2" t="s">
        <v>3019</v>
      </c>
      <c r="F445" s="2" t="s">
        <v>92</v>
      </c>
      <c r="G445" s="2" t="s">
        <v>73</v>
      </c>
      <c r="H445" s="2" t="s">
        <v>74</v>
      </c>
      <c r="I445" s="2" t="n">
        <v>5</v>
      </c>
      <c r="J445" s="11" t="n">
        <v>7000</v>
      </c>
      <c r="K445" s="12" t="n">
        <v>0.05</v>
      </c>
      <c r="L445" s="11" t="n">
        <v>4800</v>
      </c>
      <c r="M445" s="11" t="n">
        <f aca="false">I445*J445*(1-K445)</f>
        <v>33250</v>
      </c>
      <c r="N445" s="11" t="n">
        <f aca="false">M445-I445*L445</f>
        <v>9250</v>
      </c>
    </row>
    <row r="446" customFormat="false" ht="15" hidden="false" customHeight="false" outlineLevel="0" collapsed="false">
      <c r="A446" s="2" t="s">
        <v>989</v>
      </c>
      <c r="B446" s="2" t="s">
        <v>987</v>
      </c>
      <c r="C446" s="10" t="n">
        <v>45742</v>
      </c>
      <c r="D446" s="2" t="n">
        <f aca="false">MONTH(C446)</f>
        <v>3</v>
      </c>
      <c r="E446" s="2" t="s">
        <v>91</v>
      </c>
      <c r="F446" s="2" t="s">
        <v>92</v>
      </c>
      <c r="G446" s="2" t="s">
        <v>70</v>
      </c>
      <c r="H446" s="2" t="s">
        <v>126</v>
      </c>
      <c r="I446" s="2" t="n">
        <v>3</v>
      </c>
      <c r="J446" s="11" t="n">
        <v>4500</v>
      </c>
      <c r="K446" s="12" t="n">
        <v>0.1</v>
      </c>
      <c r="L446" s="11" t="n">
        <v>3300</v>
      </c>
      <c r="M446" s="11" t="n">
        <f aca="false">I446*J446*(1-K446)</f>
        <v>12150</v>
      </c>
      <c r="N446" s="11" t="n">
        <f aca="false">M446-I446*L446</f>
        <v>2250</v>
      </c>
    </row>
    <row r="447" customFormat="false" ht="15" hidden="false" customHeight="false" outlineLevel="0" collapsed="false">
      <c r="A447" s="2" t="s">
        <v>1177</v>
      </c>
      <c r="B447" s="2" t="s">
        <v>1176</v>
      </c>
      <c r="C447" s="10" t="n">
        <v>45742</v>
      </c>
      <c r="D447" s="2" t="n">
        <f aca="false">MONTH(C447)</f>
        <v>3</v>
      </c>
      <c r="E447" s="2" t="s">
        <v>77</v>
      </c>
      <c r="F447" s="2" t="s">
        <v>69</v>
      </c>
      <c r="G447" s="2" t="s">
        <v>65</v>
      </c>
      <c r="H447" s="2" t="s">
        <v>107</v>
      </c>
      <c r="I447" s="2" t="n">
        <v>20</v>
      </c>
      <c r="J447" s="11" t="n">
        <v>500</v>
      </c>
      <c r="K447" s="12" t="n">
        <v>0.1</v>
      </c>
      <c r="L447" s="11" t="n">
        <v>250</v>
      </c>
      <c r="M447" s="11" t="n">
        <f aca="false">I447*J447*(1-K447)</f>
        <v>9000</v>
      </c>
      <c r="N447" s="11" t="n">
        <f aca="false">M447-I447*L447</f>
        <v>4000</v>
      </c>
    </row>
    <row r="448" customFormat="false" ht="15" hidden="false" customHeight="false" outlineLevel="0" collapsed="false">
      <c r="A448" s="2" t="s">
        <v>1193</v>
      </c>
      <c r="B448" s="2" t="s">
        <v>1190</v>
      </c>
      <c r="C448" s="10" t="n">
        <v>45742</v>
      </c>
      <c r="D448" s="2" t="n">
        <f aca="false">MONTH(C448)</f>
        <v>3</v>
      </c>
      <c r="E448" s="2" t="s">
        <v>63</v>
      </c>
      <c r="F448" s="2" t="s">
        <v>64</v>
      </c>
      <c r="G448" s="2" t="s">
        <v>65</v>
      </c>
      <c r="H448" s="2" t="s">
        <v>107</v>
      </c>
      <c r="I448" s="2" t="n">
        <v>6</v>
      </c>
      <c r="J448" s="11" t="n">
        <v>500</v>
      </c>
      <c r="K448" s="12" t="n">
        <v>0</v>
      </c>
      <c r="L448" s="11" t="n">
        <v>250</v>
      </c>
      <c r="M448" s="11" t="n">
        <f aca="false">I448*J448*(1-K448)</f>
        <v>3000</v>
      </c>
      <c r="N448" s="11" t="n">
        <f aca="false">M448-I448*L448</f>
        <v>1500</v>
      </c>
    </row>
    <row r="449" customFormat="false" ht="15" hidden="false" customHeight="false" outlineLevel="0" collapsed="false">
      <c r="A449" s="2" t="s">
        <v>1785</v>
      </c>
      <c r="B449" s="2" t="s">
        <v>1783</v>
      </c>
      <c r="C449" s="10" t="n">
        <v>45742</v>
      </c>
      <c r="D449" s="2" t="n">
        <f aca="false">MONTH(C449)</f>
        <v>3</v>
      </c>
      <c r="E449" s="2" t="s">
        <v>77</v>
      </c>
      <c r="F449" s="2" t="s">
        <v>64</v>
      </c>
      <c r="G449" s="2" t="s">
        <v>65</v>
      </c>
      <c r="H449" s="2" t="s">
        <v>82</v>
      </c>
      <c r="I449" s="2" t="n">
        <v>5</v>
      </c>
      <c r="J449" s="11" t="n">
        <v>250</v>
      </c>
      <c r="K449" s="12" t="n">
        <v>0</v>
      </c>
      <c r="L449" s="11" t="n">
        <v>100</v>
      </c>
      <c r="M449" s="11" t="n">
        <f aca="false">I449*J449*(1-K449)</f>
        <v>1250</v>
      </c>
      <c r="N449" s="11" t="n">
        <f aca="false">M449-I449*L449</f>
        <v>750</v>
      </c>
    </row>
    <row r="450" customFormat="false" ht="15" hidden="false" customHeight="false" outlineLevel="0" collapsed="false">
      <c r="A450" s="2" t="s">
        <v>2260</v>
      </c>
      <c r="B450" s="2" t="s">
        <v>2259</v>
      </c>
      <c r="C450" s="10" t="n">
        <v>45742</v>
      </c>
      <c r="D450" s="2" t="n">
        <f aca="false">MONTH(C450)</f>
        <v>3</v>
      </c>
      <c r="E450" s="2" t="s">
        <v>77</v>
      </c>
      <c r="F450" s="2" t="s">
        <v>64</v>
      </c>
      <c r="G450" s="2" t="s">
        <v>65</v>
      </c>
      <c r="H450" s="2" t="s">
        <v>66</v>
      </c>
      <c r="I450" s="2" t="n">
        <v>5</v>
      </c>
      <c r="J450" s="11" t="n">
        <v>600</v>
      </c>
      <c r="K450" s="12" t="n">
        <v>0</v>
      </c>
      <c r="L450" s="11" t="n">
        <v>300</v>
      </c>
      <c r="M450" s="11" t="n">
        <f aca="false">I450*J450*(1-K450)</f>
        <v>3000</v>
      </c>
      <c r="N450" s="11" t="n">
        <f aca="false">M450-I450*L450</f>
        <v>1500</v>
      </c>
    </row>
    <row r="451" customFormat="false" ht="15" hidden="false" customHeight="false" outlineLevel="0" collapsed="false">
      <c r="A451" s="2" t="s">
        <v>2785</v>
      </c>
      <c r="B451" s="2" t="s">
        <v>2786</v>
      </c>
      <c r="C451" s="10" t="n">
        <v>45742</v>
      </c>
      <c r="D451" s="2" t="n">
        <f aca="false">MONTH(C451)</f>
        <v>3</v>
      </c>
      <c r="E451" s="2" t="s">
        <v>77</v>
      </c>
      <c r="F451" s="2" t="s">
        <v>69</v>
      </c>
      <c r="G451" s="2" t="s">
        <v>70</v>
      </c>
      <c r="H451" s="2" t="s">
        <v>126</v>
      </c>
      <c r="I451" s="2" t="n">
        <v>2</v>
      </c>
      <c r="J451" s="11" t="n">
        <v>4500</v>
      </c>
      <c r="K451" s="12" t="n">
        <v>0</v>
      </c>
      <c r="L451" s="11" t="n">
        <v>3300</v>
      </c>
      <c r="M451" s="11" t="n">
        <f aca="false">I451*J451*(1-K451)</f>
        <v>9000</v>
      </c>
      <c r="N451" s="11" t="n">
        <f aca="false">M451-I451*L451</f>
        <v>2400</v>
      </c>
    </row>
    <row r="452" customFormat="false" ht="15" hidden="false" customHeight="false" outlineLevel="0" collapsed="false">
      <c r="A452" s="2" t="s">
        <v>562</v>
      </c>
      <c r="B452" s="2" t="s">
        <v>561</v>
      </c>
      <c r="C452" s="10" t="n">
        <v>45743</v>
      </c>
      <c r="D452" s="2" t="n">
        <f aca="false">MONTH(C452)</f>
        <v>3</v>
      </c>
      <c r="E452" s="2" t="s">
        <v>63</v>
      </c>
      <c r="F452" s="2" t="s">
        <v>92</v>
      </c>
      <c r="G452" s="2" t="s">
        <v>73</v>
      </c>
      <c r="H452" s="2" t="s">
        <v>85</v>
      </c>
      <c r="I452" s="2" t="n">
        <v>4</v>
      </c>
      <c r="J452" s="11" t="n">
        <v>1200</v>
      </c>
      <c r="K452" s="12" t="n">
        <v>0</v>
      </c>
      <c r="L452" s="11" t="n">
        <v>600</v>
      </c>
      <c r="M452" s="11" t="n">
        <f aca="false">I452*J452*(1-K452)</f>
        <v>4800</v>
      </c>
      <c r="N452" s="11" t="n">
        <f aca="false">M452-I452*L452</f>
        <v>2400</v>
      </c>
    </row>
    <row r="453" customFormat="false" ht="15" hidden="false" customHeight="false" outlineLevel="0" collapsed="false">
      <c r="A453" s="2" t="s">
        <v>1155</v>
      </c>
      <c r="B453" s="2" t="s">
        <v>1153</v>
      </c>
      <c r="C453" s="10" t="n">
        <v>45743</v>
      </c>
      <c r="D453" s="2" t="n">
        <f aca="false">MONTH(C453)</f>
        <v>3</v>
      </c>
      <c r="E453" s="2" t="s">
        <v>91</v>
      </c>
      <c r="F453" s="2" t="s">
        <v>64</v>
      </c>
      <c r="G453" s="2" t="s">
        <v>70</v>
      </c>
      <c r="H453" s="2" t="s">
        <v>97</v>
      </c>
      <c r="I453" s="2" t="n">
        <v>3</v>
      </c>
      <c r="J453" s="11" t="n">
        <v>3000</v>
      </c>
      <c r="K453" s="12" t="n">
        <v>0</v>
      </c>
      <c r="L453" s="11" t="n">
        <v>2000</v>
      </c>
      <c r="M453" s="11" t="n">
        <f aca="false">I453*J453*(1-K453)</f>
        <v>9000</v>
      </c>
      <c r="N453" s="11" t="n">
        <f aca="false">M453-I453*L453</f>
        <v>3000</v>
      </c>
    </row>
    <row r="454" customFormat="false" ht="15" hidden="false" customHeight="false" outlineLevel="0" collapsed="false">
      <c r="A454" s="2" t="s">
        <v>425</v>
      </c>
      <c r="B454" s="2" t="s">
        <v>426</v>
      </c>
      <c r="C454" s="10" t="n">
        <v>45744</v>
      </c>
      <c r="D454" s="2" t="n">
        <f aca="false">MONTH(C454)</f>
        <v>3</v>
      </c>
      <c r="E454" s="2" t="s">
        <v>81</v>
      </c>
      <c r="F454" s="2" t="s">
        <v>69</v>
      </c>
      <c r="G454" s="2" t="s">
        <v>70</v>
      </c>
      <c r="H454" s="2" t="s">
        <v>126</v>
      </c>
      <c r="I454" s="2" t="n">
        <v>1</v>
      </c>
      <c r="J454" s="11" t="n">
        <v>4500</v>
      </c>
      <c r="K454" s="12" t="n">
        <v>0</v>
      </c>
      <c r="L454" s="11" t="n">
        <v>3300</v>
      </c>
      <c r="M454" s="11" t="n">
        <f aca="false">I454*J454*(1-K454)</f>
        <v>4500</v>
      </c>
      <c r="N454" s="11" t="n">
        <f aca="false">M454-I454*L454</f>
        <v>1200</v>
      </c>
    </row>
    <row r="455" customFormat="false" ht="15" hidden="false" customHeight="false" outlineLevel="0" collapsed="false">
      <c r="A455" s="2" t="s">
        <v>689</v>
      </c>
      <c r="B455" s="2" t="s">
        <v>688</v>
      </c>
      <c r="C455" s="10" t="n">
        <v>45744</v>
      </c>
      <c r="D455" s="2" t="n">
        <f aca="false">MONTH(C455)</f>
        <v>3</v>
      </c>
      <c r="E455" s="2" t="s">
        <v>63</v>
      </c>
      <c r="F455" s="2" t="s">
        <v>64</v>
      </c>
      <c r="G455" s="2" t="s">
        <v>65</v>
      </c>
      <c r="H455" s="2" t="s">
        <v>82</v>
      </c>
      <c r="I455" s="2" t="n">
        <v>7</v>
      </c>
      <c r="J455" s="11" t="n">
        <v>250</v>
      </c>
      <c r="K455" s="12" t="n">
        <v>0.1</v>
      </c>
      <c r="L455" s="11" t="n">
        <v>100</v>
      </c>
      <c r="M455" s="11" t="n">
        <f aca="false">I455*J455*(1-K455)</f>
        <v>1575</v>
      </c>
      <c r="N455" s="11" t="n">
        <f aca="false">M455-I455*L455</f>
        <v>875</v>
      </c>
    </row>
    <row r="456" customFormat="false" ht="15" hidden="false" customHeight="false" outlineLevel="0" collapsed="false">
      <c r="A456" s="2" t="s">
        <v>1083</v>
      </c>
      <c r="B456" s="2" t="s">
        <v>1084</v>
      </c>
      <c r="C456" s="10" t="n">
        <v>45744</v>
      </c>
      <c r="D456" s="2" t="n">
        <f aca="false">MONTH(C456)</f>
        <v>3</v>
      </c>
      <c r="E456" s="2" t="s">
        <v>77</v>
      </c>
      <c r="F456" s="2" t="s">
        <v>64</v>
      </c>
      <c r="G456" s="2" t="s">
        <v>65</v>
      </c>
      <c r="H456" s="2" t="s">
        <v>66</v>
      </c>
      <c r="I456" s="2" t="n">
        <v>3</v>
      </c>
      <c r="J456" s="11" t="n">
        <v>600</v>
      </c>
      <c r="K456" s="12" t="n">
        <v>0.05</v>
      </c>
      <c r="L456" s="11" t="n">
        <v>300</v>
      </c>
      <c r="M456" s="11" t="n">
        <f aca="false">I456*J456*(1-K456)</f>
        <v>1710</v>
      </c>
      <c r="N456" s="11" t="n">
        <f aca="false">M456-I456*L456</f>
        <v>810</v>
      </c>
    </row>
    <row r="457" customFormat="false" ht="15" hidden="false" customHeight="false" outlineLevel="0" collapsed="false">
      <c r="A457" s="2" t="s">
        <v>1693</v>
      </c>
      <c r="B457" s="2" t="s">
        <v>1691</v>
      </c>
      <c r="C457" s="10" t="n">
        <v>45744</v>
      </c>
      <c r="D457" s="2" t="n">
        <f aca="false">MONTH(C457)</f>
        <v>3</v>
      </c>
      <c r="E457" s="2" t="s">
        <v>77</v>
      </c>
      <c r="F457" s="2" t="s">
        <v>69</v>
      </c>
      <c r="G457" s="2" t="s">
        <v>70</v>
      </c>
      <c r="H457" s="2" t="s">
        <v>126</v>
      </c>
      <c r="I457" s="2" t="n">
        <v>5</v>
      </c>
      <c r="J457" s="11" t="n">
        <v>4500</v>
      </c>
      <c r="K457" s="12" t="n">
        <v>0.05</v>
      </c>
      <c r="L457" s="11" t="n">
        <v>3300</v>
      </c>
      <c r="M457" s="11" t="n">
        <f aca="false">I457*J457*(1-K457)</f>
        <v>21375</v>
      </c>
      <c r="N457" s="11" t="n">
        <f aca="false">M457-I457*L457</f>
        <v>4875</v>
      </c>
    </row>
    <row r="458" customFormat="false" ht="15" hidden="false" customHeight="false" outlineLevel="0" collapsed="false">
      <c r="A458" s="2" t="s">
        <v>2105</v>
      </c>
      <c r="B458" s="2" t="s">
        <v>2098</v>
      </c>
      <c r="C458" s="10" t="n">
        <v>45744</v>
      </c>
      <c r="D458" s="2" t="n">
        <f aca="false">MONTH(C458)</f>
        <v>3</v>
      </c>
      <c r="E458" s="2" t="s">
        <v>91</v>
      </c>
      <c r="F458" s="2" t="s">
        <v>92</v>
      </c>
      <c r="G458" s="2" t="s">
        <v>70</v>
      </c>
      <c r="H458" s="2" t="s">
        <v>71</v>
      </c>
      <c r="I458" s="2" t="n">
        <v>2</v>
      </c>
      <c r="J458" s="11" t="n">
        <v>2500</v>
      </c>
      <c r="K458" s="12" t="n">
        <v>0.05</v>
      </c>
      <c r="L458" s="11" t="n">
        <v>1600</v>
      </c>
      <c r="M458" s="11" t="n">
        <f aca="false">I458*J458*(1-K458)</f>
        <v>4750</v>
      </c>
      <c r="N458" s="11" t="n">
        <f aca="false">M458-I458*L458</f>
        <v>1550</v>
      </c>
    </row>
    <row r="459" customFormat="false" ht="15" hidden="false" customHeight="false" outlineLevel="0" collapsed="false">
      <c r="A459" s="2" t="s">
        <v>251</v>
      </c>
      <c r="B459" s="2" t="s">
        <v>252</v>
      </c>
      <c r="C459" s="10" t="n">
        <v>45748</v>
      </c>
      <c r="D459" s="2" t="n">
        <f aca="false">MONTH(C459)</f>
        <v>4</v>
      </c>
      <c r="E459" s="2" t="s">
        <v>63</v>
      </c>
      <c r="F459" s="2" t="s">
        <v>64</v>
      </c>
      <c r="G459" s="2" t="s">
        <v>65</v>
      </c>
      <c r="H459" s="2" t="s">
        <v>66</v>
      </c>
      <c r="I459" s="2" t="n">
        <v>5</v>
      </c>
      <c r="J459" s="11" t="n">
        <v>600</v>
      </c>
      <c r="K459" s="12" t="n">
        <v>0</v>
      </c>
      <c r="L459" s="11" t="n">
        <v>300</v>
      </c>
      <c r="M459" s="11" t="n">
        <f aca="false">I459*J459*(1-K459)</f>
        <v>3000</v>
      </c>
      <c r="N459" s="11" t="n">
        <f aca="false">M459-I459*L459</f>
        <v>1500</v>
      </c>
    </row>
    <row r="460" customFormat="false" ht="15" hidden="false" customHeight="false" outlineLevel="0" collapsed="false">
      <c r="A460" s="2" t="s">
        <v>802</v>
      </c>
      <c r="B460" s="2" t="s">
        <v>801</v>
      </c>
      <c r="C460" s="10" t="n">
        <v>45748</v>
      </c>
      <c r="D460" s="2" t="n">
        <f aca="false">MONTH(C460)</f>
        <v>4</v>
      </c>
      <c r="E460" s="2" t="s">
        <v>91</v>
      </c>
      <c r="F460" s="2" t="s">
        <v>92</v>
      </c>
      <c r="G460" s="2" t="s">
        <v>70</v>
      </c>
      <c r="H460" s="2" t="s">
        <v>126</v>
      </c>
      <c r="I460" s="2" t="n">
        <v>5</v>
      </c>
      <c r="J460" s="11" t="n">
        <v>4500</v>
      </c>
      <c r="K460" s="12" t="n">
        <v>0.15</v>
      </c>
      <c r="L460" s="11" t="n">
        <v>3300</v>
      </c>
      <c r="M460" s="11" t="n">
        <f aca="false">I460*J460*(1-K460)</f>
        <v>19125</v>
      </c>
      <c r="N460" s="11" t="n">
        <f aca="false">M460-I460*L460</f>
        <v>2625</v>
      </c>
    </row>
    <row r="461" customFormat="false" ht="15" hidden="false" customHeight="false" outlineLevel="0" collapsed="false">
      <c r="A461" s="2" t="s">
        <v>1303</v>
      </c>
      <c r="B461" s="2" t="s">
        <v>1300</v>
      </c>
      <c r="C461" s="10" t="n">
        <v>45748</v>
      </c>
      <c r="D461" s="2" t="n">
        <f aca="false">MONTH(C461)</f>
        <v>4</v>
      </c>
      <c r="E461" s="2" t="s">
        <v>77</v>
      </c>
      <c r="F461" s="2" t="s">
        <v>92</v>
      </c>
      <c r="G461" s="2" t="s">
        <v>73</v>
      </c>
      <c r="H461" s="2" t="s">
        <v>85</v>
      </c>
      <c r="I461" s="2" t="n">
        <v>6</v>
      </c>
      <c r="J461" s="11" t="n">
        <v>1200</v>
      </c>
      <c r="K461" s="12" t="n">
        <v>0.05</v>
      </c>
      <c r="L461" s="11" t="n">
        <v>600</v>
      </c>
      <c r="M461" s="11" t="n">
        <f aca="false">I461*J461*(1-K461)</f>
        <v>6840</v>
      </c>
      <c r="N461" s="11" t="n">
        <f aca="false">M461-I461*L461</f>
        <v>3240</v>
      </c>
    </row>
    <row r="462" customFormat="false" ht="15" hidden="false" customHeight="false" outlineLevel="0" collapsed="false">
      <c r="A462" s="2" t="s">
        <v>1351</v>
      </c>
      <c r="B462" s="2" t="s">
        <v>1352</v>
      </c>
      <c r="C462" s="10" t="n">
        <v>45748</v>
      </c>
      <c r="D462" s="2" t="n">
        <f aca="false">MONTH(C462)</f>
        <v>4</v>
      </c>
      <c r="E462" s="2" t="s">
        <v>81</v>
      </c>
      <c r="F462" s="2" t="s">
        <v>69</v>
      </c>
      <c r="G462" s="2" t="s">
        <v>73</v>
      </c>
      <c r="H462" s="2" t="s">
        <v>104</v>
      </c>
      <c r="I462" s="2" t="n">
        <v>3</v>
      </c>
      <c r="J462" s="11" t="n">
        <v>5500</v>
      </c>
      <c r="K462" s="12" t="n">
        <v>0.1</v>
      </c>
      <c r="L462" s="11" t="n">
        <v>3600</v>
      </c>
      <c r="M462" s="11" t="n">
        <f aca="false">I462*J462*(1-K462)</f>
        <v>14850</v>
      </c>
      <c r="N462" s="11" t="n">
        <f aca="false">M462-I462*L462</f>
        <v>4050</v>
      </c>
    </row>
    <row r="463" customFormat="false" ht="15" hidden="false" customHeight="false" outlineLevel="0" collapsed="false">
      <c r="A463" s="2" t="s">
        <v>1591</v>
      </c>
      <c r="B463" s="2" t="s">
        <v>1586</v>
      </c>
      <c r="C463" s="10" t="n">
        <v>45748</v>
      </c>
      <c r="D463" s="2" t="n">
        <f aca="false">MONTH(C463)</f>
        <v>4</v>
      </c>
      <c r="E463" s="2" t="s">
        <v>77</v>
      </c>
      <c r="F463" s="2" t="s">
        <v>64</v>
      </c>
      <c r="G463" s="2" t="s">
        <v>73</v>
      </c>
      <c r="H463" s="2" t="s">
        <v>74</v>
      </c>
      <c r="I463" s="2" t="n">
        <v>2</v>
      </c>
      <c r="J463" s="11" t="n">
        <v>7000</v>
      </c>
      <c r="K463" s="12" t="n">
        <v>0.1</v>
      </c>
      <c r="L463" s="11" t="n">
        <v>4800</v>
      </c>
      <c r="M463" s="11" t="n">
        <f aca="false">I463*J463*(1-K463)</f>
        <v>12600</v>
      </c>
      <c r="N463" s="11" t="n">
        <f aca="false">M463-I463*L463</f>
        <v>3000</v>
      </c>
    </row>
    <row r="464" customFormat="false" ht="15" hidden="false" customHeight="false" outlineLevel="0" collapsed="false">
      <c r="A464" s="2" t="s">
        <v>1948</v>
      </c>
      <c r="B464" s="2" t="s">
        <v>1945</v>
      </c>
      <c r="C464" s="10" t="n">
        <v>45748</v>
      </c>
      <c r="D464" s="2" t="n">
        <f aca="false">MONTH(C464)</f>
        <v>4</v>
      </c>
      <c r="E464" s="2" t="s">
        <v>77</v>
      </c>
      <c r="F464" s="2" t="s">
        <v>92</v>
      </c>
      <c r="G464" s="2" t="s">
        <v>73</v>
      </c>
      <c r="H464" s="2" t="s">
        <v>104</v>
      </c>
      <c r="I464" s="2" t="n">
        <v>8</v>
      </c>
      <c r="J464" s="11" t="n">
        <v>5500</v>
      </c>
      <c r="K464" s="12" t="n">
        <v>0.05</v>
      </c>
      <c r="L464" s="11" t="n">
        <v>3600</v>
      </c>
      <c r="M464" s="11" t="n">
        <f aca="false">I464*J464*(1-K464)</f>
        <v>41800</v>
      </c>
      <c r="N464" s="11" t="n">
        <f aca="false">M464-I464*L464</f>
        <v>13000</v>
      </c>
    </row>
    <row r="465" customFormat="false" ht="15" hidden="false" customHeight="false" outlineLevel="0" collapsed="false">
      <c r="A465" s="2" t="s">
        <v>2381</v>
      </c>
      <c r="B465" s="2" t="s">
        <v>2382</v>
      </c>
      <c r="C465" s="10" t="n">
        <v>45748</v>
      </c>
      <c r="D465" s="2" t="n">
        <f aca="false">MONTH(C465)</f>
        <v>4</v>
      </c>
      <c r="E465" s="2" t="s">
        <v>63</v>
      </c>
      <c r="F465" s="2" t="s">
        <v>69</v>
      </c>
      <c r="G465" s="2" t="s">
        <v>73</v>
      </c>
      <c r="H465" s="2" t="s">
        <v>87</v>
      </c>
      <c r="I465" s="2" t="n">
        <v>4</v>
      </c>
      <c r="J465" s="11" t="n">
        <v>9000</v>
      </c>
      <c r="K465" s="12" t="n">
        <v>0.05</v>
      </c>
      <c r="L465" s="11" t="n">
        <v>6200</v>
      </c>
      <c r="M465" s="11" t="n">
        <f aca="false">I465*J465*(1-K465)</f>
        <v>34200</v>
      </c>
      <c r="N465" s="11" t="n">
        <f aca="false">M465-I465*L465</f>
        <v>9400</v>
      </c>
    </row>
    <row r="466" customFormat="false" ht="15" hidden="false" customHeight="false" outlineLevel="0" collapsed="false">
      <c r="A466" s="2" t="s">
        <v>724</v>
      </c>
      <c r="B466" s="2" t="s">
        <v>725</v>
      </c>
      <c r="C466" s="10" t="n">
        <v>45749</v>
      </c>
      <c r="D466" s="2" t="n">
        <f aca="false">MONTH(C466)</f>
        <v>4</v>
      </c>
      <c r="E466" s="2" t="s">
        <v>77</v>
      </c>
      <c r="F466" s="2" t="s">
        <v>64</v>
      </c>
      <c r="G466" s="2" t="s">
        <v>65</v>
      </c>
      <c r="H466" s="2" t="s">
        <v>78</v>
      </c>
      <c r="I466" s="2" t="n">
        <v>6</v>
      </c>
      <c r="J466" s="11" t="n">
        <v>400</v>
      </c>
      <c r="K466" s="12" t="n">
        <v>0</v>
      </c>
      <c r="L466" s="11" t="n">
        <v>200</v>
      </c>
      <c r="M466" s="11" t="n">
        <f aca="false">I466*J466*(1-K466)</f>
        <v>2400</v>
      </c>
      <c r="N466" s="11" t="n">
        <f aca="false">M466-I466*L466</f>
        <v>1200</v>
      </c>
    </row>
    <row r="467" customFormat="false" ht="15" hidden="false" customHeight="false" outlineLevel="0" collapsed="false">
      <c r="A467" s="2" t="s">
        <v>934</v>
      </c>
      <c r="B467" s="2" t="s">
        <v>931</v>
      </c>
      <c r="C467" s="10" t="n">
        <v>45749</v>
      </c>
      <c r="D467" s="2" t="n">
        <f aca="false">MONTH(C467)</f>
        <v>4</v>
      </c>
      <c r="E467" s="2" t="s">
        <v>63</v>
      </c>
      <c r="F467" s="2" t="s">
        <v>64</v>
      </c>
      <c r="G467" s="2" t="s">
        <v>65</v>
      </c>
      <c r="H467" s="2" t="s">
        <v>82</v>
      </c>
      <c r="I467" s="2" t="n">
        <v>4</v>
      </c>
      <c r="J467" s="11" t="n">
        <v>250</v>
      </c>
      <c r="K467" s="12" t="n">
        <v>0.1</v>
      </c>
      <c r="L467" s="11" t="n">
        <v>100</v>
      </c>
      <c r="M467" s="11" t="n">
        <f aca="false">I467*J467*(1-K467)</f>
        <v>900</v>
      </c>
      <c r="N467" s="11" t="n">
        <f aca="false">M467-I467*L467</f>
        <v>500</v>
      </c>
    </row>
    <row r="468" customFormat="false" ht="15" hidden="false" customHeight="false" outlineLevel="0" collapsed="false">
      <c r="A468" s="2" t="s">
        <v>2130</v>
      </c>
      <c r="B468" s="2" t="s">
        <v>2131</v>
      </c>
      <c r="C468" s="10" t="n">
        <v>45749</v>
      </c>
      <c r="D468" s="2" t="n">
        <f aca="false">MONTH(C468)</f>
        <v>4</v>
      </c>
      <c r="E468" s="2" t="s">
        <v>81</v>
      </c>
      <c r="F468" s="2" t="s">
        <v>64</v>
      </c>
      <c r="G468" s="2" t="s">
        <v>73</v>
      </c>
      <c r="H468" s="2" t="s">
        <v>85</v>
      </c>
      <c r="I468" s="2" t="n">
        <v>2</v>
      </c>
      <c r="J468" s="11" t="n">
        <v>1200</v>
      </c>
      <c r="K468" s="12" t="n">
        <v>0</v>
      </c>
      <c r="L468" s="11" t="n">
        <v>600</v>
      </c>
      <c r="M468" s="11" t="n">
        <f aca="false">I468*J468*(1-K468)</f>
        <v>2400</v>
      </c>
      <c r="N468" s="11" t="n">
        <f aca="false">M468-I468*L468</f>
        <v>1200</v>
      </c>
    </row>
    <row r="469" customFormat="false" ht="15" hidden="false" customHeight="false" outlineLevel="0" collapsed="false">
      <c r="A469" s="2" t="s">
        <v>2419</v>
      </c>
      <c r="B469" s="2" t="s">
        <v>2420</v>
      </c>
      <c r="C469" s="10" t="n">
        <v>45749</v>
      </c>
      <c r="D469" s="2" t="n">
        <f aca="false">MONTH(C469)</f>
        <v>4</v>
      </c>
      <c r="E469" s="2" t="s">
        <v>81</v>
      </c>
      <c r="F469" s="2" t="s">
        <v>64</v>
      </c>
      <c r="G469" s="2" t="s">
        <v>70</v>
      </c>
      <c r="H469" s="2" t="s">
        <v>97</v>
      </c>
      <c r="I469" s="2" t="n">
        <v>3</v>
      </c>
      <c r="J469" s="11" t="n">
        <v>3000</v>
      </c>
      <c r="K469" s="12" t="n">
        <v>0.05</v>
      </c>
      <c r="L469" s="11" t="n">
        <v>2000</v>
      </c>
      <c r="M469" s="11" t="n">
        <f aca="false">I469*J469*(1-K469)</f>
        <v>8550</v>
      </c>
      <c r="N469" s="11" t="n">
        <f aca="false">M469-I469*L469</f>
        <v>2550</v>
      </c>
    </row>
    <row r="470" customFormat="false" ht="15" hidden="false" customHeight="false" outlineLevel="0" collapsed="false">
      <c r="A470" s="2" t="s">
        <v>2708</v>
      </c>
      <c r="B470" s="2" t="s">
        <v>2699</v>
      </c>
      <c r="C470" s="10" t="n">
        <v>45749</v>
      </c>
      <c r="D470" s="2" t="n">
        <f aca="false">MONTH(C470)</f>
        <v>4</v>
      </c>
      <c r="E470" s="2" t="s">
        <v>77</v>
      </c>
      <c r="F470" s="2" t="s">
        <v>69</v>
      </c>
      <c r="G470" s="2" t="s">
        <v>70</v>
      </c>
      <c r="H470" s="2" t="s">
        <v>71</v>
      </c>
      <c r="I470" s="2" t="n">
        <v>2</v>
      </c>
      <c r="J470" s="11" t="n">
        <v>2500</v>
      </c>
      <c r="K470" s="12" t="n">
        <v>0</v>
      </c>
      <c r="L470" s="11" t="n">
        <v>1600</v>
      </c>
      <c r="M470" s="11" t="n">
        <f aca="false">I470*J470*(1-K470)</f>
        <v>5000</v>
      </c>
      <c r="N470" s="11" t="n">
        <f aca="false">M470-I470*L470</f>
        <v>1800</v>
      </c>
    </row>
    <row r="471" customFormat="false" ht="15" hidden="false" customHeight="false" outlineLevel="0" collapsed="false">
      <c r="A471" s="2" t="s">
        <v>438</v>
      </c>
      <c r="B471" s="2" t="s">
        <v>437</v>
      </c>
      <c r="C471" s="10" t="n">
        <v>45750</v>
      </c>
      <c r="D471" s="2" t="n">
        <f aca="false">MONTH(C471)</f>
        <v>4</v>
      </c>
      <c r="E471" s="2" t="s">
        <v>77</v>
      </c>
      <c r="F471" s="2" t="s">
        <v>69</v>
      </c>
      <c r="G471" s="2" t="s">
        <v>65</v>
      </c>
      <c r="H471" s="2" t="s">
        <v>107</v>
      </c>
      <c r="I471" s="2" t="n">
        <v>18</v>
      </c>
      <c r="J471" s="11" t="n">
        <v>500</v>
      </c>
      <c r="K471" s="12" t="n">
        <v>0.05</v>
      </c>
      <c r="L471" s="11" t="n">
        <v>250</v>
      </c>
      <c r="M471" s="11" t="n">
        <f aca="false">I471*J471*(1-K471)</f>
        <v>8550</v>
      </c>
      <c r="N471" s="11" t="n">
        <f aca="false">M471-I471*L471</f>
        <v>4050</v>
      </c>
    </row>
    <row r="472" customFormat="false" ht="15" hidden="false" customHeight="false" outlineLevel="0" collapsed="false">
      <c r="A472" s="2" t="s">
        <v>715</v>
      </c>
      <c r="B472" s="2" t="s">
        <v>713</v>
      </c>
      <c r="C472" s="10" t="n">
        <v>45750</v>
      </c>
      <c r="D472" s="2" t="n">
        <f aca="false">MONTH(C472)</f>
        <v>4</v>
      </c>
      <c r="E472" s="2" t="s">
        <v>63</v>
      </c>
      <c r="F472" s="2" t="s">
        <v>64</v>
      </c>
      <c r="G472" s="2" t="s">
        <v>65</v>
      </c>
      <c r="H472" s="2" t="s">
        <v>78</v>
      </c>
      <c r="I472" s="2" t="n">
        <v>4</v>
      </c>
      <c r="J472" s="11" t="n">
        <v>400</v>
      </c>
      <c r="K472" s="12" t="n">
        <v>0</v>
      </c>
      <c r="L472" s="11" t="n">
        <v>200</v>
      </c>
      <c r="M472" s="11" t="n">
        <f aca="false">I472*J472*(1-K472)</f>
        <v>1600</v>
      </c>
      <c r="N472" s="11" t="n">
        <f aca="false">M472-I472*L472</f>
        <v>800</v>
      </c>
    </row>
    <row r="473" customFormat="false" ht="15" hidden="false" customHeight="false" outlineLevel="0" collapsed="false">
      <c r="A473" s="2" t="s">
        <v>1065</v>
      </c>
      <c r="B473" s="2" t="s">
        <v>1063</v>
      </c>
      <c r="C473" s="10" t="n">
        <v>45750</v>
      </c>
      <c r="D473" s="2" t="n">
        <f aca="false">MONTH(C473)</f>
        <v>4</v>
      </c>
      <c r="E473" s="2" t="s">
        <v>91</v>
      </c>
      <c r="F473" s="2" t="s">
        <v>64</v>
      </c>
      <c r="G473" s="2" t="s">
        <v>70</v>
      </c>
      <c r="H473" s="2" t="s">
        <v>71</v>
      </c>
      <c r="I473" s="2" t="n">
        <v>3</v>
      </c>
      <c r="J473" s="11" t="n">
        <v>2500</v>
      </c>
      <c r="K473" s="12" t="n">
        <v>0</v>
      </c>
      <c r="L473" s="11" t="n">
        <v>1600</v>
      </c>
      <c r="M473" s="11" t="n">
        <f aca="false">I473*J473*(1-K473)</f>
        <v>7500</v>
      </c>
      <c r="N473" s="11" t="n">
        <f aca="false">M473-I473*L473</f>
        <v>2700</v>
      </c>
    </row>
    <row r="474" customFormat="false" ht="15" hidden="false" customHeight="false" outlineLevel="0" collapsed="false">
      <c r="A474" s="2" t="s">
        <v>1977</v>
      </c>
      <c r="B474" s="2" t="s">
        <v>1976</v>
      </c>
      <c r="C474" s="10" t="n">
        <v>45750</v>
      </c>
      <c r="D474" s="2" t="n">
        <f aca="false">MONTH(C474)</f>
        <v>4</v>
      </c>
      <c r="E474" s="2" t="s">
        <v>63</v>
      </c>
      <c r="F474" s="2" t="s">
        <v>92</v>
      </c>
      <c r="G474" s="2" t="s">
        <v>65</v>
      </c>
      <c r="H474" s="2" t="s">
        <v>82</v>
      </c>
      <c r="I474" s="2" t="n">
        <v>12</v>
      </c>
      <c r="J474" s="11" t="n">
        <v>250</v>
      </c>
      <c r="K474" s="12" t="n">
        <v>0</v>
      </c>
      <c r="L474" s="11" t="n">
        <v>100</v>
      </c>
      <c r="M474" s="11" t="n">
        <f aca="false">I474*J474*(1-K474)</f>
        <v>3000</v>
      </c>
      <c r="N474" s="11" t="n">
        <f aca="false">M474-I474*L474</f>
        <v>1800</v>
      </c>
    </row>
    <row r="475" customFormat="false" ht="15" hidden="false" customHeight="false" outlineLevel="0" collapsed="false">
      <c r="A475" s="2" t="s">
        <v>2112</v>
      </c>
      <c r="B475" s="2" t="s">
        <v>2110</v>
      </c>
      <c r="C475" s="10" t="n">
        <v>45750</v>
      </c>
      <c r="D475" s="2" t="n">
        <f aca="false">MONTH(C475)</f>
        <v>4</v>
      </c>
      <c r="E475" s="2" t="s">
        <v>63</v>
      </c>
      <c r="F475" s="2" t="s">
        <v>64</v>
      </c>
      <c r="G475" s="2" t="s">
        <v>70</v>
      </c>
      <c r="H475" s="2" t="s">
        <v>97</v>
      </c>
      <c r="I475" s="2" t="n">
        <v>1</v>
      </c>
      <c r="J475" s="11" t="n">
        <v>3000</v>
      </c>
      <c r="K475" s="12" t="n">
        <v>0</v>
      </c>
      <c r="L475" s="11" t="n">
        <v>2000</v>
      </c>
      <c r="M475" s="11" t="n">
        <f aca="false">I475*J475*(1-K475)</f>
        <v>3000</v>
      </c>
      <c r="N475" s="11" t="n">
        <f aca="false">M475-I475*L475</f>
        <v>1000</v>
      </c>
    </row>
    <row r="476" customFormat="false" ht="15" hidden="false" customHeight="false" outlineLevel="0" collapsed="false">
      <c r="A476" s="2" t="s">
        <v>2476</v>
      </c>
      <c r="B476" s="2" t="s">
        <v>2469</v>
      </c>
      <c r="C476" s="10" t="n">
        <v>45750</v>
      </c>
      <c r="D476" s="2" t="n">
        <f aca="false">MONTH(C476)</f>
        <v>4</v>
      </c>
      <c r="E476" s="2" t="s">
        <v>81</v>
      </c>
      <c r="F476" s="2" t="s">
        <v>64</v>
      </c>
      <c r="G476" s="2" t="s">
        <v>73</v>
      </c>
      <c r="H476" s="2" t="s">
        <v>104</v>
      </c>
      <c r="I476" s="2" t="n">
        <v>2</v>
      </c>
      <c r="J476" s="11" t="n">
        <v>5500</v>
      </c>
      <c r="K476" s="12" t="n">
        <v>0.1</v>
      </c>
      <c r="L476" s="11" t="n">
        <v>3600</v>
      </c>
      <c r="M476" s="11" t="n">
        <f aca="false">I476*J476*(1-K476)</f>
        <v>9900</v>
      </c>
      <c r="N476" s="11" t="n">
        <f aca="false">M476-I476*L476</f>
        <v>2700</v>
      </c>
    </row>
    <row r="477" customFormat="false" ht="15" hidden="false" customHeight="false" outlineLevel="0" collapsed="false">
      <c r="A477" s="2" t="s">
        <v>2502</v>
      </c>
      <c r="B477" s="2" t="s">
        <v>2503</v>
      </c>
      <c r="C477" s="10" t="n">
        <v>45750</v>
      </c>
      <c r="D477" s="2" t="n">
        <f aca="false">MONTH(C477)</f>
        <v>4</v>
      </c>
      <c r="E477" s="2" t="s">
        <v>91</v>
      </c>
      <c r="F477" s="2" t="s">
        <v>69</v>
      </c>
      <c r="G477" s="2" t="s">
        <v>73</v>
      </c>
      <c r="H477" s="2" t="s">
        <v>85</v>
      </c>
      <c r="I477" s="2" t="n">
        <v>5</v>
      </c>
      <c r="J477" s="11" t="n">
        <v>1200</v>
      </c>
      <c r="K477" s="12" t="n">
        <v>0</v>
      </c>
      <c r="L477" s="11" t="n">
        <v>600</v>
      </c>
      <c r="M477" s="11" t="n">
        <f aca="false">I477*J477*(1-K477)</f>
        <v>6000</v>
      </c>
      <c r="N477" s="11" t="n">
        <f aca="false">M477-I477*L477</f>
        <v>3000</v>
      </c>
    </row>
    <row r="478" customFormat="false" ht="15" hidden="false" customHeight="false" outlineLevel="0" collapsed="false">
      <c r="A478" s="2" t="s">
        <v>2931</v>
      </c>
      <c r="B478" s="2" t="s">
        <v>2929</v>
      </c>
      <c r="C478" s="10" t="n">
        <v>45750</v>
      </c>
      <c r="D478" s="2" t="n">
        <f aca="false">MONTH(C478)</f>
        <v>4</v>
      </c>
      <c r="E478" s="2" t="s">
        <v>91</v>
      </c>
      <c r="F478" s="2" t="s">
        <v>64</v>
      </c>
      <c r="G478" s="2" t="s">
        <v>70</v>
      </c>
      <c r="H478" s="2" t="s">
        <v>126</v>
      </c>
      <c r="I478" s="2" t="n">
        <v>2</v>
      </c>
      <c r="J478" s="11" t="n">
        <v>4500</v>
      </c>
      <c r="K478" s="12" t="n">
        <v>0</v>
      </c>
      <c r="L478" s="11" t="n">
        <v>3300</v>
      </c>
      <c r="M478" s="11" t="n">
        <f aca="false">I478*J478*(1-K478)</f>
        <v>9000</v>
      </c>
      <c r="N478" s="11" t="n">
        <f aca="false">M478-I478*L478</f>
        <v>2400</v>
      </c>
    </row>
    <row r="479" customFormat="false" ht="15" hidden="false" customHeight="false" outlineLevel="0" collapsed="false">
      <c r="A479" s="2" t="s">
        <v>909</v>
      </c>
      <c r="B479" s="2" t="s">
        <v>910</v>
      </c>
      <c r="C479" s="10" t="n">
        <v>45751</v>
      </c>
      <c r="D479" s="2" t="n">
        <f aca="false">MONTH(C479)</f>
        <v>4</v>
      </c>
      <c r="E479" s="2" t="s">
        <v>91</v>
      </c>
      <c r="F479" s="2" t="s">
        <v>69</v>
      </c>
      <c r="G479" s="2" t="s">
        <v>65</v>
      </c>
      <c r="H479" s="2" t="s">
        <v>107</v>
      </c>
      <c r="I479" s="2" t="n">
        <v>8</v>
      </c>
      <c r="J479" s="11" t="n">
        <v>500</v>
      </c>
      <c r="K479" s="12" t="n">
        <v>0.1</v>
      </c>
      <c r="L479" s="11" t="n">
        <v>250</v>
      </c>
      <c r="M479" s="11" t="n">
        <f aca="false">I479*J479*(1-K479)</f>
        <v>3600</v>
      </c>
      <c r="N479" s="11" t="n">
        <f aca="false">M479-I479*L479</f>
        <v>1600</v>
      </c>
    </row>
    <row r="480" customFormat="false" ht="15" hidden="false" customHeight="false" outlineLevel="0" collapsed="false">
      <c r="A480" s="2" t="s">
        <v>1044</v>
      </c>
      <c r="B480" s="2" t="s">
        <v>1045</v>
      </c>
      <c r="C480" s="10" t="n">
        <v>45751</v>
      </c>
      <c r="D480" s="2" t="n">
        <f aca="false">MONTH(C480)</f>
        <v>4</v>
      </c>
      <c r="E480" s="2" t="s">
        <v>63</v>
      </c>
      <c r="F480" s="2" t="s">
        <v>69</v>
      </c>
      <c r="G480" s="2" t="s">
        <v>70</v>
      </c>
      <c r="H480" s="2" t="s">
        <v>71</v>
      </c>
      <c r="I480" s="2" t="n">
        <v>4</v>
      </c>
      <c r="J480" s="11" t="n">
        <v>2500</v>
      </c>
      <c r="K480" s="12" t="n">
        <v>0.05</v>
      </c>
      <c r="L480" s="11" t="n">
        <v>1600</v>
      </c>
      <c r="M480" s="11" t="n">
        <f aca="false">I480*J480*(1-K480)</f>
        <v>9500</v>
      </c>
      <c r="N480" s="11" t="n">
        <f aca="false">M480-I480*L480</f>
        <v>3100</v>
      </c>
    </row>
    <row r="481" customFormat="false" ht="15" hidden="false" customHeight="false" outlineLevel="0" collapsed="false">
      <c r="A481" s="2" t="s">
        <v>1407</v>
      </c>
      <c r="B481" s="2" t="s">
        <v>1404</v>
      </c>
      <c r="C481" s="10" t="n">
        <v>45751</v>
      </c>
      <c r="D481" s="2" t="n">
        <f aca="false">MONTH(C481)</f>
        <v>4</v>
      </c>
      <c r="E481" s="2" t="s">
        <v>77</v>
      </c>
      <c r="F481" s="2" t="s">
        <v>64</v>
      </c>
      <c r="G481" s="2" t="s">
        <v>70</v>
      </c>
      <c r="H481" s="2" t="s">
        <v>126</v>
      </c>
      <c r="I481" s="2" t="n">
        <v>1</v>
      </c>
      <c r="J481" s="11" t="n">
        <v>4500</v>
      </c>
      <c r="K481" s="12" t="n">
        <v>0.05</v>
      </c>
      <c r="L481" s="11" t="n">
        <v>3300</v>
      </c>
      <c r="M481" s="11" t="n">
        <f aca="false">I481*J481*(1-K481)</f>
        <v>4275</v>
      </c>
      <c r="N481" s="11" t="n">
        <f aca="false">M481-I481*L481</f>
        <v>975</v>
      </c>
    </row>
    <row r="482" customFormat="false" ht="15" hidden="false" customHeight="false" outlineLevel="0" collapsed="false">
      <c r="A482" s="2" t="s">
        <v>1584</v>
      </c>
      <c r="B482" s="2" t="s">
        <v>1579</v>
      </c>
      <c r="C482" s="10" t="n">
        <v>45751</v>
      </c>
      <c r="D482" s="2" t="n">
        <f aca="false">MONTH(C482)</f>
        <v>4</v>
      </c>
      <c r="E482" s="2" t="s">
        <v>77</v>
      </c>
      <c r="F482" s="2" t="s">
        <v>92</v>
      </c>
      <c r="G482" s="2" t="s">
        <v>73</v>
      </c>
      <c r="H482" s="2" t="s">
        <v>74</v>
      </c>
      <c r="I482" s="2" t="n">
        <v>4</v>
      </c>
      <c r="J482" s="11" t="n">
        <v>7000</v>
      </c>
      <c r="K482" s="12" t="n">
        <v>0.05</v>
      </c>
      <c r="L482" s="11" t="n">
        <v>4800</v>
      </c>
      <c r="M482" s="11" t="n">
        <f aca="false">I482*J482*(1-K482)</f>
        <v>26600</v>
      </c>
      <c r="N482" s="11" t="n">
        <f aca="false">M482-I482*L482</f>
        <v>7400</v>
      </c>
    </row>
    <row r="483" customFormat="false" ht="15" hidden="false" customHeight="false" outlineLevel="0" collapsed="false">
      <c r="A483" s="2" t="s">
        <v>1612</v>
      </c>
      <c r="B483" s="2" t="s">
        <v>1609</v>
      </c>
      <c r="C483" s="10" t="n">
        <v>45751</v>
      </c>
      <c r="D483" s="2" t="n">
        <f aca="false">MONTH(C483)</f>
        <v>4</v>
      </c>
      <c r="E483" s="2" t="s">
        <v>81</v>
      </c>
      <c r="F483" s="2" t="s">
        <v>92</v>
      </c>
      <c r="G483" s="2" t="s">
        <v>65</v>
      </c>
      <c r="H483" s="2" t="s">
        <v>66</v>
      </c>
      <c r="I483" s="2" t="n">
        <v>30</v>
      </c>
      <c r="J483" s="11" t="n">
        <v>600</v>
      </c>
      <c r="K483" s="12" t="n">
        <v>0.1</v>
      </c>
      <c r="L483" s="11" t="n">
        <v>300</v>
      </c>
      <c r="M483" s="11" t="n">
        <f aca="false">I483*J483*(1-K483)</f>
        <v>16200</v>
      </c>
      <c r="N483" s="11" t="n">
        <f aca="false">M483-I483*L483</f>
        <v>7200</v>
      </c>
    </row>
    <row r="484" customFormat="false" ht="15" hidden="false" customHeight="false" outlineLevel="0" collapsed="false">
      <c r="A484" s="2" t="s">
        <v>2412</v>
      </c>
      <c r="B484" s="2" t="s">
        <v>2406</v>
      </c>
      <c r="C484" s="10" t="n">
        <v>45751</v>
      </c>
      <c r="D484" s="2" t="n">
        <f aca="false">MONTH(C484)</f>
        <v>4</v>
      </c>
      <c r="E484" s="2" t="s">
        <v>81</v>
      </c>
      <c r="F484" s="2" t="s">
        <v>69</v>
      </c>
      <c r="G484" s="2" t="s">
        <v>65</v>
      </c>
      <c r="H484" s="2" t="s">
        <v>66</v>
      </c>
      <c r="I484" s="2" t="n">
        <v>13</v>
      </c>
      <c r="J484" s="11" t="n">
        <v>600</v>
      </c>
      <c r="K484" s="12" t="n">
        <v>0</v>
      </c>
      <c r="L484" s="11" t="n">
        <v>300</v>
      </c>
      <c r="M484" s="11" t="n">
        <f aca="false">I484*J484*(1-K484)</f>
        <v>7800</v>
      </c>
      <c r="N484" s="11" t="n">
        <f aca="false">M484-I484*L484</f>
        <v>3900</v>
      </c>
    </row>
    <row r="485" customFormat="false" ht="15" hidden="false" customHeight="false" outlineLevel="0" collapsed="false">
      <c r="A485" s="2" t="s">
        <v>2576</v>
      </c>
      <c r="B485" s="2" t="s">
        <v>2575</v>
      </c>
      <c r="C485" s="10" t="n">
        <v>45751</v>
      </c>
      <c r="D485" s="2" t="n">
        <f aca="false">MONTH(C485)</f>
        <v>4</v>
      </c>
      <c r="E485" s="2" t="s">
        <v>91</v>
      </c>
      <c r="F485" s="2" t="s">
        <v>64</v>
      </c>
      <c r="G485" s="2" t="s">
        <v>65</v>
      </c>
      <c r="H485" s="2" t="s">
        <v>78</v>
      </c>
      <c r="I485" s="2" t="n">
        <v>6</v>
      </c>
      <c r="J485" s="11" t="n">
        <v>400</v>
      </c>
      <c r="K485" s="12" t="n">
        <v>0.1</v>
      </c>
      <c r="L485" s="11" t="n">
        <v>200</v>
      </c>
      <c r="M485" s="11" t="n">
        <f aca="false">I485*J485*(1-K485)</f>
        <v>2160</v>
      </c>
      <c r="N485" s="11" t="n">
        <f aca="false">M485-I485*L485</f>
        <v>960</v>
      </c>
    </row>
    <row r="486" customFormat="false" ht="15" hidden="false" customHeight="false" outlineLevel="0" collapsed="false">
      <c r="A486" s="2" t="s">
        <v>2963</v>
      </c>
      <c r="B486" s="2" t="s">
        <v>2962</v>
      </c>
      <c r="C486" s="10" t="n">
        <v>45751</v>
      </c>
      <c r="D486" s="2" t="n">
        <f aca="false">MONTH(C486)</f>
        <v>4</v>
      </c>
      <c r="E486" s="2" t="s">
        <v>63</v>
      </c>
      <c r="F486" s="2" t="s">
        <v>92</v>
      </c>
      <c r="G486" s="2" t="s">
        <v>70</v>
      </c>
      <c r="H486" s="2" t="s">
        <v>126</v>
      </c>
      <c r="I486" s="2" t="n">
        <v>3</v>
      </c>
      <c r="J486" s="11" t="n">
        <v>4500</v>
      </c>
      <c r="K486" s="12" t="n">
        <v>0</v>
      </c>
      <c r="L486" s="11" t="n">
        <v>3300</v>
      </c>
      <c r="M486" s="11" t="n">
        <f aca="false">I486*J486*(1-K486)</f>
        <v>13500</v>
      </c>
      <c r="N486" s="11" t="n">
        <f aca="false">M486-I486*L486</f>
        <v>3600</v>
      </c>
    </row>
    <row r="487" customFormat="false" ht="15" hidden="false" customHeight="false" outlineLevel="0" collapsed="false">
      <c r="A487" s="2" t="s">
        <v>244</v>
      </c>
      <c r="B487" s="2" t="s">
        <v>240</v>
      </c>
      <c r="C487" s="10" t="n">
        <v>45752</v>
      </c>
      <c r="D487" s="2" t="n">
        <f aca="false">MONTH(C487)</f>
        <v>4</v>
      </c>
      <c r="E487" s="2" t="s">
        <v>91</v>
      </c>
      <c r="F487" s="2" t="s">
        <v>64</v>
      </c>
      <c r="G487" s="2" t="s">
        <v>65</v>
      </c>
      <c r="H487" s="2" t="s">
        <v>82</v>
      </c>
      <c r="I487" s="2" t="n">
        <v>3</v>
      </c>
      <c r="J487" s="11" t="n">
        <v>250</v>
      </c>
      <c r="K487" s="12" t="n">
        <v>0</v>
      </c>
      <c r="L487" s="11" t="n">
        <v>100</v>
      </c>
      <c r="M487" s="11" t="n">
        <f aca="false">I487*J487*(1-K487)</f>
        <v>750</v>
      </c>
      <c r="N487" s="11" t="n">
        <f aca="false">M487-I487*L487</f>
        <v>450</v>
      </c>
    </row>
    <row r="488" customFormat="false" ht="15" hidden="false" customHeight="false" outlineLevel="0" collapsed="false">
      <c r="A488" s="2" t="s">
        <v>331</v>
      </c>
      <c r="B488" s="2" t="s">
        <v>328</v>
      </c>
      <c r="C488" s="10" t="n">
        <v>45752</v>
      </c>
      <c r="D488" s="2" t="n">
        <f aca="false">MONTH(C488)</f>
        <v>4</v>
      </c>
      <c r="E488" s="2" t="s">
        <v>63</v>
      </c>
      <c r="F488" s="2" t="s">
        <v>64</v>
      </c>
      <c r="G488" s="2" t="s">
        <v>70</v>
      </c>
      <c r="H488" s="2" t="s">
        <v>97</v>
      </c>
      <c r="I488" s="2" t="n">
        <v>2</v>
      </c>
      <c r="J488" s="11" t="n">
        <v>3000</v>
      </c>
      <c r="K488" s="12" t="n">
        <v>0.05</v>
      </c>
      <c r="L488" s="11" t="n">
        <v>2000</v>
      </c>
      <c r="M488" s="11" t="n">
        <f aca="false">I488*J488*(1-K488)</f>
        <v>5700</v>
      </c>
      <c r="N488" s="11" t="n">
        <f aca="false">M488-I488*L488</f>
        <v>1700</v>
      </c>
    </row>
    <row r="489" customFormat="false" ht="15" hidden="false" customHeight="false" outlineLevel="0" collapsed="false">
      <c r="A489" s="2" t="s">
        <v>487</v>
      </c>
      <c r="B489" s="2" t="s">
        <v>486</v>
      </c>
      <c r="C489" s="10" t="n">
        <v>45752</v>
      </c>
      <c r="D489" s="2" t="n">
        <f aca="false">MONTH(C489)</f>
        <v>4</v>
      </c>
      <c r="E489" s="2" t="s">
        <v>63</v>
      </c>
      <c r="F489" s="2" t="s">
        <v>64</v>
      </c>
      <c r="G489" s="2" t="s">
        <v>65</v>
      </c>
      <c r="H489" s="2" t="s">
        <v>107</v>
      </c>
      <c r="I489" s="2" t="n">
        <v>5</v>
      </c>
      <c r="J489" s="11" t="n">
        <v>500</v>
      </c>
      <c r="K489" s="12" t="n">
        <v>0</v>
      </c>
      <c r="L489" s="11" t="n">
        <v>250</v>
      </c>
      <c r="M489" s="11" t="n">
        <f aca="false">I489*J489*(1-K489)</f>
        <v>2500</v>
      </c>
      <c r="N489" s="11" t="n">
        <f aca="false">M489-I489*L489</f>
        <v>1250</v>
      </c>
    </row>
    <row r="490" customFormat="false" ht="15" hidden="false" customHeight="false" outlineLevel="0" collapsed="false">
      <c r="A490" s="2" t="s">
        <v>1107</v>
      </c>
      <c r="B490" s="2" t="s">
        <v>1108</v>
      </c>
      <c r="C490" s="10" t="n">
        <v>45752</v>
      </c>
      <c r="D490" s="2" t="n">
        <f aca="false">MONTH(C490)</f>
        <v>4</v>
      </c>
      <c r="E490" s="2" t="s">
        <v>77</v>
      </c>
      <c r="F490" s="2" t="s">
        <v>64</v>
      </c>
      <c r="G490" s="2" t="s">
        <v>65</v>
      </c>
      <c r="H490" s="2" t="s">
        <v>66</v>
      </c>
      <c r="I490" s="2" t="n">
        <v>3</v>
      </c>
      <c r="J490" s="11" t="n">
        <v>600</v>
      </c>
      <c r="K490" s="12" t="n">
        <v>0.05</v>
      </c>
      <c r="L490" s="11" t="n">
        <v>300</v>
      </c>
      <c r="M490" s="11" t="n">
        <f aca="false">I490*J490*(1-K490)</f>
        <v>1710</v>
      </c>
      <c r="N490" s="11" t="n">
        <f aca="false">M490-I490*L490</f>
        <v>810</v>
      </c>
    </row>
    <row r="491" customFormat="false" ht="15" hidden="false" customHeight="false" outlineLevel="0" collapsed="false">
      <c r="A491" s="2" t="s">
        <v>1424</v>
      </c>
      <c r="B491" s="2" t="s">
        <v>1423</v>
      </c>
      <c r="C491" s="10" t="n">
        <v>45752</v>
      </c>
      <c r="D491" s="2" t="n">
        <f aca="false">MONTH(C491)</f>
        <v>4</v>
      </c>
      <c r="E491" s="2" t="s">
        <v>81</v>
      </c>
      <c r="F491" s="2" t="s">
        <v>64</v>
      </c>
      <c r="G491" s="2" t="s">
        <v>73</v>
      </c>
      <c r="H491" s="2" t="s">
        <v>74</v>
      </c>
      <c r="I491" s="2" t="n">
        <v>1</v>
      </c>
      <c r="J491" s="11" t="n">
        <v>7000</v>
      </c>
      <c r="K491" s="12" t="n">
        <v>0.05</v>
      </c>
      <c r="L491" s="11" t="n">
        <v>4800</v>
      </c>
      <c r="M491" s="11" t="n">
        <f aca="false">I491*J491*(1-K491)</f>
        <v>6650</v>
      </c>
      <c r="N491" s="11" t="n">
        <f aca="false">M491-I491*L491</f>
        <v>1850</v>
      </c>
    </row>
    <row r="492" customFormat="false" ht="15" hidden="false" customHeight="false" outlineLevel="0" collapsed="false">
      <c r="A492" s="2" t="s">
        <v>1808</v>
      </c>
      <c r="B492" s="2" t="s">
        <v>1805</v>
      </c>
      <c r="C492" s="10" t="n">
        <v>45752</v>
      </c>
      <c r="D492" s="2" t="n">
        <f aca="false">MONTH(C492)</f>
        <v>4</v>
      </c>
      <c r="E492" s="2" t="s">
        <v>91</v>
      </c>
      <c r="F492" s="2" t="s">
        <v>64</v>
      </c>
      <c r="G492" s="2" t="s">
        <v>70</v>
      </c>
      <c r="H492" s="2" t="s">
        <v>122</v>
      </c>
      <c r="I492" s="2" t="n">
        <v>1</v>
      </c>
      <c r="J492" s="11" t="n">
        <v>1500</v>
      </c>
      <c r="K492" s="12" t="n">
        <v>0</v>
      </c>
      <c r="L492" s="11" t="n">
        <v>900</v>
      </c>
      <c r="M492" s="11" t="n">
        <f aca="false">I492*J492*(1-K492)</f>
        <v>1500</v>
      </c>
      <c r="N492" s="11" t="n">
        <f aca="false">M492-I492*L492</f>
        <v>600</v>
      </c>
    </row>
    <row r="493" customFormat="false" ht="15" hidden="false" customHeight="false" outlineLevel="0" collapsed="false">
      <c r="A493" s="2" t="s">
        <v>2171</v>
      </c>
      <c r="B493" s="2" t="s">
        <v>2172</v>
      </c>
      <c r="C493" s="10" t="n">
        <v>45752</v>
      </c>
      <c r="D493" s="2" t="n">
        <f aca="false">MONTH(C493)</f>
        <v>4</v>
      </c>
      <c r="E493" s="2" t="s">
        <v>91</v>
      </c>
      <c r="F493" s="2" t="s">
        <v>64</v>
      </c>
      <c r="G493" s="2" t="s">
        <v>70</v>
      </c>
      <c r="H493" s="2" t="s">
        <v>71</v>
      </c>
      <c r="I493" s="2" t="n">
        <v>3</v>
      </c>
      <c r="J493" s="11" t="n">
        <v>2500</v>
      </c>
      <c r="K493" s="12" t="n">
        <v>0</v>
      </c>
      <c r="L493" s="11" t="n">
        <v>1600</v>
      </c>
      <c r="M493" s="11" t="n">
        <f aca="false">I493*J493*(1-K493)</f>
        <v>7500</v>
      </c>
      <c r="N493" s="11" t="n">
        <f aca="false">M493-I493*L493</f>
        <v>2700</v>
      </c>
    </row>
    <row r="494" customFormat="false" ht="15" hidden="false" customHeight="false" outlineLevel="0" collapsed="false">
      <c r="A494" s="2" t="s">
        <v>2458</v>
      </c>
      <c r="B494" s="2" t="s">
        <v>2459</v>
      </c>
      <c r="C494" s="10" t="n">
        <v>45752</v>
      </c>
      <c r="D494" s="2" t="n">
        <f aca="false">MONTH(C494)</f>
        <v>4</v>
      </c>
      <c r="E494" s="2" t="s">
        <v>63</v>
      </c>
      <c r="F494" s="2" t="s">
        <v>64</v>
      </c>
      <c r="G494" s="2" t="s">
        <v>73</v>
      </c>
      <c r="H494" s="2" t="s">
        <v>85</v>
      </c>
      <c r="I494" s="2" t="n">
        <v>3</v>
      </c>
      <c r="J494" s="11" t="n">
        <v>1200</v>
      </c>
      <c r="K494" s="12" t="n">
        <v>0</v>
      </c>
      <c r="L494" s="11" t="n">
        <v>600</v>
      </c>
      <c r="M494" s="11" t="n">
        <f aca="false">I494*J494*(1-K494)</f>
        <v>3600</v>
      </c>
      <c r="N494" s="11" t="n">
        <f aca="false">M494-I494*L494</f>
        <v>1800</v>
      </c>
    </row>
    <row r="495" customFormat="false" ht="15" hidden="false" customHeight="false" outlineLevel="0" collapsed="false">
      <c r="A495" s="2" t="s">
        <v>2500</v>
      </c>
      <c r="B495" s="2" t="s">
        <v>2499</v>
      </c>
      <c r="C495" s="10" t="n">
        <v>45752</v>
      </c>
      <c r="D495" s="2" t="n">
        <f aca="false">MONTH(C495)</f>
        <v>4</v>
      </c>
      <c r="E495" s="2" t="s">
        <v>63</v>
      </c>
      <c r="F495" s="2" t="s">
        <v>92</v>
      </c>
      <c r="G495" s="2" t="s">
        <v>70</v>
      </c>
      <c r="H495" s="2" t="s">
        <v>122</v>
      </c>
      <c r="I495" s="2" t="n">
        <v>7</v>
      </c>
      <c r="J495" s="11" t="n">
        <v>1500</v>
      </c>
      <c r="K495" s="12" t="n">
        <v>0.05</v>
      </c>
      <c r="L495" s="11" t="n">
        <v>900</v>
      </c>
      <c r="M495" s="11" t="n">
        <f aca="false">I495*J495*(1-K495)</f>
        <v>9975</v>
      </c>
      <c r="N495" s="11" t="n">
        <f aca="false">M495-I495*L495</f>
        <v>3675</v>
      </c>
    </row>
    <row r="496" customFormat="false" ht="15" hidden="false" customHeight="false" outlineLevel="0" collapsed="false">
      <c r="A496" s="2" t="s">
        <v>2545</v>
      </c>
      <c r="B496" s="2" t="s">
        <v>2546</v>
      </c>
      <c r="C496" s="10" t="n">
        <v>45752</v>
      </c>
      <c r="D496" s="2" t="n">
        <f aca="false">MONTH(C496)</f>
        <v>4</v>
      </c>
      <c r="E496" s="2" t="s">
        <v>91</v>
      </c>
      <c r="F496" s="2" t="s">
        <v>64</v>
      </c>
      <c r="G496" s="2" t="s">
        <v>70</v>
      </c>
      <c r="H496" s="2" t="s">
        <v>126</v>
      </c>
      <c r="I496" s="2" t="n">
        <v>3</v>
      </c>
      <c r="J496" s="11" t="n">
        <v>4500</v>
      </c>
      <c r="K496" s="12" t="n">
        <v>0</v>
      </c>
      <c r="L496" s="11" t="n">
        <v>3300</v>
      </c>
      <c r="M496" s="11" t="n">
        <f aca="false">I496*J496*(1-K496)</f>
        <v>13500</v>
      </c>
      <c r="N496" s="11" t="n">
        <f aca="false">M496-I496*L496</f>
        <v>3600</v>
      </c>
    </row>
    <row r="497" customFormat="false" ht="15" hidden="false" customHeight="false" outlineLevel="0" collapsed="false">
      <c r="A497" s="2" t="s">
        <v>2848</v>
      </c>
      <c r="B497" s="2" t="s">
        <v>2846</v>
      </c>
      <c r="C497" s="10" t="n">
        <v>45752</v>
      </c>
      <c r="D497" s="2" t="n">
        <f aca="false">MONTH(C497)</f>
        <v>4</v>
      </c>
      <c r="E497" s="2" t="s">
        <v>63</v>
      </c>
      <c r="F497" s="2" t="s">
        <v>69</v>
      </c>
      <c r="G497" s="2" t="s">
        <v>70</v>
      </c>
      <c r="H497" s="2" t="s">
        <v>122</v>
      </c>
      <c r="I497" s="2" t="n">
        <v>4</v>
      </c>
      <c r="J497" s="11" t="n">
        <v>1500</v>
      </c>
      <c r="K497" s="12" t="n">
        <v>0.05</v>
      </c>
      <c r="L497" s="11" t="n">
        <v>900</v>
      </c>
      <c r="M497" s="11" t="n">
        <f aca="false">I497*J497*(1-K497)</f>
        <v>5700</v>
      </c>
      <c r="N497" s="11" t="n">
        <f aca="false">M497-I497*L497</f>
        <v>2100</v>
      </c>
    </row>
    <row r="498" customFormat="false" ht="15" hidden="false" customHeight="false" outlineLevel="0" collapsed="false">
      <c r="A498" s="2" t="s">
        <v>2990</v>
      </c>
      <c r="B498" s="2" t="s">
        <v>2987</v>
      </c>
      <c r="C498" s="10" t="n">
        <v>45752</v>
      </c>
      <c r="D498" s="2" t="n">
        <f aca="false">MONTH(C498)</f>
        <v>4</v>
      </c>
      <c r="E498" s="2" t="s">
        <v>91</v>
      </c>
      <c r="F498" s="2" t="s">
        <v>92</v>
      </c>
      <c r="G498" s="2" t="s">
        <v>73</v>
      </c>
      <c r="H498" s="2" t="s">
        <v>74</v>
      </c>
      <c r="I498" s="2" t="n">
        <v>7</v>
      </c>
      <c r="J498" s="11" t="n">
        <v>7000</v>
      </c>
      <c r="K498" s="12" t="n">
        <v>0.1</v>
      </c>
      <c r="L498" s="11" t="n">
        <v>4800</v>
      </c>
      <c r="M498" s="11" t="n">
        <f aca="false">I498*J498*(1-K498)</f>
        <v>44100</v>
      </c>
      <c r="N498" s="11" t="n">
        <f aca="false">M498-I498*L498</f>
        <v>10500</v>
      </c>
    </row>
    <row r="499" customFormat="false" ht="15" hidden="false" customHeight="false" outlineLevel="0" collapsed="false">
      <c r="A499" s="2" t="s">
        <v>485</v>
      </c>
      <c r="B499" s="2" t="s">
        <v>486</v>
      </c>
      <c r="C499" s="10" t="n">
        <v>45753</v>
      </c>
      <c r="D499" s="2" t="n">
        <f aca="false">MONTH(C499)</f>
        <v>4</v>
      </c>
      <c r="E499" s="2" t="s">
        <v>63</v>
      </c>
      <c r="F499" s="2" t="s">
        <v>64</v>
      </c>
      <c r="G499" s="2" t="s">
        <v>70</v>
      </c>
      <c r="H499" s="2" t="s">
        <v>97</v>
      </c>
      <c r="I499" s="2" t="n">
        <v>3</v>
      </c>
      <c r="J499" s="11" t="n">
        <v>3000</v>
      </c>
      <c r="K499" s="12" t="n">
        <v>0</v>
      </c>
      <c r="L499" s="11" t="n">
        <v>2000</v>
      </c>
      <c r="M499" s="11" t="n">
        <f aca="false">I499*J499*(1-K499)</f>
        <v>9000</v>
      </c>
      <c r="N499" s="11" t="n">
        <f aca="false">M499-I499*L499</f>
        <v>3000</v>
      </c>
    </row>
    <row r="500" customFormat="false" ht="15" hidden="false" customHeight="false" outlineLevel="0" collapsed="false">
      <c r="A500" s="2" t="s">
        <v>1170</v>
      </c>
      <c r="B500" s="2" t="s">
        <v>1171</v>
      </c>
      <c r="C500" s="10" t="n">
        <v>45753</v>
      </c>
      <c r="D500" s="2" t="n">
        <f aca="false">MONTH(C500)</f>
        <v>4</v>
      </c>
      <c r="E500" s="2" t="s">
        <v>91</v>
      </c>
      <c r="F500" s="2" t="s">
        <v>64</v>
      </c>
      <c r="G500" s="2" t="s">
        <v>70</v>
      </c>
      <c r="H500" s="2" t="s">
        <v>71</v>
      </c>
      <c r="I500" s="2" t="n">
        <v>2</v>
      </c>
      <c r="J500" s="11" t="n">
        <v>2500</v>
      </c>
      <c r="K500" s="12" t="n">
        <v>0</v>
      </c>
      <c r="L500" s="11" t="n">
        <v>1600</v>
      </c>
      <c r="M500" s="11" t="n">
        <f aca="false">I500*J500*(1-K500)</f>
        <v>5000</v>
      </c>
      <c r="N500" s="11" t="n">
        <f aca="false">M500-I500*L500</f>
        <v>1800</v>
      </c>
    </row>
    <row r="501" customFormat="false" ht="15" hidden="false" customHeight="false" outlineLevel="0" collapsed="false">
      <c r="A501" s="2" t="s">
        <v>1882</v>
      </c>
      <c r="B501" s="2" t="s">
        <v>1883</v>
      </c>
      <c r="C501" s="10" t="n">
        <v>45753</v>
      </c>
      <c r="D501" s="2" t="n">
        <f aca="false">MONTH(C501)</f>
        <v>4</v>
      </c>
      <c r="E501" s="2" t="s">
        <v>63</v>
      </c>
      <c r="F501" s="2" t="s">
        <v>64</v>
      </c>
      <c r="G501" s="2" t="s">
        <v>70</v>
      </c>
      <c r="H501" s="2" t="s">
        <v>126</v>
      </c>
      <c r="I501" s="2" t="n">
        <v>3</v>
      </c>
      <c r="J501" s="11" t="n">
        <v>4500</v>
      </c>
      <c r="K501" s="12" t="n">
        <v>0</v>
      </c>
      <c r="L501" s="11" t="n">
        <v>3300</v>
      </c>
      <c r="M501" s="11" t="n">
        <f aca="false">I501*J501*(1-K501)</f>
        <v>13500</v>
      </c>
      <c r="N501" s="11" t="n">
        <f aca="false">M501-I501*L501</f>
        <v>3600</v>
      </c>
    </row>
    <row r="502" customFormat="false" ht="15" hidden="false" customHeight="false" outlineLevel="0" collapsed="false">
      <c r="A502" s="2" t="s">
        <v>2190</v>
      </c>
      <c r="B502" s="2" t="s">
        <v>2185</v>
      </c>
      <c r="C502" s="10" t="n">
        <v>45753</v>
      </c>
      <c r="D502" s="2" t="n">
        <f aca="false">MONTH(C502)</f>
        <v>4</v>
      </c>
      <c r="E502" s="2" t="s">
        <v>77</v>
      </c>
      <c r="F502" s="2" t="s">
        <v>64</v>
      </c>
      <c r="G502" s="2" t="s">
        <v>70</v>
      </c>
      <c r="H502" s="2" t="s">
        <v>126</v>
      </c>
      <c r="I502" s="2" t="n">
        <v>1</v>
      </c>
      <c r="J502" s="11" t="n">
        <v>4500</v>
      </c>
      <c r="K502" s="12" t="n">
        <v>0</v>
      </c>
      <c r="L502" s="11" t="n">
        <v>3300</v>
      </c>
      <c r="M502" s="11" t="n">
        <f aca="false">I502*J502*(1-K502)</f>
        <v>4500</v>
      </c>
      <c r="N502" s="11" t="n">
        <f aca="false">M502-I502*L502</f>
        <v>1200</v>
      </c>
    </row>
    <row r="503" customFormat="false" ht="15" hidden="false" customHeight="false" outlineLevel="0" collapsed="false">
      <c r="A503" s="2" t="s">
        <v>2682</v>
      </c>
      <c r="B503" s="2" t="s">
        <v>2683</v>
      </c>
      <c r="C503" s="10" t="n">
        <v>45754</v>
      </c>
      <c r="D503" s="2" t="n">
        <f aca="false">MONTH(C503)</f>
        <v>4</v>
      </c>
      <c r="E503" s="2" t="s">
        <v>77</v>
      </c>
      <c r="F503" s="2" t="s">
        <v>69</v>
      </c>
      <c r="G503" s="2" t="s">
        <v>70</v>
      </c>
      <c r="H503" s="2" t="s">
        <v>71</v>
      </c>
      <c r="I503" s="2" t="n">
        <v>5</v>
      </c>
      <c r="J503" s="11" t="n">
        <v>2500</v>
      </c>
      <c r="K503" s="12" t="n">
        <v>0.1</v>
      </c>
      <c r="L503" s="11" t="n">
        <v>1600</v>
      </c>
      <c r="M503" s="11" t="n">
        <f aca="false">I503*J503*(1-K503)</f>
        <v>11250</v>
      </c>
      <c r="N503" s="11" t="n">
        <f aca="false">M503-I503*L503</f>
        <v>3250</v>
      </c>
    </row>
    <row r="504" customFormat="false" ht="15" hidden="false" customHeight="false" outlineLevel="0" collapsed="false">
      <c r="A504" s="2" t="s">
        <v>447</v>
      </c>
      <c r="B504" s="2" t="s">
        <v>448</v>
      </c>
      <c r="C504" s="10" t="n">
        <v>45755</v>
      </c>
      <c r="D504" s="2" t="n">
        <f aca="false">MONTH(C504)</f>
        <v>4</v>
      </c>
      <c r="E504" s="2" t="s">
        <v>77</v>
      </c>
      <c r="F504" s="2" t="s">
        <v>69</v>
      </c>
      <c r="G504" s="2" t="s">
        <v>65</v>
      </c>
      <c r="H504" s="2" t="s">
        <v>66</v>
      </c>
      <c r="I504" s="2" t="n">
        <v>17</v>
      </c>
      <c r="J504" s="11" t="n">
        <v>600</v>
      </c>
      <c r="K504" s="12" t="n">
        <v>0.1</v>
      </c>
      <c r="L504" s="11" t="n">
        <v>300</v>
      </c>
      <c r="M504" s="11" t="n">
        <f aca="false">I504*J504*(1-K504)</f>
        <v>9180</v>
      </c>
      <c r="N504" s="11" t="n">
        <f aca="false">M504-I504*L504</f>
        <v>4080</v>
      </c>
    </row>
    <row r="505" customFormat="false" ht="15" hidden="false" customHeight="false" outlineLevel="0" collapsed="false">
      <c r="A505" s="2" t="s">
        <v>1365</v>
      </c>
      <c r="B505" s="2" t="s">
        <v>1358</v>
      </c>
      <c r="C505" s="10" t="n">
        <v>45755</v>
      </c>
      <c r="D505" s="2" t="n">
        <f aca="false">MONTH(C505)</f>
        <v>4</v>
      </c>
      <c r="E505" s="2" t="s">
        <v>77</v>
      </c>
      <c r="F505" s="2" t="s">
        <v>64</v>
      </c>
      <c r="G505" s="2" t="s">
        <v>65</v>
      </c>
      <c r="H505" s="2" t="s">
        <v>78</v>
      </c>
      <c r="I505" s="2" t="n">
        <v>7</v>
      </c>
      <c r="J505" s="11" t="n">
        <v>400</v>
      </c>
      <c r="K505" s="12" t="n">
        <v>0</v>
      </c>
      <c r="L505" s="11" t="n">
        <v>200</v>
      </c>
      <c r="M505" s="11" t="n">
        <f aca="false">I505*J505*(1-K505)</f>
        <v>2800</v>
      </c>
      <c r="N505" s="11" t="n">
        <f aca="false">M505-I505*L505</f>
        <v>1400</v>
      </c>
    </row>
    <row r="506" customFormat="false" ht="15" hidden="false" customHeight="false" outlineLevel="0" collapsed="false">
      <c r="A506" s="2" t="s">
        <v>1451</v>
      </c>
      <c r="B506" s="2" t="s">
        <v>1442</v>
      </c>
      <c r="C506" s="10" t="n">
        <v>45755</v>
      </c>
      <c r="D506" s="2" t="n">
        <f aca="false">MONTH(C506)</f>
        <v>4</v>
      </c>
      <c r="E506" s="2" t="s">
        <v>91</v>
      </c>
      <c r="F506" s="2" t="s">
        <v>64</v>
      </c>
      <c r="G506" s="2" t="s">
        <v>65</v>
      </c>
      <c r="H506" s="2" t="s">
        <v>107</v>
      </c>
      <c r="I506" s="2" t="n">
        <v>5</v>
      </c>
      <c r="J506" s="11" t="n">
        <v>500</v>
      </c>
      <c r="K506" s="12" t="n">
        <v>0</v>
      </c>
      <c r="L506" s="11" t="n">
        <v>250</v>
      </c>
      <c r="M506" s="11" t="n">
        <f aca="false">I506*J506*(1-K506)</f>
        <v>2500</v>
      </c>
      <c r="N506" s="11" t="n">
        <f aca="false">M506-I506*L506</f>
        <v>1250</v>
      </c>
    </row>
    <row r="507" customFormat="false" ht="15" hidden="false" customHeight="false" outlineLevel="0" collapsed="false">
      <c r="A507" s="2" t="s">
        <v>1689</v>
      </c>
      <c r="B507" s="2" t="s">
        <v>1686</v>
      </c>
      <c r="C507" s="10" t="n">
        <v>45755</v>
      </c>
      <c r="D507" s="2" t="n">
        <f aca="false">MONTH(C507)</f>
        <v>4</v>
      </c>
      <c r="E507" s="2" t="s">
        <v>91</v>
      </c>
      <c r="F507" s="2" t="s">
        <v>92</v>
      </c>
      <c r="G507" s="2" t="s">
        <v>73</v>
      </c>
      <c r="H507" s="2" t="s">
        <v>74</v>
      </c>
      <c r="I507" s="2" t="n">
        <v>3</v>
      </c>
      <c r="J507" s="11" t="n">
        <v>7000</v>
      </c>
      <c r="K507" s="12" t="n">
        <v>0</v>
      </c>
      <c r="L507" s="11" t="n">
        <v>4800</v>
      </c>
      <c r="M507" s="11" t="n">
        <f aca="false">I507*J507*(1-K507)</f>
        <v>21000</v>
      </c>
      <c r="N507" s="11" t="n">
        <f aca="false">M507-I507*L507</f>
        <v>6600</v>
      </c>
    </row>
    <row r="508" customFormat="false" ht="15" hidden="false" customHeight="false" outlineLevel="0" collapsed="false">
      <c r="A508" s="2" t="s">
        <v>1761</v>
      </c>
      <c r="B508" s="2" t="s">
        <v>1760</v>
      </c>
      <c r="C508" s="10" t="n">
        <v>45755</v>
      </c>
      <c r="D508" s="2" t="n">
        <f aca="false">MONTH(C508)</f>
        <v>4</v>
      </c>
      <c r="E508" s="2" t="s">
        <v>81</v>
      </c>
      <c r="F508" s="2" t="s">
        <v>64</v>
      </c>
      <c r="G508" s="2" t="s">
        <v>73</v>
      </c>
      <c r="H508" s="2" t="s">
        <v>104</v>
      </c>
      <c r="I508" s="2" t="n">
        <v>3</v>
      </c>
      <c r="J508" s="11" t="n">
        <v>5500</v>
      </c>
      <c r="K508" s="12" t="n">
        <v>0.05</v>
      </c>
      <c r="L508" s="11" t="n">
        <v>3600</v>
      </c>
      <c r="M508" s="11" t="n">
        <f aca="false">I508*J508*(1-K508)</f>
        <v>15675</v>
      </c>
      <c r="N508" s="11" t="n">
        <f aca="false">M508-I508*L508</f>
        <v>4875</v>
      </c>
    </row>
    <row r="509" customFormat="false" ht="15" hidden="false" customHeight="false" outlineLevel="0" collapsed="false">
      <c r="A509" s="2" t="s">
        <v>1888</v>
      </c>
      <c r="B509" s="2" t="s">
        <v>1883</v>
      </c>
      <c r="C509" s="10" t="n">
        <v>45755</v>
      </c>
      <c r="D509" s="2" t="n">
        <f aca="false">MONTH(C509)</f>
        <v>4</v>
      </c>
      <c r="E509" s="2" t="s">
        <v>63</v>
      </c>
      <c r="F509" s="2" t="s">
        <v>64</v>
      </c>
      <c r="G509" s="2" t="s">
        <v>70</v>
      </c>
      <c r="H509" s="2" t="s">
        <v>122</v>
      </c>
      <c r="I509" s="2" t="n">
        <v>3</v>
      </c>
      <c r="J509" s="11" t="n">
        <v>1500</v>
      </c>
      <c r="K509" s="12" t="n">
        <v>0</v>
      </c>
      <c r="L509" s="11" t="n">
        <v>900</v>
      </c>
      <c r="M509" s="11" t="n">
        <f aca="false">I509*J509*(1-K509)</f>
        <v>4500</v>
      </c>
      <c r="N509" s="11" t="n">
        <f aca="false">M509-I509*L509</f>
        <v>1800</v>
      </c>
    </row>
    <row r="510" customFormat="false" ht="15" hidden="false" customHeight="false" outlineLevel="0" collapsed="false">
      <c r="A510" s="2" t="s">
        <v>2818</v>
      </c>
      <c r="B510" s="2" t="s">
        <v>2817</v>
      </c>
      <c r="C510" s="10" t="n">
        <v>45755</v>
      </c>
      <c r="D510" s="2" t="n">
        <f aca="false">MONTH(C510)</f>
        <v>4</v>
      </c>
      <c r="E510" s="2" t="s">
        <v>63</v>
      </c>
      <c r="F510" s="2" t="s">
        <v>69</v>
      </c>
      <c r="G510" s="2" t="s">
        <v>65</v>
      </c>
      <c r="H510" s="2" t="s">
        <v>82</v>
      </c>
      <c r="I510" s="2" t="n">
        <v>6</v>
      </c>
      <c r="J510" s="11" t="n">
        <v>250</v>
      </c>
      <c r="K510" s="12" t="n">
        <v>0</v>
      </c>
      <c r="L510" s="11" t="n">
        <v>100</v>
      </c>
      <c r="M510" s="11" t="n">
        <f aca="false">I510*J510*(1-K510)</f>
        <v>1500</v>
      </c>
      <c r="N510" s="11" t="n">
        <f aca="false">M510-I510*L510</f>
        <v>900</v>
      </c>
    </row>
    <row r="511" customFormat="false" ht="15" hidden="false" customHeight="false" outlineLevel="0" collapsed="false">
      <c r="A511" s="2" t="s">
        <v>537</v>
      </c>
      <c r="B511" s="2" t="s">
        <v>538</v>
      </c>
      <c r="C511" s="10" t="n">
        <v>45756</v>
      </c>
      <c r="D511" s="2" t="n">
        <f aca="false">MONTH(C511)</f>
        <v>4</v>
      </c>
      <c r="E511" s="2" t="s">
        <v>77</v>
      </c>
      <c r="F511" s="2" t="s">
        <v>64</v>
      </c>
      <c r="G511" s="2" t="s">
        <v>70</v>
      </c>
      <c r="H511" s="2" t="s">
        <v>71</v>
      </c>
      <c r="I511" s="2" t="n">
        <v>1</v>
      </c>
      <c r="J511" s="11" t="n">
        <v>2500</v>
      </c>
      <c r="K511" s="12" t="n">
        <v>0</v>
      </c>
      <c r="L511" s="11" t="n">
        <v>1600</v>
      </c>
      <c r="M511" s="11" t="n">
        <f aca="false">I511*J511*(1-K511)</f>
        <v>2500</v>
      </c>
      <c r="N511" s="11" t="n">
        <f aca="false">M511-I511*L511</f>
        <v>900</v>
      </c>
    </row>
    <row r="512" customFormat="false" ht="15" hidden="false" customHeight="false" outlineLevel="0" collapsed="false">
      <c r="A512" s="2" t="s">
        <v>1774</v>
      </c>
      <c r="B512" s="2" t="s">
        <v>1770</v>
      </c>
      <c r="C512" s="10" t="n">
        <v>45756</v>
      </c>
      <c r="D512" s="2" t="n">
        <f aca="false">MONTH(C512)</f>
        <v>4</v>
      </c>
      <c r="E512" s="2" t="s">
        <v>81</v>
      </c>
      <c r="F512" s="2" t="s">
        <v>69</v>
      </c>
      <c r="G512" s="2" t="s">
        <v>73</v>
      </c>
      <c r="H512" s="2" t="s">
        <v>74</v>
      </c>
      <c r="I512" s="2" t="n">
        <v>5</v>
      </c>
      <c r="J512" s="11" t="n">
        <v>7000</v>
      </c>
      <c r="K512" s="12" t="n">
        <v>0</v>
      </c>
      <c r="L512" s="11" t="n">
        <v>4800</v>
      </c>
      <c r="M512" s="11" t="n">
        <f aca="false">I512*J512*(1-K512)</f>
        <v>35000</v>
      </c>
      <c r="N512" s="11" t="n">
        <f aca="false">M512-I512*L512</f>
        <v>11000</v>
      </c>
    </row>
    <row r="513" customFormat="false" ht="15" hidden="false" customHeight="false" outlineLevel="0" collapsed="false">
      <c r="A513" s="2" t="s">
        <v>1462</v>
      </c>
      <c r="B513" s="2" t="s">
        <v>1461</v>
      </c>
      <c r="C513" s="10" t="n">
        <v>45757</v>
      </c>
      <c r="D513" s="2" t="n">
        <f aca="false">MONTH(C513)</f>
        <v>4</v>
      </c>
      <c r="E513" s="2" t="s">
        <v>77</v>
      </c>
      <c r="F513" s="2" t="s">
        <v>69</v>
      </c>
      <c r="G513" s="2" t="s">
        <v>73</v>
      </c>
      <c r="H513" s="2" t="s">
        <v>87</v>
      </c>
      <c r="I513" s="2" t="n">
        <v>1</v>
      </c>
      <c r="J513" s="11" t="n">
        <v>9000</v>
      </c>
      <c r="K513" s="12" t="n">
        <v>0.1</v>
      </c>
      <c r="L513" s="11" t="n">
        <v>6200</v>
      </c>
      <c r="M513" s="11" t="n">
        <f aca="false">I513*J513*(1-K513)</f>
        <v>8100</v>
      </c>
      <c r="N513" s="11" t="n">
        <f aca="false">M513-I513*L513</f>
        <v>1900</v>
      </c>
    </row>
    <row r="514" customFormat="false" ht="15" hidden="false" customHeight="false" outlineLevel="0" collapsed="false">
      <c r="A514" s="2" t="s">
        <v>1867</v>
      </c>
      <c r="B514" s="2" t="s">
        <v>1861</v>
      </c>
      <c r="C514" s="10" t="n">
        <v>45757</v>
      </c>
      <c r="D514" s="2" t="n">
        <f aca="false">MONTH(C514)</f>
        <v>4</v>
      </c>
      <c r="E514" s="2" t="s">
        <v>81</v>
      </c>
      <c r="F514" s="2" t="s">
        <v>92</v>
      </c>
      <c r="G514" s="2" t="s">
        <v>70</v>
      </c>
      <c r="H514" s="2" t="s">
        <v>71</v>
      </c>
      <c r="I514" s="2" t="n">
        <v>6</v>
      </c>
      <c r="J514" s="11" t="n">
        <v>2500</v>
      </c>
      <c r="K514" s="12" t="n">
        <v>0.15</v>
      </c>
      <c r="L514" s="11" t="n">
        <v>1600</v>
      </c>
      <c r="M514" s="11" t="n">
        <f aca="false">I514*J514*(1-K514)</f>
        <v>12750</v>
      </c>
      <c r="N514" s="11" t="n">
        <f aca="false">M514-I514*L514</f>
        <v>3150</v>
      </c>
    </row>
    <row r="515" customFormat="false" ht="15" hidden="false" customHeight="false" outlineLevel="0" collapsed="false">
      <c r="A515" s="2" t="s">
        <v>2361</v>
      </c>
      <c r="B515" s="2" t="s">
        <v>2362</v>
      </c>
      <c r="C515" s="10" t="n">
        <v>45757</v>
      </c>
      <c r="D515" s="2" t="n">
        <f aca="false">MONTH(C515)</f>
        <v>4</v>
      </c>
      <c r="E515" s="2" t="s">
        <v>77</v>
      </c>
      <c r="F515" s="2" t="s">
        <v>64</v>
      </c>
      <c r="G515" s="2" t="s">
        <v>70</v>
      </c>
      <c r="H515" s="2" t="s">
        <v>97</v>
      </c>
      <c r="I515" s="2" t="n">
        <v>1</v>
      </c>
      <c r="J515" s="11" t="n">
        <v>3000</v>
      </c>
      <c r="K515" s="12" t="n">
        <v>0</v>
      </c>
      <c r="L515" s="11" t="n">
        <v>2000</v>
      </c>
      <c r="M515" s="11" t="n">
        <f aca="false">I515*J515*(1-K515)</f>
        <v>3000</v>
      </c>
      <c r="N515" s="11" t="n">
        <f aca="false">M515-I515*L515</f>
        <v>1000</v>
      </c>
    </row>
    <row r="516" customFormat="false" ht="15" hidden="false" customHeight="false" outlineLevel="0" collapsed="false">
      <c r="A516" s="2" t="s">
        <v>2690</v>
      </c>
      <c r="B516" s="2" t="s">
        <v>2688</v>
      </c>
      <c r="C516" s="10" t="n">
        <v>45757</v>
      </c>
      <c r="D516" s="2" t="n">
        <f aca="false">MONTH(C516)</f>
        <v>4</v>
      </c>
      <c r="E516" s="2" t="s">
        <v>81</v>
      </c>
      <c r="F516" s="2" t="s">
        <v>92</v>
      </c>
      <c r="G516" s="2" t="s">
        <v>70</v>
      </c>
      <c r="H516" s="2" t="s">
        <v>97</v>
      </c>
      <c r="I516" s="2" t="n">
        <v>5</v>
      </c>
      <c r="J516" s="11" t="n">
        <v>3000</v>
      </c>
      <c r="K516" s="12" t="n">
        <v>0.1</v>
      </c>
      <c r="L516" s="11" t="n">
        <v>2000</v>
      </c>
      <c r="M516" s="11" t="n">
        <f aca="false">I516*J516*(1-K516)</f>
        <v>13500</v>
      </c>
      <c r="N516" s="11" t="n">
        <f aca="false">M516-I516*L516</f>
        <v>3500</v>
      </c>
    </row>
    <row r="517" customFormat="false" ht="15" hidden="false" customHeight="false" outlineLevel="0" collapsed="false">
      <c r="A517" s="2" t="s">
        <v>937</v>
      </c>
      <c r="B517" s="2" t="s">
        <v>936</v>
      </c>
      <c r="C517" s="10" t="n">
        <v>45758</v>
      </c>
      <c r="D517" s="2" t="n">
        <f aca="false">MONTH(C517)</f>
        <v>4</v>
      </c>
      <c r="E517" s="2" t="s">
        <v>63</v>
      </c>
      <c r="F517" s="2" t="s">
        <v>69</v>
      </c>
      <c r="G517" s="2" t="s">
        <v>73</v>
      </c>
      <c r="H517" s="2" t="s">
        <v>85</v>
      </c>
      <c r="I517" s="2" t="n">
        <v>3</v>
      </c>
      <c r="J517" s="11" t="n">
        <v>1200</v>
      </c>
      <c r="K517" s="12" t="n">
        <v>0</v>
      </c>
      <c r="L517" s="11" t="n">
        <v>600</v>
      </c>
      <c r="M517" s="11" t="n">
        <f aca="false">I517*J517*(1-K517)</f>
        <v>3600</v>
      </c>
      <c r="N517" s="11" t="n">
        <f aca="false">M517-I517*L517</f>
        <v>1800</v>
      </c>
    </row>
    <row r="518" customFormat="false" ht="15" hidden="false" customHeight="false" outlineLevel="0" collapsed="false">
      <c r="A518" s="2" t="s">
        <v>1025</v>
      </c>
      <c r="B518" s="2" t="s">
        <v>1023</v>
      </c>
      <c r="C518" s="10" t="n">
        <v>45758</v>
      </c>
      <c r="D518" s="2" t="n">
        <f aca="false">MONTH(C518)</f>
        <v>4</v>
      </c>
      <c r="E518" s="2" t="s">
        <v>77</v>
      </c>
      <c r="F518" s="2" t="s">
        <v>92</v>
      </c>
      <c r="G518" s="2" t="s">
        <v>73</v>
      </c>
      <c r="H518" s="2" t="s">
        <v>85</v>
      </c>
      <c r="I518" s="2" t="n">
        <v>5</v>
      </c>
      <c r="J518" s="11" t="n">
        <v>1200</v>
      </c>
      <c r="K518" s="12" t="n">
        <v>0.15</v>
      </c>
      <c r="L518" s="11" t="n">
        <v>600</v>
      </c>
      <c r="M518" s="11" t="n">
        <f aca="false">I518*J518*(1-K518)</f>
        <v>5100</v>
      </c>
      <c r="N518" s="11" t="n">
        <f aca="false">M518-I518*L518</f>
        <v>2100</v>
      </c>
    </row>
    <row r="519" customFormat="false" ht="15" hidden="false" customHeight="false" outlineLevel="0" collapsed="false">
      <c r="A519" s="2" t="s">
        <v>1650</v>
      </c>
      <c r="B519" s="2" t="s">
        <v>1651</v>
      </c>
      <c r="C519" s="10" t="n">
        <v>45758</v>
      </c>
      <c r="D519" s="2" t="n">
        <f aca="false">MONTH(C519)</f>
        <v>4</v>
      </c>
      <c r="E519" s="2" t="s">
        <v>77</v>
      </c>
      <c r="F519" s="2" t="s">
        <v>64</v>
      </c>
      <c r="G519" s="2" t="s">
        <v>65</v>
      </c>
      <c r="H519" s="2" t="s">
        <v>82</v>
      </c>
      <c r="I519" s="2" t="n">
        <v>2</v>
      </c>
      <c r="J519" s="11" t="n">
        <v>250</v>
      </c>
      <c r="K519" s="12" t="n">
        <v>0.1</v>
      </c>
      <c r="L519" s="11" t="n">
        <v>100</v>
      </c>
      <c r="M519" s="11" t="n">
        <f aca="false">I519*J519*(1-K519)</f>
        <v>450</v>
      </c>
      <c r="N519" s="11" t="n">
        <f aca="false">M519-I519*L519</f>
        <v>250</v>
      </c>
    </row>
    <row r="520" customFormat="false" ht="15" hidden="false" customHeight="false" outlineLevel="0" collapsed="false">
      <c r="A520" s="2" t="s">
        <v>2220</v>
      </c>
      <c r="B520" s="2" t="s">
        <v>2221</v>
      </c>
      <c r="C520" s="10" t="n">
        <v>45758</v>
      </c>
      <c r="D520" s="2" t="n">
        <f aca="false">MONTH(C520)</f>
        <v>4</v>
      </c>
      <c r="E520" s="2" t="s">
        <v>77</v>
      </c>
      <c r="F520" s="2" t="s">
        <v>69</v>
      </c>
      <c r="G520" s="2" t="s">
        <v>73</v>
      </c>
      <c r="H520" s="2" t="s">
        <v>104</v>
      </c>
      <c r="I520" s="2" t="n">
        <v>5</v>
      </c>
      <c r="J520" s="11" t="n">
        <v>5500</v>
      </c>
      <c r="K520" s="12" t="n">
        <v>0</v>
      </c>
      <c r="L520" s="11" t="n">
        <v>3600</v>
      </c>
      <c r="M520" s="11" t="n">
        <f aca="false">I520*J520*(1-K520)</f>
        <v>27500</v>
      </c>
      <c r="N520" s="11" t="n">
        <f aca="false">M520-I520*L520</f>
        <v>9500</v>
      </c>
    </row>
    <row r="521" customFormat="false" ht="15" hidden="false" customHeight="false" outlineLevel="0" collapsed="false">
      <c r="A521" s="2" t="s">
        <v>2390</v>
      </c>
      <c r="B521" s="2" t="s">
        <v>2391</v>
      </c>
      <c r="C521" s="10" t="n">
        <v>45758</v>
      </c>
      <c r="D521" s="2" t="n">
        <f aca="false">MONTH(C521)</f>
        <v>4</v>
      </c>
      <c r="E521" s="2" t="s">
        <v>91</v>
      </c>
      <c r="F521" s="2" t="s">
        <v>64</v>
      </c>
      <c r="G521" s="2" t="s">
        <v>65</v>
      </c>
      <c r="H521" s="2" t="s">
        <v>66</v>
      </c>
      <c r="I521" s="2" t="n">
        <v>4</v>
      </c>
      <c r="J521" s="11" t="n">
        <v>600</v>
      </c>
      <c r="K521" s="12" t="n">
        <v>0</v>
      </c>
      <c r="L521" s="11" t="n">
        <v>300</v>
      </c>
      <c r="M521" s="11" t="n">
        <f aca="false">I521*J521*(1-K521)</f>
        <v>2400</v>
      </c>
      <c r="N521" s="11" t="n">
        <f aca="false">M521-I521*L521</f>
        <v>1200</v>
      </c>
    </row>
    <row r="522" customFormat="false" ht="15" hidden="false" customHeight="false" outlineLevel="0" collapsed="false">
      <c r="A522" s="2" t="s">
        <v>2961</v>
      </c>
      <c r="B522" s="2" t="s">
        <v>2962</v>
      </c>
      <c r="C522" s="10" t="n">
        <v>45758</v>
      </c>
      <c r="D522" s="2" t="n">
        <f aca="false">MONTH(C522)</f>
        <v>4</v>
      </c>
      <c r="E522" s="2" t="s">
        <v>63</v>
      </c>
      <c r="F522" s="2" t="s">
        <v>92</v>
      </c>
      <c r="G522" s="2" t="s">
        <v>73</v>
      </c>
      <c r="H522" s="2" t="s">
        <v>87</v>
      </c>
      <c r="I522" s="2" t="n">
        <v>2</v>
      </c>
      <c r="J522" s="11" t="n">
        <v>9000</v>
      </c>
      <c r="K522" s="12" t="n">
        <v>0</v>
      </c>
      <c r="L522" s="11" t="n">
        <v>6200</v>
      </c>
      <c r="M522" s="11" t="n">
        <f aca="false">I522*J522*(1-K522)</f>
        <v>18000</v>
      </c>
      <c r="N522" s="11" t="n">
        <f aca="false">M522-I522*L522</f>
        <v>5600</v>
      </c>
    </row>
    <row r="523" customFormat="false" ht="15" hidden="false" customHeight="false" outlineLevel="0" collapsed="false">
      <c r="A523" s="2" t="s">
        <v>343</v>
      </c>
      <c r="B523" s="2" t="s">
        <v>341</v>
      </c>
      <c r="C523" s="10" t="n">
        <v>45759</v>
      </c>
      <c r="D523" s="2" t="n">
        <f aca="false">MONTH(C523)</f>
        <v>4</v>
      </c>
      <c r="E523" s="2" t="s">
        <v>91</v>
      </c>
      <c r="F523" s="2" t="s">
        <v>92</v>
      </c>
      <c r="G523" s="2" t="s">
        <v>73</v>
      </c>
      <c r="H523" s="2" t="s">
        <v>104</v>
      </c>
      <c r="I523" s="2" t="n">
        <v>6</v>
      </c>
      <c r="J523" s="11" t="n">
        <v>5500</v>
      </c>
      <c r="K523" s="12" t="n">
        <v>0.1</v>
      </c>
      <c r="L523" s="11" t="n">
        <v>3600</v>
      </c>
      <c r="M523" s="11" t="n">
        <f aca="false">I523*J523*(1-K523)</f>
        <v>29700</v>
      </c>
      <c r="N523" s="11" t="n">
        <f aca="false">M523-I523*L523</f>
        <v>8100</v>
      </c>
    </row>
    <row r="524" customFormat="false" ht="15" hidden="false" customHeight="false" outlineLevel="0" collapsed="false">
      <c r="A524" s="2" t="s">
        <v>1021</v>
      </c>
      <c r="B524" s="2" t="s">
        <v>1016</v>
      </c>
      <c r="C524" s="10" t="n">
        <v>45759</v>
      </c>
      <c r="D524" s="2" t="n">
        <f aca="false">MONTH(C524)</f>
        <v>4</v>
      </c>
      <c r="E524" s="2" t="s">
        <v>81</v>
      </c>
      <c r="F524" s="2" t="s">
        <v>64</v>
      </c>
      <c r="G524" s="2" t="s">
        <v>70</v>
      </c>
      <c r="H524" s="2" t="s">
        <v>126</v>
      </c>
      <c r="I524" s="2" t="n">
        <v>3</v>
      </c>
      <c r="J524" s="11" t="n">
        <v>4500</v>
      </c>
      <c r="K524" s="12" t="n">
        <v>0.1</v>
      </c>
      <c r="L524" s="11" t="n">
        <v>3300</v>
      </c>
      <c r="M524" s="11" t="n">
        <f aca="false">I524*J524*(1-K524)</f>
        <v>12150</v>
      </c>
      <c r="N524" s="11" t="n">
        <f aca="false">M524-I524*L524</f>
        <v>2250</v>
      </c>
    </row>
    <row r="525" customFormat="false" ht="15" hidden="false" customHeight="false" outlineLevel="0" collapsed="false">
      <c r="A525" s="2" t="s">
        <v>1265</v>
      </c>
      <c r="B525" s="2" t="s">
        <v>1266</v>
      </c>
      <c r="C525" s="10" t="n">
        <v>45759</v>
      </c>
      <c r="D525" s="2" t="n">
        <f aca="false">MONTH(C525)</f>
        <v>4</v>
      </c>
      <c r="E525" s="2" t="s">
        <v>63</v>
      </c>
      <c r="F525" s="2" t="s">
        <v>92</v>
      </c>
      <c r="G525" s="2" t="s">
        <v>73</v>
      </c>
      <c r="H525" s="2" t="s">
        <v>85</v>
      </c>
      <c r="I525" s="2" t="n">
        <v>2</v>
      </c>
      <c r="J525" s="11" t="n">
        <v>1200</v>
      </c>
      <c r="K525" s="12" t="n">
        <v>0.05</v>
      </c>
      <c r="L525" s="11" t="n">
        <v>600</v>
      </c>
      <c r="M525" s="11" t="n">
        <f aca="false">I525*J525*(1-K525)</f>
        <v>2280</v>
      </c>
      <c r="N525" s="11" t="n">
        <f aca="false">M525-I525*L525</f>
        <v>1080</v>
      </c>
    </row>
    <row r="526" customFormat="false" ht="15" hidden="false" customHeight="false" outlineLevel="0" collapsed="false">
      <c r="A526" s="2" t="s">
        <v>2845</v>
      </c>
      <c r="B526" s="2" t="s">
        <v>2846</v>
      </c>
      <c r="C526" s="10" t="n">
        <v>45759</v>
      </c>
      <c r="D526" s="2" t="n">
        <f aca="false">MONTH(C526)</f>
        <v>4</v>
      </c>
      <c r="E526" s="2" t="s">
        <v>63</v>
      </c>
      <c r="F526" s="2" t="s">
        <v>69</v>
      </c>
      <c r="G526" s="2" t="s">
        <v>70</v>
      </c>
      <c r="H526" s="2" t="s">
        <v>122</v>
      </c>
      <c r="I526" s="2" t="n">
        <v>3</v>
      </c>
      <c r="J526" s="11" t="n">
        <v>1500</v>
      </c>
      <c r="K526" s="12" t="n">
        <v>0</v>
      </c>
      <c r="L526" s="11" t="n">
        <v>900</v>
      </c>
      <c r="M526" s="11" t="n">
        <f aca="false">I526*J526*(1-K526)</f>
        <v>4500</v>
      </c>
      <c r="N526" s="11" t="n">
        <f aca="false">M526-I526*L526</f>
        <v>1800</v>
      </c>
    </row>
    <row r="527" customFormat="false" ht="15" hidden="false" customHeight="false" outlineLevel="0" collapsed="false">
      <c r="A527" s="2" t="s">
        <v>2908</v>
      </c>
      <c r="B527" s="2" t="s">
        <v>2907</v>
      </c>
      <c r="C527" s="10" t="n">
        <v>45759</v>
      </c>
      <c r="D527" s="2" t="n">
        <f aca="false">MONTH(C527)</f>
        <v>4</v>
      </c>
      <c r="E527" s="2" t="s">
        <v>81</v>
      </c>
      <c r="F527" s="2" t="s">
        <v>64</v>
      </c>
      <c r="G527" s="2" t="s">
        <v>73</v>
      </c>
      <c r="H527" s="2" t="s">
        <v>104</v>
      </c>
      <c r="I527" s="2" t="n">
        <v>2</v>
      </c>
      <c r="J527" s="11" t="n">
        <v>5500</v>
      </c>
      <c r="K527" s="12" t="n">
        <v>0</v>
      </c>
      <c r="L527" s="11" t="n">
        <v>3600</v>
      </c>
      <c r="M527" s="11" t="n">
        <f aca="false">I527*J527*(1-K527)</f>
        <v>11000</v>
      </c>
      <c r="N527" s="11" t="n">
        <f aca="false">M527-I527*L527</f>
        <v>3800</v>
      </c>
    </row>
    <row r="528" customFormat="false" ht="15" hidden="false" customHeight="false" outlineLevel="0" collapsed="false">
      <c r="A528" s="2" t="s">
        <v>182</v>
      </c>
      <c r="B528" s="2" t="s">
        <v>175</v>
      </c>
      <c r="C528" s="10" t="n">
        <v>45760</v>
      </c>
      <c r="D528" s="2" t="n">
        <f aca="false">MONTH(C528)</f>
        <v>4</v>
      </c>
      <c r="E528" s="2" t="s">
        <v>77</v>
      </c>
      <c r="F528" s="2" t="s">
        <v>64</v>
      </c>
      <c r="G528" s="2" t="s">
        <v>70</v>
      </c>
      <c r="H528" s="2" t="s">
        <v>122</v>
      </c>
      <c r="I528" s="2" t="n">
        <v>3</v>
      </c>
      <c r="J528" s="11" t="n">
        <v>1500</v>
      </c>
      <c r="K528" s="12" t="n">
        <v>0</v>
      </c>
      <c r="L528" s="11" t="n">
        <v>900</v>
      </c>
      <c r="M528" s="11" t="n">
        <f aca="false">I528*J528*(1-K528)</f>
        <v>4500</v>
      </c>
      <c r="N528" s="11" t="n">
        <f aca="false">M528-I528*L528</f>
        <v>1800</v>
      </c>
    </row>
    <row r="529" customFormat="false" ht="15" hidden="false" customHeight="false" outlineLevel="0" collapsed="false">
      <c r="A529" s="2" t="s">
        <v>371</v>
      </c>
      <c r="B529" s="2" t="s">
        <v>361</v>
      </c>
      <c r="C529" s="10" t="n">
        <v>45760</v>
      </c>
      <c r="D529" s="2" t="n">
        <f aca="false">MONTH(C529)</f>
        <v>4</v>
      </c>
      <c r="E529" s="2" t="s">
        <v>77</v>
      </c>
      <c r="F529" s="2" t="s">
        <v>64</v>
      </c>
      <c r="G529" s="2" t="s">
        <v>73</v>
      </c>
      <c r="H529" s="2" t="s">
        <v>87</v>
      </c>
      <c r="I529" s="2" t="n">
        <v>3</v>
      </c>
      <c r="J529" s="11" t="n">
        <v>9000</v>
      </c>
      <c r="K529" s="12" t="n">
        <v>0</v>
      </c>
      <c r="L529" s="11" t="n">
        <v>6200</v>
      </c>
      <c r="M529" s="11" t="n">
        <f aca="false">I529*J529*(1-K529)</f>
        <v>27000</v>
      </c>
      <c r="N529" s="11" t="n">
        <f aca="false">M529-I529*L529</f>
        <v>8400</v>
      </c>
    </row>
    <row r="530" customFormat="false" ht="15" hidden="false" customHeight="false" outlineLevel="0" collapsed="false">
      <c r="A530" s="2" t="s">
        <v>1432</v>
      </c>
      <c r="B530" s="2" t="s">
        <v>1433</v>
      </c>
      <c r="C530" s="10" t="n">
        <v>45760</v>
      </c>
      <c r="D530" s="2" t="n">
        <f aca="false">MONTH(C530)</f>
        <v>4</v>
      </c>
      <c r="E530" s="2" t="s">
        <v>91</v>
      </c>
      <c r="F530" s="2" t="s">
        <v>69</v>
      </c>
      <c r="G530" s="2" t="s">
        <v>73</v>
      </c>
      <c r="H530" s="2" t="s">
        <v>87</v>
      </c>
      <c r="I530" s="2" t="n">
        <v>1</v>
      </c>
      <c r="J530" s="11" t="n">
        <v>9000</v>
      </c>
      <c r="K530" s="12" t="n">
        <v>0</v>
      </c>
      <c r="L530" s="11" t="n">
        <v>6200</v>
      </c>
      <c r="M530" s="11" t="n">
        <f aca="false">I530*J530*(1-K530)</f>
        <v>9000</v>
      </c>
      <c r="N530" s="11" t="n">
        <f aca="false">M530-I530*L530</f>
        <v>2800</v>
      </c>
    </row>
    <row r="531" customFormat="false" ht="15" hidden="false" customHeight="false" outlineLevel="0" collapsed="false">
      <c r="A531" s="2" t="s">
        <v>1599</v>
      </c>
      <c r="B531" s="2" t="s">
        <v>1600</v>
      </c>
      <c r="C531" s="10" t="n">
        <v>45760</v>
      </c>
      <c r="D531" s="2" t="n">
        <f aca="false">MONTH(C531)</f>
        <v>4</v>
      </c>
      <c r="E531" s="2" t="s">
        <v>91</v>
      </c>
      <c r="F531" s="2" t="s">
        <v>64</v>
      </c>
      <c r="G531" s="2" t="s">
        <v>73</v>
      </c>
      <c r="H531" s="2" t="s">
        <v>85</v>
      </c>
      <c r="I531" s="2" t="n">
        <v>3</v>
      </c>
      <c r="J531" s="11" t="n">
        <v>1200</v>
      </c>
      <c r="K531" s="12" t="n">
        <v>0</v>
      </c>
      <c r="L531" s="11" t="n">
        <v>600</v>
      </c>
      <c r="M531" s="11" t="n">
        <f aca="false">I531*J531*(1-K531)</f>
        <v>3600</v>
      </c>
      <c r="N531" s="11" t="n">
        <f aca="false">M531-I531*L531</f>
        <v>1800</v>
      </c>
    </row>
    <row r="532" customFormat="false" ht="15" hidden="false" customHeight="false" outlineLevel="0" collapsed="false">
      <c r="A532" s="2" t="s">
        <v>2103</v>
      </c>
      <c r="B532" s="2" t="s">
        <v>2098</v>
      </c>
      <c r="C532" s="10" t="n">
        <v>45760</v>
      </c>
      <c r="D532" s="2" t="n">
        <f aca="false">MONTH(C532)</f>
        <v>4</v>
      </c>
      <c r="E532" s="2" t="s">
        <v>91</v>
      </c>
      <c r="F532" s="2" t="s">
        <v>92</v>
      </c>
      <c r="G532" s="2" t="s">
        <v>73</v>
      </c>
      <c r="H532" s="2" t="s">
        <v>74</v>
      </c>
      <c r="I532" s="2" t="n">
        <v>4</v>
      </c>
      <c r="J532" s="11" t="n">
        <v>7000</v>
      </c>
      <c r="K532" s="12" t="n">
        <v>0</v>
      </c>
      <c r="L532" s="11" t="n">
        <v>4800</v>
      </c>
      <c r="M532" s="11" t="n">
        <f aca="false">I532*J532*(1-K532)</f>
        <v>28000</v>
      </c>
      <c r="N532" s="11" t="n">
        <f aca="false">M532-I532*L532</f>
        <v>8800</v>
      </c>
    </row>
    <row r="533" customFormat="false" ht="15" hidden="false" customHeight="false" outlineLevel="0" collapsed="false">
      <c r="A533" s="2" t="s">
        <v>2867</v>
      </c>
      <c r="B533" s="2" t="s">
        <v>2865</v>
      </c>
      <c r="C533" s="10" t="n">
        <v>45760</v>
      </c>
      <c r="D533" s="2" t="n">
        <f aca="false">MONTH(C533)</f>
        <v>4</v>
      </c>
      <c r="E533" s="2" t="s">
        <v>77</v>
      </c>
      <c r="F533" s="2" t="s">
        <v>69</v>
      </c>
      <c r="G533" s="2" t="s">
        <v>65</v>
      </c>
      <c r="H533" s="2" t="s">
        <v>82</v>
      </c>
      <c r="I533" s="2" t="n">
        <v>9</v>
      </c>
      <c r="J533" s="11" t="n">
        <v>250</v>
      </c>
      <c r="K533" s="12" t="n">
        <v>0</v>
      </c>
      <c r="L533" s="11" t="n">
        <v>100</v>
      </c>
      <c r="M533" s="11" t="n">
        <f aca="false">I533*J533*(1-K533)</f>
        <v>2250</v>
      </c>
      <c r="N533" s="11" t="n">
        <f aca="false">M533-I533*L533</f>
        <v>1350</v>
      </c>
    </row>
    <row r="534" customFormat="false" ht="15" hidden="false" customHeight="false" outlineLevel="0" collapsed="false">
      <c r="A534" s="2" t="s">
        <v>357</v>
      </c>
      <c r="B534" s="2" t="s">
        <v>358</v>
      </c>
      <c r="C534" s="10" t="n">
        <v>45761</v>
      </c>
      <c r="D534" s="2" t="n">
        <f aca="false">MONTH(C534)</f>
        <v>4</v>
      </c>
      <c r="E534" s="2" t="s">
        <v>63</v>
      </c>
      <c r="F534" s="2" t="s">
        <v>69</v>
      </c>
      <c r="G534" s="2" t="s">
        <v>65</v>
      </c>
      <c r="H534" s="2" t="s">
        <v>82</v>
      </c>
      <c r="I534" s="2" t="n">
        <v>5</v>
      </c>
      <c r="J534" s="11" t="n">
        <v>250</v>
      </c>
      <c r="K534" s="12" t="n">
        <v>0</v>
      </c>
      <c r="L534" s="11" t="n">
        <v>100</v>
      </c>
      <c r="M534" s="11" t="n">
        <f aca="false">I534*J534*(1-K534)</f>
        <v>1250</v>
      </c>
      <c r="N534" s="11" t="n">
        <f aca="false">M534-I534*L534</f>
        <v>750</v>
      </c>
    </row>
    <row r="535" customFormat="false" ht="15" hidden="false" customHeight="false" outlineLevel="0" collapsed="false">
      <c r="A535" s="2" t="s">
        <v>683</v>
      </c>
      <c r="B535" s="2" t="s">
        <v>684</v>
      </c>
      <c r="C535" s="10" t="n">
        <v>45761</v>
      </c>
      <c r="D535" s="2" t="n">
        <f aca="false">MONTH(C535)</f>
        <v>4</v>
      </c>
      <c r="E535" s="2" t="s">
        <v>91</v>
      </c>
      <c r="F535" s="2" t="s">
        <v>64</v>
      </c>
      <c r="G535" s="2" t="s">
        <v>70</v>
      </c>
      <c r="H535" s="2" t="s">
        <v>122</v>
      </c>
      <c r="I535" s="2" t="n">
        <v>1</v>
      </c>
      <c r="J535" s="11" t="n">
        <v>1500</v>
      </c>
      <c r="K535" s="12" t="n">
        <v>0.1</v>
      </c>
      <c r="L535" s="11" t="n">
        <v>900</v>
      </c>
      <c r="M535" s="11" t="n">
        <f aca="false">I535*J535*(1-K535)</f>
        <v>1350</v>
      </c>
      <c r="N535" s="11" t="n">
        <f aca="false">M535-I535*L535</f>
        <v>450</v>
      </c>
    </row>
    <row r="536" customFormat="false" ht="15" hidden="false" customHeight="false" outlineLevel="0" collapsed="false">
      <c r="A536" s="2" t="s">
        <v>1217</v>
      </c>
      <c r="B536" s="2" t="s">
        <v>1216</v>
      </c>
      <c r="C536" s="10" t="n">
        <v>45761</v>
      </c>
      <c r="D536" s="2" t="n">
        <f aca="false">MONTH(C536)</f>
        <v>4</v>
      </c>
      <c r="E536" s="2" t="s">
        <v>63</v>
      </c>
      <c r="F536" s="2" t="s">
        <v>69</v>
      </c>
      <c r="G536" s="2" t="s">
        <v>65</v>
      </c>
      <c r="H536" s="2" t="s">
        <v>82</v>
      </c>
      <c r="I536" s="2" t="n">
        <v>9</v>
      </c>
      <c r="J536" s="11" t="n">
        <v>250</v>
      </c>
      <c r="K536" s="12" t="n">
        <v>0.1</v>
      </c>
      <c r="L536" s="11" t="n">
        <v>100</v>
      </c>
      <c r="M536" s="11" t="n">
        <f aca="false">I536*J536*(1-K536)</f>
        <v>2025</v>
      </c>
      <c r="N536" s="11" t="n">
        <f aca="false">M536-I536*L536</f>
        <v>1125</v>
      </c>
    </row>
    <row r="537" customFormat="false" ht="15" hidden="false" customHeight="false" outlineLevel="0" collapsed="false">
      <c r="A537" s="2" t="s">
        <v>1857</v>
      </c>
      <c r="B537" s="2" t="s">
        <v>1856</v>
      </c>
      <c r="C537" s="10" t="n">
        <v>45761</v>
      </c>
      <c r="D537" s="2" t="n">
        <f aca="false">MONTH(C537)</f>
        <v>4</v>
      </c>
      <c r="E537" s="2" t="s">
        <v>81</v>
      </c>
      <c r="F537" s="2" t="s">
        <v>92</v>
      </c>
      <c r="G537" s="2" t="s">
        <v>73</v>
      </c>
      <c r="H537" s="2" t="s">
        <v>104</v>
      </c>
      <c r="I537" s="2" t="n">
        <v>6</v>
      </c>
      <c r="J537" s="11" t="n">
        <v>5500</v>
      </c>
      <c r="K537" s="12" t="n">
        <v>0.05</v>
      </c>
      <c r="L537" s="11" t="n">
        <v>3600</v>
      </c>
      <c r="M537" s="11" t="n">
        <f aca="false">I537*J537*(1-K537)</f>
        <v>31350</v>
      </c>
      <c r="N537" s="11" t="n">
        <f aca="false">M537-I537*L537</f>
        <v>9750</v>
      </c>
    </row>
    <row r="538" customFormat="false" ht="15" hidden="false" customHeight="false" outlineLevel="0" collapsed="false">
      <c r="A538" s="2" t="s">
        <v>2797</v>
      </c>
      <c r="B538" s="2" t="s">
        <v>2795</v>
      </c>
      <c r="C538" s="10" t="n">
        <v>45761</v>
      </c>
      <c r="D538" s="2" t="n">
        <f aca="false">MONTH(C538)</f>
        <v>4</v>
      </c>
      <c r="E538" s="2" t="s">
        <v>91</v>
      </c>
      <c r="F538" s="2" t="s">
        <v>64</v>
      </c>
      <c r="G538" s="2" t="s">
        <v>65</v>
      </c>
      <c r="H538" s="2" t="s">
        <v>66</v>
      </c>
      <c r="I538" s="2" t="n">
        <v>6</v>
      </c>
      <c r="J538" s="11" t="n">
        <v>600</v>
      </c>
      <c r="K538" s="12" t="n">
        <v>0</v>
      </c>
      <c r="L538" s="11" t="n">
        <v>300</v>
      </c>
      <c r="M538" s="11" t="n">
        <f aca="false">I538*J538*(1-K538)</f>
        <v>3600</v>
      </c>
      <c r="N538" s="11" t="n">
        <f aca="false">M538-I538*L538</f>
        <v>1800</v>
      </c>
    </row>
    <row r="539" customFormat="false" ht="15" hidden="false" customHeight="false" outlineLevel="0" collapsed="false">
      <c r="A539" s="2" t="s">
        <v>340</v>
      </c>
      <c r="B539" s="2" t="s">
        <v>341</v>
      </c>
      <c r="C539" s="10" t="n">
        <v>45762</v>
      </c>
      <c r="D539" s="2" t="n">
        <f aca="false">MONTH(C539)</f>
        <v>4</v>
      </c>
      <c r="E539" s="2" t="s">
        <v>91</v>
      </c>
      <c r="F539" s="2" t="s">
        <v>92</v>
      </c>
      <c r="G539" s="2" t="s">
        <v>73</v>
      </c>
      <c r="H539" s="2" t="s">
        <v>85</v>
      </c>
      <c r="I539" s="2" t="n">
        <v>3</v>
      </c>
      <c r="J539" s="11" t="n">
        <v>1200</v>
      </c>
      <c r="K539" s="12" t="n">
        <v>0.15</v>
      </c>
      <c r="L539" s="11" t="n">
        <v>600</v>
      </c>
      <c r="M539" s="11" t="n">
        <f aca="false">I539*J539*(1-K539)</f>
        <v>3060</v>
      </c>
      <c r="N539" s="11" t="n">
        <f aca="false">M539-I539*L539</f>
        <v>1260</v>
      </c>
    </row>
    <row r="540" customFormat="false" ht="15" hidden="false" customHeight="false" outlineLevel="0" collapsed="false">
      <c r="A540" s="2" t="s">
        <v>938</v>
      </c>
      <c r="B540" s="2" t="s">
        <v>939</v>
      </c>
      <c r="C540" s="10" t="n">
        <v>45762</v>
      </c>
      <c r="D540" s="2" t="n">
        <f aca="false">MONTH(C540)</f>
        <v>4</v>
      </c>
      <c r="E540" s="2" t="s">
        <v>81</v>
      </c>
      <c r="F540" s="2" t="s">
        <v>64</v>
      </c>
      <c r="G540" s="2" t="s">
        <v>73</v>
      </c>
      <c r="H540" s="2" t="s">
        <v>85</v>
      </c>
      <c r="I540" s="2" t="n">
        <v>2</v>
      </c>
      <c r="J540" s="11" t="n">
        <v>1200</v>
      </c>
      <c r="K540" s="12" t="n">
        <v>0</v>
      </c>
      <c r="L540" s="11" t="n">
        <v>600</v>
      </c>
      <c r="M540" s="11" t="n">
        <f aca="false">I540*J540*(1-K540)</f>
        <v>2400</v>
      </c>
      <c r="N540" s="11" t="n">
        <f aca="false">M540-I540*L540</f>
        <v>1200</v>
      </c>
    </row>
    <row r="541" customFormat="false" ht="15" hidden="false" customHeight="false" outlineLevel="0" collapsed="false">
      <c r="A541" s="2" t="s">
        <v>1302</v>
      </c>
      <c r="B541" s="2" t="s">
        <v>1300</v>
      </c>
      <c r="C541" s="10" t="n">
        <v>45762</v>
      </c>
      <c r="D541" s="2" t="n">
        <f aca="false">MONTH(C541)</f>
        <v>4</v>
      </c>
      <c r="E541" s="2" t="s">
        <v>77</v>
      </c>
      <c r="F541" s="2" t="s">
        <v>92</v>
      </c>
      <c r="G541" s="2" t="s">
        <v>73</v>
      </c>
      <c r="H541" s="2" t="s">
        <v>74</v>
      </c>
      <c r="I541" s="2" t="n">
        <v>6</v>
      </c>
      <c r="J541" s="11" t="n">
        <v>7000</v>
      </c>
      <c r="K541" s="12" t="n">
        <v>0.1</v>
      </c>
      <c r="L541" s="11" t="n">
        <v>4800</v>
      </c>
      <c r="M541" s="11" t="n">
        <f aca="false">I541*J541*(1-K541)</f>
        <v>37800</v>
      </c>
      <c r="N541" s="11" t="n">
        <f aca="false">M541-I541*L541</f>
        <v>9000</v>
      </c>
    </row>
    <row r="542" customFormat="false" ht="15" hidden="false" customHeight="false" outlineLevel="0" collapsed="false">
      <c r="A542" s="2" t="s">
        <v>1733</v>
      </c>
      <c r="B542" s="2" t="s">
        <v>1734</v>
      </c>
      <c r="C542" s="10" t="n">
        <v>45762</v>
      </c>
      <c r="D542" s="2" t="n">
        <f aca="false">MONTH(C542)</f>
        <v>4</v>
      </c>
      <c r="E542" s="2" t="s">
        <v>63</v>
      </c>
      <c r="F542" s="2" t="s">
        <v>64</v>
      </c>
      <c r="G542" s="2" t="s">
        <v>70</v>
      </c>
      <c r="H542" s="2" t="s">
        <v>122</v>
      </c>
      <c r="I542" s="2" t="n">
        <v>3</v>
      </c>
      <c r="J542" s="11" t="n">
        <v>1500</v>
      </c>
      <c r="K542" s="12" t="n">
        <v>0.1</v>
      </c>
      <c r="L542" s="11" t="n">
        <v>900</v>
      </c>
      <c r="M542" s="11" t="n">
        <f aca="false">I542*J542*(1-K542)</f>
        <v>4050</v>
      </c>
      <c r="N542" s="11" t="n">
        <f aca="false">M542-I542*L542</f>
        <v>1350</v>
      </c>
    </row>
    <row r="543" customFormat="false" ht="15" hidden="false" customHeight="false" outlineLevel="0" collapsed="false">
      <c r="A543" s="2" t="s">
        <v>1743</v>
      </c>
      <c r="B543" s="2" t="s">
        <v>1741</v>
      </c>
      <c r="C543" s="10" t="n">
        <v>45762</v>
      </c>
      <c r="D543" s="2" t="n">
        <f aca="false">MONTH(C543)</f>
        <v>4</v>
      </c>
      <c r="E543" s="2" t="s">
        <v>63</v>
      </c>
      <c r="F543" s="2" t="s">
        <v>64</v>
      </c>
      <c r="G543" s="2" t="s">
        <v>73</v>
      </c>
      <c r="H543" s="2" t="s">
        <v>74</v>
      </c>
      <c r="I543" s="2" t="n">
        <v>2</v>
      </c>
      <c r="J543" s="11" t="n">
        <v>7000</v>
      </c>
      <c r="K543" s="12" t="n">
        <v>0</v>
      </c>
      <c r="L543" s="11" t="n">
        <v>4800</v>
      </c>
      <c r="M543" s="11" t="n">
        <f aca="false">I543*J543*(1-K543)</f>
        <v>14000</v>
      </c>
      <c r="N543" s="11" t="n">
        <f aca="false">M543-I543*L543</f>
        <v>4400</v>
      </c>
    </row>
    <row r="544" customFormat="false" ht="15" hidden="false" customHeight="false" outlineLevel="0" collapsed="false">
      <c r="A544" s="2" t="s">
        <v>2324</v>
      </c>
      <c r="B544" s="2" t="s">
        <v>2318</v>
      </c>
      <c r="C544" s="10" t="n">
        <v>45762</v>
      </c>
      <c r="D544" s="2" t="n">
        <f aca="false">MONTH(C544)</f>
        <v>4</v>
      </c>
      <c r="E544" s="2" t="s">
        <v>77</v>
      </c>
      <c r="F544" s="2" t="s">
        <v>64</v>
      </c>
      <c r="G544" s="2" t="s">
        <v>70</v>
      </c>
      <c r="H544" s="2" t="s">
        <v>71</v>
      </c>
      <c r="I544" s="2" t="n">
        <v>3</v>
      </c>
      <c r="J544" s="11" t="n">
        <v>2500</v>
      </c>
      <c r="K544" s="12" t="n">
        <v>0.05</v>
      </c>
      <c r="L544" s="11" t="n">
        <v>1600</v>
      </c>
      <c r="M544" s="11" t="n">
        <f aca="false">I544*J544*(1-K544)</f>
        <v>7125</v>
      </c>
      <c r="N544" s="11" t="n">
        <f aca="false">M544-I544*L544</f>
        <v>2325</v>
      </c>
    </row>
    <row r="545" customFormat="false" ht="15" hidden="false" customHeight="false" outlineLevel="0" collapsed="false">
      <c r="A545" s="2" t="s">
        <v>2904</v>
      </c>
      <c r="B545" s="2" t="s">
        <v>2903</v>
      </c>
      <c r="C545" s="10" t="n">
        <v>45762</v>
      </c>
      <c r="D545" s="2" t="n">
        <f aca="false">MONTH(C545)</f>
        <v>4</v>
      </c>
      <c r="E545" s="2" t="s">
        <v>81</v>
      </c>
      <c r="F545" s="2" t="s">
        <v>64</v>
      </c>
      <c r="G545" s="2" t="s">
        <v>65</v>
      </c>
      <c r="H545" s="2" t="s">
        <v>82</v>
      </c>
      <c r="I545" s="2" t="n">
        <v>7</v>
      </c>
      <c r="J545" s="11" t="n">
        <v>250</v>
      </c>
      <c r="K545" s="12" t="n">
        <v>0.05</v>
      </c>
      <c r="L545" s="11" t="n">
        <v>100</v>
      </c>
      <c r="M545" s="11" t="n">
        <f aca="false">I545*J545*(1-K545)</f>
        <v>1662.5</v>
      </c>
      <c r="N545" s="11" t="n">
        <f aca="false">M545-I545*L545</f>
        <v>962.5</v>
      </c>
    </row>
    <row r="546" customFormat="false" ht="15" hidden="false" customHeight="false" outlineLevel="0" collapsed="false">
      <c r="A546" s="2" t="s">
        <v>143</v>
      </c>
      <c r="B546" s="2" t="s">
        <v>142</v>
      </c>
      <c r="C546" s="10" t="n">
        <v>45763</v>
      </c>
      <c r="D546" s="2" t="n">
        <f aca="false">MONTH(C546)</f>
        <v>4</v>
      </c>
      <c r="E546" s="2" t="s">
        <v>91</v>
      </c>
      <c r="F546" s="2" t="s">
        <v>64</v>
      </c>
      <c r="G546" s="2" t="s">
        <v>70</v>
      </c>
      <c r="H546" s="2" t="s">
        <v>126</v>
      </c>
      <c r="I546" s="2" t="n">
        <v>2</v>
      </c>
      <c r="J546" s="11" t="n">
        <v>4500</v>
      </c>
      <c r="K546" s="12" t="n">
        <v>0.1</v>
      </c>
      <c r="L546" s="11" t="n">
        <v>3300</v>
      </c>
      <c r="M546" s="11" t="n">
        <f aca="false">I546*J546*(1-K546)</f>
        <v>8100</v>
      </c>
      <c r="N546" s="11" t="n">
        <f aca="false">M546-I546*L546</f>
        <v>1500</v>
      </c>
    </row>
    <row r="547" customFormat="false" ht="15" hidden="false" customHeight="false" outlineLevel="0" collapsed="false">
      <c r="A547" s="2" t="s">
        <v>702</v>
      </c>
      <c r="B547" s="2" t="s">
        <v>703</v>
      </c>
      <c r="C547" s="10" t="n">
        <v>45763</v>
      </c>
      <c r="D547" s="2" t="n">
        <f aca="false">MONTH(C547)</f>
        <v>4</v>
      </c>
      <c r="E547" s="2" t="s">
        <v>63</v>
      </c>
      <c r="F547" s="2" t="s">
        <v>64</v>
      </c>
      <c r="G547" s="2" t="s">
        <v>73</v>
      </c>
      <c r="H547" s="2" t="s">
        <v>87</v>
      </c>
      <c r="I547" s="2" t="n">
        <v>1</v>
      </c>
      <c r="J547" s="11" t="n">
        <v>9000</v>
      </c>
      <c r="K547" s="12" t="n">
        <v>0.05</v>
      </c>
      <c r="L547" s="11" t="n">
        <v>6200</v>
      </c>
      <c r="M547" s="11" t="n">
        <f aca="false">I547*J547*(1-K547)</f>
        <v>8550</v>
      </c>
      <c r="N547" s="11" t="n">
        <f aca="false">M547-I547*L547</f>
        <v>2350</v>
      </c>
    </row>
    <row r="548" customFormat="false" ht="15" hidden="false" customHeight="false" outlineLevel="0" collapsed="false">
      <c r="A548" s="2" t="s">
        <v>848</v>
      </c>
      <c r="B548" s="2" t="s">
        <v>843</v>
      </c>
      <c r="C548" s="10" t="n">
        <v>45763</v>
      </c>
      <c r="D548" s="2" t="n">
        <f aca="false">MONTH(C548)</f>
        <v>4</v>
      </c>
      <c r="E548" s="2" t="s">
        <v>81</v>
      </c>
      <c r="F548" s="2" t="s">
        <v>92</v>
      </c>
      <c r="G548" s="2" t="s">
        <v>73</v>
      </c>
      <c r="H548" s="2" t="s">
        <v>74</v>
      </c>
      <c r="I548" s="2" t="n">
        <v>5</v>
      </c>
      <c r="J548" s="11" t="n">
        <v>7000</v>
      </c>
      <c r="K548" s="12" t="n">
        <v>0.05</v>
      </c>
      <c r="L548" s="11" t="n">
        <v>4800</v>
      </c>
      <c r="M548" s="11" t="n">
        <f aca="false">I548*J548*(1-K548)</f>
        <v>33250</v>
      </c>
      <c r="N548" s="11" t="n">
        <f aca="false">M548-I548*L548</f>
        <v>9250</v>
      </c>
    </row>
    <row r="549" customFormat="false" ht="15" hidden="false" customHeight="false" outlineLevel="0" collapsed="false">
      <c r="A549" s="2" t="s">
        <v>1000</v>
      </c>
      <c r="B549" s="2" t="s">
        <v>1001</v>
      </c>
      <c r="C549" s="10" t="n">
        <v>45763</v>
      </c>
      <c r="D549" s="2" t="n">
        <f aca="false">MONTH(C549)</f>
        <v>4</v>
      </c>
      <c r="E549" s="2" t="s">
        <v>77</v>
      </c>
      <c r="F549" s="2" t="s">
        <v>64</v>
      </c>
      <c r="G549" s="2" t="s">
        <v>73</v>
      </c>
      <c r="H549" s="2" t="s">
        <v>104</v>
      </c>
      <c r="I549" s="2" t="n">
        <v>2</v>
      </c>
      <c r="J549" s="11" t="n">
        <v>5500</v>
      </c>
      <c r="K549" s="12" t="n">
        <v>0</v>
      </c>
      <c r="L549" s="11" t="n">
        <v>3600</v>
      </c>
      <c r="M549" s="11" t="n">
        <f aca="false">I549*J549*(1-K549)</f>
        <v>11000</v>
      </c>
      <c r="N549" s="11" t="n">
        <f aca="false">M549-I549*L549</f>
        <v>3800</v>
      </c>
    </row>
    <row r="550" customFormat="false" ht="15" hidden="false" customHeight="false" outlineLevel="0" collapsed="false">
      <c r="A550" s="2" t="s">
        <v>1630</v>
      </c>
      <c r="B550" s="2" t="s">
        <v>1627</v>
      </c>
      <c r="C550" s="10" t="n">
        <v>45763</v>
      </c>
      <c r="D550" s="2" t="n">
        <f aca="false">MONTH(C550)</f>
        <v>4</v>
      </c>
      <c r="E550" s="2" t="s">
        <v>91</v>
      </c>
      <c r="F550" s="2" t="s">
        <v>92</v>
      </c>
      <c r="G550" s="2" t="s">
        <v>70</v>
      </c>
      <c r="H550" s="2" t="s">
        <v>122</v>
      </c>
      <c r="I550" s="2" t="n">
        <v>3</v>
      </c>
      <c r="J550" s="11" t="n">
        <v>1500</v>
      </c>
      <c r="K550" s="12" t="n">
        <v>0.15</v>
      </c>
      <c r="L550" s="11" t="n">
        <v>900</v>
      </c>
      <c r="M550" s="11" t="n">
        <f aca="false">I550*J550*(1-K550)</f>
        <v>3825</v>
      </c>
      <c r="N550" s="11" t="n">
        <f aca="false">M550-I550*L550</f>
        <v>1125</v>
      </c>
    </row>
    <row r="551" customFormat="false" ht="15" hidden="false" customHeight="false" outlineLevel="0" collapsed="false">
      <c r="A551" s="2" t="s">
        <v>2091</v>
      </c>
      <c r="B551" s="2" t="s">
        <v>2089</v>
      </c>
      <c r="C551" s="10" t="n">
        <v>45763</v>
      </c>
      <c r="D551" s="2" t="n">
        <f aca="false">MONTH(C551)</f>
        <v>4</v>
      </c>
      <c r="E551" s="2" t="s">
        <v>77</v>
      </c>
      <c r="F551" s="2" t="s">
        <v>69</v>
      </c>
      <c r="G551" s="2" t="s">
        <v>73</v>
      </c>
      <c r="H551" s="2" t="s">
        <v>85</v>
      </c>
      <c r="I551" s="2" t="n">
        <v>1</v>
      </c>
      <c r="J551" s="11" t="n">
        <v>1200</v>
      </c>
      <c r="K551" s="12" t="n">
        <v>0.05</v>
      </c>
      <c r="L551" s="11" t="n">
        <v>600</v>
      </c>
      <c r="M551" s="11" t="n">
        <f aca="false">I551*J551*(1-K551)</f>
        <v>1140</v>
      </c>
      <c r="N551" s="11" t="n">
        <f aca="false">M551-I551*L551</f>
        <v>540</v>
      </c>
    </row>
    <row r="552" customFormat="false" ht="15" hidden="false" customHeight="false" outlineLevel="0" collapsed="false">
      <c r="A552" s="2" t="s">
        <v>2669</v>
      </c>
      <c r="B552" s="2" t="s">
        <v>2667</v>
      </c>
      <c r="C552" s="10" t="n">
        <v>45763</v>
      </c>
      <c r="D552" s="2" t="n">
        <f aca="false">MONTH(C552)</f>
        <v>4</v>
      </c>
      <c r="E552" s="2" t="s">
        <v>77</v>
      </c>
      <c r="F552" s="2" t="s">
        <v>64</v>
      </c>
      <c r="G552" s="2" t="s">
        <v>65</v>
      </c>
      <c r="H552" s="2" t="s">
        <v>66</v>
      </c>
      <c r="I552" s="2" t="n">
        <v>2</v>
      </c>
      <c r="J552" s="11" t="n">
        <v>600</v>
      </c>
      <c r="K552" s="12" t="n">
        <v>0</v>
      </c>
      <c r="L552" s="11" t="n">
        <v>300</v>
      </c>
      <c r="M552" s="11" t="n">
        <f aca="false">I552*J552*(1-K552)</f>
        <v>1200</v>
      </c>
      <c r="N552" s="11" t="n">
        <f aca="false">M552-I552*L552</f>
        <v>600</v>
      </c>
    </row>
    <row r="553" customFormat="false" ht="15" hidden="false" customHeight="false" outlineLevel="0" collapsed="false">
      <c r="A553" s="2" t="s">
        <v>164</v>
      </c>
      <c r="B553" s="2" t="s">
        <v>163</v>
      </c>
      <c r="C553" s="10" t="n">
        <v>45764</v>
      </c>
      <c r="D553" s="2" t="n">
        <f aca="false">MONTH(C553)</f>
        <v>4</v>
      </c>
      <c r="E553" s="2" t="s">
        <v>81</v>
      </c>
      <c r="F553" s="2" t="s">
        <v>64</v>
      </c>
      <c r="G553" s="2" t="s">
        <v>70</v>
      </c>
      <c r="H553" s="2" t="s">
        <v>97</v>
      </c>
      <c r="I553" s="2" t="n">
        <v>3</v>
      </c>
      <c r="J553" s="11" t="n">
        <v>3000</v>
      </c>
      <c r="K553" s="12" t="n">
        <v>0</v>
      </c>
      <c r="L553" s="11" t="n">
        <v>2000</v>
      </c>
      <c r="M553" s="11" t="n">
        <f aca="false">I553*J553*(1-K553)</f>
        <v>9000</v>
      </c>
      <c r="N553" s="11" t="n">
        <f aca="false">M553-I553*L553</f>
        <v>3000</v>
      </c>
    </row>
    <row r="554" customFormat="false" ht="15" hidden="false" customHeight="false" outlineLevel="0" collapsed="false">
      <c r="A554" s="2" t="s">
        <v>847</v>
      </c>
      <c r="B554" s="2" t="s">
        <v>843</v>
      </c>
      <c r="C554" s="10" t="n">
        <v>45764</v>
      </c>
      <c r="D554" s="2" t="n">
        <f aca="false">MONTH(C554)</f>
        <v>4</v>
      </c>
      <c r="E554" s="2" t="s">
        <v>81</v>
      </c>
      <c r="F554" s="2" t="s">
        <v>92</v>
      </c>
      <c r="G554" s="2" t="s">
        <v>70</v>
      </c>
      <c r="H554" s="2" t="s">
        <v>97</v>
      </c>
      <c r="I554" s="2" t="n">
        <v>7</v>
      </c>
      <c r="J554" s="11" t="n">
        <v>3000</v>
      </c>
      <c r="K554" s="12" t="n">
        <v>0.15</v>
      </c>
      <c r="L554" s="11" t="n">
        <v>2000</v>
      </c>
      <c r="M554" s="11" t="n">
        <f aca="false">I554*J554*(1-K554)</f>
        <v>17850</v>
      </c>
      <c r="N554" s="11" t="n">
        <f aca="false">M554-I554*L554</f>
        <v>3850</v>
      </c>
    </row>
    <row r="555" customFormat="false" ht="15" hidden="false" customHeight="false" outlineLevel="0" collapsed="false">
      <c r="A555" s="2" t="s">
        <v>1746</v>
      </c>
      <c r="B555" s="2" t="s">
        <v>1745</v>
      </c>
      <c r="C555" s="10" t="n">
        <v>45764</v>
      </c>
      <c r="D555" s="2" t="n">
        <f aca="false">MONTH(C555)</f>
        <v>4</v>
      </c>
      <c r="E555" s="2" t="s">
        <v>81</v>
      </c>
      <c r="F555" s="2" t="s">
        <v>64</v>
      </c>
      <c r="G555" s="2" t="s">
        <v>65</v>
      </c>
      <c r="H555" s="2" t="s">
        <v>82</v>
      </c>
      <c r="I555" s="2" t="n">
        <v>4</v>
      </c>
      <c r="J555" s="11" t="n">
        <v>250</v>
      </c>
      <c r="K555" s="12" t="n">
        <v>0.05</v>
      </c>
      <c r="L555" s="11" t="n">
        <v>100</v>
      </c>
      <c r="M555" s="11" t="n">
        <f aca="false">I555*J555*(1-K555)</f>
        <v>950</v>
      </c>
      <c r="N555" s="11" t="n">
        <f aca="false">M555-I555*L555</f>
        <v>550</v>
      </c>
    </row>
    <row r="556" customFormat="false" ht="15" hidden="false" customHeight="false" outlineLevel="0" collapsed="false">
      <c r="A556" s="2" t="s">
        <v>2006</v>
      </c>
      <c r="B556" s="2" t="s">
        <v>2000</v>
      </c>
      <c r="C556" s="10" t="n">
        <v>45764</v>
      </c>
      <c r="D556" s="2" t="n">
        <f aca="false">MONTH(C556)</f>
        <v>4</v>
      </c>
      <c r="E556" s="2" t="s">
        <v>91</v>
      </c>
      <c r="F556" s="2" t="s">
        <v>64</v>
      </c>
      <c r="G556" s="2" t="s">
        <v>65</v>
      </c>
      <c r="H556" s="2" t="s">
        <v>107</v>
      </c>
      <c r="I556" s="2" t="n">
        <v>7</v>
      </c>
      <c r="J556" s="11" t="n">
        <v>500</v>
      </c>
      <c r="K556" s="12" t="n">
        <v>0.1</v>
      </c>
      <c r="L556" s="11" t="n">
        <v>250</v>
      </c>
      <c r="M556" s="11" t="n">
        <f aca="false">I556*J556*(1-K556)</f>
        <v>3150</v>
      </c>
      <c r="N556" s="11" t="n">
        <f aca="false">M556-I556*L556</f>
        <v>1400</v>
      </c>
    </row>
    <row r="557" customFormat="false" ht="15" hidden="false" customHeight="false" outlineLevel="0" collapsed="false">
      <c r="A557" s="2" t="s">
        <v>2414</v>
      </c>
      <c r="B557" s="2" t="s">
        <v>2415</v>
      </c>
      <c r="C557" s="10" t="n">
        <v>45764</v>
      </c>
      <c r="D557" s="2" t="n">
        <f aca="false">MONTH(C557)</f>
        <v>4</v>
      </c>
      <c r="E557" s="2" t="s">
        <v>63</v>
      </c>
      <c r="F557" s="2" t="s">
        <v>69</v>
      </c>
      <c r="G557" s="2" t="s">
        <v>70</v>
      </c>
      <c r="H557" s="2" t="s">
        <v>126</v>
      </c>
      <c r="I557" s="2" t="n">
        <v>4</v>
      </c>
      <c r="J557" s="11" t="n">
        <v>4500</v>
      </c>
      <c r="K557" s="12" t="n">
        <v>0.1</v>
      </c>
      <c r="L557" s="11" t="n">
        <v>3300</v>
      </c>
      <c r="M557" s="11" t="n">
        <f aca="false">I557*J557*(1-K557)</f>
        <v>16200</v>
      </c>
      <c r="N557" s="11" t="n">
        <f aca="false">M557-I557*L557</f>
        <v>3000</v>
      </c>
    </row>
    <row r="558" customFormat="false" ht="15" hidden="false" customHeight="false" outlineLevel="0" collapsed="false">
      <c r="A558" s="2" t="s">
        <v>2767</v>
      </c>
      <c r="B558" s="2" t="s">
        <v>2766</v>
      </c>
      <c r="C558" s="10" t="n">
        <v>45764</v>
      </c>
      <c r="D558" s="2" t="n">
        <f aca="false">MONTH(C558)</f>
        <v>4</v>
      </c>
      <c r="E558" s="2" t="s">
        <v>77</v>
      </c>
      <c r="F558" s="2" t="s">
        <v>64</v>
      </c>
      <c r="G558" s="2" t="s">
        <v>73</v>
      </c>
      <c r="H558" s="2" t="s">
        <v>104</v>
      </c>
      <c r="I558" s="2" t="n">
        <v>1</v>
      </c>
      <c r="J558" s="11" t="n">
        <v>5500</v>
      </c>
      <c r="K558" s="12" t="n">
        <v>0</v>
      </c>
      <c r="L558" s="11" t="n">
        <v>3600</v>
      </c>
      <c r="M558" s="11" t="n">
        <f aca="false">I558*J558*(1-K558)</f>
        <v>5500</v>
      </c>
      <c r="N558" s="11" t="n">
        <f aca="false">M558-I558*L558</f>
        <v>1900</v>
      </c>
    </row>
    <row r="559" customFormat="false" ht="15" hidden="false" customHeight="false" outlineLevel="0" collapsed="false">
      <c r="A559" s="2" t="s">
        <v>1769</v>
      </c>
      <c r="B559" s="2" t="s">
        <v>1770</v>
      </c>
      <c r="C559" s="10" t="n">
        <v>45765</v>
      </c>
      <c r="D559" s="2" t="n">
        <f aca="false">MONTH(C559)</f>
        <v>4</v>
      </c>
      <c r="E559" s="2" t="s">
        <v>81</v>
      </c>
      <c r="F559" s="2" t="s">
        <v>69</v>
      </c>
      <c r="G559" s="2" t="s">
        <v>65</v>
      </c>
      <c r="H559" s="2" t="s">
        <v>82</v>
      </c>
      <c r="I559" s="2" t="n">
        <v>14</v>
      </c>
      <c r="J559" s="11" t="n">
        <v>250</v>
      </c>
      <c r="K559" s="12" t="n">
        <v>0</v>
      </c>
      <c r="L559" s="11" t="n">
        <v>100</v>
      </c>
      <c r="M559" s="11" t="n">
        <f aca="false">I559*J559*(1-K559)</f>
        <v>3500</v>
      </c>
      <c r="N559" s="11" t="n">
        <f aca="false">M559-I559*L559</f>
        <v>2100</v>
      </c>
    </row>
    <row r="560" customFormat="false" ht="15" hidden="false" customHeight="false" outlineLevel="0" collapsed="false">
      <c r="A560" s="2" t="s">
        <v>748</v>
      </c>
      <c r="B560" s="2" t="s">
        <v>747</v>
      </c>
      <c r="C560" s="10" t="n">
        <v>45766</v>
      </c>
      <c r="D560" s="2" t="n">
        <f aca="false">MONTH(C560)</f>
        <v>4</v>
      </c>
      <c r="E560" s="2" t="s">
        <v>77</v>
      </c>
      <c r="F560" s="2" t="s">
        <v>64</v>
      </c>
      <c r="G560" s="2" t="s">
        <v>70</v>
      </c>
      <c r="H560" s="2" t="s">
        <v>71</v>
      </c>
      <c r="I560" s="2" t="n">
        <v>1</v>
      </c>
      <c r="J560" s="11" t="n">
        <v>2500</v>
      </c>
      <c r="K560" s="12" t="n">
        <v>0.1</v>
      </c>
      <c r="L560" s="11" t="n">
        <v>1600</v>
      </c>
      <c r="M560" s="11" t="n">
        <f aca="false">I560*J560*(1-K560)</f>
        <v>2250</v>
      </c>
      <c r="N560" s="11" t="n">
        <f aca="false">M560-I560*L560</f>
        <v>650</v>
      </c>
    </row>
    <row r="561" customFormat="false" ht="15" hidden="false" customHeight="false" outlineLevel="0" collapsed="false">
      <c r="A561" s="2" t="s">
        <v>1222</v>
      </c>
      <c r="B561" s="2" t="s">
        <v>1223</v>
      </c>
      <c r="C561" s="10" t="n">
        <v>45766</v>
      </c>
      <c r="D561" s="2" t="n">
        <f aca="false">MONTH(C561)</f>
        <v>4</v>
      </c>
      <c r="E561" s="2" t="s">
        <v>63</v>
      </c>
      <c r="F561" s="2" t="s">
        <v>69</v>
      </c>
      <c r="G561" s="2" t="s">
        <v>73</v>
      </c>
      <c r="H561" s="2" t="s">
        <v>87</v>
      </c>
      <c r="I561" s="2" t="n">
        <v>4</v>
      </c>
      <c r="J561" s="11" t="n">
        <v>9000</v>
      </c>
      <c r="K561" s="12" t="n">
        <v>0</v>
      </c>
      <c r="L561" s="11" t="n">
        <v>6200</v>
      </c>
      <c r="M561" s="11" t="n">
        <f aca="false">I561*J561*(1-K561)</f>
        <v>36000</v>
      </c>
      <c r="N561" s="11" t="n">
        <f aca="false">M561-I561*L561</f>
        <v>11200</v>
      </c>
    </row>
    <row r="562" customFormat="false" ht="15" hidden="false" customHeight="false" outlineLevel="0" collapsed="false">
      <c r="A562" s="2" t="s">
        <v>1696</v>
      </c>
      <c r="B562" s="2" t="s">
        <v>1691</v>
      </c>
      <c r="C562" s="10" t="n">
        <v>45766</v>
      </c>
      <c r="D562" s="2" t="n">
        <f aca="false">MONTH(C562)</f>
        <v>4</v>
      </c>
      <c r="E562" s="2" t="s">
        <v>77</v>
      </c>
      <c r="F562" s="2" t="s">
        <v>69</v>
      </c>
      <c r="G562" s="2" t="s">
        <v>65</v>
      </c>
      <c r="H562" s="2" t="s">
        <v>82</v>
      </c>
      <c r="I562" s="2" t="n">
        <v>16</v>
      </c>
      <c r="J562" s="11" t="n">
        <v>250</v>
      </c>
      <c r="K562" s="12" t="n">
        <v>0</v>
      </c>
      <c r="L562" s="11" t="n">
        <v>100</v>
      </c>
      <c r="M562" s="11" t="n">
        <f aca="false">I562*J562*(1-K562)</f>
        <v>4000</v>
      </c>
      <c r="N562" s="11" t="n">
        <f aca="false">M562-I562*L562</f>
        <v>2400</v>
      </c>
    </row>
    <row r="563" customFormat="false" ht="15" hidden="false" customHeight="false" outlineLevel="0" collapsed="false">
      <c r="A563" s="2" t="s">
        <v>1771</v>
      </c>
      <c r="B563" s="2" t="s">
        <v>1770</v>
      </c>
      <c r="C563" s="10" t="n">
        <v>45766</v>
      </c>
      <c r="D563" s="2" t="n">
        <f aca="false">MONTH(C563)</f>
        <v>4</v>
      </c>
      <c r="E563" s="2" t="s">
        <v>81</v>
      </c>
      <c r="F563" s="2" t="s">
        <v>69</v>
      </c>
      <c r="G563" s="2" t="s">
        <v>65</v>
      </c>
      <c r="H563" s="2" t="s">
        <v>82</v>
      </c>
      <c r="I563" s="2" t="n">
        <v>19</v>
      </c>
      <c r="J563" s="11" t="n">
        <v>250</v>
      </c>
      <c r="K563" s="12" t="n">
        <v>0</v>
      </c>
      <c r="L563" s="11" t="n">
        <v>100</v>
      </c>
      <c r="M563" s="11" t="n">
        <f aca="false">I563*J563*(1-K563)</f>
        <v>4750</v>
      </c>
      <c r="N563" s="11" t="n">
        <f aca="false">M563-I563*L563</f>
        <v>2850</v>
      </c>
    </row>
    <row r="564" customFormat="false" ht="15" hidden="false" customHeight="false" outlineLevel="0" collapsed="false">
      <c r="A564" s="2" t="s">
        <v>2111</v>
      </c>
      <c r="B564" s="2" t="s">
        <v>2110</v>
      </c>
      <c r="C564" s="10" t="n">
        <v>45766</v>
      </c>
      <c r="D564" s="2" t="n">
        <f aca="false">MONTH(C564)</f>
        <v>4</v>
      </c>
      <c r="E564" s="2" t="s">
        <v>91</v>
      </c>
      <c r="F564" s="2" t="s">
        <v>64</v>
      </c>
      <c r="G564" s="2" t="s">
        <v>73</v>
      </c>
      <c r="H564" s="2" t="s">
        <v>87</v>
      </c>
      <c r="I564" s="2" t="n">
        <v>1</v>
      </c>
      <c r="J564" s="11" t="n">
        <v>9000</v>
      </c>
      <c r="K564" s="12" t="n">
        <v>0</v>
      </c>
      <c r="L564" s="11" t="n">
        <v>6200</v>
      </c>
      <c r="M564" s="11" t="n">
        <f aca="false">I564*J564*(1-K564)</f>
        <v>9000</v>
      </c>
      <c r="N564" s="11" t="n">
        <f aca="false">M564-I564*L564</f>
        <v>2800</v>
      </c>
    </row>
    <row r="565" customFormat="false" ht="15" hidden="false" customHeight="false" outlineLevel="0" collapsed="false">
      <c r="A565" s="2" t="s">
        <v>155</v>
      </c>
      <c r="B565" s="2" t="s">
        <v>156</v>
      </c>
      <c r="C565" s="10" t="n">
        <v>45767</v>
      </c>
      <c r="D565" s="2" t="n">
        <f aca="false">MONTH(C565)</f>
        <v>4</v>
      </c>
      <c r="E565" s="2" t="s">
        <v>91</v>
      </c>
      <c r="F565" s="2" t="s">
        <v>92</v>
      </c>
      <c r="G565" s="2" t="s">
        <v>73</v>
      </c>
      <c r="H565" s="2" t="s">
        <v>87</v>
      </c>
      <c r="I565" s="2" t="n">
        <v>8</v>
      </c>
      <c r="J565" s="11" t="n">
        <v>9000</v>
      </c>
      <c r="K565" s="12" t="n">
        <v>0.05</v>
      </c>
      <c r="L565" s="11" t="n">
        <v>6200</v>
      </c>
      <c r="M565" s="11" t="n">
        <f aca="false">I565*J565*(1-K565)</f>
        <v>68400</v>
      </c>
      <c r="N565" s="11" t="n">
        <f aca="false">M565-I565*L565</f>
        <v>18800</v>
      </c>
    </row>
    <row r="566" customFormat="false" ht="15" hidden="false" customHeight="false" outlineLevel="0" collapsed="false">
      <c r="A566" s="2" t="s">
        <v>308</v>
      </c>
      <c r="B566" s="2" t="s">
        <v>305</v>
      </c>
      <c r="C566" s="10" t="n">
        <v>45767</v>
      </c>
      <c r="D566" s="2" t="n">
        <f aca="false">MONTH(C566)</f>
        <v>4</v>
      </c>
      <c r="E566" s="2" t="s">
        <v>81</v>
      </c>
      <c r="F566" s="2" t="s">
        <v>92</v>
      </c>
      <c r="G566" s="2" t="s">
        <v>70</v>
      </c>
      <c r="H566" s="2" t="s">
        <v>122</v>
      </c>
      <c r="I566" s="2" t="n">
        <v>6</v>
      </c>
      <c r="J566" s="11" t="n">
        <v>1500</v>
      </c>
      <c r="K566" s="12" t="n">
        <v>0.15</v>
      </c>
      <c r="L566" s="11" t="n">
        <v>900</v>
      </c>
      <c r="M566" s="11" t="n">
        <f aca="false">I566*J566*(1-K566)</f>
        <v>7650</v>
      </c>
      <c r="N566" s="11" t="n">
        <f aca="false">M566-I566*L566</f>
        <v>2250</v>
      </c>
    </row>
    <row r="567" customFormat="false" ht="15" hidden="false" customHeight="false" outlineLevel="0" collapsed="false">
      <c r="A567" s="2" t="s">
        <v>1313</v>
      </c>
      <c r="B567" s="2" t="s">
        <v>1314</v>
      </c>
      <c r="C567" s="10" t="n">
        <v>45767</v>
      </c>
      <c r="D567" s="2" t="n">
        <f aca="false">MONTH(C567)</f>
        <v>4</v>
      </c>
      <c r="E567" s="2" t="s">
        <v>63</v>
      </c>
      <c r="F567" s="2" t="s">
        <v>64</v>
      </c>
      <c r="G567" s="2" t="s">
        <v>73</v>
      </c>
      <c r="H567" s="2" t="s">
        <v>87</v>
      </c>
      <c r="I567" s="2" t="n">
        <v>3</v>
      </c>
      <c r="J567" s="11" t="n">
        <v>9000</v>
      </c>
      <c r="K567" s="12" t="n">
        <v>0.05</v>
      </c>
      <c r="L567" s="11" t="n">
        <v>6200</v>
      </c>
      <c r="M567" s="11" t="n">
        <f aca="false">I567*J567*(1-K567)</f>
        <v>25650</v>
      </c>
      <c r="N567" s="11" t="n">
        <f aca="false">M567-I567*L567</f>
        <v>7050</v>
      </c>
    </row>
    <row r="568" customFormat="false" ht="15" hidden="false" customHeight="false" outlineLevel="0" collapsed="false">
      <c r="A568" s="2" t="s">
        <v>1639</v>
      </c>
      <c r="B568" s="2" t="s">
        <v>1638</v>
      </c>
      <c r="C568" s="10" t="n">
        <v>45767</v>
      </c>
      <c r="D568" s="2" t="n">
        <f aca="false">MONTH(C568)</f>
        <v>4</v>
      </c>
      <c r="E568" s="2" t="s">
        <v>81</v>
      </c>
      <c r="F568" s="2" t="s">
        <v>92</v>
      </c>
      <c r="G568" s="2" t="s">
        <v>70</v>
      </c>
      <c r="H568" s="2" t="s">
        <v>126</v>
      </c>
      <c r="I568" s="2" t="n">
        <v>4</v>
      </c>
      <c r="J568" s="11" t="n">
        <v>4500</v>
      </c>
      <c r="K568" s="12" t="n">
        <v>0.05</v>
      </c>
      <c r="L568" s="11" t="n">
        <v>3300</v>
      </c>
      <c r="M568" s="11" t="n">
        <f aca="false">I568*J568*(1-K568)</f>
        <v>17100</v>
      </c>
      <c r="N568" s="11" t="n">
        <f aca="false">M568-I568*L568</f>
        <v>3900</v>
      </c>
    </row>
    <row r="569" customFormat="false" ht="15" hidden="false" customHeight="false" outlineLevel="0" collapsed="false">
      <c r="A569" s="2" t="s">
        <v>1830</v>
      </c>
      <c r="B569" s="2" t="s">
        <v>1831</v>
      </c>
      <c r="C569" s="10" t="n">
        <v>45767</v>
      </c>
      <c r="D569" s="2" t="n">
        <f aca="false">MONTH(C569)</f>
        <v>4</v>
      </c>
      <c r="E569" s="2" t="s">
        <v>81</v>
      </c>
      <c r="F569" s="2" t="s">
        <v>69</v>
      </c>
      <c r="G569" s="2" t="s">
        <v>73</v>
      </c>
      <c r="H569" s="2" t="s">
        <v>85</v>
      </c>
      <c r="I569" s="2" t="n">
        <v>3</v>
      </c>
      <c r="J569" s="11" t="n">
        <v>1200</v>
      </c>
      <c r="K569" s="12" t="n">
        <v>0</v>
      </c>
      <c r="L569" s="11" t="n">
        <v>600</v>
      </c>
      <c r="M569" s="11" t="n">
        <f aca="false">I569*J569*(1-K569)</f>
        <v>3600</v>
      </c>
      <c r="N569" s="11" t="n">
        <f aca="false">M569-I569*L569</f>
        <v>1800</v>
      </c>
    </row>
    <row r="570" customFormat="false" ht="15" hidden="false" customHeight="false" outlineLevel="0" collapsed="false">
      <c r="A570" s="2" t="s">
        <v>2537</v>
      </c>
      <c r="B570" s="2" t="s">
        <v>2528</v>
      </c>
      <c r="C570" s="10" t="n">
        <v>45767</v>
      </c>
      <c r="D570" s="2" t="n">
        <f aca="false">MONTH(C570)</f>
        <v>4</v>
      </c>
      <c r="E570" s="2" t="s">
        <v>63</v>
      </c>
      <c r="F570" s="2" t="s">
        <v>69</v>
      </c>
      <c r="G570" s="2" t="s">
        <v>73</v>
      </c>
      <c r="H570" s="2" t="s">
        <v>87</v>
      </c>
      <c r="I570" s="2" t="n">
        <v>3</v>
      </c>
      <c r="J570" s="11" t="n">
        <v>9000</v>
      </c>
      <c r="K570" s="12" t="n">
        <v>0</v>
      </c>
      <c r="L570" s="11" t="n">
        <v>6200</v>
      </c>
      <c r="M570" s="11" t="n">
        <f aca="false">I570*J570*(1-K570)</f>
        <v>27000</v>
      </c>
      <c r="N570" s="11" t="n">
        <f aca="false">M570-I570*L570</f>
        <v>8400</v>
      </c>
    </row>
    <row r="571" customFormat="false" ht="15" hidden="false" customHeight="false" outlineLevel="0" collapsed="false">
      <c r="A571" s="2" t="s">
        <v>434</v>
      </c>
      <c r="B571" s="2" t="s">
        <v>435</v>
      </c>
      <c r="C571" s="10" t="n">
        <v>45768</v>
      </c>
      <c r="D571" s="2" t="n">
        <f aca="false">MONTH(C571)</f>
        <v>4</v>
      </c>
      <c r="E571" s="2" t="s">
        <v>63</v>
      </c>
      <c r="F571" s="2" t="s">
        <v>64</v>
      </c>
      <c r="G571" s="2" t="s">
        <v>73</v>
      </c>
      <c r="H571" s="2" t="s">
        <v>87</v>
      </c>
      <c r="I571" s="2" t="n">
        <v>3</v>
      </c>
      <c r="J571" s="11" t="n">
        <v>9000</v>
      </c>
      <c r="K571" s="12" t="n">
        <v>0</v>
      </c>
      <c r="L571" s="11" t="n">
        <v>6200</v>
      </c>
      <c r="M571" s="11" t="n">
        <f aca="false">I571*J571*(1-K571)</f>
        <v>27000</v>
      </c>
      <c r="N571" s="11" t="n">
        <f aca="false">M571-I571*L571</f>
        <v>8400</v>
      </c>
    </row>
    <row r="572" customFormat="false" ht="15" hidden="false" customHeight="false" outlineLevel="0" collapsed="false">
      <c r="A572" s="2" t="s">
        <v>1558</v>
      </c>
      <c r="B572" s="2" t="s">
        <v>1559</v>
      </c>
      <c r="C572" s="10" t="n">
        <v>45768</v>
      </c>
      <c r="D572" s="2" t="n">
        <f aca="false">MONTH(C572)</f>
        <v>4</v>
      </c>
      <c r="E572" s="2" t="s">
        <v>77</v>
      </c>
      <c r="F572" s="2" t="s">
        <v>69</v>
      </c>
      <c r="G572" s="2" t="s">
        <v>70</v>
      </c>
      <c r="H572" s="2" t="s">
        <v>97</v>
      </c>
      <c r="I572" s="2" t="n">
        <v>3</v>
      </c>
      <c r="J572" s="11" t="n">
        <v>3000</v>
      </c>
      <c r="K572" s="12" t="n">
        <v>0.05</v>
      </c>
      <c r="L572" s="11" t="n">
        <v>2000</v>
      </c>
      <c r="M572" s="11" t="n">
        <f aca="false">I572*J572*(1-K572)</f>
        <v>8550</v>
      </c>
      <c r="N572" s="11" t="n">
        <f aca="false">M572-I572*L572</f>
        <v>2550</v>
      </c>
    </row>
    <row r="573" customFormat="false" ht="15" hidden="false" customHeight="false" outlineLevel="0" collapsed="false">
      <c r="A573" s="2" t="s">
        <v>1854</v>
      </c>
      <c r="B573" s="2" t="s">
        <v>1843</v>
      </c>
      <c r="C573" s="10" t="n">
        <v>45768</v>
      </c>
      <c r="D573" s="2" t="n">
        <f aca="false">MONTH(C573)</f>
        <v>4</v>
      </c>
      <c r="E573" s="2" t="s">
        <v>63</v>
      </c>
      <c r="F573" s="2" t="s">
        <v>64</v>
      </c>
      <c r="G573" s="2" t="s">
        <v>65</v>
      </c>
      <c r="H573" s="2" t="s">
        <v>66</v>
      </c>
      <c r="I573" s="2" t="n">
        <v>8</v>
      </c>
      <c r="J573" s="11" t="n">
        <v>600</v>
      </c>
      <c r="K573" s="12" t="n">
        <v>0</v>
      </c>
      <c r="L573" s="11" t="n">
        <v>300</v>
      </c>
      <c r="M573" s="11" t="n">
        <f aca="false">I573*J573*(1-K573)</f>
        <v>4800</v>
      </c>
      <c r="N573" s="11" t="n">
        <f aca="false">M573-I573*L573</f>
        <v>2400</v>
      </c>
    </row>
    <row r="574" customFormat="false" ht="15" hidden="false" customHeight="false" outlineLevel="0" collapsed="false">
      <c r="A574" s="2" t="s">
        <v>1964</v>
      </c>
      <c r="B574" s="2" t="s">
        <v>1962</v>
      </c>
      <c r="C574" s="10" t="n">
        <v>45768</v>
      </c>
      <c r="D574" s="2" t="n">
        <f aca="false">MONTH(C574)</f>
        <v>4</v>
      </c>
      <c r="E574" s="2" t="s">
        <v>63</v>
      </c>
      <c r="F574" s="2" t="s">
        <v>64</v>
      </c>
      <c r="G574" s="2" t="s">
        <v>70</v>
      </c>
      <c r="H574" s="2" t="s">
        <v>122</v>
      </c>
      <c r="I574" s="2" t="n">
        <v>1</v>
      </c>
      <c r="J574" s="11" t="n">
        <v>1500</v>
      </c>
      <c r="K574" s="12" t="n">
        <v>0.05</v>
      </c>
      <c r="L574" s="11" t="n">
        <v>900</v>
      </c>
      <c r="M574" s="11" t="n">
        <f aca="false">I574*J574*(1-K574)</f>
        <v>1425</v>
      </c>
      <c r="N574" s="11" t="n">
        <f aca="false">M574-I574*L574</f>
        <v>525</v>
      </c>
    </row>
    <row r="575" customFormat="false" ht="15" hidden="false" customHeight="false" outlineLevel="0" collapsed="false">
      <c r="A575" s="2" t="s">
        <v>2548</v>
      </c>
      <c r="B575" s="2" t="s">
        <v>2549</v>
      </c>
      <c r="C575" s="10" t="n">
        <v>45768</v>
      </c>
      <c r="D575" s="2" t="n">
        <f aca="false">MONTH(C575)</f>
        <v>4</v>
      </c>
      <c r="E575" s="2" t="s">
        <v>91</v>
      </c>
      <c r="F575" s="2" t="s">
        <v>64</v>
      </c>
      <c r="G575" s="2" t="s">
        <v>70</v>
      </c>
      <c r="H575" s="2" t="s">
        <v>122</v>
      </c>
      <c r="I575" s="2" t="n">
        <v>1</v>
      </c>
      <c r="J575" s="11" t="n">
        <v>1500</v>
      </c>
      <c r="K575" s="12" t="n">
        <v>0</v>
      </c>
      <c r="L575" s="11" t="n">
        <v>900</v>
      </c>
      <c r="M575" s="11" t="n">
        <f aca="false">I575*J575*(1-K575)</f>
        <v>1500</v>
      </c>
      <c r="N575" s="11" t="n">
        <f aca="false">M575-I575*L575</f>
        <v>600</v>
      </c>
    </row>
    <row r="576" customFormat="false" ht="15" hidden="false" customHeight="false" outlineLevel="0" collapsed="false">
      <c r="A576" s="2" t="s">
        <v>443</v>
      </c>
      <c r="B576" s="2" t="s">
        <v>442</v>
      </c>
      <c r="C576" s="10" t="n">
        <v>45769</v>
      </c>
      <c r="D576" s="2" t="n">
        <f aca="false">MONTH(C576)</f>
        <v>4</v>
      </c>
      <c r="E576" s="2" t="s">
        <v>81</v>
      </c>
      <c r="F576" s="2" t="s">
        <v>64</v>
      </c>
      <c r="G576" s="2" t="s">
        <v>70</v>
      </c>
      <c r="H576" s="2" t="s">
        <v>71</v>
      </c>
      <c r="I576" s="2" t="n">
        <v>2</v>
      </c>
      <c r="J576" s="11" t="n">
        <v>2500</v>
      </c>
      <c r="K576" s="12" t="n">
        <v>0.05</v>
      </c>
      <c r="L576" s="11" t="n">
        <v>1600</v>
      </c>
      <c r="M576" s="11" t="n">
        <f aca="false">I576*J576*(1-K576)</f>
        <v>4750</v>
      </c>
      <c r="N576" s="11" t="n">
        <f aca="false">M576-I576*L576</f>
        <v>1550</v>
      </c>
    </row>
    <row r="577" customFormat="false" ht="15" hidden="false" customHeight="false" outlineLevel="0" collapsed="false">
      <c r="A577" s="2" t="s">
        <v>888</v>
      </c>
      <c r="B577" s="2" t="s">
        <v>889</v>
      </c>
      <c r="C577" s="10" t="n">
        <v>45769</v>
      </c>
      <c r="D577" s="2" t="n">
        <f aca="false">MONTH(C577)</f>
        <v>4</v>
      </c>
      <c r="E577" s="2" t="s">
        <v>77</v>
      </c>
      <c r="F577" s="2" t="s">
        <v>64</v>
      </c>
      <c r="G577" s="2" t="s">
        <v>65</v>
      </c>
      <c r="H577" s="2" t="s">
        <v>107</v>
      </c>
      <c r="I577" s="2" t="n">
        <v>4</v>
      </c>
      <c r="J577" s="11" t="n">
        <v>500</v>
      </c>
      <c r="K577" s="12" t="n">
        <v>0</v>
      </c>
      <c r="L577" s="11" t="n">
        <v>250</v>
      </c>
      <c r="M577" s="11" t="n">
        <f aca="false">I577*J577*(1-K577)</f>
        <v>2000</v>
      </c>
      <c r="N577" s="11" t="n">
        <f aca="false">M577-I577*L577</f>
        <v>1000</v>
      </c>
    </row>
    <row r="578" customFormat="false" ht="15" hidden="false" customHeight="false" outlineLevel="0" collapsed="false">
      <c r="A578" s="2" t="s">
        <v>1687</v>
      </c>
      <c r="B578" s="2" t="s">
        <v>1686</v>
      </c>
      <c r="C578" s="10" t="n">
        <v>45769</v>
      </c>
      <c r="D578" s="2" t="n">
        <f aca="false">MONTH(C578)</f>
        <v>4</v>
      </c>
      <c r="E578" s="2" t="s">
        <v>91</v>
      </c>
      <c r="F578" s="2" t="s">
        <v>92</v>
      </c>
      <c r="G578" s="2" t="s">
        <v>70</v>
      </c>
      <c r="H578" s="2" t="s">
        <v>126</v>
      </c>
      <c r="I578" s="2" t="n">
        <v>5</v>
      </c>
      <c r="J578" s="11" t="n">
        <v>4500</v>
      </c>
      <c r="K578" s="12" t="n">
        <v>0.05</v>
      </c>
      <c r="L578" s="11" t="n">
        <v>3300</v>
      </c>
      <c r="M578" s="11" t="n">
        <f aca="false">I578*J578*(1-K578)</f>
        <v>21375</v>
      </c>
      <c r="N578" s="11" t="n">
        <f aca="false">M578-I578*L578</f>
        <v>4875</v>
      </c>
    </row>
    <row r="579" customFormat="false" ht="15" hidden="false" customHeight="false" outlineLevel="0" collapsed="false">
      <c r="A579" s="2" t="s">
        <v>1716</v>
      </c>
      <c r="B579" s="2" t="s">
        <v>1712</v>
      </c>
      <c r="C579" s="10" t="n">
        <v>45769</v>
      </c>
      <c r="D579" s="2" t="n">
        <f aca="false">MONTH(C579)</f>
        <v>4</v>
      </c>
      <c r="E579" s="2" t="s">
        <v>81</v>
      </c>
      <c r="F579" s="2" t="s">
        <v>64</v>
      </c>
      <c r="G579" s="2" t="s">
        <v>73</v>
      </c>
      <c r="H579" s="2" t="s">
        <v>85</v>
      </c>
      <c r="I579" s="2" t="n">
        <v>1</v>
      </c>
      <c r="J579" s="11" t="n">
        <v>1200</v>
      </c>
      <c r="K579" s="12" t="n">
        <v>0.1</v>
      </c>
      <c r="L579" s="11" t="n">
        <v>600</v>
      </c>
      <c r="M579" s="11" t="n">
        <f aca="false">I579*J579*(1-K579)</f>
        <v>1080</v>
      </c>
      <c r="N579" s="11" t="n">
        <f aca="false">M579-I579*L579</f>
        <v>480</v>
      </c>
    </row>
    <row r="580" customFormat="false" ht="15" hidden="false" customHeight="false" outlineLevel="0" collapsed="false">
      <c r="A580" s="2" t="s">
        <v>2191</v>
      </c>
      <c r="B580" s="2" t="s">
        <v>2192</v>
      </c>
      <c r="C580" s="10" t="n">
        <v>45769</v>
      </c>
      <c r="D580" s="2" t="n">
        <f aca="false">MONTH(C580)</f>
        <v>4</v>
      </c>
      <c r="E580" s="2" t="s">
        <v>77</v>
      </c>
      <c r="F580" s="2" t="s">
        <v>64</v>
      </c>
      <c r="G580" s="2" t="s">
        <v>65</v>
      </c>
      <c r="H580" s="2" t="s">
        <v>107</v>
      </c>
      <c r="I580" s="2" t="n">
        <v>5</v>
      </c>
      <c r="J580" s="11" t="n">
        <v>500</v>
      </c>
      <c r="K580" s="12" t="n">
        <v>0</v>
      </c>
      <c r="L580" s="11" t="n">
        <v>250</v>
      </c>
      <c r="M580" s="11" t="n">
        <f aca="false">I580*J580*(1-K580)</f>
        <v>2500</v>
      </c>
      <c r="N580" s="11" t="n">
        <f aca="false">M580-I580*L580</f>
        <v>1250</v>
      </c>
    </row>
    <row r="581" customFormat="false" ht="15" hidden="false" customHeight="false" outlineLevel="0" collapsed="false">
      <c r="A581" s="2" t="s">
        <v>2519</v>
      </c>
      <c r="B581" s="2" t="s">
        <v>2520</v>
      </c>
      <c r="C581" s="10" t="n">
        <v>45769</v>
      </c>
      <c r="D581" s="2" t="n">
        <f aca="false">MONTH(C581)</f>
        <v>4</v>
      </c>
      <c r="E581" s="2" t="s">
        <v>81</v>
      </c>
      <c r="F581" s="2" t="s">
        <v>64</v>
      </c>
      <c r="G581" s="2" t="s">
        <v>70</v>
      </c>
      <c r="H581" s="2" t="s">
        <v>122</v>
      </c>
      <c r="I581" s="2" t="n">
        <v>1</v>
      </c>
      <c r="J581" s="11" t="n">
        <v>1500</v>
      </c>
      <c r="K581" s="12" t="n">
        <v>0</v>
      </c>
      <c r="L581" s="11" t="n">
        <v>900</v>
      </c>
      <c r="M581" s="11" t="n">
        <f aca="false">I581*J581*(1-K581)</f>
        <v>1500</v>
      </c>
      <c r="N581" s="11" t="n">
        <f aca="false">M581-I581*L581</f>
        <v>600</v>
      </c>
    </row>
    <row r="582" customFormat="false" ht="15" hidden="false" customHeight="false" outlineLevel="0" collapsed="false">
      <c r="A582" s="2" t="s">
        <v>2522</v>
      </c>
      <c r="B582" s="2" t="s">
        <v>2523</v>
      </c>
      <c r="C582" s="10" t="n">
        <v>45769</v>
      </c>
      <c r="D582" s="2" t="n">
        <f aca="false">MONTH(C582)</f>
        <v>4</v>
      </c>
      <c r="E582" s="2" t="s">
        <v>81</v>
      </c>
      <c r="F582" s="2" t="s">
        <v>64</v>
      </c>
      <c r="G582" s="2" t="s">
        <v>70</v>
      </c>
      <c r="H582" s="2" t="s">
        <v>122</v>
      </c>
      <c r="I582" s="2" t="n">
        <v>3</v>
      </c>
      <c r="J582" s="11" t="n">
        <v>1500</v>
      </c>
      <c r="K582" s="12" t="n">
        <v>0</v>
      </c>
      <c r="L582" s="11" t="n">
        <v>900</v>
      </c>
      <c r="M582" s="11" t="n">
        <f aca="false">I582*J582*(1-K582)</f>
        <v>4500</v>
      </c>
      <c r="N582" s="11" t="n">
        <f aca="false">M582-I582*L582</f>
        <v>1800</v>
      </c>
    </row>
    <row r="583" customFormat="false" ht="15" hidden="false" customHeight="false" outlineLevel="0" collapsed="false">
      <c r="A583" s="2" t="s">
        <v>2661</v>
      </c>
      <c r="B583" s="2" t="s">
        <v>2662</v>
      </c>
      <c r="C583" s="10" t="n">
        <v>45769</v>
      </c>
      <c r="D583" s="2" t="n">
        <f aca="false">MONTH(C583)</f>
        <v>4</v>
      </c>
      <c r="E583" s="2" t="s">
        <v>63</v>
      </c>
      <c r="F583" s="2" t="s">
        <v>69</v>
      </c>
      <c r="G583" s="2" t="s">
        <v>73</v>
      </c>
      <c r="H583" s="2" t="s">
        <v>74</v>
      </c>
      <c r="I583" s="2" t="n">
        <v>5</v>
      </c>
      <c r="J583" s="11" t="n">
        <v>7000</v>
      </c>
      <c r="K583" s="12" t="n">
        <v>0</v>
      </c>
      <c r="L583" s="11" t="n">
        <v>4800</v>
      </c>
      <c r="M583" s="11" t="n">
        <f aca="false">I583*J583*(1-K583)</f>
        <v>35000</v>
      </c>
      <c r="N583" s="11" t="n">
        <f aca="false">M583-I583*L583</f>
        <v>11000</v>
      </c>
    </row>
    <row r="584" customFormat="false" ht="15" hidden="false" customHeight="false" outlineLevel="0" collapsed="false">
      <c r="A584" s="2" t="s">
        <v>424</v>
      </c>
      <c r="B584" s="2" t="s">
        <v>422</v>
      </c>
      <c r="C584" s="10" t="n">
        <v>45770</v>
      </c>
      <c r="D584" s="2" t="n">
        <f aca="false">MONTH(C584)</f>
        <v>4</v>
      </c>
      <c r="E584" s="2" t="s">
        <v>77</v>
      </c>
      <c r="F584" s="2" t="s">
        <v>92</v>
      </c>
      <c r="G584" s="2" t="s">
        <v>73</v>
      </c>
      <c r="H584" s="2" t="s">
        <v>85</v>
      </c>
      <c r="I584" s="2" t="n">
        <v>2</v>
      </c>
      <c r="J584" s="11" t="n">
        <v>1200</v>
      </c>
      <c r="K584" s="12" t="n">
        <v>0.05</v>
      </c>
      <c r="L584" s="11" t="n">
        <v>600</v>
      </c>
      <c r="M584" s="11" t="n">
        <f aca="false">I584*J584*(1-K584)</f>
        <v>2280</v>
      </c>
      <c r="N584" s="11" t="n">
        <f aca="false">M584-I584*L584</f>
        <v>1080</v>
      </c>
    </row>
    <row r="585" customFormat="false" ht="15" hidden="false" customHeight="false" outlineLevel="0" collapsed="false">
      <c r="A585" s="2" t="s">
        <v>700</v>
      </c>
      <c r="B585" s="2" t="s">
        <v>699</v>
      </c>
      <c r="C585" s="10" t="n">
        <v>45770</v>
      </c>
      <c r="D585" s="2" t="n">
        <f aca="false">MONTH(C585)</f>
        <v>4</v>
      </c>
      <c r="E585" s="2" t="s">
        <v>81</v>
      </c>
      <c r="F585" s="2" t="s">
        <v>92</v>
      </c>
      <c r="G585" s="2" t="s">
        <v>65</v>
      </c>
      <c r="H585" s="2" t="s">
        <v>78</v>
      </c>
      <c r="I585" s="2" t="n">
        <v>26</v>
      </c>
      <c r="J585" s="11" t="n">
        <v>400</v>
      </c>
      <c r="K585" s="12" t="n">
        <v>0.05</v>
      </c>
      <c r="L585" s="11" t="n">
        <v>200</v>
      </c>
      <c r="M585" s="11" t="n">
        <f aca="false">I585*J585*(1-K585)</f>
        <v>9880</v>
      </c>
      <c r="N585" s="11" t="n">
        <f aca="false">M585-I585*L585</f>
        <v>4680</v>
      </c>
    </row>
    <row r="586" customFormat="false" ht="15" hidden="false" customHeight="false" outlineLevel="0" collapsed="false">
      <c r="A586" s="2" t="s">
        <v>779</v>
      </c>
      <c r="B586" s="2" t="s">
        <v>778</v>
      </c>
      <c r="C586" s="10" t="n">
        <v>45770</v>
      </c>
      <c r="D586" s="2" t="n">
        <f aca="false">MONTH(C586)</f>
        <v>4</v>
      </c>
      <c r="E586" s="2" t="s">
        <v>91</v>
      </c>
      <c r="F586" s="2" t="s">
        <v>92</v>
      </c>
      <c r="G586" s="2" t="s">
        <v>70</v>
      </c>
      <c r="H586" s="2" t="s">
        <v>71</v>
      </c>
      <c r="I586" s="2" t="n">
        <v>7</v>
      </c>
      <c r="J586" s="11" t="n">
        <v>2500</v>
      </c>
      <c r="K586" s="12" t="n">
        <v>0</v>
      </c>
      <c r="L586" s="11" t="n">
        <v>1600</v>
      </c>
      <c r="M586" s="11" t="n">
        <f aca="false">I586*J586*(1-K586)</f>
        <v>17500</v>
      </c>
      <c r="N586" s="11" t="n">
        <f aca="false">M586-I586*L586</f>
        <v>6300</v>
      </c>
    </row>
    <row r="587" customFormat="false" ht="15" hidden="false" customHeight="false" outlineLevel="0" collapsed="false">
      <c r="A587" s="2" t="s">
        <v>1980</v>
      </c>
      <c r="B587" s="2" t="s">
        <v>1981</v>
      </c>
      <c r="C587" s="10" t="n">
        <v>45770</v>
      </c>
      <c r="D587" s="2" t="n">
        <f aca="false">MONTH(C587)</f>
        <v>4</v>
      </c>
      <c r="E587" s="2" t="s">
        <v>91</v>
      </c>
      <c r="F587" s="2" t="s">
        <v>92</v>
      </c>
      <c r="G587" s="2" t="s">
        <v>73</v>
      </c>
      <c r="H587" s="2" t="s">
        <v>104</v>
      </c>
      <c r="I587" s="2" t="n">
        <v>6</v>
      </c>
      <c r="J587" s="11" t="n">
        <v>5500</v>
      </c>
      <c r="K587" s="12" t="n">
        <v>0.15</v>
      </c>
      <c r="L587" s="11" t="n">
        <v>3600</v>
      </c>
      <c r="M587" s="11" t="n">
        <f aca="false">I587*J587*(1-K587)</f>
        <v>28050</v>
      </c>
      <c r="N587" s="11" t="n">
        <f aca="false">M587-I587*L587</f>
        <v>6450</v>
      </c>
    </row>
    <row r="588" customFormat="false" ht="15" hidden="false" customHeight="false" outlineLevel="0" collapsed="false">
      <c r="A588" s="2" t="s">
        <v>2668</v>
      </c>
      <c r="B588" s="2" t="s">
        <v>2667</v>
      </c>
      <c r="C588" s="10" t="n">
        <v>45770</v>
      </c>
      <c r="D588" s="2" t="n">
        <f aca="false">MONTH(C588)</f>
        <v>4</v>
      </c>
      <c r="E588" s="2" t="s">
        <v>77</v>
      </c>
      <c r="F588" s="2" t="s">
        <v>64</v>
      </c>
      <c r="G588" s="2" t="s">
        <v>70</v>
      </c>
      <c r="H588" s="2" t="s">
        <v>71</v>
      </c>
      <c r="I588" s="2" t="n">
        <v>3</v>
      </c>
      <c r="J588" s="11" t="n">
        <v>2500</v>
      </c>
      <c r="K588" s="12" t="n">
        <v>0</v>
      </c>
      <c r="L588" s="11" t="n">
        <v>1600</v>
      </c>
      <c r="M588" s="11" t="n">
        <f aca="false">I588*J588*(1-K588)</f>
        <v>7500</v>
      </c>
      <c r="N588" s="11" t="n">
        <f aca="false">M588-I588*L588</f>
        <v>2700</v>
      </c>
    </row>
    <row r="589" customFormat="false" ht="15" hidden="false" customHeight="false" outlineLevel="0" collapsed="false">
      <c r="A589" s="2" t="s">
        <v>603</v>
      </c>
      <c r="B589" s="2" t="s">
        <v>602</v>
      </c>
      <c r="C589" s="10" t="n">
        <v>45771</v>
      </c>
      <c r="D589" s="2" t="n">
        <f aca="false">MONTH(C589)</f>
        <v>4</v>
      </c>
      <c r="E589" s="2" t="s">
        <v>77</v>
      </c>
      <c r="F589" s="2" t="s">
        <v>64</v>
      </c>
      <c r="G589" s="2" t="s">
        <v>73</v>
      </c>
      <c r="H589" s="2" t="s">
        <v>74</v>
      </c>
      <c r="I589" s="2" t="n">
        <v>3</v>
      </c>
      <c r="J589" s="11" t="n">
        <v>7000</v>
      </c>
      <c r="K589" s="12" t="n">
        <v>0.1</v>
      </c>
      <c r="L589" s="11" t="n">
        <v>4800</v>
      </c>
      <c r="M589" s="11" t="n">
        <f aca="false">I589*J589*(1-K589)</f>
        <v>18900</v>
      </c>
      <c r="N589" s="11" t="n">
        <f aca="false">M589-I589*L589</f>
        <v>4500</v>
      </c>
    </row>
    <row r="590" customFormat="false" ht="15" hidden="false" customHeight="false" outlineLevel="0" collapsed="false">
      <c r="A590" s="2" t="s">
        <v>1180</v>
      </c>
      <c r="B590" s="2" t="s">
        <v>1179</v>
      </c>
      <c r="C590" s="10" t="n">
        <v>45771</v>
      </c>
      <c r="D590" s="2" t="n">
        <f aca="false">MONTH(C590)</f>
        <v>4</v>
      </c>
      <c r="E590" s="2" t="s">
        <v>91</v>
      </c>
      <c r="F590" s="2" t="s">
        <v>92</v>
      </c>
      <c r="G590" s="2" t="s">
        <v>73</v>
      </c>
      <c r="H590" s="2" t="s">
        <v>87</v>
      </c>
      <c r="I590" s="2" t="n">
        <v>5</v>
      </c>
      <c r="J590" s="11" t="n">
        <v>9000</v>
      </c>
      <c r="K590" s="12" t="n">
        <v>0.1</v>
      </c>
      <c r="L590" s="11" t="n">
        <v>6200</v>
      </c>
      <c r="M590" s="11" t="n">
        <f aca="false">I590*J590*(1-K590)</f>
        <v>40500</v>
      </c>
      <c r="N590" s="11" t="n">
        <f aca="false">M590-I590*L590</f>
        <v>9500</v>
      </c>
    </row>
    <row r="591" customFormat="false" ht="15" hidden="false" customHeight="false" outlineLevel="0" collapsed="false">
      <c r="A591" s="2" t="s">
        <v>1492</v>
      </c>
      <c r="B591" s="2" t="s">
        <v>1493</v>
      </c>
      <c r="C591" s="10" t="n">
        <v>45771</v>
      </c>
      <c r="D591" s="2" t="n">
        <f aca="false">MONTH(C591)</f>
        <v>4</v>
      </c>
      <c r="E591" s="2" t="s">
        <v>91</v>
      </c>
      <c r="F591" s="2" t="s">
        <v>69</v>
      </c>
      <c r="G591" s="2" t="s">
        <v>70</v>
      </c>
      <c r="H591" s="2" t="s">
        <v>126</v>
      </c>
      <c r="I591" s="2" t="n">
        <v>3</v>
      </c>
      <c r="J591" s="11" t="n">
        <v>4500</v>
      </c>
      <c r="K591" s="12" t="n">
        <v>0</v>
      </c>
      <c r="L591" s="11" t="n">
        <v>3300</v>
      </c>
      <c r="M591" s="11" t="n">
        <f aca="false">I591*J591*(1-K591)</f>
        <v>13500</v>
      </c>
      <c r="N591" s="11" t="n">
        <f aca="false">M591-I591*L591</f>
        <v>3600</v>
      </c>
    </row>
    <row r="592" customFormat="false" ht="15" hidden="false" customHeight="false" outlineLevel="0" collapsed="false">
      <c r="A592" s="2" t="s">
        <v>2127</v>
      </c>
      <c r="B592" s="2" t="s">
        <v>2128</v>
      </c>
      <c r="C592" s="10" t="n">
        <v>45771</v>
      </c>
      <c r="D592" s="2" t="n">
        <f aca="false">MONTH(C592)</f>
        <v>4</v>
      </c>
      <c r="E592" s="2" t="s">
        <v>63</v>
      </c>
      <c r="F592" s="2" t="s">
        <v>64</v>
      </c>
      <c r="G592" s="2" t="s">
        <v>65</v>
      </c>
      <c r="H592" s="2" t="s">
        <v>82</v>
      </c>
      <c r="I592" s="2" t="n">
        <v>5</v>
      </c>
      <c r="J592" s="11" t="n">
        <v>250</v>
      </c>
      <c r="K592" s="12" t="n">
        <v>0</v>
      </c>
      <c r="L592" s="11" t="n">
        <v>100</v>
      </c>
      <c r="M592" s="11" t="n">
        <f aca="false">I592*J592*(1-K592)</f>
        <v>1250</v>
      </c>
      <c r="N592" s="11" t="n">
        <f aca="false">M592-I592*L592</f>
        <v>750</v>
      </c>
    </row>
    <row r="593" customFormat="false" ht="15" hidden="false" customHeight="false" outlineLevel="0" collapsed="false">
      <c r="A593" s="2" t="s">
        <v>2370</v>
      </c>
      <c r="B593" s="2" t="s">
        <v>2369</v>
      </c>
      <c r="C593" s="10" t="n">
        <v>45771</v>
      </c>
      <c r="D593" s="2" t="n">
        <f aca="false">MONTH(C593)</f>
        <v>4</v>
      </c>
      <c r="E593" s="2" t="s">
        <v>91</v>
      </c>
      <c r="F593" s="2" t="s">
        <v>92</v>
      </c>
      <c r="G593" s="2" t="s">
        <v>73</v>
      </c>
      <c r="H593" s="2" t="s">
        <v>74</v>
      </c>
      <c r="I593" s="2" t="n">
        <v>6</v>
      </c>
      <c r="J593" s="11" t="n">
        <v>7000</v>
      </c>
      <c r="K593" s="12" t="n">
        <v>0</v>
      </c>
      <c r="L593" s="11" t="n">
        <v>4800</v>
      </c>
      <c r="M593" s="11" t="n">
        <f aca="false">I593*J593*(1-K593)</f>
        <v>42000</v>
      </c>
      <c r="N593" s="11" t="n">
        <f aca="false">M593-I593*L593</f>
        <v>13200</v>
      </c>
    </row>
    <row r="594" customFormat="false" ht="15" hidden="false" customHeight="false" outlineLevel="0" collapsed="false">
      <c r="A594" s="2" t="s">
        <v>2877</v>
      </c>
      <c r="B594" s="2" t="s">
        <v>2878</v>
      </c>
      <c r="C594" s="10" t="n">
        <v>45771</v>
      </c>
      <c r="D594" s="2" t="n">
        <f aca="false">MONTH(C594)</f>
        <v>4</v>
      </c>
      <c r="E594" s="2" t="s">
        <v>81</v>
      </c>
      <c r="F594" s="2" t="s">
        <v>64</v>
      </c>
      <c r="G594" s="2" t="s">
        <v>70</v>
      </c>
      <c r="H594" s="2" t="s">
        <v>122</v>
      </c>
      <c r="I594" s="2" t="n">
        <v>2</v>
      </c>
      <c r="J594" s="11" t="n">
        <v>1500</v>
      </c>
      <c r="K594" s="12" t="n">
        <v>0</v>
      </c>
      <c r="L594" s="11" t="n">
        <v>900</v>
      </c>
      <c r="M594" s="11" t="n">
        <f aca="false">I594*J594*(1-K594)</f>
        <v>3000</v>
      </c>
      <c r="N594" s="11" t="n">
        <f aca="false">M594-I594*L594</f>
        <v>1200</v>
      </c>
    </row>
    <row r="595" customFormat="false" ht="15" hidden="false" customHeight="false" outlineLevel="0" collapsed="false">
      <c r="A595" s="2" t="s">
        <v>516</v>
      </c>
      <c r="B595" s="2" t="s">
        <v>514</v>
      </c>
      <c r="C595" s="10" t="n">
        <v>45772</v>
      </c>
      <c r="D595" s="2" t="n">
        <f aca="false">MONTH(C595)</f>
        <v>4</v>
      </c>
      <c r="E595" s="2" t="s">
        <v>63</v>
      </c>
      <c r="F595" s="2" t="s">
        <v>69</v>
      </c>
      <c r="G595" s="2" t="s">
        <v>70</v>
      </c>
      <c r="H595" s="2" t="s">
        <v>97</v>
      </c>
      <c r="I595" s="2" t="n">
        <v>2</v>
      </c>
      <c r="J595" s="11" t="n">
        <v>3000</v>
      </c>
      <c r="K595" s="12" t="n">
        <v>0.1</v>
      </c>
      <c r="L595" s="11" t="n">
        <v>2000</v>
      </c>
      <c r="M595" s="11" t="n">
        <f aca="false">I595*J595*(1-K595)</f>
        <v>5400</v>
      </c>
      <c r="N595" s="11" t="n">
        <f aca="false">M595-I595*L595</f>
        <v>1400</v>
      </c>
    </row>
    <row r="596" customFormat="false" ht="15" hidden="false" customHeight="false" outlineLevel="0" collapsed="false">
      <c r="A596" s="2" t="s">
        <v>648</v>
      </c>
      <c r="B596" s="2" t="s">
        <v>649</v>
      </c>
      <c r="C596" s="10" t="n">
        <v>45772</v>
      </c>
      <c r="D596" s="2" t="n">
        <f aca="false">MONTH(C596)</f>
        <v>4</v>
      </c>
      <c r="E596" s="2" t="s">
        <v>91</v>
      </c>
      <c r="F596" s="2" t="s">
        <v>92</v>
      </c>
      <c r="G596" s="2" t="s">
        <v>73</v>
      </c>
      <c r="H596" s="2" t="s">
        <v>74</v>
      </c>
      <c r="I596" s="2" t="n">
        <v>6</v>
      </c>
      <c r="J596" s="11" t="n">
        <v>7000</v>
      </c>
      <c r="K596" s="12" t="n">
        <v>0.15</v>
      </c>
      <c r="L596" s="11" t="n">
        <v>4800</v>
      </c>
      <c r="M596" s="11" t="n">
        <f aca="false">I596*J596*(1-K596)</f>
        <v>35700</v>
      </c>
      <c r="N596" s="11" t="n">
        <f aca="false">M596-I596*L596</f>
        <v>6900</v>
      </c>
    </row>
    <row r="597" customFormat="false" ht="15" hidden="false" customHeight="false" outlineLevel="0" collapsed="false">
      <c r="A597" s="2" t="s">
        <v>1073</v>
      </c>
      <c r="B597" s="2" t="s">
        <v>1071</v>
      </c>
      <c r="C597" s="10" t="n">
        <v>45772</v>
      </c>
      <c r="D597" s="2" t="n">
        <f aca="false">MONTH(C597)</f>
        <v>4</v>
      </c>
      <c r="E597" s="2" t="s">
        <v>77</v>
      </c>
      <c r="F597" s="2" t="s">
        <v>92</v>
      </c>
      <c r="G597" s="2" t="s">
        <v>73</v>
      </c>
      <c r="H597" s="2" t="s">
        <v>104</v>
      </c>
      <c r="I597" s="2" t="n">
        <v>8</v>
      </c>
      <c r="J597" s="11" t="n">
        <v>5500</v>
      </c>
      <c r="K597" s="12" t="n">
        <v>0.15</v>
      </c>
      <c r="L597" s="11" t="n">
        <v>3600</v>
      </c>
      <c r="M597" s="11" t="n">
        <f aca="false">I597*J597*(1-K597)</f>
        <v>37400</v>
      </c>
      <c r="N597" s="11" t="n">
        <f aca="false">M597-I597*L597</f>
        <v>8600</v>
      </c>
    </row>
    <row r="598" customFormat="false" ht="15" hidden="false" customHeight="false" outlineLevel="0" collapsed="false">
      <c r="A598" s="2" t="s">
        <v>1333</v>
      </c>
      <c r="B598" s="2" t="s">
        <v>1334</v>
      </c>
      <c r="C598" s="10" t="n">
        <v>45772</v>
      </c>
      <c r="D598" s="2" t="n">
        <f aca="false">MONTH(C598)</f>
        <v>4</v>
      </c>
      <c r="E598" s="2" t="s">
        <v>81</v>
      </c>
      <c r="F598" s="2" t="s">
        <v>64</v>
      </c>
      <c r="G598" s="2" t="s">
        <v>73</v>
      </c>
      <c r="H598" s="2" t="s">
        <v>85</v>
      </c>
      <c r="I598" s="2" t="n">
        <v>3</v>
      </c>
      <c r="J598" s="11" t="n">
        <v>1200</v>
      </c>
      <c r="K598" s="12" t="n">
        <v>0</v>
      </c>
      <c r="L598" s="11" t="n">
        <v>600</v>
      </c>
      <c r="M598" s="11" t="n">
        <f aca="false">I598*J598*(1-K598)</f>
        <v>3600</v>
      </c>
      <c r="N598" s="11" t="n">
        <f aca="false">M598-I598*L598</f>
        <v>1800</v>
      </c>
    </row>
    <row r="599" customFormat="false" ht="15" hidden="false" customHeight="false" outlineLevel="0" collapsed="false">
      <c r="A599" s="2" t="s">
        <v>2301</v>
      </c>
      <c r="B599" s="2" t="s">
        <v>2299</v>
      </c>
      <c r="C599" s="10" t="n">
        <v>45772</v>
      </c>
      <c r="D599" s="2" t="n">
        <f aca="false">MONTH(C599)</f>
        <v>4</v>
      </c>
      <c r="E599" s="2" t="s">
        <v>63</v>
      </c>
      <c r="F599" s="2" t="s">
        <v>64</v>
      </c>
      <c r="G599" s="2" t="s">
        <v>65</v>
      </c>
      <c r="H599" s="2" t="s">
        <v>107</v>
      </c>
      <c r="I599" s="2" t="n">
        <v>3</v>
      </c>
      <c r="J599" s="11" t="n">
        <v>500</v>
      </c>
      <c r="K599" s="12" t="n">
        <v>0</v>
      </c>
      <c r="L599" s="11" t="n">
        <v>250</v>
      </c>
      <c r="M599" s="11" t="n">
        <f aca="false">I599*J599*(1-K599)</f>
        <v>1500</v>
      </c>
      <c r="N599" s="11" t="n">
        <f aca="false">M599-I599*L599</f>
        <v>750</v>
      </c>
    </row>
    <row r="600" customFormat="false" ht="15" hidden="false" customHeight="false" outlineLevel="0" collapsed="false">
      <c r="A600" s="2" t="s">
        <v>2445</v>
      </c>
      <c r="B600" s="2" t="s">
        <v>2446</v>
      </c>
      <c r="C600" s="10" t="n">
        <v>45772</v>
      </c>
      <c r="D600" s="2" t="n">
        <f aca="false">MONTH(C600)</f>
        <v>4</v>
      </c>
      <c r="E600" s="2" t="s">
        <v>81</v>
      </c>
      <c r="F600" s="2" t="s">
        <v>64</v>
      </c>
      <c r="G600" s="2" t="s">
        <v>65</v>
      </c>
      <c r="H600" s="2" t="s">
        <v>78</v>
      </c>
      <c r="I600" s="2" t="n">
        <v>6</v>
      </c>
      <c r="J600" s="11" t="n">
        <v>400</v>
      </c>
      <c r="K600" s="12" t="n">
        <v>0</v>
      </c>
      <c r="L600" s="11" t="n">
        <v>200</v>
      </c>
      <c r="M600" s="11" t="n">
        <f aca="false">I600*J600*(1-K600)</f>
        <v>2400</v>
      </c>
      <c r="N600" s="11" t="n">
        <f aca="false">M600-I600*L600</f>
        <v>1200</v>
      </c>
    </row>
    <row r="601" customFormat="false" ht="15" hidden="false" customHeight="false" outlineLevel="0" collapsed="false">
      <c r="A601" s="2" t="s">
        <v>2542</v>
      </c>
      <c r="B601" s="2" t="s">
        <v>2541</v>
      </c>
      <c r="C601" s="10" t="n">
        <v>45772</v>
      </c>
      <c r="D601" s="2" t="n">
        <f aca="false">MONTH(C601)</f>
        <v>4</v>
      </c>
      <c r="E601" s="2" t="s">
        <v>91</v>
      </c>
      <c r="F601" s="2" t="s">
        <v>64</v>
      </c>
      <c r="G601" s="2" t="s">
        <v>70</v>
      </c>
      <c r="H601" s="2" t="s">
        <v>71</v>
      </c>
      <c r="I601" s="2" t="n">
        <v>2</v>
      </c>
      <c r="J601" s="11" t="n">
        <v>2500</v>
      </c>
      <c r="K601" s="12" t="n">
        <v>0.1</v>
      </c>
      <c r="L601" s="11" t="n">
        <v>1600</v>
      </c>
      <c r="M601" s="11" t="n">
        <f aca="false">I601*J601*(1-K601)</f>
        <v>4500</v>
      </c>
      <c r="N601" s="11" t="n">
        <f aca="false">M601-I601*L601</f>
        <v>1300</v>
      </c>
    </row>
    <row r="602" customFormat="false" ht="15" hidden="false" customHeight="false" outlineLevel="0" collapsed="false">
      <c r="A602" s="2" t="s">
        <v>2645</v>
      </c>
      <c r="B602" s="2" t="s">
        <v>2644</v>
      </c>
      <c r="C602" s="10" t="n">
        <v>45772</v>
      </c>
      <c r="D602" s="2" t="n">
        <f aca="false">MONTH(C602)</f>
        <v>4</v>
      </c>
      <c r="E602" s="2" t="s">
        <v>63</v>
      </c>
      <c r="F602" s="2" t="s">
        <v>64</v>
      </c>
      <c r="G602" s="2" t="s">
        <v>70</v>
      </c>
      <c r="H602" s="2" t="s">
        <v>71</v>
      </c>
      <c r="I602" s="2" t="n">
        <v>1</v>
      </c>
      <c r="J602" s="11" t="n">
        <v>2500</v>
      </c>
      <c r="K602" s="12" t="n">
        <v>0</v>
      </c>
      <c r="L602" s="11" t="n">
        <v>1600</v>
      </c>
      <c r="M602" s="11" t="n">
        <f aca="false">I602*J602*(1-K602)</f>
        <v>2500</v>
      </c>
      <c r="N602" s="11" t="n">
        <f aca="false">M602-I602*L602</f>
        <v>900</v>
      </c>
    </row>
    <row r="603" customFormat="false" ht="15" hidden="false" customHeight="false" outlineLevel="0" collapsed="false">
      <c r="A603" s="2" t="s">
        <v>908</v>
      </c>
      <c r="B603" s="2" t="s">
        <v>904</v>
      </c>
      <c r="C603" s="10" t="n">
        <v>45773</v>
      </c>
      <c r="D603" s="2" t="n">
        <f aca="false">MONTH(C603)</f>
        <v>4</v>
      </c>
      <c r="E603" s="2" t="s">
        <v>77</v>
      </c>
      <c r="F603" s="2" t="s">
        <v>64</v>
      </c>
      <c r="G603" s="2" t="s">
        <v>65</v>
      </c>
      <c r="H603" s="2" t="s">
        <v>78</v>
      </c>
      <c r="I603" s="2" t="n">
        <v>8</v>
      </c>
      <c r="J603" s="11" t="n">
        <v>400</v>
      </c>
      <c r="K603" s="12" t="n">
        <v>0</v>
      </c>
      <c r="L603" s="11" t="n">
        <v>200</v>
      </c>
      <c r="M603" s="11" t="n">
        <f aca="false">I603*J603*(1-K603)</f>
        <v>3200</v>
      </c>
      <c r="N603" s="11" t="n">
        <f aca="false">M603-I603*L603</f>
        <v>1600</v>
      </c>
    </row>
    <row r="604" customFormat="false" ht="15" hidden="false" customHeight="false" outlineLevel="0" collapsed="false">
      <c r="A604" s="2" t="s">
        <v>1196</v>
      </c>
      <c r="B604" s="2" t="s">
        <v>1195</v>
      </c>
      <c r="C604" s="10" t="n">
        <v>45773</v>
      </c>
      <c r="D604" s="2" t="n">
        <f aca="false">MONTH(C604)</f>
        <v>4</v>
      </c>
      <c r="E604" s="2" t="s">
        <v>77</v>
      </c>
      <c r="F604" s="2" t="s">
        <v>92</v>
      </c>
      <c r="G604" s="2" t="s">
        <v>73</v>
      </c>
      <c r="H604" s="2" t="s">
        <v>87</v>
      </c>
      <c r="I604" s="2" t="n">
        <v>8</v>
      </c>
      <c r="J604" s="11" t="n">
        <v>9000</v>
      </c>
      <c r="K604" s="12" t="n">
        <v>0</v>
      </c>
      <c r="L604" s="11" t="n">
        <v>6200</v>
      </c>
      <c r="M604" s="11" t="n">
        <f aca="false">I604*J604*(1-K604)</f>
        <v>72000</v>
      </c>
      <c r="N604" s="11" t="n">
        <f aca="false">M604-I604*L604</f>
        <v>22400</v>
      </c>
    </row>
    <row r="605" customFormat="false" ht="15" hidden="false" customHeight="false" outlineLevel="0" collapsed="false">
      <c r="A605" s="2" t="s">
        <v>1535</v>
      </c>
      <c r="B605" s="2" t="s">
        <v>1534</v>
      </c>
      <c r="C605" s="10" t="n">
        <v>45773</v>
      </c>
      <c r="D605" s="2" t="n">
        <f aca="false">MONTH(C605)</f>
        <v>4</v>
      </c>
      <c r="E605" s="2" t="s">
        <v>81</v>
      </c>
      <c r="F605" s="2" t="s">
        <v>64</v>
      </c>
      <c r="G605" s="2" t="s">
        <v>65</v>
      </c>
      <c r="H605" s="2" t="s">
        <v>82</v>
      </c>
      <c r="I605" s="2" t="n">
        <v>3</v>
      </c>
      <c r="J605" s="11" t="n">
        <v>250</v>
      </c>
      <c r="K605" s="12" t="n">
        <v>0.05</v>
      </c>
      <c r="L605" s="11" t="n">
        <v>100</v>
      </c>
      <c r="M605" s="11" t="n">
        <f aca="false">I605*J605*(1-K605)</f>
        <v>712.5</v>
      </c>
      <c r="N605" s="11" t="n">
        <f aca="false">M605-I605*L605</f>
        <v>412.5</v>
      </c>
    </row>
    <row r="606" customFormat="false" ht="15" hidden="false" customHeight="false" outlineLevel="0" collapsed="false">
      <c r="A606" s="2" t="s">
        <v>1936</v>
      </c>
      <c r="B606" s="2" t="s">
        <v>1937</v>
      </c>
      <c r="C606" s="10" t="n">
        <v>45773</v>
      </c>
      <c r="D606" s="2" t="n">
        <f aca="false">MONTH(C606)</f>
        <v>4</v>
      </c>
      <c r="E606" s="2" t="s">
        <v>81</v>
      </c>
      <c r="F606" s="2" t="s">
        <v>92</v>
      </c>
      <c r="G606" s="2" t="s">
        <v>70</v>
      </c>
      <c r="H606" s="2" t="s">
        <v>71</v>
      </c>
      <c r="I606" s="2" t="n">
        <v>5</v>
      </c>
      <c r="J606" s="11" t="n">
        <v>2500</v>
      </c>
      <c r="K606" s="12" t="n">
        <v>0.15</v>
      </c>
      <c r="L606" s="11" t="n">
        <v>1600</v>
      </c>
      <c r="M606" s="11" t="n">
        <f aca="false">I606*J606*(1-K606)</f>
        <v>10625</v>
      </c>
      <c r="N606" s="11" t="n">
        <f aca="false">M606-I606*L606</f>
        <v>2625</v>
      </c>
    </row>
    <row r="607" customFormat="false" ht="15" hidden="false" customHeight="false" outlineLevel="0" collapsed="false">
      <c r="A607" s="2" t="s">
        <v>1974</v>
      </c>
      <c r="B607" s="2" t="s">
        <v>1973</v>
      </c>
      <c r="C607" s="10" t="n">
        <v>45773</v>
      </c>
      <c r="D607" s="2" t="n">
        <f aca="false">MONTH(C607)</f>
        <v>4</v>
      </c>
      <c r="E607" s="2" t="s">
        <v>81</v>
      </c>
      <c r="F607" s="2" t="s">
        <v>64</v>
      </c>
      <c r="G607" s="2" t="s">
        <v>70</v>
      </c>
      <c r="H607" s="2" t="s">
        <v>122</v>
      </c>
      <c r="I607" s="2" t="n">
        <v>1</v>
      </c>
      <c r="J607" s="11" t="n">
        <v>1500</v>
      </c>
      <c r="K607" s="12" t="n">
        <v>0.05</v>
      </c>
      <c r="L607" s="11" t="n">
        <v>900</v>
      </c>
      <c r="M607" s="11" t="n">
        <f aca="false">I607*J607*(1-K607)</f>
        <v>1425</v>
      </c>
      <c r="N607" s="11" t="n">
        <f aca="false">M607-I607*L607</f>
        <v>525</v>
      </c>
    </row>
    <row r="608" customFormat="false" ht="15" hidden="false" customHeight="false" outlineLevel="0" collapsed="false">
      <c r="A608" s="2" t="s">
        <v>2036</v>
      </c>
      <c r="B608" s="2" t="s">
        <v>2034</v>
      </c>
      <c r="C608" s="10" t="n">
        <v>45773</v>
      </c>
      <c r="D608" s="2" t="n">
        <f aca="false">MONTH(C608)</f>
        <v>4</v>
      </c>
      <c r="E608" s="2" t="s">
        <v>63</v>
      </c>
      <c r="F608" s="2" t="s">
        <v>69</v>
      </c>
      <c r="G608" s="2" t="s">
        <v>70</v>
      </c>
      <c r="H608" s="2" t="s">
        <v>122</v>
      </c>
      <c r="I608" s="2" t="n">
        <v>2</v>
      </c>
      <c r="J608" s="11" t="n">
        <v>1500</v>
      </c>
      <c r="K608" s="12" t="n">
        <v>0.05</v>
      </c>
      <c r="L608" s="11" t="n">
        <v>900</v>
      </c>
      <c r="M608" s="11" t="n">
        <f aca="false">I608*J608*(1-K608)</f>
        <v>2850</v>
      </c>
      <c r="N608" s="11" t="n">
        <f aca="false">M608-I608*L608</f>
        <v>1050</v>
      </c>
    </row>
    <row r="609" customFormat="false" ht="15" hidden="false" customHeight="false" outlineLevel="0" collapsed="false">
      <c r="A609" s="2" t="s">
        <v>2738</v>
      </c>
      <c r="B609" s="2" t="s">
        <v>2739</v>
      </c>
      <c r="C609" s="10" t="n">
        <v>45773</v>
      </c>
      <c r="D609" s="2" t="n">
        <f aca="false">MONTH(C609)</f>
        <v>4</v>
      </c>
      <c r="E609" s="2" t="s">
        <v>91</v>
      </c>
      <c r="F609" s="2" t="s">
        <v>69</v>
      </c>
      <c r="G609" s="2" t="s">
        <v>65</v>
      </c>
      <c r="H609" s="2" t="s">
        <v>78</v>
      </c>
      <c r="I609" s="2" t="n">
        <v>15</v>
      </c>
      <c r="J609" s="11" t="n">
        <v>400</v>
      </c>
      <c r="K609" s="12" t="n">
        <v>0</v>
      </c>
      <c r="L609" s="11" t="n">
        <v>200</v>
      </c>
      <c r="M609" s="11" t="n">
        <f aca="false">I609*J609*(1-K609)</f>
        <v>6000</v>
      </c>
      <c r="N609" s="11" t="n">
        <f aca="false">M609-I609*L609</f>
        <v>3000</v>
      </c>
    </row>
    <row r="610" customFormat="false" ht="15" hidden="false" customHeight="false" outlineLevel="0" collapsed="false">
      <c r="A610" s="2" t="s">
        <v>2758</v>
      </c>
      <c r="B610" s="2" t="s">
        <v>2757</v>
      </c>
      <c r="C610" s="10" t="n">
        <v>45773</v>
      </c>
      <c r="D610" s="2" t="n">
        <f aca="false">MONTH(C610)</f>
        <v>4</v>
      </c>
      <c r="E610" s="2" t="s">
        <v>91</v>
      </c>
      <c r="F610" s="2" t="s">
        <v>92</v>
      </c>
      <c r="G610" s="2" t="s">
        <v>73</v>
      </c>
      <c r="H610" s="2" t="s">
        <v>85</v>
      </c>
      <c r="I610" s="2" t="n">
        <v>5</v>
      </c>
      <c r="J610" s="11" t="n">
        <v>1200</v>
      </c>
      <c r="K610" s="12" t="n">
        <v>0.1</v>
      </c>
      <c r="L610" s="11" t="n">
        <v>600</v>
      </c>
      <c r="M610" s="11" t="n">
        <f aca="false">I610*J610*(1-K610)</f>
        <v>5400</v>
      </c>
      <c r="N610" s="11" t="n">
        <f aca="false">M610-I610*L610</f>
        <v>2400</v>
      </c>
    </row>
    <row r="611" customFormat="false" ht="15" hidden="false" customHeight="false" outlineLevel="0" collapsed="false">
      <c r="A611" s="2" t="s">
        <v>2836</v>
      </c>
      <c r="B611" s="2" t="s">
        <v>2834</v>
      </c>
      <c r="C611" s="10" t="n">
        <v>45773</v>
      </c>
      <c r="D611" s="2" t="n">
        <f aca="false">MONTH(C611)</f>
        <v>4</v>
      </c>
      <c r="E611" s="2" t="s">
        <v>77</v>
      </c>
      <c r="F611" s="2" t="s">
        <v>64</v>
      </c>
      <c r="G611" s="2" t="s">
        <v>70</v>
      </c>
      <c r="H611" s="2" t="s">
        <v>71</v>
      </c>
      <c r="I611" s="2" t="n">
        <v>2</v>
      </c>
      <c r="J611" s="11" t="n">
        <v>2500</v>
      </c>
      <c r="K611" s="12" t="n">
        <v>0.1</v>
      </c>
      <c r="L611" s="11" t="n">
        <v>1600</v>
      </c>
      <c r="M611" s="11" t="n">
        <f aca="false">I611*J611*(1-K611)</f>
        <v>4500</v>
      </c>
      <c r="N611" s="11" t="n">
        <f aca="false">M611-I611*L611</f>
        <v>1300</v>
      </c>
    </row>
    <row r="612" customFormat="false" ht="15" hidden="false" customHeight="false" outlineLevel="0" collapsed="false">
      <c r="A612" s="2" t="s">
        <v>668</v>
      </c>
      <c r="B612" s="2" t="s">
        <v>664</v>
      </c>
      <c r="C612" s="10" t="n">
        <v>45774</v>
      </c>
      <c r="D612" s="2" t="n">
        <f aca="false">MONTH(C612)</f>
        <v>4</v>
      </c>
      <c r="E612" s="2" t="s">
        <v>77</v>
      </c>
      <c r="F612" s="2" t="s">
        <v>64</v>
      </c>
      <c r="G612" s="2" t="s">
        <v>65</v>
      </c>
      <c r="H612" s="2" t="s">
        <v>78</v>
      </c>
      <c r="I612" s="2" t="n">
        <v>7</v>
      </c>
      <c r="J612" s="11" t="n">
        <v>400</v>
      </c>
      <c r="K612" s="12" t="n">
        <v>0.05</v>
      </c>
      <c r="L612" s="11" t="n">
        <v>200</v>
      </c>
      <c r="M612" s="11" t="n">
        <f aca="false">I612*J612*(1-K612)</f>
        <v>2660</v>
      </c>
      <c r="N612" s="11" t="n">
        <f aca="false">M612-I612*L612</f>
        <v>1260</v>
      </c>
    </row>
    <row r="613" customFormat="false" ht="15" hidden="false" customHeight="false" outlineLevel="0" collapsed="false">
      <c r="A613" s="2" t="s">
        <v>1834</v>
      </c>
      <c r="B613" s="2" t="s">
        <v>1835</v>
      </c>
      <c r="C613" s="10" t="n">
        <v>45774</v>
      </c>
      <c r="D613" s="2" t="n">
        <f aca="false">MONTH(C613)</f>
        <v>4</v>
      </c>
      <c r="E613" s="2" t="s">
        <v>91</v>
      </c>
      <c r="F613" s="2" t="s">
        <v>64</v>
      </c>
      <c r="G613" s="2" t="s">
        <v>65</v>
      </c>
      <c r="H613" s="2" t="s">
        <v>107</v>
      </c>
      <c r="I613" s="2" t="n">
        <v>4</v>
      </c>
      <c r="J613" s="11" t="n">
        <v>500</v>
      </c>
      <c r="K613" s="12" t="n">
        <v>0.05</v>
      </c>
      <c r="L613" s="11" t="n">
        <v>250</v>
      </c>
      <c r="M613" s="11" t="n">
        <f aca="false">I613*J613*(1-K613)</f>
        <v>1900</v>
      </c>
      <c r="N613" s="11" t="n">
        <f aca="false">M613-I613*L613</f>
        <v>900</v>
      </c>
    </row>
    <row r="614" customFormat="false" ht="15" hidden="false" customHeight="false" outlineLevel="0" collapsed="false">
      <c r="A614" s="2" t="s">
        <v>2377</v>
      </c>
      <c r="B614" s="2" t="s">
        <v>2378</v>
      </c>
      <c r="C614" s="10" t="n">
        <v>45774</v>
      </c>
      <c r="D614" s="2" t="n">
        <f aca="false">MONTH(C614)</f>
        <v>4</v>
      </c>
      <c r="E614" s="2" t="s">
        <v>91</v>
      </c>
      <c r="F614" s="2" t="s">
        <v>69</v>
      </c>
      <c r="G614" s="2" t="s">
        <v>73</v>
      </c>
      <c r="H614" s="2" t="s">
        <v>104</v>
      </c>
      <c r="I614" s="2" t="n">
        <v>4</v>
      </c>
      <c r="J614" s="11" t="n">
        <v>5500</v>
      </c>
      <c r="K614" s="12" t="n">
        <v>0</v>
      </c>
      <c r="L614" s="11" t="n">
        <v>3600</v>
      </c>
      <c r="M614" s="11" t="n">
        <f aca="false">I614*J614*(1-K614)</f>
        <v>22000</v>
      </c>
      <c r="N614" s="11" t="n">
        <f aca="false">M614-I614*L614</f>
        <v>7600</v>
      </c>
    </row>
    <row r="615" customFormat="false" ht="15" hidden="false" customHeight="false" outlineLevel="0" collapsed="false">
      <c r="A615" s="2" t="s">
        <v>1003</v>
      </c>
      <c r="B615" s="2" t="s">
        <v>1004</v>
      </c>
      <c r="C615" s="10" t="n">
        <v>45775</v>
      </c>
      <c r="D615" s="2" t="n">
        <f aca="false">MONTH(C615)</f>
        <v>4</v>
      </c>
      <c r="E615" s="2" t="s">
        <v>77</v>
      </c>
      <c r="F615" s="2" t="s">
        <v>69</v>
      </c>
      <c r="G615" s="2" t="s">
        <v>65</v>
      </c>
      <c r="H615" s="2" t="s">
        <v>107</v>
      </c>
      <c r="I615" s="2" t="n">
        <v>6</v>
      </c>
      <c r="J615" s="11" t="n">
        <v>500</v>
      </c>
      <c r="K615" s="12" t="n">
        <v>0</v>
      </c>
      <c r="L615" s="11" t="n">
        <v>250</v>
      </c>
      <c r="M615" s="11" t="n">
        <f aca="false">I615*J615*(1-K615)</f>
        <v>3000</v>
      </c>
      <c r="N615" s="11" t="n">
        <f aca="false">M615-I615*L615</f>
        <v>1500</v>
      </c>
    </row>
    <row r="616" customFormat="false" ht="15" hidden="false" customHeight="false" outlineLevel="0" collapsed="false">
      <c r="A616" s="2" t="s">
        <v>1103</v>
      </c>
      <c r="B616" s="2" t="s">
        <v>1102</v>
      </c>
      <c r="C616" s="10" t="n">
        <v>45775</v>
      </c>
      <c r="D616" s="2" t="n">
        <f aca="false">MONTH(C616)</f>
        <v>4</v>
      </c>
      <c r="E616" s="2" t="s">
        <v>63</v>
      </c>
      <c r="F616" s="2" t="s">
        <v>69</v>
      </c>
      <c r="G616" s="2" t="s">
        <v>65</v>
      </c>
      <c r="H616" s="2" t="s">
        <v>82</v>
      </c>
      <c r="I616" s="2" t="n">
        <v>19</v>
      </c>
      <c r="J616" s="11" t="n">
        <v>250</v>
      </c>
      <c r="K616" s="12" t="n">
        <v>0</v>
      </c>
      <c r="L616" s="11" t="n">
        <v>100</v>
      </c>
      <c r="M616" s="11" t="n">
        <f aca="false">I616*J616*(1-K616)</f>
        <v>4750</v>
      </c>
      <c r="N616" s="11" t="n">
        <f aca="false">M616-I616*L616</f>
        <v>2850</v>
      </c>
    </row>
    <row r="617" customFormat="false" ht="15" hidden="false" customHeight="false" outlineLevel="0" collapsed="false">
      <c r="A617" s="2" t="s">
        <v>2615</v>
      </c>
      <c r="B617" s="2" t="s">
        <v>2612</v>
      </c>
      <c r="C617" s="10" t="n">
        <v>45775</v>
      </c>
      <c r="D617" s="2" t="n">
        <f aca="false">MONTH(C617)</f>
        <v>4</v>
      </c>
      <c r="E617" s="2" t="s">
        <v>77</v>
      </c>
      <c r="F617" s="2" t="s">
        <v>69</v>
      </c>
      <c r="G617" s="2" t="s">
        <v>73</v>
      </c>
      <c r="H617" s="2" t="s">
        <v>104</v>
      </c>
      <c r="I617" s="2" t="n">
        <v>3</v>
      </c>
      <c r="J617" s="11" t="n">
        <v>5500</v>
      </c>
      <c r="K617" s="12" t="n">
        <v>0</v>
      </c>
      <c r="L617" s="11" t="n">
        <v>3600</v>
      </c>
      <c r="M617" s="11" t="n">
        <f aca="false">I617*J617*(1-K617)</f>
        <v>16500</v>
      </c>
      <c r="N617" s="11" t="n">
        <f aca="false">M617-I617*L617</f>
        <v>5700</v>
      </c>
    </row>
    <row r="618" customFormat="false" ht="15" hidden="false" customHeight="false" outlineLevel="0" collapsed="false">
      <c r="A618" s="2" t="s">
        <v>874</v>
      </c>
      <c r="B618" s="2" t="s">
        <v>875</v>
      </c>
      <c r="C618" s="10" t="n">
        <v>45778</v>
      </c>
      <c r="D618" s="2" t="n">
        <f aca="false">MONTH(C618)</f>
        <v>5</v>
      </c>
      <c r="E618" s="2" t="s">
        <v>77</v>
      </c>
      <c r="F618" s="2" t="s">
        <v>64</v>
      </c>
      <c r="G618" s="2" t="s">
        <v>65</v>
      </c>
      <c r="H618" s="2" t="s">
        <v>82</v>
      </c>
      <c r="I618" s="2" t="n">
        <v>2</v>
      </c>
      <c r="J618" s="11" t="n">
        <v>250</v>
      </c>
      <c r="K618" s="12" t="n">
        <v>0</v>
      </c>
      <c r="L618" s="11" t="n">
        <v>100</v>
      </c>
      <c r="M618" s="11" t="n">
        <f aca="false">I618*J618*(1-K618)</f>
        <v>500</v>
      </c>
      <c r="N618" s="11" t="n">
        <f aca="false">M618-I618*L618</f>
        <v>300</v>
      </c>
    </row>
    <row r="619" customFormat="false" ht="15" hidden="false" customHeight="false" outlineLevel="0" collapsed="false">
      <c r="A619" s="2" t="s">
        <v>2079</v>
      </c>
      <c r="B619" s="2" t="s">
        <v>2077</v>
      </c>
      <c r="C619" s="10" t="n">
        <v>45778</v>
      </c>
      <c r="D619" s="2" t="n">
        <f aca="false">MONTH(C619)</f>
        <v>5</v>
      </c>
      <c r="E619" s="2" t="s">
        <v>77</v>
      </c>
      <c r="F619" s="2" t="s">
        <v>64</v>
      </c>
      <c r="G619" s="2" t="s">
        <v>65</v>
      </c>
      <c r="H619" s="2" t="s">
        <v>66</v>
      </c>
      <c r="I619" s="2" t="n">
        <v>3</v>
      </c>
      <c r="J619" s="11" t="n">
        <v>600</v>
      </c>
      <c r="K619" s="12" t="n">
        <v>0</v>
      </c>
      <c r="L619" s="11" t="n">
        <v>300</v>
      </c>
      <c r="M619" s="11" t="n">
        <f aca="false">I619*J619*(1-K619)</f>
        <v>1800</v>
      </c>
      <c r="N619" s="11" t="n">
        <f aca="false">M619-I619*L619</f>
        <v>900</v>
      </c>
    </row>
    <row r="620" customFormat="false" ht="15" hidden="false" customHeight="false" outlineLevel="0" collapsed="false">
      <c r="A620" s="2" t="s">
        <v>2161</v>
      </c>
      <c r="B620" s="2" t="s">
        <v>2160</v>
      </c>
      <c r="C620" s="10" t="n">
        <v>45778</v>
      </c>
      <c r="D620" s="2" t="n">
        <f aca="false">MONTH(C620)</f>
        <v>5</v>
      </c>
      <c r="E620" s="2" t="s">
        <v>77</v>
      </c>
      <c r="F620" s="2" t="s">
        <v>64</v>
      </c>
      <c r="G620" s="2" t="s">
        <v>65</v>
      </c>
      <c r="H620" s="2" t="s">
        <v>78</v>
      </c>
      <c r="I620" s="2" t="n">
        <v>2</v>
      </c>
      <c r="J620" s="11" t="n">
        <v>400</v>
      </c>
      <c r="K620" s="12" t="n">
        <v>0</v>
      </c>
      <c r="L620" s="11" t="n">
        <v>200</v>
      </c>
      <c r="M620" s="11" t="n">
        <f aca="false">I620*J620*(1-K620)</f>
        <v>800</v>
      </c>
      <c r="N620" s="11" t="n">
        <f aca="false">M620-I620*L620</f>
        <v>400</v>
      </c>
    </row>
    <row r="621" customFormat="false" ht="15" hidden="false" customHeight="false" outlineLevel="0" collapsed="false">
      <c r="A621" s="2" t="s">
        <v>2604</v>
      </c>
      <c r="B621" s="2" t="s">
        <v>2602</v>
      </c>
      <c r="C621" s="10" t="n">
        <v>45778</v>
      </c>
      <c r="D621" s="2" t="n">
        <f aca="false">MONTH(C621)</f>
        <v>5</v>
      </c>
      <c r="E621" s="2" t="s">
        <v>63</v>
      </c>
      <c r="F621" s="2" t="s">
        <v>64</v>
      </c>
      <c r="G621" s="2" t="s">
        <v>70</v>
      </c>
      <c r="H621" s="2" t="s">
        <v>126</v>
      </c>
      <c r="I621" s="2" t="n">
        <v>1</v>
      </c>
      <c r="J621" s="11" t="n">
        <v>4500</v>
      </c>
      <c r="K621" s="12" t="n">
        <v>0</v>
      </c>
      <c r="L621" s="11" t="n">
        <v>3300</v>
      </c>
      <c r="M621" s="11" t="n">
        <f aca="false">I621*J621*(1-K621)</f>
        <v>4500</v>
      </c>
      <c r="N621" s="11" t="n">
        <f aca="false">M621-I621*L621</f>
        <v>1200</v>
      </c>
    </row>
    <row r="622" customFormat="false" ht="15" hidden="false" customHeight="false" outlineLevel="0" collapsed="false">
      <c r="A622" s="2" t="s">
        <v>2918</v>
      </c>
      <c r="B622" s="2" t="s">
        <v>2916</v>
      </c>
      <c r="C622" s="10" t="n">
        <v>45778</v>
      </c>
      <c r="D622" s="2" t="n">
        <f aca="false">MONTH(C622)</f>
        <v>5</v>
      </c>
      <c r="E622" s="2" t="s">
        <v>63</v>
      </c>
      <c r="F622" s="2" t="s">
        <v>69</v>
      </c>
      <c r="G622" s="2" t="s">
        <v>65</v>
      </c>
      <c r="H622" s="2" t="s">
        <v>66</v>
      </c>
      <c r="I622" s="2" t="n">
        <v>19</v>
      </c>
      <c r="J622" s="11" t="n">
        <v>600</v>
      </c>
      <c r="K622" s="12" t="n">
        <v>0</v>
      </c>
      <c r="L622" s="11" t="n">
        <v>300</v>
      </c>
      <c r="M622" s="11" t="n">
        <f aca="false">I622*J622*(1-K622)</f>
        <v>11400</v>
      </c>
      <c r="N622" s="11" t="n">
        <f aca="false">M622-I622*L622</f>
        <v>5700</v>
      </c>
    </row>
    <row r="623" customFormat="false" ht="15" hidden="false" customHeight="false" outlineLevel="0" collapsed="false">
      <c r="A623" s="2" t="s">
        <v>209</v>
      </c>
      <c r="B623" s="2" t="s">
        <v>210</v>
      </c>
      <c r="C623" s="10" t="n">
        <v>45779</v>
      </c>
      <c r="D623" s="2" t="n">
        <f aca="false">MONTH(C623)</f>
        <v>5</v>
      </c>
      <c r="E623" s="2" t="s">
        <v>77</v>
      </c>
      <c r="F623" s="2" t="s">
        <v>64</v>
      </c>
      <c r="G623" s="2" t="s">
        <v>65</v>
      </c>
      <c r="H623" s="2" t="s">
        <v>66</v>
      </c>
      <c r="I623" s="2" t="n">
        <v>6</v>
      </c>
      <c r="J623" s="11" t="n">
        <v>600</v>
      </c>
      <c r="K623" s="12" t="n">
        <v>0</v>
      </c>
      <c r="L623" s="11" t="n">
        <v>300</v>
      </c>
      <c r="M623" s="11" t="n">
        <f aca="false">I623*J623*(1-K623)</f>
        <v>3600</v>
      </c>
      <c r="N623" s="11" t="n">
        <f aca="false">M623-I623*L623</f>
        <v>1800</v>
      </c>
    </row>
    <row r="624" customFormat="false" ht="15" hidden="false" customHeight="false" outlineLevel="0" collapsed="false">
      <c r="A624" s="2" t="s">
        <v>291</v>
      </c>
      <c r="B624" s="2" t="s">
        <v>290</v>
      </c>
      <c r="C624" s="10" t="n">
        <v>45779</v>
      </c>
      <c r="D624" s="2" t="n">
        <f aca="false">MONTH(C624)</f>
        <v>5</v>
      </c>
      <c r="E624" s="2" t="s">
        <v>77</v>
      </c>
      <c r="F624" s="2" t="s">
        <v>64</v>
      </c>
      <c r="G624" s="2" t="s">
        <v>65</v>
      </c>
      <c r="H624" s="2" t="s">
        <v>78</v>
      </c>
      <c r="I624" s="2" t="n">
        <v>2</v>
      </c>
      <c r="J624" s="11" t="n">
        <v>400</v>
      </c>
      <c r="K624" s="12" t="n">
        <v>0.1</v>
      </c>
      <c r="L624" s="11" t="n">
        <v>200</v>
      </c>
      <c r="M624" s="11" t="n">
        <f aca="false">I624*J624*(1-K624)</f>
        <v>720</v>
      </c>
      <c r="N624" s="11" t="n">
        <f aca="false">M624-I624*L624</f>
        <v>320</v>
      </c>
    </row>
    <row r="625" customFormat="false" ht="15" hidden="false" customHeight="false" outlineLevel="0" collapsed="false">
      <c r="A625" s="2" t="s">
        <v>777</v>
      </c>
      <c r="B625" s="2" t="s">
        <v>778</v>
      </c>
      <c r="C625" s="10" t="n">
        <v>45779</v>
      </c>
      <c r="D625" s="2" t="n">
        <f aca="false">MONTH(C625)</f>
        <v>5</v>
      </c>
      <c r="E625" s="2" t="s">
        <v>91</v>
      </c>
      <c r="F625" s="2" t="s">
        <v>92</v>
      </c>
      <c r="G625" s="2" t="s">
        <v>65</v>
      </c>
      <c r="H625" s="2" t="s">
        <v>82</v>
      </c>
      <c r="I625" s="2" t="n">
        <v>23</v>
      </c>
      <c r="J625" s="11" t="n">
        <v>250</v>
      </c>
      <c r="K625" s="12" t="n">
        <v>0.05</v>
      </c>
      <c r="L625" s="11" t="n">
        <v>100</v>
      </c>
      <c r="M625" s="11" t="n">
        <f aca="false">I625*J625*(1-K625)</f>
        <v>5462.5</v>
      </c>
      <c r="N625" s="11" t="n">
        <f aca="false">M625-I625*L625</f>
        <v>3162.5</v>
      </c>
    </row>
    <row r="626" customFormat="false" ht="15" hidden="false" customHeight="false" outlineLevel="0" collapsed="false">
      <c r="A626" s="2" t="s">
        <v>1058</v>
      </c>
      <c r="B626" s="2" t="s">
        <v>1059</v>
      </c>
      <c r="C626" s="10" t="n">
        <v>45779</v>
      </c>
      <c r="D626" s="2" t="n">
        <f aca="false">MONTH(C626)</f>
        <v>5</v>
      </c>
      <c r="E626" s="2" t="s">
        <v>81</v>
      </c>
      <c r="F626" s="2" t="s">
        <v>69</v>
      </c>
      <c r="G626" s="2" t="s">
        <v>73</v>
      </c>
      <c r="H626" s="2" t="s">
        <v>87</v>
      </c>
      <c r="I626" s="2" t="n">
        <v>3</v>
      </c>
      <c r="J626" s="11" t="n">
        <v>9000</v>
      </c>
      <c r="K626" s="12" t="n">
        <v>0</v>
      </c>
      <c r="L626" s="11" t="n">
        <v>6200</v>
      </c>
      <c r="M626" s="11" t="n">
        <f aca="false">I626*J626*(1-K626)</f>
        <v>27000</v>
      </c>
      <c r="N626" s="11" t="n">
        <f aca="false">M626-I626*L626</f>
        <v>8400</v>
      </c>
    </row>
    <row r="627" customFormat="false" ht="15" hidden="false" customHeight="false" outlineLevel="0" collapsed="false">
      <c r="A627" s="2" t="s">
        <v>1198</v>
      </c>
      <c r="B627" s="2" t="s">
        <v>1195</v>
      </c>
      <c r="C627" s="10" t="n">
        <v>45779</v>
      </c>
      <c r="D627" s="2" t="n">
        <f aca="false">MONTH(C627)</f>
        <v>5</v>
      </c>
      <c r="E627" s="2" t="s">
        <v>77</v>
      </c>
      <c r="F627" s="2" t="s">
        <v>92</v>
      </c>
      <c r="G627" s="2" t="s">
        <v>70</v>
      </c>
      <c r="H627" s="2" t="s">
        <v>122</v>
      </c>
      <c r="I627" s="2" t="n">
        <v>3</v>
      </c>
      <c r="J627" s="11" t="n">
        <v>1500</v>
      </c>
      <c r="K627" s="12" t="n">
        <v>0.1</v>
      </c>
      <c r="L627" s="11" t="n">
        <v>900</v>
      </c>
      <c r="M627" s="11" t="n">
        <f aca="false">I627*J627*(1-K627)</f>
        <v>4050</v>
      </c>
      <c r="N627" s="11" t="n">
        <f aca="false">M627-I627*L627</f>
        <v>1350</v>
      </c>
    </row>
    <row r="628" customFormat="false" ht="15" hidden="false" customHeight="false" outlineLevel="0" collapsed="false">
      <c r="A628" s="2" t="s">
        <v>1884</v>
      </c>
      <c r="B628" s="2" t="s">
        <v>1883</v>
      </c>
      <c r="C628" s="10" t="n">
        <v>45779</v>
      </c>
      <c r="D628" s="2" t="n">
        <f aca="false">MONTH(C628)</f>
        <v>5</v>
      </c>
      <c r="E628" s="2" t="s">
        <v>63</v>
      </c>
      <c r="F628" s="2" t="s">
        <v>64</v>
      </c>
      <c r="G628" s="2" t="s">
        <v>73</v>
      </c>
      <c r="H628" s="2" t="s">
        <v>85</v>
      </c>
      <c r="I628" s="2" t="n">
        <v>3</v>
      </c>
      <c r="J628" s="11" t="n">
        <v>1200</v>
      </c>
      <c r="K628" s="12" t="n">
        <v>0.05</v>
      </c>
      <c r="L628" s="11" t="n">
        <v>600</v>
      </c>
      <c r="M628" s="11" t="n">
        <f aca="false">I628*J628*(1-K628)</f>
        <v>3420</v>
      </c>
      <c r="N628" s="11" t="n">
        <f aca="false">M628-I628*L628</f>
        <v>1620</v>
      </c>
    </row>
    <row r="629" customFormat="false" ht="15" hidden="false" customHeight="false" outlineLevel="0" collapsed="false">
      <c r="A629" s="2" t="s">
        <v>2863</v>
      </c>
      <c r="B629" s="2" t="s">
        <v>2862</v>
      </c>
      <c r="C629" s="10" t="n">
        <v>45779</v>
      </c>
      <c r="D629" s="2" t="n">
        <f aca="false">MONTH(C629)</f>
        <v>5</v>
      </c>
      <c r="E629" s="2" t="s">
        <v>77</v>
      </c>
      <c r="F629" s="2" t="s">
        <v>69</v>
      </c>
      <c r="G629" s="2" t="s">
        <v>65</v>
      </c>
      <c r="H629" s="2" t="s">
        <v>107</v>
      </c>
      <c r="I629" s="2" t="n">
        <v>11</v>
      </c>
      <c r="J629" s="11" t="n">
        <v>500</v>
      </c>
      <c r="K629" s="12" t="n">
        <v>0</v>
      </c>
      <c r="L629" s="11" t="n">
        <v>250</v>
      </c>
      <c r="M629" s="11" t="n">
        <f aca="false">I629*J629*(1-K629)</f>
        <v>5500</v>
      </c>
      <c r="N629" s="11" t="n">
        <f aca="false">M629-I629*L629</f>
        <v>2750</v>
      </c>
    </row>
    <row r="630" customFormat="false" ht="15" hidden="false" customHeight="false" outlineLevel="0" collapsed="false">
      <c r="A630" s="2" t="s">
        <v>592</v>
      </c>
      <c r="B630" s="2" t="s">
        <v>593</v>
      </c>
      <c r="C630" s="10" t="n">
        <v>45780</v>
      </c>
      <c r="D630" s="2" t="n">
        <f aca="false">MONTH(C630)</f>
        <v>5</v>
      </c>
      <c r="E630" s="2" t="s">
        <v>81</v>
      </c>
      <c r="F630" s="2" t="s">
        <v>69</v>
      </c>
      <c r="G630" s="2" t="s">
        <v>73</v>
      </c>
      <c r="H630" s="2" t="s">
        <v>74</v>
      </c>
      <c r="I630" s="2" t="n">
        <v>1</v>
      </c>
      <c r="J630" s="11" t="n">
        <v>7000</v>
      </c>
      <c r="K630" s="12" t="n">
        <v>0.1</v>
      </c>
      <c r="L630" s="11" t="n">
        <v>4800</v>
      </c>
      <c r="M630" s="11" t="n">
        <f aca="false">I630*J630*(1-K630)</f>
        <v>6300</v>
      </c>
      <c r="N630" s="11" t="n">
        <f aca="false">M630-I630*L630</f>
        <v>1500</v>
      </c>
    </row>
    <row r="631" customFormat="false" ht="15" hidden="false" customHeight="false" outlineLevel="0" collapsed="false">
      <c r="A631" s="2" t="s">
        <v>851</v>
      </c>
      <c r="B631" s="2" t="s">
        <v>852</v>
      </c>
      <c r="C631" s="10" t="n">
        <v>45780</v>
      </c>
      <c r="D631" s="2" t="n">
        <f aca="false">MONTH(C631)</f>
        <v>5</v>
      </c>
      <c r="E631" s="2" t="s">
        <v>91</v>
      </c>
      <c r="F631" s="2" t="s">
        <v>69</v>
      </c>
      <c r="G631" s="2" t="s">
        <v>65</v>
      </c>
      <c r="H631" s="2" t="s">
        <v>78</v>
      </c>
      <c r="I631" s="2" t="n">
        <v>16</v>
      </c>
      <c r="J631" s="11" t="n">
        <v>400</v>
      </c>
      <c r="K631" s="12" t="n">
        <v>0.05</v>
      </c>
      <c r="L631" s="11" t="n">
        <v>200</v>
      </c>
      <c r="M631" s="11" t="n">
        <f aca="false">I631*J631*(1-K631)</f>
        <v>6080</v>
      </c>
      <c r="N631" s="11" t="n">
        <f aca="false">M631-I631*L631</f>
        <v>2880</v>
      </c>
    </row>
    <row r="632" customFormat="false" ht="15" hidden="false" customHeight="false" outlineLevel="0" collapsed="false">
      <c r="A632" s="2" t="s">
        <v>1151</v>
      </c>
      <c r="B632" s="2" t="s">
        <v>1146</v>
      </c>
      <c r="C632" s="10" t="n">
        <v>45780</v>
      </c>
      <c r="D632" s="2" t="n">
        <f aca="false">MONTH(C632)</f>
        <v>5</v>
      </c>
      <c r="E632" s="2" t="s">
        <v>63</v>
      </c>
      <c r="F632" s="2" t="s">
        <v>64</v>
      </c>
      <c r="G632" s="2" t="s">
        <v>73</v>
      </c>
      <c r="H632" s="2" t="s">
        <v>85</v>
      </c>
      <c r="I632" s="2" t="n">
        <v>1</v>
      </c>
      <c r="J632" s="11" t="n">
        <v>1200</v>
      </c>
      <c r="K632" s="12" t="n">
        <v>0</v>
      </c>
      <c r="L632" s="11" t="n">
        <v>600</v>
      </c>
      <c r="M632" s="11" t="n">
        <f aca="false">I632*J632*(1-K632)</f>
        <v>1200</v>
      </c>
      <c r="N632" s="11" t="n">
        <f aca="false">M632-I632*L632</f>
        <v>600</v>
      </c>
    </row>
    <row r="633" customFormat="false" ht="15" hidden="false" customHeight="false" outlineLevel="0" collapsed="false">
      <c r="A633" s="2" t="s">
        <v>666</v>
      </c>
      <c r="B633" s="2" t="s">
        <v>664</v>
      </c>
      <c r="C633" s="10" t="n">
        <v>45781</v>
      </c>
      <c r="D633" s="2" t="n">
        <f aca="false">MONTH(C633)</f>
        <v>5</v>
      </c>
      <c r="E633" s="2" t="s">
        <v>77</v>
      </c>
      <c r="F633" s="2" t="s">
        <v>64</v>
      </c>
      <c r="G633" s="2" t="s">
        <v>65</v>
      </c>
      <c r="H633" s="2" t="s">
        <v>66</v>
      </c>
      <c r="I633" s="2" t="n">
        <v>4</v>
      </c>
      <c r="J633" s="11" t="n">
        <v>600</v>
      </c>
      <c r="K633" s="12" t="n">
        <v>0.05</v>
      </c>
      <c r="L633" s="11" t="n">
        <v>300</v>
      </c>
      <c r="M633" s="11" t="n">
        <f aca="false">I633*J633*(1-K633)</f>
        <v>2280</v>
      </c>
      <c r="N633" s="11" t="n">
        <f aca="false">M633-I633*L633</f>
        <v>1080</v>
      </c>
    </row>
    <row r="634" customFormat="false" ht="15" hidden="false" customHeight="false" outlineLevel="0" collapsed="false">
      <c r="A634" s="2" t="s">
        <v>1008</v>
      </c>
      <c r="B634" s="2" t="s">
        <v>1009</v>
      </c>
      <c r="C634" s="10" t="n">
        <v>45781</v>
      </c>
      <c r="D634" s="2" t="n">
        <f aca="false">MONTH(C634)</f>
        <v>5</v>
      </c>
      <c r="E634" s="2" t="s">
        <v>63</v>
      </c>
      <c r="F634" s="2" t="s">
        <v>92</v>
      </c>
      <c r="G634" s="2" t="s">
        <v>65</v>
      </c>
      <c r="H634" s="2" t="s">
        <v>78</v>
      </c>
      <c r="I634" s="2" t="n">
        <v>14</v>
      </c>
      <c r="J634" s="11" t="n">
        <v>400</v>
      </c>
      <c r="K634" s="12" t="n">
        <v>0.1</v>
      </c>
      <c r="L634" s="11" t="n">
        <v>200</v>
      </c>
      <c r="M634" s="11" t="n">
        <f aca="false">I634*J634*(1-K634)</f>
        <v>5040</v>
      </c>
      <c r="N634" s="11" t="n">
        <f aca="false">M634-I634*L634</f>
        <v>2240</v>
      </c>
    </row>
    <row r="635" customFormat="false" ht="15" hidden="false" customHeight="false" outlineLevel="0" collapsed="false">
      <c r="A635" s="2" t="s">
        <v>1325</v>
      </c>
      <c r="B635" s="2" t="s">
        <v>1319</v>
      </c>
      <c r="C635" s="10" t="n">
        <v>45781</v>
      </c>
      <c r="D635" s="2" t="n">
        <f aca="false">MONTH(C635)</f>
        <v>5</v>
      </c>
      <c r="E635" s="2" t="s">
        <v>77</v>
      </c>
      <c r="F635" s="2" t="s">
        <v>92</v>
      </c>
      <c r="G635" s="2" t="s">
        <v>73</v>
      </c>
      <c r="H635" s="2" t="s">
        <v>87</v>
      </c>
      <c r="I635" s="2" t="n">
        <v>6</v>
      </c>
      <c r="J635" s="11" t="n">
        <v>9000</v>
      </c>
      <c r="K635" s="12" t="n">
        <v>0.05</v>
      </c>
      <c r="L635" s="11" t="n">
        <v>6200</v>
      </c>
      <c r="M635" s="11" t="n">
        <f aca="false">I635*J635*(1-K635)</f>
        <v>51300</v>
      </c>
      <c r="N635" s="11" t="n">
        <f aca="false">M635-I635*L635</f>
        <v>14100</v>
      </c>
    </row>
    <row r="636" customFormat="false" ht="15" hidden="false" customHeight="false" outlineLevel="0" collapsed="false">
      <c r="A636" s="2" t="s">
        <v>1610</v>
      </c>
      <c r="B636" s="2" t="s">
        <v>1609</v>
      </c>
      <c r="C636" s="10" t="n">
        <v>45781</v>
      </c>
      <c r="D636" s="2" t="n">
        <f aca="false">MONTH(C636)</f>
        <v>5</v>
      </c>
      <c r="E636" s="2" t="s">
        <v>81</v>
      </c>
      <c r="F636" s="2" t="s">
        <v>92</v>
      </c>
      <c r="G636" s="2" t="s">
        <v>73</v>
      </c>
      <c r="H636" s="2" t="s">
        <v>85</v>
      </c>
      <c r="I636" s="2" t="n">
        <v>2</v>
      </c>
      <c r="J636" s="11" t="n">
        <v>1200</v>
      </c>
      <c r="K636" s="12" t="n">
        <v>0.05</v>
      </c>
      <c r="L636" s="11" t="n">
        <v>600</v>
      </c>
      <c r="M636" s="11" t="n">
        <f aca="false">I636*J636*(1-K636)</f>
        <v>2280</v>
      </c>
      <c r="N636" s="11" t="n">
        <f aca="false">M636-I636*L636</f>
        <v>1080</v>
      </c>
    </row>
    <row r="637" customFormat="false" ht="15" hidden="false" customHeight="false" outlineLevel="0" collapsed="false">
      <c r="A637" s="2" t="s">
        <v>1632</v>
      </c>
      <c r="B637" s="2" t="s">
        <v>1633</v>
      </c>
      <c r="C637" s="10" t="n">
        <v>45781</v>
      </c>
      <c r="D637" s="2" t="n">
        <f aca="false">MONTH(C637)</f>
        <v>5</v>
      </c>
      <c r="E637" s="2" t="s">
        <v>63</v>
      </c>
      <c r="F637" s="2" t="s">
        <v>92</v>
      </c>
      <c r="G637" s="2" t="s">
        <v>70</v>
      </c>
      <c r="H637" s="2" t="s">
        <v>97</v>
      </c>
      <c r="I637" s="2" t="n">
        <v>3</v>
      </c>
      <c r="J637" s="11" t="n">
        <v>3000</v>
      </c>
      <c r="K637" s="12" t="n">
        <v>0.1</v>
      </c>
      <c r="L637" s="11" t="n">
        <v>2000</v>
      </c>
      <c r="M637" s="11" t="n">
        <f aca="false">I637*J637*(1-K637)</f>
        <v>8100</v>
      </c>
      <c r="N637" s="11" t="n">
        <f aca="false">M637-I637*L637</f>
        <v>2100</v>
      </c>
    </row>
    <row r="638" customFormat="false" ht="15" hidden="false" customHeight="false" outlineLevel="0" collapsed="false">
      <c r="A638" s="2" t="s">
        <v>1384</v>
      </c>
      <c r="B638" s="2" t="s">
        <v>1382</v>
      </c>
      <c r="C638" s="10" t="n">
        <v>45782</v>
      </c>
      <c r="D638" s="2" t="n">
        <f aca="false">MONTH(C638)</f>
        <v>5</v>
      </c>
      <c r="E638" s="2" t="s">
        <v>63</v>
      </c>
      <c r="F638" s="2" t="s">
        <v>92</v>
      </c>
      <c r="G638" s="2" t="s">
        <v>73</v>
      </c>
      <c r="H638" s="2" t="s">
        <v>87</v>
      </c>
      <c r="I638" s="2" t="n">
        <v>3</v>
      </c>
      <c r="J638" s="11" t="n">
        <v>9000</v>
      </c>
      <c r="K638" s="12" t="n">
        <v>0.1</v>
      </c>
      <c r="L638" s="11" t="n">
        <v>6200</v>
      </c>
      <c r="M638" s="11" t="n">
        <f aca="false">I638*J638*(1-K638)</f>
        <v>24300</v>
      </c>
      <c r="N638" s="11" t="n">
        <f aca="false">M638-I638*L638</f>
        <v>5700</v>
      </c>
    </row>
    <row r="639" customFormat="false" ht="15" hidden="false" customHeight="false" outlineLevel="0" collapsed="false">
      <c r="A639" s="2" t="s">
        <v>1947</v>
      </c>
      <c r="B639" s="2" t="s">
        <v>1945</v>
      </c>
      <c r="C639" s="10" t="n">
        <v>45782</v>
      </c>
      <c r="D639" s="2" t="n">
        <f aca="false">MONTH(C639)</f>
        <v>5</v>
      </c>
      <c r="E639" s="2" t="s">
        <v>77</v>
      </c>
      <c r="F639" s="2" t="s">
        <v>92</v>
      </c>
      <c r="G639" s="2" t="s">
        <v>73</v>
      </c>
      <c r="H639" s="2" t="s">
        <v>74</v>
      </c>
      <c r="I639" s="2" t="n">
        <v>7</v>
      </c>
      <c r="J639" s="11" t="n">
        <v>7000</v>
      </c>
      <c r="K639" s="12" t="n">
        <v>0</v>
      </c>
      <c r="L639" s="11" t="n">
        <v>4800</v>
      </c>
      <c r="M639" s="11" t="n">
        <f aca="false">I639*J639*(1-K639)</f>
        <v>49000</v>
      </c>
      <c r="N639" s="11" t="n">
        <f aca="false">M639-I639*L639</f>
        <v>15400</v>
      </c>
    </row>
    <row r="640" customFormat="false" ht="15" hidden="false" customHeight="false" outlineLevel="0" collapsed="false">
      <c r="A640" s="2" t="s">
        <v>2113</v>
      </c>
      <c r="B640" s="2" t="s">
        <v>2110</v>
      </c>
      <c r="C640" s="10" t="n">
        <v>45782</v>
      </c>
      <c r="D640" s="2" t="n">
        <f aca="false">MONTH(C640)</f>
        <v>5</v>
      </c>
      <c r="E640" s="2" t="s">
        <v>91</v>
      </c>
      <c r="F640" s="2" t="s">
        <v>64</v>
      </c>
      <c r="G640" s="2" t="s">
        <v>73</v>
      </c>
      <c r="H640" s="2" t="s">
        <v>85</v>
      </c>
      <c r="I640" s="2" t="n">
        <v>3</v>
      </c>
      <c r="J640" s="11" t="n">
        <v>1200</v>
      </c>
      <c r="K640" s="12" t="n">
        <v>0.1</v>
      </c>
      <c r="L640" s="11" t="n">
        <v>600</v>
      </c>
      <c r="M640" s="11" t="n">
        <f aca="false">I640*J640*(1-K640)</f>
        <v>3240</v>
      </c>
      <c r="N640" s="11" t="n">
        <f aca="false">M640-I640*L640</f>
        <v>1440</v>
      </c>
    </row>
    <row r="641" customFormat="false" ht="15" hidden="false" customHeight="false" outlineLevel="0" collapsed="false">
      <c r="A641" s="2" t="s">
        <v>2199</v>
      </c>
      <c r="B641" s="2" t="s">
        <v>2198</v>
      </c>
      <c r="C641" s="10" t="n">
        <v>45782</v>
      </c>
      <c r="D641" s="2" t="n">
        <f aca="false">MONTH(C641)</f>
        <v>5</v>
      </c>
      <c r="E641" s="2" t="s">
        <v>77</v>
      </c>
      <c r="F641" s="2" t="s">
        <v>64</v>
      </c>
      <c r="G641" s="2" t="s">
        <v>70</v>
      </c>
      <c r="H641" s="2" t="s">
        <v>71</v>
      </c>
      <c r="I641" s="2" t="n">
        <v>3</v>
      </c>
      <c r="J641" s="11" t="n">
        <v>2500</v>
      </c>
      <c r="K641" s="12" t="n">
        <v>0.1</v>
      </c>
      <c r="L641" s="11" t="n">
        <v>1600</v>
      </c>
      <c r="M641" s="11" t="n">
        <f aca="false">I641*J641*(1-K641)</f>
        <v>6750</v>
      </c>
      <c r="N641" s="11" t="n">
        <f aca="false">M641-I641*L641</f>
        <v>1950</v>
      </c>
    </row>
    <row r="642" customFormat="false" ht="15" hidden="false" customHeight="false" outlineLevel="0" collapsed="false">
      <c r="A642" s="2" t="s">
        <v>2703</v>
      </c>
      <c r="B642" s="2" t="s">
        <v>2699</v>
      </c>
      <c r="C642" s="10" t="n">
        <v>45782</v>
      </c>
      <c r="D642" s="2" t="n">
        <f aca="false">MONTH(C642)</f>
        <v>5</v>
      </c>
      <c r="E642" s="2" t="s">
        <v>77</v>
      </c>
      <c r="F642" s="2" t="s">
        <v>69</v>
      </c>
      <c r="G642" s="2" t="s">
        <v>73</v>
      </c>
      <c r="H642" s="2" t="s">
        <v>104</v>
      </c>
      <c r="I642" s="2" t="n">
        <v>2</v>
      </c>
      <c r="J642" s="11" t="n">
        <v>5500</v>
      </c>
      <c r="K642" s="12" t="n">
        <v>0.05</v>
      </c>
      <c r="L642" s="11" t="n">
        <v>3600</v>
      </c>
      <c r="M642" s="11" t="n">
        <f aca="false">I642*J642*(1-K642)</f>
        <v>10450</v>
      </c>
      <c r="N642" s="11" t="n">
        <f aca="false">M642-I642*L642</f>
        <v>3250</v>
      </c>
    </row>
    <row r="643" customFormat="false" ht="15" hidden="false" customHeight="false" outlineLevel="0" collapsed="false">
      <c r="A643" s="2" t="s">
        <v>312</v>
      </c>
      <c r="B643" s="2" t="s">
        <v>310</v>
      </c>
      <c r="C643" s="10" t="n">
        <v>45783</v>
      </c>
      <c r="D643" s="2" t="n">
        <f aca="false">MONTH(C643)</f>
        <v>5</v>
      </c>
      <c r="E643" s="2" t="s">
        <v>91</v>
      </c>
      <c r="F643" s="2" t="s">
        <v>69</v>
      </c>
      <c r="G643" s="2" t="s">
        <v>73</v>
      </c>
      <c r="H643" s="2" t="s">
        <v>87</v>
      </c>
      <c r="I643" s="2" t="n">
        <v>1</v>
      </c>
      <c r="J643" s="11" t="n">
        <v>9000</v>
      </c>
      <c r="K643" s="12" t="n">
        <v>0</v>
      </c>
      <c r="L643" s="11" t="n">
        <v>6200</v>
      </c>
      <c r="M643" s="11" t="n">
        <f aca="false">I643*J643*(1-K643)</f>
        <v>9000</v>
      </c>
      <c r="N643" s="11" t="n">
        <f aca="false">M643-I643*L643</f>
        <v>2800</v>
      </c>
    </row>
    <row r="644" customFormat="false" ht="15" hidden="false" customHeight="false" outlineLevel="0" collapsed="false">
      <c r="A644" s="2" t="s">
        <v>491</v>
      </c>
      <c r="B644" s="2" t="s">
        <v>492</v>
      </c>
      <c r="C644" s="10" t="n">
        <v>45783</v>
      </c>
      <c r="D644" s="2" t="n">
        <f aca="false">MONTH(C644)</f>
        <v>5</v>
      </c>
      <c r="E644" s="2" t="s">
        <v>77</v>
      </c>
      <c r="F644" s="2" t="s">
        <v>64</v>
      </c>
      <c r="G644" s="2" t="s">
        <v>70</v>
      </c>
      <c r="H644" s="2" t="s">
        <v>122</v>
      </c>
      <c r="I644" s="2" t="n">
        <v>1</v>
      </c>
      <c r="J644" s="11" t="n">
        <v>1500</v>
      </c>
      <c r="K644" s="12" t="n">
        <v>0</v>
      </c>
      <c r="L644" s="11" t="n">
        <v>900</v>
      </c>
      <c r="M644" s="11" t="n">
        <f aca="false">I644*J644*(1-K644)</f>
        <v>1500</v>
      </c>
      <c r="N644" s="11" t="n">
        <f aca="false">M644-I644*L644</f>
        <v>600</v>
      </c>
    </row>
    <row r="645" customFormat="false" ht="15" hidden="false" customHeight="false" outlineLevel="0" collapsed="false">
      <c r="A645" s="2" t="s">
        <v>695</v>
      </c>
      <c r="B645" s="2" t="s">
        <v>694</v>
      </c>
      <c r="C645" s="10" t="n">
        <v>45783</v>
      </c>
      <c r="D645" s="2" t="n">
        <f aca="false">MONTH(C645)</f>
        <v>5</v>
      </c>
      <c r="E645" s="2" t="s">
        <v>91</v>
      </c>
      <c r="F645" s="2" t="s">
        <v>64</v>
      </c>
      <c r="G645" s="2" t="s">
        <v>65</v>
      </c>
      <c r="H645" s="2" t="s">
        <v>78</v>
      </c>
      <c r="I645" s="2" t="n">
        <v>3</v>
      </c>
      <c r="J645" s="11" t="n">
        <v>400</v>
      </c>
      <c r="K645" s="12" t="n">
        <v>0.1</v>
      </c>
      <c r="L645" s="11" t="n">
        <v>200</v>
      </c>
      <c r="M645" s="11" t="n">
        <f aca="false">I645*J645*(1-K645)</f>
        <v>1080</v>
      </c>
      <c r="N645" s="11" t="n">
        <f aca="false">M645-I645*L645</f>
        <v>480</v>
      </c>
    </row>
    <row r="646" customFormat="false" ht="15" hidden="false" customHeight="false" outlineLevel="0" collapsed="false">
      <c r="A646" s="2" t="s">
        <v>1756</v>
      </c>
      <c r="B646" s="2" t="s">
        <v>1755</v>
      </c>
      <c r="C646" s="10" t="n">
        <v>45783</v>
      </c>
      <c r="D646" s="2" t="n">
        <f aca="false">MONTH(C646)</f>
        <v>5</v>
      </c>
      <c r="E646" s="2" t="s">
        <v>63</v>
      </c>
      <c r="F646" s="2" t="s">
        <v>64</v>
      </c>
      <c r="G646" s="2" t="s">
        <v>65</v>
      </c>
      <c r="H646" s="2" t="s">
        <v>78</v>
      </c>
      <c r="I646" s="2" t="n">
        <v>4</v>
      </c>
      <c r="J646" s="11" t="n">
        <v>400</v>
      </c>
      <c r="K646" s="12" t="n">
        <v>0</v>
      </c>
      <c r="L646" s="11" t="n">
        <v>200</v>
      </c>
      <c r="M646" s="11" t="n">
        <f aca="false">I646*J646*(1-K646)</f>
        <v>1600</v>
      </c>
      <c r="N646" s="11" t="n">
        <f aca="false">M646-I646*L646</f>
        <v>800</v>
      </c>
    </row>
    <row r="647" customFormat="false" ht="15" hidden="false" customHeight="false" outlineLevel="0" collapsed="false">
      <c r="A647" s="2" t="s">
        <v>2082</v>
      </c>
      <c r="B647" s="2" t="s">
        <v>2081</v>
      </c>
      <c r="C647" s="10" t="n">
        <v>45783</v>
      </c>
      <c r="D647" s="2" t="n">
        <f aca="false">MONTH(C647)</f>
        <v>5</v>
      </c>
      <c r="E647" s="2" t="s">
        <v>63</v>
      </c>
      <c r="F647" s="2" t="s">
        <v>64</v>
      </c>
      <c r="G647" s="2" t="s">
        <v>70</v>
      </c>
      <c r="H647" s="2" t="s">
        <v>71</v>
      </c>
      <c r="I647" s="2" t="n">
        <v>2</v>
      </c>
      <c r="J647" s="11" t="n">
        <v>2500</v>
      </c>
      <c r="K647" s="12" t="n">
        <v>0.05</v>
      </c>
      <c r="L647" s="11" t="n">
        <v>1600</v>
      </c>
      <c r="M647" s="11" t="n">
        <f aca="false">I647*J647*(1-K647)</f>
        <v>4750</v>
      </c>
      <c r="N647" s="11" t="n">
        <f aca="false">M647-I647*L647</f>
        <v>1550</v>
      </c>
    </row>
    <row r="648" customFormat="false" ht="15" hidden="false" customHeight="false" outlineLevel="0" collapsed="false">
      <c r="A648" s="2" t="s">
        <v>2186</v>
      </c>
      <c r="B648" s="2" t="s">
        <v>2185</v>
      </c>
      <c r="C648" s="10" t="n">
        <v>45783</v>
      </c>
      <c r="D648" s="2" t="n">
        <f aca="false">MONTH(C648)</f>
        <v>5</v>
      </c>
      <c r="E648" s="2" t="s">
        <v>77</v>
      </c>
      <c r="F648" s="2" t="s">
        <v>64</v>
      </c>
      <c r="G648" s="2" t="s">
        <v>65</v>
      </c>
      <c r="H648" s="2" t="s">
        <v>78</v>
      </c>
      <c r="I648" s="2" t="n">
        <v>8</v>
      </c>
      <c r="J648" s="11" t="n">
        <v>400</v>
      </c>
      <c r="K648" s="12" t="n">
        <v>0.1</v>
      </c>
      <c r="L648" s="11" t="n">
        <v>200</v>
      </c>
      <c r="M648" s="11" t="n">
        <f aca="false">I648*J648*(1-K648)</f>
        <v>2880</v>
      </c>
      <c r="N648" s="11" t="n">
        <f aca="false">M648-I648*L648</f>
        <v>1280</v>
      </c>
    </row>
    <row r="649" customFormat="false" ht="15" hidden="false" customHeight="false" outlineLevel="0" collapsed="false">
      <c r="A649" s="2" t="s">
        <v>997</v>
      </c>
      <c r="B649" s="2" t="s">
        <v>998</v>
      </c>
      <c r="C649" s="10" t="n">
        <v>45784</v>
      </c>
      <c r="D649" s="2" t="n">
        <f aca="false">MONTH(C649)</f>
        <v>5</v>
      </c>
      <c r="E649" s="2" t="s">
        <v>91</v>
      </c>
      <c r="F649" s="2" t="s">
        <v>64</v>
      </c>
      <c r="G649" s="2" t="s">
        <v>73</v>
      </c>
      <c r="H649" s="2" t="s">
        <v>85</v>
      </c>
      <c r="I649" s="2" t="n">
        <v>3</v>
      </c>
      <c r="J649" s="11" t="n">
        <v>1200</v>
      </c>
      <c r="K649" s="12" t="n">
        <v>0.05</v>
      </c>
      <c r="L649" s="11" t="n">
        <v>600</v>
      </c>
      <c r="M649" s="11" t="n">
        <f aca="false">I649*J649*(1-K649)</f>
        <v>3420</v>
      </c>
      <c r="N649" s="11" t="n">
        <f aca="false">M649-I649*L649</f>
        <v>1620</v>
      </c>
    </row>
    <row r="650" customFormat="false" ht="15" hidden="false" customHeight="false" outlineLevel="0" collapsed="false">
      <c r="A650" s="2" t="s">
        <v>1078</v>
      </c>
      <c r="B650" s="2" t="s">
        <v>1079</v>
      </c>
      <c r="C650" s="10" t="n">
        <v>45784</v>
      </c>
      <c r="D650" s="2" t="n">
        <f aca="false">MONTH(C650)</f>
        <v>5</v>
      </c>
      <c r="E650" s="2" t="s">
        <v>77</v>
      </c>
      <c r="F650" s="2" t="s">
        <v>64</v>
      </c>
      <c r="G650" s="2" t="s">
        <v>65</v>
      </c>
      <c r="H650" s="2" t="s">
        <v>78</v>
      </c>
      <c r="I650" s="2" t="n">
        <v>8</v>
      </c>
      <c r="J650" s="11" t="n">
        <v>400</v>
      </c>
      <c r="K650" s="12" t="n">
        <v>0</v>
      </c>
      <c r="L650" s="11" t="n">
        <v>200</v>
      </c>
      <c r="M650" s="11" t="n">
        <f aca="false">I650*J650*(1-K650)</f>
        <v>3200</v>
      </c>
      <c r="N650" s="11" t="n">
        <f aca="false">M650-I650*L650</f>
        <v>1600</v>
      </c>
    </row>
    <row r="651" customFormat="false" ht="15" hidden="false" customHeight="false" outlineLevel="0" collapsed="false">
      <c r="A651" s="2" t="s">
        <v>1392</v>
      </c>
      <c r="B651" s="2" t="s">
        <v>1393</v>
      </c>
      <c r="C651" s="10" t="n">
        <v>45784</v>
      </c>
      <c r="D651" s="2" t="n">
        <f aca="false">MONTH(C651)</f>
        <v>5</v>
      </c>
      <c r="E651" s="2" t="s">
        <v>63</v>
      </c>
      <c r="F651" s="2" t="s">
        <v>64</v>
      </c>
      <c r="G651" s="2" t="s">
        <v>70</v>
      </c>
      <c r="H651" s="2" t="s">
        <v>97</v>
      </c>
      <c r="I651" s="2" t="n">
        <v>3</v>
      </c>
      <c r="J651" s="11" t="n">
        <v>3000</v>
      </c>
      <c r="K651" s="12" t="n">
        <v>0</v>
      </c>
      <c r="L651" s="11" t="n">
        <v>2000</v>
      </c>
      <c r="M651" s="11" t="n">
        <f aca="false">I651*J651*(1-K651)</f>
        <v>9000</v>
      </c>
      <c r="N651" s="11" t="n">
        <f aca="false">M651-I651*L651</f>
        <v>3000</v>
      </c>
    </row>
    <row r="652" customFormat="false" ht="15" hidden="false" customHeight="false" outlineLevel="0" collapsed="false">
      <c r="A652" s="2" t="s">
        <v>1625</v>
      </c>
      <c r="B652" s="2" t="s">
        <v>1621</v>
      </c>
      <c r="C652" s="10" t="n">
        <v>45784</v>
      </c>
      <c r="D652" s="2" t="n">
        <f aca="false">MONTH(C652)</f>
        <v>5</v>
      </c>
      <c r="E652" s="2" t="s">
        <v>77</v>
      </c>
      <c r="F652" s="2" t="s">
        <v>92</v>
      </c>
      <c r="G652" s="2" t="s">
        <v>73</v>
      </c>
      <c r="H652" s="2" t="s">
        <v>74</v>
      </c>
      <c r="I652" s="2" t="n">
        <v>6</v>
      </c>
      <c r="J652" s="11" t="n">
        <v>7000</v>
      </c>
      <c r="K652" s="12" t="n">
        <v>0.15</v>
      </c>
      <c r="L652" s="11" t="n">
        <v>4800</v>
      </c>
      <c r="M652" s="11" t="n">
        <f aca="false">I652*J652*(1-K652)</f>
        <v>35700</v>
      </c>
      <c r="N652" s="11" t="n">
        <f aca="false">M652-I652*L652</f>
        <v>6900</v>
      </c>
    </row>
    <row r="653" customFormat="false" ht="15" hidden="false" customHeight="false" outlineLevel="0" collapsed="false">
      <c r="A653" s="2" t="s">
        <v>1895</v>
      </c>
      <c r="B653" s="2" t="s">
        <v>1894</v>
      </c>
      <c r="C653" s="10" t="n">
        <v>45784</v>
      </c>
      <c r="D653" s="2" t="n">
        <f aca="false">MONTH(C653)</f>
        <v>5</v>
      </c>
      <c r="E653" s="2" t="s">
        <v>91</v>
      </c>
      <c r="F653" s="2" t="s">
        <v>64</v>
      </c>
      <c r="G653" s="2" t="s">
        <v>70</v>
      </c>
      <c r="H653" s="2" t="s">
        <v>122</v>
      </c>
      <c r="I653" s="2" t="n">
        <v>2</v>
      </c>
      <c r="J653" s="11" t="n">
        <v>1500</v>
      </c>
      <c r="K653" s="12" t="n">
        <v>0</v>
      </c>
      <c r="L653" s="11" t="n">
        <v>900</v>
      </c>
      <c r="M653" s="11" t="n">
        <f aca="false">I653*J653*(1-K653)</f>
        <v>3000</v>
      </c>
      <c r="N653" s="11" t="n">
        <f aca="false">M653-I653*L653</f>
        <v>1200</v>
      </c>
    </row>
    <row r="654" customFormat="false" ht="15" hidden="false" customHeight="false" outlineLevel="0" collapsed="false">
      <c r="A654" s="2" t="s">
        <v>2056</v>
      </c>
      <c r="B654" s="2" t="s">
        <v>2054</v>
      </c>
      <c r="C654" s="10" t="n">
        <v>45784</v>
      </c>
      <c r="D654" s="2" t="n">
        <f aca="false">MONTH(C654)</f>
        <v>5</v>
      </c>
      <c r="E654" s="2" t="s">
        <v>91</v>
      </c>
      <c r="F654" s="2" t="s">
        <v>64</v>
      </c>
      <c r="G654" s="2" t="s">
        <v>65</v>
      </c>
      <c r="H654" s="2" t="s">
        <v>107</v>
      </c>
      <c r="I654" s="2" t="n">
        <v>4</v>
      </c>
      <c r="J654" s="11" t="n">
        <v>500</v>
      </c>
      <c r="K654" s="12" t="n">
        <v>0</v>
      </c>
      <c r="L654" s="11" t="n">
        <v>250</v>
      </c>
      <c r="M654" s="11" t="n">
        <f aca="false">I654*J654*(1-K654)</f>
        <v>2000</v>
      </c>
      <c r="N654" s="11" t="n">
        <f aca="false">M654-I654*L654</f>
        <v>1000</v>
      </c>
    </row>
    <row r="655" customFormat="false" ht="15" hidden="false" customHeight="false" outlineLevel="0" collapsed="false">
      <c r="A655" s="2" t="s">
        <v>2274</v>
      </c>
      <c r="B655" s="2" t="s">
        <v>2275</v>
      </c>
      <c r="C655" s="10" t="n">
        <v>45784</v>
      </c>
      <c r="D655" s="2" t="n">
        <f aca="false">MONTH(C655)</f>
        <v>5</v>
      </c>
      <c r="E655" s="2" t="s">
        <v>77</v>
      </c>
      <c r="F655" s="2" t="s">
        <v>64</v>
      </c>
      <c r="G655" s="2" t="s">
        <v>73</v>
      </c>
      <c r="H655" s="2" t="s">
        <v>85</v>
      </c>
      <c r="I655" s="2" t="n">
        <v>2</v>
      </c>
      <c r="J655" s="11" t="n">
        <v>1200</v>
      </c>
      <c r="K655" s="12" t="n">
        <v>0</v>
      </c>
      <c r="L655" s="11" t="n">
        <v>600</v>
      </c>
      <c r="M655" s="11" t="n">
        <f aca="false">I655*J655*(1-K655)</f>
        <v>2400</v>
      </c>
      <c r="N655" s="11" t="n">
        <f aca="false">M655-I655*L655</f>
        <v>1200</v>
      </c>
    </row>
    <row r="656" customFormat="false" ht="15" hidden="false" customHeight="false" outlineLevel="0" collapsed="false">
      <c r="A656" s="2" t="s">
        <v>2587</v>
      </c>
      <c r="B656" s="2" t="s">
        <v>2588</v>
      </c>
      <c r="C656" s="10" t="n">
        <v>45784</v>
      </c>
      <c r="D656" s="2" t="n">
        <f aca="false">MONTH(C656)</f>
        <v>5</v>
      </c>
      <c r="E656" s="2" t="s">
        <v>77</v>
      </c>
      <c r="F656" s="2" t="s">
        <v>69</v>
      </c>
      <c r="G656" s="2" t="s">
        <v>70</v>
      </c>
      <c r="H656" s="2" t="s">
        <v>97</v>
      </c>
      <c r="I656" s="2" t="n">
        <v>4</v>
      </c>
      <c r="J656" s="11" t="n">
        <v>3000</v>
      </c>
      <c r="K656" s="12" t="n">
        <v>0</v>
      </c>
      <c r="L656" s="11" t="n">
        <v>2000</v>
      </c>
      <c r="M656" s="11" t="n">
        <f aca="false">I656*J656*(1-K656)</f>
        <v>12000</v>
      </c>
      <c r="N656" s="11" t="n">
        <f aca="false">M656-I656*L656</f>
        <v>4000</v>
      </c>
    </row>
    <row r="657" customFormat="false" ht="15" hidden="false" customHeight="false" outlineLevel="0" collapsed="false">
      <c r="A657" s="2" t="s">
        <v>2881</v>
      </c>
      <c r="B657" s="2" t="s">
        <v>2882</v>
      </c>
      <c r="C657" s="10" t="n">
        <v>45784</v>
      </c>
      <c r="D657" s="2" t="n">
        <f aca="false">MONTH(C657)</f>
        <v>5</v>
      </c>
      <c r="E657" s="2" t="s">
        <v>77</v>
      </c>
      <c r="F657" s="2" t="s">
        <v>69</v>
      </c>
      <c r="G657" s="2" t="s">
        <v>65</v>
      </c>
      <c r="H657" s="2" t="s">
        <v>82</v>
      </c>
      <c r="I657" s="2" t="n">
        <v>17</v>
      </c>
      <c r="J657" s="11" t="n">
        <v>250</v>
      </c>
      <c r="K657" s="12" t="n">
        <v>0</v>
      </c>
      <c r="L657" s="11" t="n">
        <v>100</v>
      </c>
      <c r="M657" s="11" t="n">
        <f aca="false">I657*J657*(1-K657)</f>
        <v>4250</v>
      </c>
      <c r="N657" s="11" t="n">
        <f aca="false">M657-I657*L657</f>
        <v>2550</v>
      </c>
    </row>
    <row r="658" customFormat="false" ht="15" hidden="false" customHeight="false" outlineLevel="0" collapsed="false">
      <c r="A658" s="2" t="s">
        <v>212</v>
      </c>
      <c r="B658" s="2" t="s">
        <v>210</v>
      </c>
      <c r="C658" s="10" t="n">
        <v>45785</v>
      </c>
      <c r="D658" s="2" t="n">
        <f aca="false">MONTH(C658)</f>
        <v>5</v>
      </c>
      <c r="E658" s="2" t="s">
        <v>77</v>
      </c>
      <c r="F658" s="2" t="s">
        <v>64</v>
      </c>
      <c r="G658" s="2" t="s">
        <v>73</v>
      </c>
      <c r="H658" s="2" t="s">
        <v>104</v>
      </c>
      <c r="I658" s="2" t="n">
        <v>2</v>
      </c>
      <c r="J658" s="11" t="n">
        <v>5500</v>
      </c>
      <c r="K658" s="12" t="n">
        <v>0</v>
      </c>
      <c r="L658" s="11" t="n">
        <v>3600</v>
      </c>
      <c r="M658" s="11" t="n">
        <f aca="false">I658*J658*(1-K658)</f>
        <v>11000</v>
      </c>
      <c r="N658" s="11" t="n">
        <f aca="false">M658-I658*L658</f>
        <v>3800</v>
      </c>
    </row>
    <row r="659" customFormat="false" ht="15" hidden="false" customHeight="false" outlineLevel="0" collapsed="false">
      <c r="A659" s="2" t="s">
        <v>1484</v>
      </c>
      <c r="B659" s="2" t="s">
        <v>1477</v>
      </c>
      <c r="C659" s="10" t="n">
        <v>45785</v>
      </c>
      <c r="D659" s="2" t="n">
        <f aca="false">MONTH(C659)</f>
        <v>5</v>
      </c>
      <c r="E659" s="2" t="s">
        <v>63</v>
      </c>
      <c r="F659" s="2" t="s">
        <v>92</v>
      </c>
      <c r="G659" s="2" t="s">
        <v>70</v>
      </c>
      <c r="H659" s="2" t="s">
        <v>97</v>
      </c>
      <c r="I659" s="2" t="n">
        <v>4</v>
      </c>
      <c r="J659" s="11" t="n">
        <v>3000</v>
      </c>
      <c r="K659" s="12" t="n">
        <v>0</v>
      </c>
      <c r="L659" s="11" t="n">
        <v>2000</v>
      </c>
      <c r="M659" s="11" t="n">
        <f aca="false">I659*J659*(1-K659)</f>
        <v>12000</v>
      </c>
      <c r="N659" s="11" t="n">
        <f aca="false">M659-I659*L659</f>
        <v>4000</v>
      </c>
    </row>
    <row r="660" customFormat="false" ht="15" hidden="false" customHeight="false" outlineLevel="0" collapsed="false">
      <c r="A660" s="2" t="s">
        <v>1662</v>
      </c>
      <c r="B660" s="2" t="s">
        <v>1655</v>
      </c>
      <c r="C660" s="10" t="n">
        <v>45785</v>
      </c>
      <c r="D660" s="2" t="n">
        <f aca="false">MONTH(C660)</f>
        <v>5</v>
      </c>
      <c r="E660" s="2" t="s">
        <v>91</v>
      </c>
      <c r="F660" s="2" t="s">
        <v>64</v>
      </c>
      <c r="G660" s="2" t="s">
        <v>73</v>
      </c>
      <c r="H660" s="2" t="s">
        <v>87</v>
      </c>
      <c r="I660" s="2" t="n">
        <v>1</v>
      </c>
      <c r="J660" s="11" t="n">
        <v>9000</v>
      </c>
      <c r="K660" s="12" t="n">
        <v>0</v>
      </c>
      <c r="L660" s="11" t="n">
        <v>6200</v>
      </c>
      <c r="M660" s="11" t="n">
        <f aca="false">I660*J660*(1-K660)</f>
        <v>9000</v>
      </c>
      <c r="N660" s="11" t="n">
        <f aca="false">M660-I660*L660</f>
        <v>2800</v>
      </c>
    </row>
    <row r="661" customFormat="false" ht="15" hidden="false" customHeight="false" outlineLevel="0" collapsed="false">
      <c r="A661" s="2" t="s">
        <v>2203</v>
      </c>
      <c r="B661" s="2" t="s">
        <v>2204</v>
      </c>
      <c r="C661" s="10" t="n">
        <v>45785</v>
      </c>
      <c r="D661" s="2" t="n">
        <f aca="false">MONTH(C661)</f>
        <v>5</v>
      </c>
      <c r="E661" s="2" t="s">
        <v>77</v>
      </c>
      <c r="F661" s="2" t="s">
        <v>69</v>
      </c>
      <c r="G661" s="2" t="s">
        <v>73</v>
      </c>
      <c r="H661" s="2" t="s">
        <v>74</v>
      </c>
      <c r="I661" s="2" t="n">
        <v>5</v>
      </c>
      <c r="J661" s="11" t="n">
        <v>7000</v>
      </c>
      <c r="K661" s="12" t="n">
        <v>0</v>
      </c>
      <c r="L661" s="11" t="n">
        <v>4800</v>
      </c>
      <c r="M661" s="11" t="n">
        <f aca="false">I661*J661*(1-K661)</f>
        <v>35000</v>
      </c>
      <c r="N661" s="11" t="n">
        <f aca="false">M661-I661*L661</f>
        <v>11000</v>
      </c>
    </row>
    <row r="662" customFormat="false" ht="15" hidden="false" customHeight="false" outlineLevel="0" collapsed="false">
      <c r="A662" s="2" t="s">
        <v>2691</v>
      </c>
      <c r="B662" s="2" t="s">
        <v>2688</v>
      </c>
      <c r="C662" s="10" t="n">
        <v>45785</v>
      </c>
      <c r="D662" s="2" t="n">
        <f aca="false">MONTH(C662)</f>
        <v>5</v>
      </c>
      <c r="E662" s="2" t="s">
        <v>81</v>
      </c>
      <c r="F662" s="2" t="s">
        <v>92</v>
      </c>
      <c r="G662" s="2" t="s">
        <v>73</v>
      </c>
      <c r="H662" s="2" t="s">
        <v>104</v>
      </c>
      <c r="I662" s="2" t="n">
        <v>4</v>
      </c>
      <c r="J662" s="11" t="n">
        <v>5500</v>
      </c>
      <c r="K662" s="12" t="n">
        <v>0.15</v>
      </c>
      <c r="L662" s="11" t="n">
        <v>3600</v>
      </c>
      <c r="M662" s="11" t="n">
        <f aca="false">I662*J662*(1-K662)</f>
        <v>18700</v>
      </c>
      <c r="N662" s="11" t="n">
        <f aca="false">M662-I662*L662</f>
        <v>4300</v>
      </c>
    </row>
    <row r="663" customFormat="false" ht="15" hidden="false" customHeight="false" outlineLevel="0" collapsed="false">
      <c r="A663" s="2" t="s">
        <v>2861</v>
      </c>
      <c r="B663" s="2" t="s">
        <v>2862</v>
      </c>
      <c r="C663" s="10" t="n">
        <v>45785</v>
      </c>
      <c r="D663" s="2" t="n">
        <f aca="false">MONTH(C663)</f>
        <v>5</v>
      </c>
      <c r="E663" s="2" t="s">
        <v>77</v>
      </c>
      <c r="F663" s="2" t="s">
        <v>69</v>
      </c>
      <c r="G663" s="2" t="s">
        <v>65</v>
      </c>
      <c r="H663" s="2" t="s">
        <v>107</v>
      </c>
      <c r="I663" s="2" t="n">
        <v>20</v>
      </c>
      <c r="J663" s="11" t="n">
        <v>500</v>
      </c>
      <c r="K663" s="12" t="n">
        <v>0</v>
      </c>
      <c r="L663" s="11" t="n">
        <v>250</v>
      </c>
      <c r="M663" s="11" t="n">
        <f aca="false">I663*J663*(1-K663)</f>
        <v>10000</v>
      </c>
      <c r="N663" s="11" t="n">
        <f aca="false">M663-I663*L663</f>
        <v>5000</v>
      </c>
    </row>
    <row r="664" customFormat="false" ht="15" hidden="false" customHeight="false" outlineLevel="0" collapsed="false">
      <c r="A664" s="2" t="s">
        <v>645</v>
      </c>
      <c r="B664" s="2" t="s">
        <v>646</v>
      </c>
      <c r="C664" s="10" t="n">
        <v>45786</v>
      </c>
      <c r="D664" s="2" t="n">
        <f aca="false">MONTH(C664)</f>
        <v>5</v>
      </c>
      <c r="E664" s="2" t="s">
        <v>77</v>
      </c>
      <c r="F664" s="2" t="s">
        <v>92</v>
      </c>
      <c r="G664" s="2" t="s">
        <v>73</v>
      </c>
      <c r="H664" s="2" t="s">
        <v>74</v>
      </c>
      <c r="I664" s="2" t="n">
        <v>8</v>
      </c>
      <c r="J664" s="11" t="n">
        <v>7000</v>
      </c>
      <c r="K664" s="12" t="n">
        <v>0</v>
      </c>
      <c r="L664" s="11" t="n">
        <v>4800</v>
      </c>
      <c r="M664" s="11" t="n">
        <f aca="false">I664*J664*(1-K664)</f>
        <v>56000</v>
      </c>
      <c r="N664" s="11" t="n">
        <f aca="false">M664-I664*L664</f>
        <v>17600</v>
      </c>
    </row>
    <row r="665" customFormat="false" ht="15" hidden="false" customHeight="false" outlineLevel="0" collapsed="false">
      <c r="A665" s="2" t="s">
        <v>954</v>
      </c>
      <c r="B665" s="2" t="s">
        <v>951</v>
      </c>
      <c r="C665" s="10" t="n">
        <v>45786</v>
      </c>
      <c r="D665" s="2" t="n">
        <f aca="false">MONTH(C665)</f>
        <v>5</v>
      </c>
      <c r="E665" s="2" t="s">
        <v>77</v>
      </c>
      <c r="F665" s="2" t="s">
        <v>92</v>
      </c>
      <c r="G665" s="2" t="s">
        <v>70</v>
      </c>
      <c r="H665" s="2" t="s">
        <v>71</v>
      </c>
      <c r="I665" s="2" t="n">
        <v>7</v>
      </c>
      <c r="J665" s="11" t="n">
        <v>2500</v>
      </c>
      <c r="K665" s="12" t="n">
        <v>0.1</v>
      </c>
      <c r="L665" s="11" t="n">
        <v>1600</v>
      </c>
      <c r="M665" s="11" t="n">
        <f aca="false">I665*J665*(1-K665)</f>
        <v>15750</v>
      </c>
      <c r="N665" s="11" t="n">
        <f aca="false">M665-I665*L665</f>
        <v>4550</v>
      </c>
    </row>
    <row r="666" customFormat="false" ht="15" hidden="false" customHeight="false" outlineLevel="0" collapsed="false">
      <c r="A666" s="2" t="s">
        <v>1080</v>
      </c>
      <c r="B666" s="2" t="s">
        <v>1079</v>
      </c>
      <c r="C666" s="10" t="n">
        <v>45786</v>
      </c>
      <c r="D666" s="2" t="n">
        <f aca="false">MONTH(C666)</f>
        <v>5</v>
      </c>
      <c r="E666" s="2" t="s">
        <v>77</v>
      </c>
      <c r="F666" s="2" t="s">
        <v>64</v>
      </c>
      <c r="G666" s="2" t="s">
        <v>70</v>
      </c>
      <c r="H666" s="2" t="s">
        <v>71</v>
      </c>
      <c r="I666" s="2" t="n">
        <v>1</v>
      </c>
      <c r="J666" s="11" t="n">
        <v>2500</v>
      </c>
      <c r="K666" s="12" t="n">
        <v>0.1</v>
      </c>
      <c r="L666" s="11" t="n">
        <v>1600</v>
      </c>
      <c r="M666" s="11" t="n">
        <f aca="false">I666*J666*(1-K666)</f>
        <v>2250</v>
      </c>
      <c r="N666" s="11" t="n">
        <f aca="false">M666-I666*L666</f>
        <v>650</v>
      </c>
    </row>
    <row r="667" customFormat="false" ht="15" hidden="false" customHeight="false" outlineLevel="0" collapsed="false">
      <c r="A667" s="2" t="s">
        <v>1268</v>
      </c>
      <c r="B667" s="2" t="s">
        <v>1269</v>
      </c>
      <c r="C667" s="10" t="n">
        <v>45786</v>
      </c>
      <c r="D667" s="2" t="n">
        <f aca="false">MONTH(C667)</f>
        <v>5</v>
      </c>
      <c r="E667" s="2" t="s">
        <v>91</v>
      </c>
      <c r="F667" s="2" t="s">
        <v>64</v>
      </c>
      <c r="G667" s="2" t="s">
        <v>65</v>
      </c>
      <c r="H667" s="2" t="s">
        <v>82</v>
      </c>
      <c r="I667" s="2" t="n">
        <v>8</v>
      </c>
      <c r="J667" s="11" t="n">
        <v>250</v>
      </c>
      <c r="K667" s="12" t="n">
        <v>0.1</v>
      </c>
      <c r="L667" s="11" t="n">
        <v>100</v>
      </c>
      <c r="M667" s="11" t="n">
        <f aca="false">I667*J667*(1-K667)</f>
        <v>1800</v>
      </c>
      <c r="N667" s="11" t="n">
        <f aca="false">M667-I667*L667</f>
        <v>1000</v>
      </c>
    </row>
    <row r="668" customFormat="false" ht="15" hidden="false" customHeight="false" outlineLevel="0" collapsed="false">
      <c r="A668" s="2" t="s">
        <v>1394</v>
      </c>
      <c r="B668" s="2" t="s">
        <v>1395</v>
      </c>
      <c r="C668" s="10" t="n">
        <v>45786</v>
      </c>
      <c r="D668" s="2" t="n">
        <f aca="false">MONTH(C668)</f>
        <v>5</v>
      </c>
      <c r="E668" s="2" t="s">
        <v>63</v>
      </c>
      <c r="F668" s="2" t="s">
        <v>64</v>
      </c>
      <c r="G668" s="2" t="s">
        <v>65</v>
      </c>
      <c r="H668" s="2" t="s">
        <v>107</v>
      </c>
      <c r="I668" s="2" t="n">
        <v>3</v>
      </c>
      <c r="J668" s="11" t="n">
        <v>500</v>
      </c>
      <c r="K668" s="12" t="n">
        <v>0.05</v>
      </c>
      <c r="L668" s="11" t="n">
        <v>250</v>
      </c>
      <c r="M668" s="11" t="n">
        <f aca="false">I668*J668*(1-K668)</f>
        <v>1425</v>
      </c>
      <c r="N668" s="11" t="n">
        <f aca="false">M668-I668*L668</f>
        <v>675</v>
      </c>
    </row>
    <row r="669" customFormat="false" ht="15" hidden="false" customHeight="false" outlineLevel="0" collapsed="false">
      <c r="A669" s="2" t="s">
        <v>1820</v>
      </c>
      <c r="B669" s="2" t="s">
        <v>1821</v>
      </c>
      <c r="C669" s="10" t="n">
        <v>45786</v>
      </c>
      <c r="D669" s="2" t="n">
        <f aca="false">MONTH(C669)</f>
        <v>5</v>
      </c>
      <c r="E669" s="2" t="s">
        <v>91</v>
      </c>
      <c r="F669" s="2" t="s">
        <v>64</v>
      </c>
      <c r="G669" s="2" t="s">
        <v>70</v>
      </c>
      <c r="H669" s="2" t="s">
        <v>71</v>
      </c>
      <c r="I669" s="2" t="n">
        <v>2</v>
      </c>
      <c r="J669" s="11" t="n">
        <v>2500</v>
      </c>
      <c r="K669" s="12" t="n">
        <v>0</v>
      </c>
      <c r="L669" s="11" t="n">
        <v>1600</v>
      </c>
      <c r="M669" s="11" t="n">
        <f aca="false">I669*J669*(1-K669)</f>
        <v>5000</v>
      </c>
      <c r="N669" s="11" t="n">
        <f aca="false">M669-I669*L669</f>
        <v>1800</v>
      </c>
    </row>
    <row r="670" customFormat="false" ht="15" hidden="false" customHeight="false" outlineLevel="0" collapsed="false">
      <c r="A670" s="2" t="s">
        <v>2625</v>
      </c>
      <c r="B670" s="2" t="s">
        <v>2626</v>
      </c>
      <c r="C670" s="10" t="n">
        <v>45786</v>
      </c>
      <c r="D670" s="2" t="n">
        <f aca="false">MONTH(C670)</f>
        <v>5</v>
      </c>
      <c r="E670" s="2" t="s">
        <v>77</v>
      </c>
      <c r="F670" s="2" t="s">
        <v>92</v>
      </c>
      <c r="G670" s="2" t="s">
        <v>73</v>
      </c>
      <c r="H670" s="2" t="s">
        <v>104</v>
      </c>
      <c r="I670" s="2" t="n">
        <v>7</v>
      </c>
      <c r="J670" s="11" t="n">
        <v>5500</v>
      </c>
      <c r="K670" s="12" t="n">
        <v>0.1</v>
      </c>
      <c r="L670" s="11" t="n">
        <v>3600</v>
      </c>
      <c r="M670" s="11" t="n">
        <f aca="false">I670*J670*(1-K670)</f>
        <v>34650</v>
      </c>
      <c r="N670" s="11" t="n">
        <f aca="false">M670-I670*L670</f>
        <v>9450</v>
      </c>
    </row>
    <row r="671" customFormat="false" ht="15" hidden="false" customHeight="false" outlineLevel="0" collapsed="false">
      <c r="A671" s="2" t="s">
        <v>1082</v>
      </c>
      <c r="B671" s="2" t="s">
        <v>1079</v>
      </c>
      <c r="C671" s="10" t="n">
        <v>45787</v>
      </c>
      <c r="D671" s="2" t="n">
        <f aca="false">MONTH(C671)</f>
        <v>5</v>
      </c>
      <c r="E671" s="2" t="s">
        <v>77</v>
      </c>
      <c r="F671" s="2" t="s">
        <v>64</v>
      </c>
      <c r="G671" s="2" t="s">
        <v>70</v>
      </c>
      <c r="H671" s="2" t="s">
        <v>97</v>
      </c>
      <c r="I671" s="2" t="n">
        <v>3</v>
      </c>
      <c r="J671" s="11" t="n">
        <v>3000</v>
      </c>
      <c r="K671" s="12" t="n">
        <v>0</v>
      </c>
      <c r="L671" s="11" t="n">
        <v>2000</v>
      </c>
      <c r="M671" s="11" t="n">
        <f aca="false">I671*J671*(1-K671)</f>
        <v>9000</v>
      </c>
      <c r="N671" s="11" t="n">
        <f aca="false">M671-I671*L671</f>
        <v>3000</v>
      </c>
    </row>
    <row r="672" customFormat="false" ht="15" hidden="false" customHeight="false" outlineLevel="0" collapsed="false">
      <c r="A672" s="2" t="s">
        <v>1513</v>
      </c>
      <c r="B672" s="2" t="s">
        <v>1514</v>
      </c>
      <c r="C672" s="10" t="n">
        <v>45787</v>
      </c>
      <c r="D672" s="2" t="n">
        <f aca="false">MONTH(C672)</f>
        <v>5</v>
      </c>
      <c r="E672" s="2" t="s">
        <v>81</v>
      </c>
      <c r="F672" s="2" t="s">
        <v>64</v>
      </c>
      <c r="G672" s="2" t="s">
        <v>70</v>
      </c>
      <c r="H672" s="2" t="s">
        <v>71</v>
      </c>
      <c r="I672" s="2" t="n">
        <v>1</v>
      </c>
      <c r="J672" s="11" t="n">
        <v>2500</v>
      </c>
      <c r="K672" s="12" t="n">
        <v>0.05</v>
      </c>
      <c r="L672" s="11" t="n">
        <v>1600</v>
      </c>
      <c r="M672" s="11" t="n">
        <f aca="false">I672*J672*(1-K672)</f>
        <v>2375</v>
      </c>
      <c r="N672" s="11" t="n">
        <f aca="false">M672-I672*L672</f>
        <v>775</v>
      </c>
    </row>
    <row r="673" customFormat="false" ht="15" hidden="false" customHeight="false" outlineLevel="0" collapsed="false">
      <c r="A673" s="2" t="s">
        <v>2473</v>
      </c>
      <c r="B673" s="2" t="s">
        <v>2469</v>
      </c>
      <c r="C673" s="10" t="n">
        <v>45787</v>
      </c>
      <c r="D673" s="2" t="n">
        <f aca="false">MONTH(C673)</f>
        <v>5</v>
      </c>
      <c r="E673" s="2" t="s">
        <v>81</v>
      </c>
      <c r="F673" s="2" t="s">
        <v>64</v>
      </c>
      <c r="G673" s="2" t="s">
        <v>65</v>
      </c>
      <c r="H673" s="2" t="s">
        <v>78</v>
      </c>
      <c r="I673" s="2" t="n">
        <v>7</v>
      </c>
      <c r="J673" s="11" t="n">
        <v>400</v>
      </c>
      <c r="K673" s="12" t="n">
        <v>0</v>
      </c>
      <c r="L673" s="11" t="n">
        <v>200</v>
      </c>
      <c r="M673" s="11" t="n">
        <f aca="false">I673*J673*(1-K673)</f>
        <v>2800</v>
      </c>
      <c r="N673" s="11" t="n">
        <f aca="false">M673-I673*L673</f>
        <v>1400</v>
      </c>
    </row>
    <row r="674" customFormat="false" ht="15" hidden="false" customHeight="false" outlineLevel="0" collapsed="false">
      <c r="A674" s="2" t="s">
        <v>2979</v>
      </c>
      <c r="B674" s="2" t="s">
        <v>2980</v>
      </c>
      <c r="C674" s="10" t="n">
        <v>45787</v>
      </c>
      <c r="D674" s="2" t="n">
        <f aca="false">MONTH(C674)</f>
        <v>5</v>
      </c>
      <c r="E674" s="2" t="s">
        <v>77</v>
      </c>
      <c r="F674" s="2" t="s">
        <v>92</v>
      </c>
      <c r="G674" s="2" t="s">
        <v>73</v>
      </c>
      <c r="H674" s="2" t="s">
        <v>104</v>
      </c>
      <c r="I674" s="2" t="n">
        <v>6</v>
      </c>
      <c r="J674" s="11" t="n">
        <v>5500</v>
      </c>
      <c r="K674" s="12" t="n">
        <v>0</v>
      </c>
      <c r="L674" s="11" t="n">
        <v>3600</v>
      </c>
      <c r="M674" s="11" t="n">
        <f aca="false">I674*J674*(1-K674)</f>
        <v>33000</v>
      </c>
      <c r="N674" s="11" t="n">
        <f aca="false">M674-I674*L674</f>
        <v>11400</v>
      </c>
    </row>
    <row r="675" customFormat="false" ht="15" hidden="false" customHeight="false" outlineLevel="0" collapsed="false">
      <c r="A675" s="2" t="s">
        <v>409</v>
      </c>
      <c r="B675" s="2" t="s">
        <v>408</v>
      </c>
      <c r="C675" s="10" t="n">
        <v>45788</v>
      </c>
      <c r="D675" s="2" t="n">
        <f aca="false">MONTH(C675)</f>
        <v>5</v>
      </c>
      <c r="E675" s="2" t="s">
        <v>91</v>
      </c>
      <c r="F675" s="2" t="s">
        <v>64</v>
      </c>
      <c r="G675" s="2" t="s">
        <v>73</v>
      </c>
      <c r="H675" s="2" t="s">
        <v>85</v>
      </c>
      <c r="I675" s="2" t="n">
        <v>2</v>
      </c>
      <c r="J675" s="11" t="n">
        <v>1200</v>
      </c>
      <c r="K675" s="12" t="n">
        <v>0</v>
      </c>
      <c r="L675" s="11" t="n">
        <v>600</v>
      </c>
      <c r="M675" s="11" t="n">
        <f aca="false">I675*J675*(1-K675)</f>
        <v>2400</v>
      </c>
      <c r="N675" s="11" t="n">
        <f aca="false">M675-I675*L675</f>
        <v>1200</v>
      </c>
    </row>
    <row r="676" customFormat="false" ht="15" hidden="false" customHeight="false" outlineLevel="0" collapsed="false">
      <c r="A676" s="2" t="s">
        <v>1323</v>
      </c>
      <c r="B676" s="2" t="s">
        <v>1319</v>
      </c>
      <c r="C676" s="10" t="n">
        <v>45788</v>
      </c>
      <c r="D676" s="2" t="n">
        <f aca="false">MONTH(C676)</f>
        <v>5</v>
      </c>
      <c r="E676" s="2" t="s">
        <v>77</v>
      </c>
      <c r="F676" s="2" t="s">
        <v>92</v>
      </c>
      <c r="G676" s="2" t="s">
        <v>70</v>
      </c>
      <c r="H676" s="2" t="s">
        <v>126</v>
      </c>
      <c r="I676" s="2" t="n">
        <v>6</v>
      </c>
      <c r="J676" s="11" t="n">
        <v>4500</v>
      </c>
      <c r="K676" s="12" t="n">
        <v>0</v>
      </c>
      <c r="L676" s="11" t="n">
        <v>3300</v>
      </c>
      <c r="M676" s="11" t="n">
        <f aca="false">I676*J676*(1-K676)</f>
        <v>27000</v>
      </c>
      <c r="N676" s="11" t="n">
        <f aca="false">M676-I676*L676</f>
        <v>7200</v>
      </c>
    </row>
    <row r="677" customFormat="false" ht="15" hidden="false" customHeight="false" outlineLevel="0" collapsed="false">
      <c r="A677" s="2" t="s">
        <v>1371</v>
      </c>
      <c r="B677" s="2" t="s">
        <v>1367</v>
      </c>
      <c r="C677" s="10" t="n">
        <v>45788</v>
      </c>
      <c r="D677" s="2" t="n">
        <f aca="false">MONTH(C677)</f>
        <v>5</v>
      </c>
      <c r="E677" s="2" t="s">
        <v>77</v>
      </c>
      <c r="F677" s="2" t="s">
        <v>64</v>
      </c>
      <c r="G677" s="2" t="s">
        <v>70</v>
      </c>
      <c r="H677" s="2" t="s">
        <v>122</v>
      </c>
      <c r="I677" s="2" t="n">
        <v>2</v>
      </c>
      <c r="J677" s="11" t="n">
        <v>1500</v>
      </c>
      <c r="K677" s="12" t="n">
        <v>0</v>
      </c>
      <c r="L677" s="11" t="n">
        <v>900</v>
      </c>
      <c r="M677" s="11" t="n">
        <f aca="false">I677*J677*(1-K677)</f>
        <v>3000</v>
      </c>
      <c r="N677" s="11" t="n">
        <f aca="false">M677-I677*L677</f>
        <v>1200</v>
      </c>
    </row>
    <row r="678" customFormat="false" ht="15" hidden="false" customHeight="false" outlineLevel="0" collapsed="false">
      <c r="A678" s="2" t="s">
        <v>1431</v>
      </c>
      <c r="B678" s="2" t="s">
        <v>1430</v>
      </c>
      <c r="C678" s="10" t="n">
        <v>45788</v>
      </c>
      <c r="D678" s="2" t="n">
        <f aca="false">MONTH(C678)</f>
        <v>5</v>
      </c>
      <c r="E678" s="2" t="s">
        <v>91</v>
      </c>
      <c r="F678" s="2" t="s">
        <v>64</v>
      </c>
      <c r="G678" s="2" t="s">
        <v>65</v>
      </c>
      <c r="H678" s="2" t="s">
        <v>66</v>
      </c>
      <c r="I678" s="2" t="n">
        <v>6</v>
      </c>
      <c r="J678" s="11" t="n">
        <v>600</v>
      </c>
      <c r="K678" s="12" t="n">
        <v>0.05</v>
      </c>
      <c r="L678" s="11" t="n">
        <v>300</v>
      </c>
      <c r="M678" s="11" t="n">
        <f aca="false">I678*J678*(1-K678)</f>
        <v>3420</v>
      </c>
      <c r="N678" s="11" t="n">
        <f aca="false">M678-I678*L678</f>
        <v>1620</v>
      </c>
    </row>
    <row r="679" customFormat="false" ht="15" hidden="false" customHeight="false" outlineLevel="0" collapsed="false">
      <c r="A679" s="2" t="s">
        <v>1527</v>
      </c>
      <c r="B679" s="2" t="s">
        <v>1525</v>
      </c>
      <c r="C679" s="10" t="n">
        <v>45788</v>
      </c>
      <c r="D679" s="2" t="n">
        <f aca="false">MONTH(C679)</f>
        <v>5</v>
      </c>
      <c r="E679" s="2" t="s">
        <v>81</v>
      </c>
      <c r="F679" s="2" t="s">
        <v>92</v>
      </c>
      <c r="G679" s="2" t="s">
        <v>73</v>
      </c>
      <c r="H679" s="2" t="s">
        <v>74</v>
      </c>
      <c r="I679" s="2" t="n">
        <v>4</v>
      </c>
      <c r="J679" s="11" t="n">
        <v>7000</v>
      </c>
      <c r="K679" s="12" t="n">
        <v>0.1</v>
      </c>
      <c r="L679" s="11" t="n">
        <v>4800</v>
      </c>
      <c r="M679" s="11" t="n">
        <f aca="false">I679*J679*(1-K679)</f>
        <v>25200</v>
      </c>
      <c r="N679" s="11" t="n">
        <f aca="false">M679-I679*L679</f>
        <v>6000</v>
      </c>
    </row>
    <row r="680" customFormat="false" ht="15" hidden="false" customHeight="false" outlineLevel="0" collapsed="false">
      <c r="A680" s="2" t="s">
        <v>1663</v>
      </c>
      <c r="B680" s="2" t="s">
        <v>1664</v>
      </c>
      <c r="C680" s="10" t="n">
        <v>45788</v>
      </c>
      <c r="D680" s="2" t="n">
        <f aca="false">MONTH(C680)</f>
        <v>5</v>
      </c>
      <c r="E680" s="2" t="s">
        <v>81</v>
      </c>
      <c r="F680" s="2" t="s">
        <v>92</v>
      </c>
      <c r="G680" s="2" t="s">
        <v>73</v>
      </c>
      <c r="H680" s="2" t="s">
        <v>74</v>
      </c>
      <c r="I680" s="2" t="n">
        <v>5</v>
      </c>
      <c r="J680" s="11" t="n">
        <v>7000</v>
      </c>
      <c r="K680" s="12" t="n">
        <v>0.15</v>
      </c>
      <c r="L680" s="11" t="n">
        <v>4800</v>
      </c>
      <c r="M680" s="11" t="n">
        <f aca="false">I680*J680*(1-K680)</f>
        <v>29750</v>
      </c>
      <c r="N680" s="11" t="n">
        <f aca="false">M680-I680*L680</f>
        <v>5750</v>
      </c>
    </row>
    <row r="681" customFormat="false" ht="15" hidden="false" customHeight="false" outlineLevel="0" collapsed="false">
      <c r="A681" s="2" t="s">
        <v>1671</v>
      </c>
      <c r="B681" s="2" t="s">
        <v>1664</v>
      </c>
      <c r="C681" s="10" t="n">
        <v>45788</v>
      </c>
      <c r="D681" s="2" t="n">
        <f aca="false">MONTH(C681)</f>
        <v>5</v>
      </c>
      <c r="E681" s="2" t="s">
        <v>81</v>
      </c>
      <c r="F681" s="2" t="s">
        <v>92</v>
      </c>
      <c r="G681" s="2" t="s">
        <v>65</v>
      </c>
      <c r="H681" s="2" t="s">
        <v>82</v>
      </c>
      <c r="I681" s="2" t="n">
        <v>19</v>
      </c>
      <c r="J681" s="11" t="n">
        <v>250</v>
      </c>
      <c r="K681" s="12" t="n">
        <v>0</v>
      </c>
      <c r="L681" s="11" t="n">
        <v>100</v>
      </c>
      <c r="M681" s="11" t="n">
        <f aca="false">I681*J681*(1-K681)</f>
        <v>4750</v>
      </c>
      <c r="N681" s="11" t="n">
        <f aca="false">M681-I681*L681</f>
        <v>2850</v>
      </c>
    </row>
    <row r="682" customFormat="false" ht="15" hidden="false" customHeight="false" outlineLevel="0" collapsed="false">
      <c r="A682" s="2" t="s">
        <v>669</v>
      </c>
      <c r="B682" s="2" t="s">
        <v>664</v>
      </c>
      <c r="C682" s="10" t="n">
        <v>45789</v>
      </c>
      <c r="D682" s="2" t="n">
        <f aca="false">MONTH(C682)</f>
        <v>5</v>
      </c>
      <c r="E682" s="2" t="s">
        <v>77</v>
      </c>
      <c r="F682" s="2" t="s">
        <v>64</v>
      </c>
      <c r="G682" s="2" t="s">
        <v>70</v>
      </c>
      <c r="H682" s="2" t="s">
        <v>122</v>
      </c>
      <c r="I682" s="2" t="n">
        <v>1</v>
      </c>
      <c r="J682" s="11" t="n">
        <v>1500</v>
      </c>
      <c r="K682" s="12" t="n">
        <v>0</v>
      </c>
      <c r="L682" s="11" t="n">
        <v>900</v>
      </c>
      <c r="M682" s="11" t="n">
        <f aca="false">I682*J682*(1-K682)</f>
        <v>1500</v>
      </c>
      <c r="N682" s="11" t="n">
        <f aca="false">M682-I682*L682</f>
        <v>600</v>
      </c>
    </row>
    <row r="683" customFormat="false" ht="15" hidden="false" customHeight="false" outlineLevel="0" collapsed="false">
      <c r="A683" s="2" t="s">
        <v>766</v>
      </c>
      <c r="B683" s="2" t="s">
        <v>767</v>
      </c>
      <c r="C683" s="10" t="n">
        <v>45789</v>
      </c>
      <c r="D683" s="2" t="n">
        <f aca="false">MONTH(C683)</f>
        <v>5</v>
      </c>
      <c r="E683" s="2" t="s">
        <v>81</v>
      </c>
      <c r="F683" s="2" t="s">
        <v>64</v>
      </c>
      <c r="G683" s="2" t="s">
        <v>73</v>
      </c>
      <c r="H683" s="2" t="s">
        <v>74</v>
      </c>
      <c r="I683" s="2" t="n">
        <v>3</v>
      </c>
      <c r="J683" s="11" t="n">
        <v>7000</v>
      </c>
      <c r="K683" s="12" t="n">
        <v>0.05</v>
      </c>
      <c r="L683" s="11" t="n">
        <v>4800</v>
      </c>
      <c r="M683" s="11" t="n">
        <f aca="false">I683*J683*(1-K683)</f>
        <v>19950</v>
      </c>
      <c r="N683" s="11" t="n">
        <f aca="false">M683-I683*L683</f>
        <v>5550</v>
      </c>
    </row>
    <row r="684" customFormat="false" ht="15" hidden="false" customHeight="false" outlineLevel="0" collapsed="false">
      <c r="A684" s="2" t="s">
        <v>1207</v>
      </c>
      <c r="B684" s="2" t="s">
        <v>1208</v>
      </c>
      <c r="C684" s="10" t="n">
        <v>45789</v>
      </c>
      <c r="D684" s="2" t="n">
        <f aca="false">MONTH(C684)</f>
        <v>5</v>
      </c>
      <c r="E684" s="2" t="s">
        <v>63</v>
      </c>
      <c r="F684" s="2" t="s">
        <v>64</v>
      </c>
      <c r="G684" s="2" t="s">
        <v>65</v>
      </c>
      <c r="H684" s="2" t="s">
        <v>107</v>
      </c>
      <c r="I684" s="2" t="n">
        <v>8</v>
      </c>
      <c r="J684" s="11" t="n">
        <v>500</v>
      </c>
      <c r="K684" s="12" t="n">
        <v>0.05</v>
      </c>
      <c r="L684" s="11" t="n">
        <v>250</v>
      </c>
      <c r="M684" s="11" t="n">
        <f aca="false">I684*J684*(1-K684)</f>
        <v>3800</v>
      </c>
      <c r="N684" s="11" t="n">
        <f aca="false">M684-I684*L684</f>
        <v>1800</v>
      </c>
    </row>
    <row r="685" customFormat="false" ht="15" hidden="false" customHeight="false" outlineLevel="0" collapsed="false">
      <c r="A685" s="2" t="s">
        <v>1519</v>
      </c>
      <c r="B685" s="2" t="s">
        <v>1516</v>
      </c>
      <c r="C685" s="10" t="n">
        <v>45789</v>
      </c>
      <c r="D685" s="2" t="n">
        <f aca="false">MONTH(C685)</f>
        <v>5</v>
      </c>
      <c r="E685" s="2" t="s">
        <v>81</v>
      </c>
      <c r="F685" s="2" t="s">
        <v>64</v>
      </c>
      <c r="G685" s="2" t="s">
        <v>70</v>
      </c>
      <c r="H685" s="2" t="s">
        <v>71</v>
      </c>
      <c r="I685" s="2" t="n">
        <v>3</v>
      </c>
      <c r="J685" s="11" t="n">
        <v>2500</v>
      </c>
      <c r="K685" s="12" t="n">
        <v>0</v>
      </c>
      <c r="L685" s="11" t="n">
        <v>1600</v>
      </c>
      <c r="M685" s="11" t="n">
        <f aca="false">I685*J685*(1-K685)</f>
        <v>7500</v>
      </c>
      <c r="N685" s="11" t="n">
        <f aca="false">M685-I685*L685</f>
        <v>2700</v>
      </c>
    </row>
    <row r="686" customFormat="false" ht="15" hidden="false" customHeight="false" outlineLevel="0" collapsed="false">
      <c r="A686" s="2" t="s">
        <v>1556</v>
      </c>
      <c r="B686" s="2" t="s">
        <v>1553</v>
      </c>
      <c r="C686" s="10" t="n">
        <v>45789</v>
      </c>
      <c r="D686" s="2" t="n">
        <f aca="false">MONTH(C686)</f>
        <v>5</v>
      </c>
      <c r="E686" s="2" t="s">
        <v>91</v>
      </c>
      <c r="F686" s="2" t="s">
        <v>92</v>
      </c>
      <c r="G686" s="2" t="s">
        <v>70</v>
      </c>
      <c r="H686" s="2" t="s">
        <v>126</v>
      </c>
      <c r="I686" s="2" t="n">
        <v>3</v>
      </c>
      <c r="J686" s="11" t="n">
        <v>4500</v>
      </c>
      <c r="K686" s="12" t="n">
        <v>0</v>
      </c>
      <c r="L686" s="11" t="n">
        <v>3300</v>
      </c>
      <c r="M686" s="11" t="n">
        <f aca="false">I686*J686*(1-K686)</f>
        <v>13500</v>
      </c>
      <c r="N686" s="11" t="n">
        <f aca="false">M686-I686*L686</f>
        <v>3600</v>
      </c>
    </row>
    <row r="687" customFormat="false" ht="15" hidden="false" customHeight="false" outlineLevel="0" collapsed="false">
      <c r="A687" s="2" t="s">
        <v>1569</v>
      </c>
      <c r="B687" s="2" t="s">
        <v>1567</v>
      </c>
      <c r="C687" s="10" t="n">
        <v>45789</v>
      </c>
      <c r="D687" s="2" t="n">
        <f aca="false">MONTH(C687)</f>
        <v>5</v>
      </c>
      <c r="E687" s="2" t="s">
        <v>81</v>
      </c>
      <c r="F687" s="2" t="s">
        <v>64</v>
      </c>
      <c r="G687" s="2" t="s">
        <v>70</v>
      </c>
      <c r="H687" s="2" t="s">
        <v>122</v>
      </c>
      <c r="I687" s="2" t="n">
        <v>2</v>
      </c>
      <c r="J687" s="11" t="n">
        <v>1500</v>
      </c>
      <c r="K687" s="12" t="n">
        <v>0</v>
      </c>
      <c r="L687" s="11" t="n">
        <v>900</v>
      </c>
      <c r="M687" s="11" t="n">
        <f aca="false">I687*J687*(1-K687)</f>
        <v>3000</v>
      </c>
      <c r="N687" s="11" t="n">
        <f aca="false">M687-I687*L687</f>
        <v>1200</v>
      </c>
    </row>
    <row r="688" customFormat="false" ht="15" hidden="false" customHeight="false" outlineLevel="0" collapsed="false">
      <c r="A688" s="2" t="s">
        <v>2280</v>
      </c>
      <c r="B688" s="2" t="s">
        <v>2275</v>
      </c>
      <c r="C688" s="10" t="n">
        <v>45789</v>
      </c>
      <c r="D688" s="2" t="n">
        <f aca="false">MONTH(C688)</f>
        <v>5</v>
      </c>
      <c r="E688" s="2" t="s">
        <v>77</v>
      </c>
      <c r="F688" s="2" t="s">
        <v>64</v>
      </c>
      <c r="G688" s="2" t="s">
        <v>65</v>
      </c>
      <c r="H688" s="2" t="s">
        <v>66</v>
      </c>
      <c r="I688" s="2" t="n">
        <v>5</v>
      </c>
      <c r="J688" s="11" t="n">
        <v>600</v>
      </c>
      <c r="K688" s="12" t="n">
        <v>0</v>
      </c>
      <c r="L688" s="11" t="n">
        <v>300</v>
      </c>
      <c r="M688" s="11" t="n">
        <f aca="false">I688*J688*(1-K688)</f>
        <v>3000</v>
      </c>
      <c r="N688" s="11" t="n">
        <f aca="false">M688-I688*L688</f>
        <v>1500</v>
      </c>
    </row>
    <row r="689" customFormat="false" ht="15" hidden="false" customHeight="false" outlineLevel="0" collapsed="false">
      <c r="A689" s="2" t="s">
        <v>2460</v>
      </c>
      <c r="B689" s="2" t="s">
        <v>2461</v>
      </c>
      <c r="C689" s="10" t="n">
        <v>45789</v>
      </c>
      <c r="D689" s="2" t="n">
        <f aca="false">MONTH(C689)</f>
        <v>5</v>
      </c>
      <c r="E689" s="2" t="s">
        <v>91</v>
      </c>
      <c r="F689" s="2" t="s">
        <v>69</v>
      </c>
      <c r="G689" s="2" t="s">
        <v>73</v>
      </c>
      <c r="H689" s="2" t="s">
        <v>74</v>
      </c>
      <c r="I689" s="2" t="n">
        <v>5</v>
      </c>
      <c r="J689" s="11" t="n">
        <v>7000</v>
      </c>
      <c r="K689" s="12" t="n">
        <v>0.05</v>
      </c>
      <c r="L689" s="11" t="n">
        <v>4800</v>
      </c>
      <c r="M689" s="11" t="n">
        <f aca="false">I689*J689*(1-K689)</f>
        <v>33250</v>
      </c>
      <c r="N689" s="11" t="n">
        <f aca="false">M689-I689*L689</f>
        <v>9250</v>
      </c>
    </row>
    <row r="690" customFormat="false" ht="15" hidden="false" customHeight="false" outlineLevel="0" collapsed="false">
      <c r="A690" s="2" t="s">
        <v>243</v>
      </c>
      <c r="B690" s="2" t="s">
        <v>240</v>
      </c>
      <c r="C690" s="10" t="n">
        <v>45790</v>
      </c>
      <c r="D690" s="2" t="n">
        <f aca="false">MONTH(C690)</f>
        <v>5</v>
      </c>
      <c r="E690" s="2" t="s">
        <v>91</v>
      </c>
      <c r="F690" s="2" t="s">
        <v>64</v>
      </c>
      <c r="G690" s="2" t="s">
        <v>73</v>
      </c>
      <c r="H690" s="2" t="s">
        <v>85</v>
      </c>
      <c r="I690" s="2" t="n">
        <v>1</v>
      </c>
      <c r="J690" s="11" t="n">
        <v>1200</v>
      </c>
      <c r="K690" s="12" t="n">
        <v>0</v>
      </c>
      <c r="L690" s="11" t="n">
        <v>600</v>
      </c>
      <c r="M690" s="11" t="n">
        <f aca="false">I690*J690*(1-K690)</f>
        <v>1200</v>
      </c>
      <c r="N690" s="11" t="n">
        <f aca="false">M690-I690*L690</f>
        <v>600</v>
      </c>
    </row>
    <row r="691" customFormat="false" ht="15" hidden="false" customHeight="false" outlineLevel="0" collapsed="false">
      <c r="A691" s="2" t="s">
        <v>563</v>
      </c>
      <c r="B691" s="2" t="s">
        <v>564</v>
      </c>
      <c r="C691" s="10" t="n">
        <v>45790</v>
      </c>
      <c r="D691" s="2" t="n">
        <f aca="false">MONTH(C691)</f>
        <v>5</v>
      </c>
      <c r="E691" s="2" t="s">
        <v>77</v>
      </c>
      <c r="F691" s="2" t="s">
        <v>64</v>
      </c>
      <c r="G691" s="2" t="s">
        <v>70</v>
      </c>
      <c r="H691" s="2" t="s">
        <v>122</v>
      </c>
      <c r="I691" s="2" t="n">
        <v>2</v>
      </c>
      <c r="J691" s="11" t="n">
        <v>1500</v>
      </c>
      <c r="K691" s="12" t="n">
        <v>0.05</v>
      </c>
      <c r="L691" s="11" t="n">
        <v>900</v>
      </c>
      <c r="M691" s="11" t="n">
        <f aca="false">I691*J691*(1-K691)</f>
        <v>2850</v>
      </c>
      <c r="N691" s="11" t="n">
        <f aca="false">M691-I691*L691</f>
        <v>1050</v>
      </c>
    </row>
    <row r="692" customFormat="false" ht="15" hidden="false" customHeight="false" outlineLevel="0" collapsed="false">
      <c r="A692" s="2" t="s">
        <v>833</v>
      </c>
      <c r="B692" s="2" t="s">
        <v>834</v>
      </c>
      <c r="C692" s="10" t="n">
        <v>45790</v>
      </c>
      <c r="D692" s="2" t="n">
        <f aca="false">MONTH(C692)</f>
        <v>5</v>
      </c>
      <c r="E692" s="2" t="s">
        <v>63</v>
      </c>
      <c r="F692" s="2" t="s">
        <v>92</v>
      </c>
      <c r="G692" s="2" t="s">
        <v>73</v>
      </c>
      <c r="H692" s="2" t="s">
        <v>104</v>
      </c>
      <c r="I692" s="2" t="n">
        <v>7</v>
      </c>
      <c r="J692" s="11" t="n">
        <v>5500</v>
      </c>
      <c r="K692" s="12" t="n">
        <v>0</v>
      </c>
      <c r="L692" s="11" t="n">
        <v>3600</v>
      </c>
      <c r="M692" s="11" t="n">
        <f aca="false">I692*J692*(1-K692)</f>
        <v>38500</v>
      </c>
      <c r="N692" s="11" t="n">
        <f aca="false">M692-I692*L692</f>
        <v>13300</v>
      </c>
    </row>
    <row r="693" customFormat="false" ht="15" hidden="false" customHeight="false" outlineLevel="0" collapsed="false">
      <c r="A693" s="2" t="s">
        <v>932</v>
      </c>
      <c r="B693" s="2" t="s">
        <v>931</v>
      </c>
      <c r="C693" s="10" t="n">
        <v>45790</v>
      </c>
      <c r="D693" s="2" t="n">
        <f aca="false">MONTH(C693)</f>
        <v>5</v>
      </c>
      <c r="E693" s="2" t="s">
        <v>63</v>
      </c>
      <c r="F693" s="2" t="s">
        <v>64</v>
      </c>
      <c r="G693" s="2" t="s">
        <v>70</v>
      </c>
      <c r="H693" s="2" t="s">
        <v>97</v>
      </c>
      <c r="I693" s="2" t="n">
        <v>2</v>
      </c>
      <c r="J693" s="11" t="n">
        <v>3000</v>
      </c>
      <c r="K693" s="12" t="n">
        <v>0.05</v>
      </c>
      <c r="L693" s="11" t="n">
        <v>2000</v>
      </c>
      <c r="M693" s="11" t="n">
        <f aca="false">I693*J693*(1-K693)</f>
        <v>5700</v>
      </c>
      <c r="N693" s="11" t="n">
        <f aca="false">M693-I693*L693</f>
        <v>1700</v>
      </c>
    </row>
    <row r="694" customFormat="false" ht="15" hidden="false" customHeight="false" outlineLevel="0" collapsed="false">
      <c r="A694" s="2" t="s">
        <v>952</v>
      </c>
      <c r="B694" s="2" t="s">
        <v>951</v>
      </c>
      <c r="C694" s="10" t="n">
        <v>45790</v>
      </c>
      <c r="D694" s="2" t="n">
        <f aca="false">MONTH(C694)</f>
        <v>5</v>
      </c>
      <c r="E694" s="2" t="s">
        <v>77</v>
      </c>
      <c r="F694" s="2" t="s">
        <v>92</v>
      </c>
      <c r="G694" s="2" t="s">
        <v>73</v>
      </c>
      <c r="H694" s="2" t="s">
        <v>87</v>
      </c>
      <c r="I694" s="2" t="n">
        <v>2</v>
      </c>
      <c r="J694" s="11" t="n">
        <v>9000</v>
      </c>
      <c r="K694" s="12" t="n">
        <v>0.15</v>
      </c>
      <c r="L694" s="11" t="n">
        <v>6200</v>
      </c>
      <c r="M694" s="11" t="n">
        <f aca="false">I694*J694*(1-K694)</f>
        <v>15300</v>
      </c>
      <c r="N694" s="11" t="n">
        <f aca="false">M694-I694*L694</f>
        <v>2900</v>
      </c>
    </row>
    <row r="695" customFormat="false" ht="15" hidden="false" customHeight="false" outlineLevel="0" collapsed="false">
      <c r="A695" s="2" t="s">
        <v>1566</v>
      </c>
      <c r="B695" s="2" t="s">
        <v>1567</v>
      </c>
      <c r="C695" s="10" t="n">
        <v>45790</v>
      </c>
      <c r="D695" s="2" t="n">
        <f aca="false">MONTH(C695)</f>
        <v>5</v>
      </c>
      <c r="E695" s="2" t="s">
        <v>81</v>
      </c>
      <c r="F695" s="2" t="s">
        <v>64</v>
      </c>
      <c r="G695" s="2" t="s">
        <v>70</v>
      </c>
      <c r="H695" s="2" t="s">
        <v>126</v>
      </c>
      <c r="I695" s="2" t="n">
        <v>2</v>
      </c>
      <c r="J695" s="11" t="n">
        <v>4500</v>
      </c>
      <c r="K695" s="12" t="n">
        <v>0.1</v>
      </c>
      <c r="L695" s="11" t="n">
        <v>3300</v>
      </c>
      <c r="M695" s="11" t="n">
        <f aca="false">I695*J695*(1-K695)</f>
        <v>8100</v>
      </c>
      <c r="N695" s="11" t="n">
        <f aca="false">M695-I695*L695</f>
        <v>1500</v>
      </c>
    </row>
    <row r="696" customFormat="false" ht="15" hidden="false" customHeight="false" outlineLevel="0" collapsed="false">
      <c r="A696" s="2" t="s">
        <v>1726</v>
      </c>
      <c r="B696" s="2" t="s">
        <v>1723</v>
      </c>
      <c r="C696" s="10" t="n">
        <v>45790</v>
      </c>
      <c r="D696" s="2" t="n">
        <f aca="false">MONTH(C696)</f>
        <v>5</v>
      </c>
      <c r="E696" s="2" t="s">
        <v>77</v>
      </c>
      <c r="F696" s="2" t="s">
        <v>92</v>
      </c>
      <c r="G696" s="2" t="s">
        <v>65</v>
      </c>
      <c r="H696" s="2" t="s">
        <v>107</v>
      </c>
      <c r="I696" s="2" t="n">
        <v>10</v>
      </c>
      <c r="J696" s="11" t="n">
        <v>500</v>
      </c>
      <c r="K696" s="12" t="n">
        <v>0.15</v>
      </c>
      <c r="L696" s="11" t="n">
        <v>250</v>
      </c>
      <c r="M696" s="11" t="n">
        <f aca="false">I696*J696*(1-K696)</f>
        <v>4250</v>
      </c>
      <c r="N696" s="11" t="n">
        <f aca="false">M696-I696*L696</f>
        <v>1750</v>
      </c>
    </row>
    <row r="697" customFormat="false" ht="15" hidden="false" customHeight="false" outlineLevel="0" collapsed="false">
      <c r="A697" s="2" t="s">
        <v>1787</v>
      </c>
      <c r="B697" s="2" t="s">
        <v>1783</v>
      </c>
      <c r="C697" s="10" t="n">
        <v>45790</v>
      </c>
      <c r="D697" s="2" t="n">
        <f aca="false">MONTH(C697)</f>
        <v>5</v>
      </c>
      <c r="E697" s="2" t="s">
        <v>77</v>
      </c>
      <c r="F697" s="2" t="s">
        <v>64</v>
      </c>
      <c r="G697" s="2" t="s">
        <v>70</v>
      </c>
      <c r="H697" s="2" t="s">
        <v>97</v>
      </c>
      <c r="I697" s="2" t="n">
        <v>3</v>
      </c>
      <c r="J697" s="11" t="n">
        <v>3000</v>
      </c>
      <c r="K697" s="12" t="n">
        <v>0</v>
      </c>
      <c r="L697" s="11" t="n">
        <v>2000</v>
      </c>
      <c r="M697" s="11" t="n">
        <f aca="false">I697*J697*(1-K697)</f>
        <v>9000</v>
      </c>
      <c r="N697" s="11" t="n">
        <f aca="false">M697-I697*L697</f>
        <v>3000</v>
      </c>
    </row>
    <row r="698" customFormat="false" ht="15" hidden="false" customHeight="false" outlineLevel="0" collapsed="false">
      <c r="A698" s="2" t="s">
        <v>1958</v>
      </c>
      <c r="B698" s="2" t="s">
        <v>1956</v>
      </c>
      <c r="C698" s="10" t="n">
        <v>45790</v>
      </c>
      <c r="D698" s="2" t="n">
        <f aca="false">MONTH(C698)</f>
        <v>5</v>
      </c>
      <c r="E698" s="2" t="s">
        <v>77</v>
      </c>
      <c r="F698" s="2" t="s">
        <v>64</v>
      </c>
      <c r="G698" s="2" t="s">
        <v>70</v>
      </c>
      <c r="H698" s="2" t="s">
        <v>71</v>
      </c>
      <c r="I698" s="2" t="n">
        <v>2</v>
      </c>
      <c r="J698" s="11" t="n">
        <v>2500</v>
      </c>
      <c r="K698" s="12" t="n">
        <v>0</v>
      </c>
      <c r="L698" s="11" t="n">
        <v>1600</v>
      </c>
      <c r="M698" s="11" t="n">
        <f aca="false">I698*J698*(1-K698)</f>
        <v>5000</v>
      </c>
      <c r="N698" s="11" t="n">
        <f aca="false">M698-I698*L698</f>
        <v>1800</v>
      </c>
    </row>
    <row r="699" customFormat="false" ht="15" hidden="false" customHeight="false" outlineLevel="0" collapsed="false">
      <c r="A699" s="2" t="s">
        <v>2153</v>
      </c>
      <c r="B699" s="2" t="s">
        <v>2151</v>
      </c>
      <c r="C699" s="10" t="n">
        <v>45790</v>
      </c>
      <c r="D699" s="2" t="n">
        <f aca="false">MONTH(C699)</f>
        <v>5</v>
      </c>
      <c r="E699" s="2" t="s">
        <v>63</v>
      </c>
      <c r="F699" s="2" t="s">
        <v>64</v>
      </c>
      <c r="G699" s="2" t="s">
        <v>70</v>
      </c>
      <c r="H699" s="2" t="s">
        <v>71</v>
      </c>
      <c r="I699" s="2" t="n">
        <v>1</v>
      </c>
      <c r="J699" s="11" t="n">
        <v>2500</v>
      </c>
      <c r="K699" s="12" t="n">
        <v>0.1</v>
      </c>
      <c r="L699" s="11" t="n">
        <v>1600</v>
      </c>
      <c r="M699" s="11" t="n">
        <f aca="false">I699*J699*(1-K699)</f>
        <v>2250</v>
      </c>
      <c r="N699" s="11" t="n">
        <f aca="false">M699-I699*L699</f>
        <v>650</v>
      </c>
    </row>
    <row r="700" customFormat="false" ht="15" hidden="false" customHeight="false" outlineLevel="0" collapsed="false">
      <c r="A700" s="2" t="s">
        <v>2180</v>
      </c>
      <c r="B700" s="2" t="s">
        <v>2177</v>
      </c>
      <c r="C700" s="10" t="n">
        <v>45790</v>
      </c>
      <c r="D700" s="2" t="n">
        <f aca="false">MONTH(C700)</f>
        <v>5</v>
      </c>
      <c r="E700" s="2" t="s">
        <v>63</v>
      </c>
      <c r="F700" s="2" t="s">
        <v>64</v>
      </c>
      <c r="G700" s="2" t="s">
        <v>65</v>
      </c>
      <c r="H700" s="2" t="s">
        <v>66</v>
      </c>
      <c r="I700" s="2" t="n">
        <v>2</v>
      </c>
      <c r="J700" s="11" t="n">
        <v>600</v>
      </c>
      <c r="K700" s="12" t="n">
        <v>0.1</v>
      </c>
      <c r="L700" s="11" t="n">
        <v>300</v>
      </c>
      <c r="M700" s="11" t="n">
        <f aca="false">I700*J700*(1-K700)</f>
        <v>1080</v>
      </c>
      <c r="N700" s="11" t="n">
        <f aca="false">M700-I700*L700</f>
        <v>480</v>
      </c>
    </row>
    <row r="701" customFormat="false" ht="15" hidden="false" customHeight="false" outlineLevel="0" collapsed="false">
      <c r="A701" s="2" t="s">
        <v>150</v>
      </c>
      <c r="B701" s="2" t="s">
        <v>151</v>
      </c>
      <c r="C701" s="10" t="n">
        <v>45791</v>
      </c>
      <c r="D701" s="2" t="n">
        <f aca="false">MONTH(C701)</f>
        <v>5</v>
      </c>
      <c r="E701" s="2" t="s">
        <v>91</v>
      </c>
      <c r="F701" s="2" t="s">
        <v>64</v>
      </c>
      <c r="G701" s="2" t="s">
        <v>65</v>
      </c>
      <c r="H701" s="2" t="s">
        <v>78</v>
      </c>
      <c r="I701" s="2" t="n">
        <v>5</v>
      </c>
      <c r="J701" s="11" t="n">
        <v>400</v>
      </c>
      <c r="K701" s="12" t="n">
        <v>0</v>
      </c>
      <c r="L701" s="11" t="n">
        <v>200</v>
      </c>
      <c r="M701" s="11" t="n">
        <f aca="false">I701*J701*(1-K701)</f>
        <v>2000</v>
      </c>
      <c r="N701" s="11" t="n">
        <f aca="false">M701-I701*L701</f>
        <v>1000</v>
      </c>
    </row>
    <row r="702" customFormat="false" ht="15" hidden="false" customHeight="false" outlineLevel="0" collapsed="false">
      <c r="A702" s="2" t="s">
        <v>1735</v>
      </c>
      <c r="B702" s="2" t="s">
        <v>1734</v>
      </c>
      <c r="C702" s="10" t="n">
        <v>45791</v>
      </c>
      <c r="D702" s="2" t="n">
        <f aca="false">MONTH(C702)</f>
        <v>5</v>
      </c>
      <c r="E702" s="2" t="s">
        <v>63</v>
      </c>
      <c r="F702" s="2" t="s">
        <v>64</v>
      </c>
      <c r="G702" s="2" t="s">
        <v>65</v>
      </c>
      <c r="H702" s="2" t="s">
        <v>78</v>
      </c>
      <c r="I702" s="2" t="n">
        <v>3</v>
      </c>
      <c r="J702" s="11" t="n">
        <v>400</v>
      </c>
      <c r="K702" s="12" t="n">
        <v>0</v>
      </c>
      <c r="L702" s="11" t="n">
        <v>200</v>
      </c>
      <c r="M702" s="11" t="n">
        <f aca="false">I702*J702*(1-K702)</f>
        <v>1200</v>
      </c>
      <c r="N702" s="11" t="n">
        <f aca="false">M702-I702*L702</f>
        <v>600</v>
      </c>
    </row>
    <row r="703" customFormat="false" ht="15" hidden="false" customHeight="false" outlineLevel="0" collapsed="false">
      <c r="A703" s="2" t="s">
        <v>2538</v>
      </c>
      <c r="B703" s="2" t="s">
        <v>2539</v>
      </c>
      <c r="C703" s="10" t="n">
        <v>45791</v>
      </c>
      <c r="D703" s="2" t="n">
        <f aca="false">MONTH(C703)</f>
        <v>5</v>
      </c>
      <c r="E703" s="2" t="s">
        <v>81</v>
      </c>
      <c r="F703" s="2" t="s">
        <v>64</v>
      </c>
      <c r="G703" s="2" t="s">
        <v>73</v>
      </c>
      <c r="H703" s="2" t="s">
        <v>104</v>
      </c>
      <c r="I703" s="2" t="n">
        <v>3</v>
      </c>
      <c r="J703" s="11" t="n">
        <v>5500</v>
      </c>
      <c r="K703" s="12" t="n">
        <v>0</v>
      </c>
      <c r="L703" s="11" t="n">
        <v>3600</v>
      </c>
      <c r="M703" s="11" t="n">
        <f aca="false">I703*J703*(1-K703)</f>
        <v>16500</v>
      </c>
      <c r="N703" s="11" t="n">
        <f aca="false">M703-I703*L703</f>
        <v>5700</v>
      </c>
    </row>
    <row r="704" customFormat="false" ht="15" hidden="false" customHeight="false" outlineLevel="0" collapsed="false">
      <c r="A704" s="2" t="s">
        <v>2975</v>
      </c>
      <c r="B704" s="2" t="s">
        <v>2968</v>
      </c>
      <c r="C704" s="10" t="n">
        <v>45791</v>
      </c>
      <c r="D704" s="2" t="n">
        <f aca="false">MONTH(C704)</f>
        <v>5</v>
      </c>
      <c r="E704" s="2" t="s">
        <v>63</v>
      </c>
      <c r="F704" s="2" t="s">
        <v>64</v>
      </c>
      <c r="G704" s="2" t="s">
        <v>73</v>
      </c>
      <c r="H704" s="2" t="s">
        <v>87</v>
      </c>
      <c r="I704" s="2" t="n">
        <v>2</v>
      </c>
      <c r="J704" s="11" t="n">
        <v>9000</v>
      </c>
      <c r="K704" s="12" t="n">
        <v>0</v>
      </c>
      <c r="L704" s="11" t="n">
        <v>6200</v>
      </c>
      <c r="M704" s="11" t="n">
        <f aca="false">I704*J704*(1-K704)</f>
        <v>18000</v>
      </c>
      <c r="N704" s="11" t="n">
        <f aca="false">M704-I704*L704</f>
        <v>5600</v>
      </c>
    </row>
    <row r="705" customFormat="false" ht="15" hidden="false" customHeight="false" outlineLevel="0" collapsed="false">
      <c r="A705" s="2" t="s">
        <v>261</v>
      </c>
      <c r="B705" s="2" t="s">
        <v>254</v>
      </c>
      <c r="C705" s="10" t="n">
        <v>45792</v>
      </c>
      <c r="D705" s="2" t="n">
        <f aca="false">MONTH(C705)</f>
        <v>5</v>
      </c>
      <c r="E705" s="2" t="s">
        <v>77</v>
      </c>
      <c r="F705" s="2" t="s">
        <v>64</v>
      </c>
      <c r="G705" s="2" t="s">
        <v>70</v>
      </c>
      <c r="H705" s="2" t="s">
        <v>126</v>
      </c>
      <c r="I705" s="2" t="n">
        <v>3</v>
      </c>
      <c r="J705" s="11" t="n">
        <v>4500</v>
      </c>
      <c r="K705" s="12" t="n">
        <v>0.05</v>
      </c>
      <c r="L705" s="11" t="n">
        <v>3300</v>
      </c>
      <c r="M705" s="11" t="n">
        <f aca="false">I705*J705*(1-K705)</f>
        <v>12825</v>
      </c>
      <c r="N705" s="11" t="n">
        <f aca="false">M705-I705*L705</f>
        <v>2925</v>
      </c>
    </row>
    <row r="706" customFormat="false" ht="15" hidden="false" customHeight="false" outlineLevel="0" collapsed="false">
      <c r="A706" s="2" t="s">
        <v>1182</v>
      </c>
      <c r="B706" s="2" t="s">
        <v>1179</v>
      </c>
      <c r="C706" s="10" t="n">
        <v>45792</v>
      </c>
      <c r="D706" s="2" t="n">
        <f aca="false">MONTH(C706)</f>
        <v>5</v>
      </c>
      <c r="E706" s="2" t="s">
        <v>91</v>
      </c>
      <c r="F706" s="2" t="s">
        <v>92</v>
      </c>
      <c r="G706" s="2" t="s">
        <v>73</v>
      </c>
      <c r="H706" s="2" t="s">
        <v>104</v>
      </c>
      <c r="I706" s="2" t="n">
        <v>2</v>
      </c>
      <c r="J706" s="11" t="n">
        <v>5500</v>
      </c>
      <c r="K706" s="12" t="n">
        <v>0.1</v>
      </c>
      <c r="L706" s="11" t="n">
        <v>3600</v>
      </c>
      <c r="M706" s="11" t="n">
        <f aca="false">I706*J706*(1-K706)</f>
        <v>9900</v>
      </c>
      <c r="N706" s="11" t="n">
        <f aca="false">M706-I706*L706</f>
        <v>2700</v>
      </c>
    </row>
    <row r="707" customFormat="false" ht="15" hidden="false" customHeight="false" outlineLevel="0" collapsed="false">
      <c r="A707" s="2" t="s">
        <v>1377</v>
      </c>
      <c r="B707" s="2" t="s">
        <v>1375</v>
      </c>
      <c r="C707" s="10" t="n">
        <v>45792</v>
      </c>
      <c r="D707" s="2" t="n">
        <f aca="false">MONTH(C707)</f>
        <v>5</v>
      </c>
      <c r="E707" s="2" t="s">
        <v>77</v>
      </c>
      <c r="F707" s="2" t="s">
        <v>69</v>
      </c>
      <c r="G707" s="2" t="s">
        <v>65</v>
      </c>
      <c r="H707" s="2" t="s">
        <v>78</v>
      </c>
      <c r="I707" s="2" t="n">
        <v>20</v>
      </c>
      <c r="J707" s="11" t="n">
        <v>400</v>
      </c>
      <c r="K707" s="12" t="n">
        <v>0.05</v>
      </c>
      <c r="L707" s="11" t="n">
        <v>200</v>
      </c>
      <c r="M707" s="11" t="n">
        <f aca="false">I707*J707*(1-K707)</f>
        <v>7600</v>
      </c>
      <c r="N707" s="11" t="n">
        <f aca="false">M707-I707*L707</f>
        <v>3600</v>
      </c>
    </row>
    <row r="708" customFormat="false" ht="15" hidden="false" customHeight="false" outlineLevel="0" collapsed="false">
      <c r="A708" s="2" t="s">
        <v>1550</v>
      </c>
      <c r="B708" s="2" t="s">
        <v>1551</v>
      </c>
      <c r="C708" s="10" t="n">
        <v>45792</v>
      </c>
      <c r="D708" s="2" t="n">
        <f aca="false">MONTH(C708)</f>
        <v>5</v>
      </c>
      <c r="E708" s="2" t="s">
        <v>77</v>
      </c>
      <c r="F708" s="2" t="s">
        <v>64</v>
      </c>
      <c r="G708" s="2" t="s">
        <v>73</v>
      </c>
      <c r="H708" s="2" t="s">
        <v>85</v>
      </c>
      <c r="I708" s="2" t="n">
        <v>2</v>
      </c>
      <c r="J708" s="11" t="n">
        <v>1200</v>
      </c>
      <c r="K708" s="12" t="n">
        <v>0</v>
      </c>
      <c r="L708" s="11" t="n">
        <v>600</v>
      </c>
      <c r="M708" s="11" t="n">
        <f aca="false">I708*J708*(1-K708)</f>
        <v>2400</v>
      </c>
      <c r="N708" s="11" t="n">
        <f aca="false">M708-I708*L708</f>
        <v>1200</v>
      </c>
    </row>
    <row r="709" customFormat="false" ht="15" hidden="false" customHeight="false" outlineLevel="0" collapsed="false">
      <c r="A709" s="2" t="s">
        <v>1896</v>
      </c>
      <c r="B709" s="2" t="s">
        <v>1897</v>
      </c>
      <c r="C709" s="10" t="n">
        <v>45792</v>
      </c>
      <c r="D709" s="2" t="n">
        <f aca="false">MONTH(C709)</f>
        <v>5</v>
      </c>
      <c r="E709" s="2" t="s">
        <v>63</v>
      </c>
      <c r="F709" s="2" t="s">
        <v>64</v>
      </c>
      <c r="G709" s="2" t="s">
        <v>73</v>
      </c>
      <c r="H709" s="2" t="s">
        <v>85</v>
      </c>
      <c r="I709" s="2" t="n">
        <v>1</v>
      </c>
      <c r="J709" s="11" t="n">
        <v>1200</v>
      </c>
      <c r="K709" s="12" t="n">
        <v>0.05</v>
      </c>
      <c r="L709" s="11" t="n">
        <v>600</v>
      </c>
      <c r="M709" s="11" t="n">
        <f aca="false">I709*J709*(1-K709)</f>
        <v>1140</v>
      </c>
      <c r="N709" s="11" t="n">
        <f aca="false">M709-I709*L709</f>
        <v>540</v>
      </c>
    </row>
    <row r="710" customFormat="false" ht="15" hidden="false" customHeight="false" outlineLevel="0" collapsed="false">
      <c r="A710" s="2" t="s">
        <v>1911</v>
      </c>
      <c r="B710" s="2" t="s">
        <v>1912</v>
      </c>
      <c r="C710" s="10" t="n">
        <v>45792</v>
      </c>
      <c r="D710" s="2" t="n">
        <f aca="false">MONTH(C710)</f>
        <v>5</v>
      </c>
      <c r="E710" s="2" t="s">
        <v>91</v>
      </c>
      <c r="F710" s="2" t="s">
        <v>64</v>
      </c>
      <c r="G710" s="2" t="s">
        <v>70</v>
      </c>
      <c r="H710" s="2" t="s">
        <v>122</v>
      </c>
      <c r="I710" s="2" t="n">
        <v>3</v>
      </c>
      <c r="J710" s="11" t="n">
        <v>1500</v>
      </c>
      <c r="K710" s="12" t="n">
        <v>0.1</v>
      </c>
      <c r="L710" s="11" t="n">
        <v>900</v>
      </c>
      <c r="M710" s="11" t="n">
        <f aca="false">I710*J710*(1-K710)</f>
        <v>4050</v>
      </c>
      <c r="N710" s="11" t="n">
        <f aca="false">M710-I710*L710</f>
        <v>1350</v>
      </c>
    </row>
    <row r="711" customFormat="false" ht="15" hidden="false" customHeight="false" outlineLevel="0" collapsed="false">
      <c r="A711" s="2" t="s">
        <v>1993</v>
      </c>
      <c r="B711" s="2" t="s">
        <v>1990</v>
      </c>
      <c r="C711" s="10" t="n">
        <v>45792</v>
      </c>
      <c r="D711" s="2" t="n">
        <f aca="false">MONTH(C711)</f>
        <v>5</v>
      </c>
      <c r="E711" s="2" t="s">
        <v>77</v>
      </c>
      <c r="F711" s="2" t="s">
        <v>92</v>
      </c>
      <c r="G711" s="2" t="s">
        <v>73</v>
      </c>
      <c r="H711" s="2" t="s">
        <v>85</v>
      </c>
      <c r="I711" s="2" t="n">
        <v>4</v>
      </c>
      <c r="J711" s="11" t="n">
        <v>1200</v>
      </c>
      <c r="K711" s="12" t="n">
        <v>0.1</v>
      </c>
      <c r="L711" s="11" t="n">
        <v>600</v>
      </c>
      <c r="M711" s="11" t="n">
        <f aca="false">I711*J711*(1-K711)</f>
        <v>4320</v>
      </c>
      <c r="N711" s="11" t="n">
        <f aca="false">M711-I711*L711</f>
        <v>1920</v>
      </c>
    </row>
    <row r="712" customFormat="false" ht="15" hidden="false" customHeight="false" outlineLevel="0" collapsed="false">
      <c r="A712" s="2" t="s">
        <v>2483</v>
      </c>
      <c r="B712" s="2" t="s">
        <v>2484</v>
      </c>
      <c r="C712" s="10" t="n">
        <v>45792</v>
      </c>
      <c r="D712" s="2" t="n">
        <f aca="false">MONTH(C712)</f>
        <v>5</v>
      </c>
      <c r="E712" s="2" t="s">
        <v>91</v>
      </c>
      <c r="F712" s="2" t="s">
        <v>64</v>
      </c>
      <c r="G712" s="2" t="s">
        <v>73</v>
      </c>
      <c r="H712" s="2" t="s">
        <v>104</v>
      </c>
      <c r="I712" s="2" t="n">
        <v>2</v>
      </c>
      <c r="J712" s="11" t="n">
        <v>5500</v>
      </c>
      <c r="K712" s="12" t="n">
        <v>0.1</v>
      </c>
      <c r="L712" s="11" t="n">
        <v>3600</v>
      </c>
      <c r="M712" s="11" t="n">
        <f aca="false">I712*J712*(1-K712)</f>
        <v>9900</v>
      </c>
      <c r="N712" s="11" t="n">
        <f aca="false">M712-I712*L712</f>
        <v>2700</v>
      </c>
    </row>
    <row r="713" customFormat="false" ht="15" hidden="false" customHeight="false" outlineLevel="0" collapsed="false">
      <c r="A713" s="2" t="s">
        <v>2524</v>
      </c>
      <c r="B713" s="2" t="s">
        <v>2523</v>
      </c>
      <c r="C713" s="10" t="n">
        <v>45792</v>
      </c>
      <c r="D713" s="2" t="n">
        <f aca="false">MONTH(C713)</f>
        <v>5</v>
      </c>
      <c r="E713" s="2" t="s">
        <v>81</v>
      </c>
      <c r="F713" s="2" t="s">
        <v>64</v>
      </c>
      <c r="G713" s="2" t="s">
        <v>73</v>
      </c>
      <c r="H713" s="2" t="s">
        <v>85</v>
      </c>
      <c r="I713" s="2" t="n">
        <v>2</v>
      </c>
      <c r="J713" s="11" t="n">
        <v>1200</v>
      </c>
      <c r="K713" s="12" t="n">
        <v>0</v>
      </c>
      <c r="L713" s="11" t="n">
        <v>600</v>
      </c>
      <c r="M713" s="11" t="n">
        <f aca="false">I713*J713*(1-K713)</f>
        <v>2400</v>
      </c>
      <c r="N713" s="11" t="n">
        <f aca="false">M713-I713*L713</f>
        <v>1200</v>
      </c>
    </row>
    <row r="714" customFormat="false" ht="15" hidden="false" customHeight="false" outlineLevel="0" collapsed="false">
      <c r="A714" s="2" t="s">
        <v>385</v>
      </c>
      <c r="B714" s="2" t="s">
        <v>384</v>
      </c>
      <c r="C714" s="10" t="n">
        <v>45793</v>
      </c>
      <c r="D714" s="2" t="n">
        <f aca="false">MONTH(C714)</f>
        <v>5</v>
      </c>
      <c r="E714" s="2" t="s">
        <v>77</v>
      </c>
      <c r="F714" s="2" t="s">
        <v>64</v>
      </c>
      <c r="G714" s="2" t="s">
        <v>70</v>
      </c>
      <c r="H714" s="2" t="s">
        <v>97</v>
      </c>
      <c r="I714" s="2" t="n">
        <v>1</v>
      </c>
      <c r="J714" s="11" t="n">
        <v>3000</v>
      </c>
      <c r="K714" s="12" t="n">
        <v>0.1</v>
      </c>
      <c r="L714" s="11" t="n">
        <v>2000</v>
      </c>
      <c r="M714" s="11" t="n">
        <f aca="false">I714*J714*(1-K714)</f>
        <v>2700</v>
      </c>
      <c r="N714" s="11" t="n">
        <f aca="false">M714-I714*L714</f>
        <v>700</v>
      </c>
    </row>
    <row r="715" customFormat="false" ht="15" hidden="false" customHeight="false" outlineLevel="0" collapsed="false">
      <c r="A715" s="2" t="s">
        <v>547</v>
      </c>
      <c r="B715" s="2" t="s">
        <v>548</v>
      </c>
      <c r="C715" s="10" t="n">
        <v>45793</v>
      </c>
      <c r="D715" s="2" t="n">
        <f aca="false">MONTH(C715)</f>
        <v>5</v>
      </c>
      <c r="E715" s="2" t="s">
        <v>77</v>
      </c>
      <c r="F715" s="2" t="s">
        <v>69</v>
      </c>
      <c r="G715" s="2" t="s">
        <v>65</v>
      </c>
      <c r="H715" s="2" t="s">
        <v>78</v>
      </c>
      <c r="I715" s="2" t="n">
        <v>18</v>
      </c>
      <c r="J715" s="11" t="n">
        <v>400</v>
      </c>
      <c r="K715" s="12" t="n">
        <v>0</v>
      </c>
      <c r="L715" s="11" t="n">
        <v>200</v>
      </c>
      <c r="M715" s="11" t="n">
        <f aca="false">I715*J715*(1-K715)</f>
        <v>7200</v>
      </c>
      <c r="N715" s="11" t="n">
        <f aca="false">M715-I715*L715</f>
        <v>3600</v>
      </c>
    </row>
    <row r="716" customFormat="false" ht="15" hidden="false" customHeight="false" outlineLevel="0" collapsed="false">
      <c r="A716" s="2" t="s">
        <v>863</v>
      </c>
      <c r="B716" s="2" t="s">
        <v>864</v>
      </c>
      <c r="C716" s="10" t="n">
        <v>45793</v>
      </c>
      <c r="D716" s="2" t="n">
        <f aca="false">MONTH(C716)</f>
        <v>5</v>
      </c>
      <c r="E716" s="2" t="s">
        <v>91</v>
      </c>
      <c r="F716" s="2" t="s">
        <v>64</v>
      </c>
      <c r="G716" s="2" t="s">
        <v>65</v>
      </c>
      <c r="H716" s="2" t="s">
        <v>82</v>
      </c>
      <c r="I716" s="2" t="n">
        <v>2</v>
      </c>
      <c r="J716" s="11" t="n">
        <v>250</v>
      </c>
      <c r="K716" s="12" t="n">
        <v>0</v>
      </c>
      <c r="L716" s="11" t="n">
        <v>100</v>
      </c>
      <c r="M716" s="11" t="n">
        <f aca="false">I716*J716*(1-K716)</f>
        <v>500</v>
      </c>
      <c r="N716" s="11" t="n">
        <f aca="false">M716-I716*L716</f>
        <v>300</v>
      </c>
    </row>
    <row r="717" customFormat="false" ht="15" hidden="false" customHeight="false" outlineLevel="0" collapsed="false">
      <c r="A717" s="2" t="s">
        <v>1066</v>
      </c>
      <c r="B717" s="2" t="s">
        <v>1063</v>
      </c>
      <c r="C717" s="10" t="n">
        <v>45793</v>
      </c>
      <c r="D717" s="2" t="n">
        <f aca="false">MONTH(C717)</f>
        <v>5</v>
      </c>
      <c r="E717" s="2" t="s">
        <v>91</v>
      </c>
      <c r="F717" s="2" t="s">
        <v>64</v>
      </c>
      <c r="G717" s="2" t="s">
        <v>70</v>
      </c>
      <c r="H717" s="2" t="s">
        <v>97</v>
      </c>
      <c r="I717" s="2" t="n">
        <v>2</v>
      </c>
      <c r="J717" s="11" t="n">
        <v>3000</v>
      </c>
      <c r="K717" s="12" t="n">
        <v>0.05</v>
      </c>
      <c r="L717" s="11" t="n">
        <v>2000</v>
      </c>
      <c r="M717" s="11" t="n">
        <f aca="false">I717*J717*(1-K717)</f>
        <v>5700</v>
      </c>
      <c r="N717" s="11" t="n">
        <f aca="false">M717-I717*L717</f>
        <v>1700</v>
      </c>
    </row>
    <row r="718" customFormat="false" ht="15" hidden="false" customHeight="false" outlineLevel="0" collapsed="false">
      <c r="A718" s="2" t="s">
        <v>1512</v>
      </c>
      <c r="B718" s="2" t="s">
        <v>1509</v>
      </c>
      <c r="C718" s="10" t="n">
        <v>45793</v>
      </c>
      <c r="D718" s="2" t="n">
        <f aca="false">MONTH(C718)</f>
        <v>5</v>
      </c>
      <c r="E718" s="2" t="s">
        <v>63</v>
      </c>
      <c r="F718" s="2" t="s">
        <v>92</v>
      </c>
      <c r="G718" s="2" t="s">
        <v>65</v>
      </c>
      <c r="H718" s="2" t="s">
        <v>78</v>
      </c>
      <c r="I718" s="2" t="n">
        <v>12</v>
      </c>
      <c r="J718" s="11" t="n">
        <v>400</v>
      </c>
      <c r="K718" s="12" t="n">
        <v>0</v>
      </c>
      <c r="L718" s="11" t="n">
        <v>200</v>
      </c>
      <c r="M718" s="11" t="n">
        <f aca="false">I718*J718*(1-K718)</f>
        <v>4800</v>
      </c>
      <c r="N718" s="11" t="n">
        <f aca="false">M718-I718*L718</f>
        <v>2400</v>
      </c>
    </row>
    <row r="719" customFormat="false" ht="15" hidden="false" customHeight="false" outlineLevel="0" collapsed="false">
      <c r="A719" s="2" t="s">
        <v>1934</v>
      </c>
      <c r="B719" s="2" t="s">
        <v>1935</v>
      </c>
      <c r="C719" s="10" t="n">
        <v>45793</v>
      </c>
      <c r="D719" s="2" t="n">
        <f aca="false">MONTH(C719)</f>
        <v>5</v>
      </c>
      <c r="E719" s="2" t="s">
        <v>77</v>
      </c>
      <c r="F719" s="2" t="s">
        <v>64</v>
      </c>
      <c r="G719" s="2" t="s">
        <v>70</v>
      </c>
      <c r="H719" s="2" t="s">
        <v>97</v>
      </c>
      <c r="I719" s="2" t="n">
        <v>3</v>
      </c>
      <c r="J719" s="11" t="n">
        <v>3000</v>
      </c>
      <c r="K719" s="12" t="n">
        <v>0</v>
      </c>
      <c r="L719" s="11" t="n">
        <v>2000</v>
      </c>
      <c r="M719" s="11" t="n">
        <f aca="false">I719*J719*(1-K719)</f>
        <v>9000</v>
      </c>
      <c r="N719" s="11" t="n">
        <f aca="false">M719-I719*L719</f>
        <v>3000</v>
      </c>
    </row>
    <row r="720" customFormat="false" ht="15" hidden="false" customHeight="false" outlineLevel="0" collapsed="false">
      <c r="A720" s="2" t="s">
        <v>2320</v>
      </c>
      <c r="B720" s="2" t="s">
        <v>2318</v>
      </c>
      <c r="C720" s="10" t="n">
        <v>45793</v>
      </c>
      <c r="D720" s="2" t="n">
        <f aca="false">MONTH(C720)</f>
        <v>5</v>
      </c>
      <c r="E720" s="2" t="s">
        <v>77</v>
      </c>
      <c r="F720" s="2" t="s">
        <v>64</v>
      </c>
      <c r="G720" s="2" t="s">
        <v>70</v>
      </c>
      <c r="H720" s="2" t="s">
        <v>122</v>
      </c>
      <c r="I720" s="2" t="n">
        <v>2</v>
      </c>
      <c r="J720" s="11" t="n">
        <v>1500</v>
      </c>
      <c r="K720" s="12" t="n">
        <v>0</v>
      </c>
      <c r="L720" s="11" t="n">
        <v>900</v>
      </c>
      <c r="M720" s="11" t="n">
        <f aca="false">I720*J720*(1-K720)</f>
        <v>3000</v>
      </c>
      <c r="N720" s="11" t="n">
        <f aca="false">M720-I720*L720</f>
        <v>1200</v>
      </c>
    </row>
    <row r="721" customFormat="false" ht="15" hidden="false" customHeight="false" outlineLevel="0" collapsed="false">
      <c r="A721" s="2" t="s">
        <v>2582</v>
      </c>
      <c r="B721" s="2" t="s">
        <v>2580</v>
      </c>
      <c r="C721" s="10" t="n">
        <v>45793</v>
      </c>
      <c r="D721" s="2" t="n">
        <f aca="false">MONTH(C721)</f>
        <v>5</v>
      </c>
      <c r="E721" s="2" t="s">
        <v>63</v>
      </c>
      <c r="F721" s="2" t="s">
        <v>64</v>
      </c>
      <c r="G721" s="2" t="s">
        <v>70</v>
      </c>
      <c r="H721" s="2" t="s">
        <v>126</v>
      </c>
      <c r="I721" s="2" t="n">
        <v>2</v>
      </c>
      <c r="J721" s="11" t="n">
        <v>4500</v>
      </c>
      <c r="K721" s="12" t="n">
        <v>0</v>
      </c>
      <c r="L721" s="11" t="n">
        <v>3300</v>
      </c>
      <c r="M721" s="11" t="n">
        <f aca="false">I721*J721*(1-K721)</f>
        <v>9000</v>
      </c>
      <c r="N721" s="11" t="n">
        <f aca="false">M721-I721*L721</f>
        <v>2400</v>
      </c>
    </row>
    <row r="722" customFormat="false" ht="15" hidden="false" customHeight="false" outlineLevel="0" collapsed="false">
      <c r="A722" s="2" t="s">
        <v>202</v>
      </c>
      <c r="B722" s="2" t="s">
        <v>203</v>
      </c>
      <c r="C722" s="10" t="n">
        <v>45794</v>
      </c>
      <c r="D722" s="2" t="n">
        <f aca="false">MONTH(C722)</f>
        <v>5</v>
      </c>
      <c r="E722" s="2" t="s">
        <v>77</v>
      </c>
      <c r="F722" s="2" t="s">
        <v>64</v>
      </c>
      <c r="G722" s="2" t="s">
        <v>70</v>
      </c>
      <c r="H722" s="2" t="s">
        <v>97</v>
      </c>
      <c r="I722" s="2" t="n">
        <v>3</v>
      </c>
      <c r="J722" s="11" t="n">
        <v>3000</v>
      </c>
      <c r="K722" s="12" t="n">
        <v>0.05</v>
      </c>
      <c r="L722" s="11" t="n">
        <v>2000</v>
      </c>
      <c r="M722" s="11" t="n">
        <f aca="false">I722*J722*(1-K722)</f>
        <v>8550</v>
      </c>
      <c r="N722" s="11" t="n">
        <f aca="false">M722-I722*L722</f>
        <v>2550</v>
      </c>
    </row>
    <row r="723" customFormat="false" ht="15" hidden="false" customHeight="false" outlineLevel="0" collapsed="false">
      <c r="A723" s="2" t="s">
        <v>626</v>
      </c>
      <c r="B723" s="2" t="s">
        <v>627</v>
      </c>
      <c r="C723" s="10" t="n">
        <v>45794</v>
      </c>
      <c r="D723" s="2" t="n">
        <f aca="false">MONTH(C723)</f>
        <v>5</v>
      </c>
      <c r="E723" s="2" t="s">
        <v>81</v>
      </c>
      <c r="F723" s="2" t="s">
        <v>64</v>
      </c>
      <c r="G723" s="2" t="s">
        <v>73</v>
      </c>
      <c r="H723" s="2" t="s">
        <v>104</v>
      </c>
      <c r="I723" s="2" t="n">
        <v>3</v>
      </c>
      <c r="J723" s="11" t="n">
        <v>5500</v>
      </c>
      <c r="K723" s="12" t="n">
        <v>0</v>
      </c>
      <c r="L723" s="11" t="n">
        <v>3600</v>
      </c>
      <c r="M723" s="11" t="n">
        <f aca="false">I723*J723*(1-K723)</f>
        <v>16500</v>
      </c>
      <c r="N723" s="11" t="n">
        <f aca="false">M723-I723*L723</f>
        <v>5700</v>
      </c>
    </row>
    <row r="724" customFormat="false" ht="15" hidden="false" customHeight="false" outlineLevel="0" collapsed="false">
      <c r="A724" s="2" t="s">
        <v>1050</v>
      </c>
      <c r="B724" s="2" t="s">
        <v>1051</v>
      </c>
      <c r="C724" s="10" t="n">
        <v>45794</v>
      </c>
      <c r="D724" s="2" t="n">
        <f aca="false">MONTH(C724)</f>
        <v>5</v>
      </c>
      <c r="E724" s="2" t="s">
        <v>91</v>
      </c>
      <c r="F724" s="2" t="s">
        <v>64</v>
      </c>
      <c r="G724" s="2" t="s">
        <v>73</v>
      </c>
      <c r="H724" s="2" t="s">
        <v>87</v>
      </c>
      <c r="I724" s="2" t="n">
        <v>1</v>
      </c>
      <c r="J724" s="11" t="n">
        <v>9000</v>
      </c>
      <c r="K724" s="12" t="n">
        <v>0.05</v>
      </c>
      <c r="L724" s="11" t="n">
        <v>6200</v>
      </c>
      <c r="M724" s="11" t="n">
        <f aca="false">I724*J724*(1-K724)</f>
        <v>8550</v>
      </c>
      <c r="N724" s="11" t="n">
        <f aca="false">M724-I724*L724</f>
        <v>2350</v>
      </c>
    </row>
    <row r="725" customFormat="false" ht="15" hidden="false" customHeight="false" outlineLevel="0" collapsed="false">
      <c r="A725" s="2" t="s">
        <v>1183</v>
      </c>
      <c r="B725" s="2" t="s">
        <v>1179</v>
      </c>
      <c r="C725" s="10" t="n">
        <v>45794</v>
      </c>
      <c r="D725" s="2" t="n">
        <f aca="false">MONTH(C725)</f>
        <v>5</v>
      </c>
      <c r="E725" s="2" t="s">
        <v>91</v>
      </c>
      <c r="F725" s="2" t="s">
        <v>92</v>
      </c>
      <c r="G725" s="2" t="s">
        <v>73</v>
      </c>
      <c r="H725" s="2" t="s">
        <v>104</v>
      </c>
      <c r="I725" s="2" t="n">
        <v>4</v>
      </c>
      <c r="J725" s="11" t="n">
        <v>5500</v>
      </c>
      <c r="K725" s="12" t="n">
        <v>0.15</v>
      </c>
      <c r="L725" s="11" t="n">
        <v>3600</v>
      </c>
      <c r="M725" s="11" t="n">
        <f aca="false">I725*J725*(1-K725)</f>
        <v>18700</v>
      </c>
      <c r="N725" s="11" t="n">
        <f aca="false">M725-I725*L725</f>
        <v>4300</v>
      </c>
    </row>
    <row r="726" customFormat="false" ht="15" hidden="false" customHeight="false" outlineLevel="0" collapsed="false">
      <c r="A726" s="2" t="s">
        <v>2947</v>
      </c>
      <c r="B726" s="2" t="s">
        <v>2945</v>
      </c>
      <c r="C726" s="10" t="n">
        <v>45794</v>
      </c>
      <c r="D726" s="2" t="n">
        <f aca="false">MONTH(C726)</f>
        <v>5</v>
      </c>
      <c r="E726" s="2" t="s">
        <v>91</v>
      </c>
      <c r="F726" s="2" t="s">
        <v>92</v>
      </c>
      <c r="G726" s="2" t="s">
        <v>70</v>
      </c>
      <c r="H726" s="2" t="s">
        <v>97</v>
      </c>
      <c r="I726" s="2" t="n">
        <v>8</v>
      </c>
      <c r="J726" s="11" t="n">
        <v>3000</v>
      </c>
      <c r="K726" s="12" t="n">
        <v>0.1</v>
      </c>
      <c r="L726" s="11" t="n">
        <v>2000</v>
      </c>
      <c r="M726" s="11" t="n">
        <f aca="false">I726*J726*(1-K726)</f>
        <v>21600</v>
      </c>
      <c r="N726" s="11" t="n">
        <f aca="false">M726-I726*L726</f>
        <v>5600</v>
      </c>
    </row>
    <row r="727" customFormat="false" ht="15" hidden="false" customHeight="false" outlineLevel="0" collapsed="false">
      <c r="A727" s="2" t="s">
        <v>262</v>
      </c>
      <c r="B727" s="2" t="s">
        <v>263</v>
      </c>
      <c r="C727" s="10" t="n">
        <v>45795</v>
      </c>
      <c r="D727" s="2" t="n">
        <f aca="false">MONTH(C727)</f>
        <v>5</v>
      </c>
      <c r="E727" s="2" t="s">
        <v>81</v>
      </c>
      <c r="F727" s="2" t="s">
        <v>69</v>
      </c>
      <c r="G727" s="2" t="s">
        <v>65</v>
      </c>
      <c r="H727" s="2" t="s">
        <v>82</v>
      </c>
      <c r="I727" s="2" t="n">
        <v>14</v>
      </c>
      <c r="J727" s="11" t="n">
        <v>250</v>
      </c>
      <c r="K727" s="12" t="n">
        <v>0</v>
      </c>
      <c r="L727" s="11" t="n">
        <v>100</v>
      </c>
      <c r="M727" s="11" t="n">
        <f aca="false">I727*J727*(1-K727)</f>
        <v>3500</v>
      </c>
      <c r="N727" s="11" t="n">
        <f aca="false">M727-I727*L727</f>
        <v>2100</v>
      </c>
    </row>
    <row r="728" customFormat="false" ht="15" hidden="false" customHeight="false" outlineLevel="0" collapsed="false">
      <c r="A728" s="2" t="s">
        <v>662</v>
      </c>
      <c r="B728" s="2" t="s">
        <v>660</v>
      </c>
      <c r="C728" s="10" t="n">
        <v>45795</v>
      </c>
      <c r="D728" s="2" t="n">
        <f aca="false">MONTH(C728)</f>
        <v>5</v>
      </c>
      <c r="E728" s="2" t="s">
        <v>81</v>
      </c>
      <c r="F728" s="2" t="s">
        <v>92</v>
      </c>
      <c r="G728" s="2" t="s">
        <v>70</v>
      </c>
      <c r="H728" s="2" t="s">
        <v>122</v>
      </c>
      <c r="I728" s="2" t="n">
        <v>3</v>
      </c>
      <c r="J728" s="11" t="n">
        <v>1500</v>
      </c>
      <c r="K728" s="12" t="n">
        <v>0.15</v>
      </c>
      <c r="L728" s="11" t="n">
        <v>900</v>
      </c>
      <c r="M728" s="11" t="n">
        <f aca="false">I728*J728*(1-K728)</f>
        <v>3825</v>
      </c>
      <c r="N728" s="11" t="n">
        <f aca="false">M728-I728*L728</f>
        <v>1125</v>
      </c>
    </row>
    <row r="729" customFormat="false" ht="15" hidden="false" customHeight="false" outlineLevel="0" collapsed="false">
      <c r="A729" s="2" t="s">
        <v>813</v>
      </c>
      <c r="B729" s="2" t="s">
        <v>812</v>
      </c>
      <c r="C729" s="10" t="n">
        <v>45795</v>
      </c>
      <c r="D729" s="2" t="n">
        <f aca="false">MONTH(C729)</f>
        <v>5</v>
      </c>
      <c r="E729" s="2" t="s">
        <v>63</v>
      </c>
      <c r="F729" s="2" t="s">
        <v>69</v>
      </c>
      <c r="G729" s="2" t="s">
        <v>70</v>
      </c>
      <c r="H729" s="2" t="s">
        <v>126</v>
      </c>
      <c r="I729" s="2" t="n">
        <v>5</v>
      </c>
      <c r="J729" s="11" t="n">
        <v>4500</v>
      </c>
      <c r="K729" s="12" t="n">
        <v>0</v>
      </c>
      <c r="L729" s="11" t="n">
        <v>3300</v>
      </c>
      <c r="M729" s="11" t="n">
        <f aca="false">I729*J729*(1-K729)</f>
        <v>22500</v>
      </c>
      <c r="N729" s="11" t="n">
        <f aca="false">M729-I729*L729</f>
        <v>6000</v>
      </c>
    </row>
    <row r="730" customFormat="false" ht="15" hidden="false" customHeight="false" outlineLevel="0" collapsed="false">
      <c r="A730" s="2" t="s">
        <v>596</v>
      </c>
      <c r="B730" s="2" t="s">
        <v>595</v>
      </c>
      <c r="C730" s="10" t="n">
        <v>45796</v>
      </c>
      <c r="D730" s="2" t="n">
        <f aca="false">MONTH(C730)</f>
        <v>5</v>
      </c>
      <c r="E730" s="2" t="s">
        <v>81</v>
      </c>
      <c r="F730" s="2" t="s">
        <v>64</v>
      </c>
      <c r="G730" s="2" t="s">
        <v>70</v>
      </c>
      <c r="H730" s="2" t="s">
        <v>97</v>
      </c>
      <c r="I730" s="2" t="n">
        <v>3</v>
      </c>
      <c r="J730" s="11" t="n">
        <v>3000</v>
      </c>
      <c r="K730" s="12" t="n">
        <v>0</v>
      </c>
      <c r="L730" s="11" t="n">
        <v>2000</v>
      </c>
      <c r="M730" s="11" t="n">
        <f aca="false">I730*J730*(1-K730)</f>
        <v>9000</v>
      </c>
      <c r="N730" s="11" t="n">
        <f aca="false">M730-I730*L730</f>
        <v>3000</v>
      </c>
    </row>
    <row r="731" customFormat="false" ht="15" hidden="false" customHeight="false" outlineLevel="0" collapsed="false">
      <c r="A731" s="2" t="s">
        <v>682</v>
      </c>
      <c r="B731" s="2" t="s">
        <v>680</v>
      </c>
      <c r="C731" s="10" t="n">
        <v>45796</v>
      </c>
      <c r="D731" s="2" t="n">
        <f aca="false">MONTH(C731)</f>
        <v>5</v>
      </c>
      <c r="E731" s="2" t="s">
        <v>77</v>
      </c>
      <c r="F731" s="2" t="s">
        <v>69</v>
      </c>
      <c r="G731" s="2" t="s">
        <v>73</v>
      </c>
      <c r="H731" s="2" t="s">
        <v>87</v>
      </c>
      <c r="I731" s="2" t="n">
        <v>5</v>
      </c>
      <c r="J731" s="11" t="n">
        <v>9000</v>
      </c>
      <c r="K731" s="12" t="n">
        <v>0</v>
      </c>
      <c r="L731" s="11" t="n">
        <v>6200</v>
      </c>
      <c r="M731" s="11" t="n">
        <f aca="false">I731*J731*(1-K731)</f>
        <v>45000</v>
      </c>
      <c r="N731" s="11" t="n">
        <f aca="false">M731-I731*L731</f>
        <v>14000</v>
      </c>
    </row>
    <row r="732" customFormat="false" ht="15" hidden="false" customHeight="false" outlineLevel="0" collapsed="false">
      <c r="A732" s="2" t="s">
        <v>1248</v>
      </c>
      <c r="B732" s="2" t="s">
        <v>1249</v>
      </c>
      <c r="C732" s="10" t="n">
        <v>45796</v>
      </c>
      <c r="D732" s="2" t="n">
        <f aca="false">MONTH(C732)</f>
        <v>5</v>
      </c>
      <c r="E732" s="2" t="s">
        <v>81</v>
      </c>
      <c r="F732" s="2" t="s">
        <v>69</v>
      </c>
      <c r="G732" s="2" t="s">
        <v>73</v>
      </c>
      <c r="H732" s="2" t="s">
        <v>104</v>
      </c>
      <c r="I732" s="2" t="n">
        <v>3</v>
      </c>
      <c r="J732" s="11" t="n">
        <v>5500</v>
      </c>
      <c r="K732" s="12" t="n">
        <v>0.05</v>
      </c>
      <c r="L732" s="11" t="n">
        <v>3600</v>
      </c>
      <c r="M732" s="11" t="n">
        <f aca="false">I732*J732*(1-K732)</f>
        <v>15675</v>
      </c>
      <c r="N732" s="11" t="n">
        <f aca="false">M732-I732*L732</f>
        <v>4875</v>
      </c>
    </row>
    <row r="733" customFormat="false" ht="15" hidden="false" customHeight="false" outlineLevel="0" collapsed="false">
      <c r="A733" s="2" t="s">
        <v>1357</v>
      </c>
      <c r="B733" s="2" t="s">
        <v>1358</v>
      </c>
      <c r="C733" s="10" t="n">
        <v>45796</v>
      </c>
      <c r="D733" s="2" t="n">
        <f aca="false">MONTH(C733)</f>
        <v>5</v>
      </c>
      <c r="E733" s="2" t="s">
        <v>77</v>
      </c>
      <c r="F733" s="2" t="s">
        <v>64</v>
      </c>
      <c r="G733" s="2" t="s">
        <v>70</v>
      </c>
      <c r="H733" s="2" t="s">
        <v>71</v>
      </c>
      <c r="I733" s="2" t="n">
        <v>2</v>
      </c>
      <c r="J733" s="11" t="n">
        <v>2500</v>
      </c>
      <c r="K733" s="12" t="n">
        <v>0</v>
      </c>
      <c r="L733" s="11" t="n">
        <v>1600</v>
      </c>
      <c r="M733" s="11" t="n">
        <f aca="false">I733*J733*(1-K733)</f>
        <v>5000</v>
      </c>
      <c r="N733" s="11" t="n">
        <f aca="false">M733-I733*L733</f>
        <v>1800</v>
      </c>
    </row>
    <row r="734" customFormat="false" ht="15" hidden="false" customHeight="false" outlineLevel="0" collapsed="false">
      <c r="A734" s="2" t="s">
        <v>2030</v>
      </c>
      <c r="B734" s="2" t="s">
        <v>2031</v>
      </c>
      <c r="C734" s="10" t="n">
        <v>45796</v>
      </c>
      <c r="D734" s="2" t="n">
        <f aca="false">MONTH(C734)</f>
        <v>5</v>
      </c>
      <c r="E734" s="2" t="s">
        <v>63</v>
      </c>
      <c r="F734" s="2" t="s">
        <v>69</v>
      </c>
      <c r="G734" s="2" t="s">
        <v>73</v>
      </c>
      <c r="H734" s="2" t="s">
        <v>104</v>
      </c>
      <c r="I734" s="2" t="n">
        <v>4</v>
      </c>
      <c r="J734" s="11" t="n">
        <v>5500</v>
      </c>
      <c r="K734" s="12" t="n">
        <v>0</v>
      </c>
      <c r="L734" s="11" t="n">
        <v>3600</v>
      </c>
      <c r="M734" s="11" t="n">
        <f aca="false">I734*J734*(1-K734)</f>
        <v>22000</v>
      </c>
      <c r="N734" s="11" t="n">
        <f aca="false">M734-I734*L734</f>
        <v>7600</v>
      </c>
    </row>
    <row r="735" customFormat="false" ht="15" hidden="false" customHeight="false" outlineLevel="0" collapsed="false">
      <c r="A735" s="2" t="s">
        <v>2143</v>
      </c>
      <c r="B735" s="2" t="s">
        <v>2142</v>
      </c>
      <c r="C735" s="10" t="n">
        <v>45796</v>
      </c>
      <c r="D735" s="2" t="n">
        <f aca="false">MONTH(C735)</f>
        <v>5</v>
      </c>
      <c r="E735" s="2" t="s">
        <v>63</v>
      </c>
      <c r="F735" s="2" t="s">
        <v>92</v>
      </c>
      <c r="G735" s="2" t="s">
        <v>73</v>
      </c>
      <c r="H735" s="2" t="s">
        <v>104</v>
      </c>
      <c r="I735" s="2" t="n">
        <v>7</v>
      </c>
      <c r="J735" s="11" t="n">
        <v>5500</v>
      </c>
      <c r="K735" s="12" t="n">
        <v>0</v>
      </c>
      <c r="L735" s="11" t="n">
        <v>3600</v>
      </c>
      <c r="M735" s="11" t="n">
        <f aca="false">I735*J735*(1-K735)</f>
        <v>38500</v>
      </c>
      <c r="N735" s="11" t="n">
        <f aca="false">M735-I735*L735</f>
        <v>13300</v>
      </c>
    </row>
    <row r="736" customFormat="false" ht="15" hidden="false" customHeight="false" outlineLevel="0" collapsed="false">
      <c r="A736" s="2" t="s">
        <v>2386</v>
      </c>
      <c r="B736" s="2" t="s">
        <v>2387</v>
      </c>
      <c r="C736" s="10" t="n">
        <v>45796</v>
      </c>
      <c r="D736" s="2" t="n">
        <f aca="false">MONTH(C736)</f>
        <v>5</v>
      </c>
      <c r="E736" s="2" t="s">
        <v>81</v>
      </c>
      <c r="F736" s="2" t="s">
        <v>69</v>
      </c>
      <c r="G736" s="2" t="s">
        <v>73</v>
      </c>
      <c r="H736" s="2" t="s">
        <v>87</v>
      </c>
      <c r="I736" s="2" t="n">
        <v>2</v>
      </c>
      <c r="J736" s="11" t="n">
        <v>9000</v>
      </c>
      <c r="K736" s="12" t="n">
        <v>0.1</v>
      </c>
      <c r="L736" s="11" t="n">
        <v>6200</v>
      </c>
      <c r="M736" s="11" t="n">
        <f aca="false">I736*J736*(1-K736)</f>
        <v>16200</v>
      </c>
      <c r="N736" s="11" t="n">
        <f aca="false">M736-I736*L736</f>
        <v>3800</v>
      </c>
    </row>
    <row r="737" customFormat="false" ht="15" hidden="false" customHeight="false" outlineLevel="0" collapsed="false">
      <c r="A737" s="2" t="s">
        <v>2663</v>
      </c>
      <c r="B737" s="2" t="s">
        <v>2662</v>
      </c>
      <c r="C737" s="10" t="n">
        <v>45796</v>
      </c>
      <c r="D737" s="2" t="n">
        <f aca="false">MONTH(C737)</f>
        <v>5</v>
      </c>
      <c r="E737" s="2" t="s">
        <v>77</v>
      </c>
      <c r="F737" s="2" t="s">
        <v>69</v>
      </c>
      <c r="G737" s="2" t="s">
        <v>65</v>
      </c>
      <c r="H737" s="2" t="s">
        <v>78</v>
      </c>
      <c r="I737" s="2" t="n">
        <v>20</v>
      </c>
      <c r="J737" s="11" t="n">
        <v>400</v>
      </c>
      <c r="K737" s="12" t="n">
        <v>0</v>
      </c>
      <c r="L737" s="11" t="n">
        <v>200</v>
      </c>
      <c r="M737" s="11" t="n">
        <f aca="false">I737*J737*(1-K737)</f>
        <v>8000</v>
      </c>
      <c r="N737" s="11" t="n">
        <f aca="false">M737-I737*L737</f>
        <v>4000</v>
      </c>
    </row>
    <row r="738" customFormat="false" ht="15" hidden="false" customHeight="false" outlineLevel="0" collapsed="false">
      <c r="A738" s="2" t="s">
        <v>2803</v>
      </c>
      <c r="B738" s="2" t="s">
        <v>2804</v>
      </c>
      <c r="C738" s="10" t="n">
        <v>45796</v>
      </c>
      <c r="D738" s="2" t="n">
        <f aca="false">MONTH(C738)</f>
        <v>5</v>
      </c>
      <c r="E738" s="2" t="s">
        <v>63</v>
      </c>
      <c r="F738" s="2" t="s">
        <v>69</v>
      </c>
      <c r="G738" s="2" t="s">
        <v>70</v>
      </c>
      <c r="H738" s="2" t="s">
        <v>71</v>
      </c>
      <c r="I738" s="2" t="n">
        <v>2</v>
      </c>
      <c r="J738" s="11" t="n">
        <v>2500</v>
      </c>
      <c r="K738" s="12" t="n">
        <v>0.1</v>
      </c>
      <c r="L738" s="11" t="n">
        <v>1600</v>
      </c>
      <c r="M738" s="11" t="n">
        <f aca="false">I738*J738*(1-K738)</f>
        <v>4500</v>
      </c>
      <c r="N738" s="11" t="n">
        <f aca="false">M738-I738*L738</f>
        <v>1300</v>
      </c>
    </row>
    <row r="739" customFormat="false" ht="15" hidden="false" customHeight="false" outlineLevel="0" collapsed="false">
      <c r="A739" s="2" t="s">
        <v>550</v>
      </c>
      <c r="B739" s="2" t="s">
        <v>551</v>
      </c>
      <c r="C739" s="10" t="n">
        <v>45797</v>
      </c>
      <c r="D739" s="2" t="n">
        <f aca="false">MONTH(C739)</f>
        <v>5</v>
      </c>
      <c r="E739" s="2" t="s">
        <v>81</v>
      </c>
      <c r="F739" s="2" t="s">
        <v>64</v>
      </c>
      <c r="G739" s="2" t="s">
        <v>65</v>
      </c>
      <c r="H739" s="2" t="s">
        <v>107</v>
      </c>
      <c r="I739" s="2" t="n">
        <v>3</v>
      </c>
      <c r="J739" s="11" t="n">
        <v>500</v>
      </c>
      <c r="K739" s="12" t="n">
        <v>0.1</v>
      </c>
      <c r="L739" s="11" t="n">
        <v>250</v>
      </c>
      <c r="M739" s="11" t="n">
        <f aca="false">I739*J739*(1-K739)</f>
        <v>1350</v>
      </c>
      <c r="N739" s="11" t="n">
        <f aca="false">M739-I739*L739</f>
        <v>600</v>
      </c>
    </row>
    <row r="740" customFormat="false" ht="15" hidden="false" customHeight="false" outlineLevel="0" collapsed="false">
      <c r="A740" s="2" t="s">
        <v>1167</v>
      </c>
      <c r="B740" s="2" t="s">
        <v>1165</v>
      </c>
      <c r="C740" s="10" t="n">
        <v>45797</v>
      </c>
      <c r="D740" s="2" t="n">
        <f aca="false">MONTH(C740)</f>
        <v>5</v>
      </c>
      <c r="E740" s="2" t="s">
        <v>91</v>
      </c>
      <c r="F740" s="2" t="s">
        <v>64</v>
      </c>
      <c r="G740" s="2" t="s">
        <v>73</v>
      </c>
      <c r="H740" s="2" t="s">
        <v>74</v>
      </c>
      <c r="I740" s="2" t="n">
        <v>1</v>
      </c>
      <c r="J740" s="11" t="n">
        <v>7000</v>
      </c>
      <c r="K740" s="12" t="n">
        <v>0.05</v>
      </c>
      <c r="L740" s="11" t="n">
        <v>4800</v>
      </c>
      <c r="M740" s="11" t="n">
        <f aca="false">I740*J740*(1-K740)</f>
        <v>6650</v>
      </c>
      <c r="N740" s="11" t="n">
        <f aca="false">M740-I740*L740</f>
        <v>1850</v>
      </c>
    </row>
    <row r="741" customFormat="false" ht="15" hidden="false" customHeight="false" outlineLevel="0" collapsed="false">
      <c r="A741" s="2" t="s">
        <v>1169</v>
      </c>
      <c r="B741" s="2" t="s">
        <v>1165</v>
      </c>
      <c r="C741" s="10" t="n">
        <v>45797</v>
      </c>
      <c r="D741" s="2" t="n">
        <f aca="false">MONTH(C741)</f>
        <v>5</v>
      </c>
      <c r="E741" s="2" t="s">
        <v>91</v>
      </c>
      <c r="F741" s="2" t="s">
        <v>64</v>
      </c>
      <c r="G741" s="2" t="s">
        <v>73</v>
      </c>
      <c r="H741" s="2" t="s">
        <v>74</v>
      </c>
      <c r="I741" s="2" t="n">
        <v>2</v>
      </c>
      <c r="J741" s="11" t="n">
        <v>7000</v>
      </c>
      <c r="K741" s="12" t="n">
        <v>0.05</v>
      </c>
      <c r="L741" s="11" t="n">
        <v>4800</v>
      </c>
      <c r="M741" s="11" t="n">
        <f aca="false">I741*J741*(1-K741)</f>
        <v>13300</v>
      </c>
      <c r="N741" s="11" t="n">
        <f aca="false">M741-I741*L741</f>
        <v>3700</v>
      </c>
    </row>
    <row r="742" customFormat="false" ht="15" hidden="false" customHeight="false" outlineLevel="0" collapsed="false">
      <c r="A742" s="2" t="s">
        <v>1475</v>
      </c>
      <c r="B742" s="2" t="s">
        <v>1472</v>
      </c>
      <c r="C742" s="10" t="n">
        <v>45797</v>
      </c>
      <c r="D742" s="2" t="n">
        <f aca="false">MONTH(C742)</f>
        <v>5</v>
      </c>
      <c r="E742" s="2" t="s">
        <v>77</v>
      </c>
      <c r="F742" s="2" t="s">
        <v>64</v>
      </c>
      <c r="G742" s="2" t="s">
        <v>73</v>
      </c>
      <c r="H742" s="2" t="s">
        <v>104</v>
      </c>
      <c r="I742" s="2" t="n">
        <v>3</v>
      </c>
      <c r="J742" s="11" t="n">
        <v>5500</v>
      </c>
      <c r="K742" s="12" t="n">
        <v>0</v>
      </c>
      <c r="L742" s="11" t="n">
        <v>3600</v>
      </c>
      <c r="M742" s="11" t="n">
        <f aca="false">I742*J742*(1-K742)</f>
        <v>16500</v>
      </c>
      <c r="N742" s="11" t="n">
        <f aca="false">M742-I742*L742</f>
        <v>5700</v>
      </c>
    </row>
    <row r="743" customFormat="false" ht="15" hidden="false" customHeight="false" outlineLevel="0" collapsed="false">
      <c r="A743" s="2" t="s">
        <v>1536</v>
      </c>
      <c r="B743" s="2" t="s">
        <v>1534</v>
      </c>
      <c r="C743" s="10" t="n">
        <v>45797</v>
      </c>
      <c r="D743" s="2" t="n">
        <f aca="false">MONTH(C743)</f>
        <v>5</v>
      </c>
      <c r="E743" s="2" t="s">
        <v>81</v>
      </c>
      <c r="F743" s="2" t="s">
        <v>64</v>
      </c>
      <c r="G743" s="2" t="s">
        <v>73</v>
      </c>
      <c r="H743" s="2" t="s">
        <v>74</v>
      </c>
      <c r="I743" s="2" t="n">
        <v>2</v>
      </c>
      <c r="J743" s="11" t="n">
        <v>7000</v>
      </c>
      <c r="K743" s="12" t="n">
        <v>0</v>
      </c>
      <c r="L743" s="11" t="n">
        <v>4800</v>
      </c>
      <c r="M743" s="11" t="n">
        <f aca="false">I743*J743*(1-K743)</f>
        <v>14000</v>
      </c>
      <c r="N743" s="11" t="n">
        <f aca="false">M743-I743*L743</f>
        <v>4400</v>
      </c>
    </row>
    <row r="744" customFormat="false" ht="15" hidden="false" customHeight="false" outlineLevel="0" collapsed="false">
      <c r="A744" s="2" t="s">
        <v>1802</v>
      </c>
      <c r="B744" s="2" t="s">
        <v>1803</v>
      </c>
      <c r="C744" s="10" t="n">
        <v>45797</v>
      </c>
      <c r="D744" s="2" t="n">
        <f aca="false">MONTH(C744)</f>
        <v>5</v>
      </c>
      <c r="E744" s="2" t="s">
        <v>91</v>
      </c>
      <c r="F744" s="2" t="s">
        <v>69</v>
      </c>
      <c r="G744" s="2" t="s">
        <v>65</v>
      </c>
      <c r="H744" s="2" t="s">
        <v>66</v>
      </c>
      <c r="I744" s="2" t="n">
        <v>9</v>
      </c>
      <c r="J744" s="11" t="n">
        <v>600</v>
      </c>
      <c r="K744" s="12" t="n">
        <v>0.1</v>
      </c>
      <c r="L744" s="11" t="n">
        <v>300</v>
      </c>
      <c r="M744" s="11" t="n">
        <f aca="false">I744*J744*(1-K744)</f>
        <v>4860</v>
      </c>
      <c r="N744" s="11" t="n">
        <f aca="false">M744-I744*L744</f>
        <v>2160</v>
      </c>
    </row>
    <row r="745" customFormat="false" ht="15" hidden="false" customHeight="false" outlineLevel="0" collapsed="false">
      <c r="A745" s="2" t="s">
        <v>1890</v>
      </c>
      <c r="B745" s="2" t="s">
        <v>1883</v>
      </c>
      <c r="C745" s="10" t="n">
        <v>45797</v>
      </c>
      <c r="D745" s="2" t="n">
        <f aca="false">MONTH(C745)</f>
        <v>5</v>
      </c>
      <c r="E745" s="2" t="s">
        <v>63</v>
      </c>
      <c r="F745" s="2" t="s">
        <v>64</v>
      </c>
      <c r="G745" s="2" t="s">
        <v>70</v>
      </c>
      <c r="H745" s="2" t="s">
        <v>122</v>
      </c>
      <c r="I745" s="2" t="n">
        <v>2</v>
      </c>
      <c r="J745" s="11" t="n">
        <v>1500</v>
      </c>
      <c r="K745" s="12" t="n">
        <v>0</v>
      </c>
      <c r="L745" s="11" t="n">
        <v>900</v>
      </c>
      <c r="M745" s="11" t="n">
        <f aca="false">I745*J745*(1-K745)</f>
        <v>3000</v>
      </c>
      <c r="N745" s="11" t="n">
        <f aca="false">M745-I745*L745</f>
        <v>1200</v>
      </c>
    </row>
    <row r="746" customFormat="false" ht="15" hidden="false" customHeight="false" outlineLevel="0" collapsed="false">
      <c r="A746" s="2" t="s">
        <v>1906</v>
      </c>
      <c r="B746" s="2" t="s">
        <v>1907</v>
      </c>
      <c r="C746" s="10" t="n">
        <v>45797</v>
      </c>
      <c r="D746" s="2" t="n">
        <f aca="false">MONTH(C746)</f>
        <v>5</v>
      </c>
      <c r="E746" s="2" t="s">
        <v>81</v>
      </c>
      <c r="F746" s="2" t="s">
        <v>64</v>
      </c>
      <c r="G746" s="2" t="s">
        <v>73</v>
      </c>
      <c r="H746" s="2" t="s">
        <v>74</v>
      </c>
      <c r="I746" s="2" t="n">
        <v>3</v>
      </c>
      <c r="J746" s="11" t="n">
        <v>7000</v>
      </c>
      <c r="K746" s="12" t="n">
        <v>0</v>
      </c>
      <c r="L746" s="11" t="n">
        <v>4800</v>
      </c>
      <c r="M746" s="11" t="n">
        <f aca="false">I746*J746*(1-K746)</f>
        <v>21000</v>
      </c>
      <c r="N746" s="11" t="n">
        <f aca="false">M746-I746*L746</f>
        <v>6600</v>
      </c>
    </row>
    <row r="747" customFormat="false" ht="15" hidden="false" customHeight="false" outlineLevel="0" collapsed="false">
      <c r="A747" s="2" t="s">
        <v>2479</v>
      </c>
      <c r="B747" s="2" t="s">
        <v>2480</v>
      </c>
      <c r="C747" s="10" t="n">
        <v>45797</v>
      </c>
      <c r="D747" s="2" t="n">
        <f aca="false">MONTH(C747)</f>
        <v>5</v>
      </c>
      <c r="E747" s="2" t="s">
        <v>81</v>
      </c>
      <c r="F747" s="2" t="s">
        <v>69</v>
      </c>
      <c r="G747" s="2" t="s">
        <v>65</v>
      </c>
      <c r="H747" s="2" t="s">
        <v>107</v>
      </c>
      <c r="I747" s="2" t="n">
        <v>8</v>
      </c>
      <c r="J747" s="11" t="n">
        <v>500</v>
      </c>
      <c r="K747" s="12" t="n">
        <v>0</v>
      </c>
      <c r="L747" s="11" t="n">
        <v>250</v>
      </c>
      <c r="M747" s="11" t="n">
        <f aca="false">I747*J747*(1-K747)</f>
        <v>4000</v>
      </c>
      <c r="N747" s="11" t="n">
        <f aca="false">M747-I747*L747</f>
        <v>2000</v>
      </c>
    </row>
    <row r="748" customFormat="false" ht="15" hidden="false" customHeight="false" outlineLevel="0" collapsed="false">
      <c r="A748" s="2" t="s">
        <v>2807</v>
      </c>
      <c r="B748" s="2" t="s">
        <v>2804</v>
      </c>
      <c r="C748" s="10" t="n">
        <v>45797</v>
      </c>
      <c r="D748" s="2" t="n">
        <f aca="false">MONTH(C748)</f>
        <v>5</v>
      </c>
      <c r="E748" s="2" t="s">
        <v>63</v>
      </c>
      <c r="F748" s="2" t="s">
        <v>69</v>
      </c>
      <c r="G748" s="2" t="s">
        <v>73</v>
      </c>
      <c r="H748" s="2" t="s">
        <v>104</v>
      </c>
      <c r="I748" s="2" t="n">
        <v>3</v>
      </c>
      <c r="J748" s="11" t="n">
        <v>5500</v>
      </c>
      <c r="K748" s="12" t="n">
        <v>0.05</v>
      </c>
      <c r="L748" s="11" t="n">
        <v>3600</v>
      </c>
      <c r="M748" s="11" t="n">
        <f aca="false">I748*J748*(1-K748)</f>
        <v>15675</v>
      </c>
      <c r="N748" s="11" t="n">
        <f aca="false">M748-I748*L748</f>
        <v>4875</v>
      </c>
    </row>
    <row r="749" customFormat="false" ht="15" hidden="false" customHeight="false" outlineLevel="0" collapsed="false">
      <c r="A749" s="2" t="s">
        <v>2988</v>
      </c>
      <c r="B749" s="2" t="s">
        <v>2987</v>
      </c>
      <c r="C749" s="10" t="n">
        <v>45797</v>
      </c>
      <c r="D749" s="2" t="n">
        <f aca="false">MONTH(C749)</f>
        <v>5</v>
      </c>
      <c r="E749" s="2" t="s">
        <v>91</v>
      </c>
      <c r="F749" s="2" t="s">
        <v>92</v>
      </c>
      <c r="G749" s="2" t="s">
        <v>70</v>
      </c>
      <c r="H749" s="2" t="s">
        <v>97</v>
      </c>
      <c r="I749" s="2" t="n">
        <v>5</v>
      </c>
      <c r="J749" s="11" t="n">
        <v>3000</v>
      </c>
      <c r="K749" s="12" t="n">
        <v>0.1</v>
      </c>
      <c r="L749" s="11" t="n">
        <v>2000</v>
      </c>
      <c r="M749" s="11" t="n">
        <f aca="false">I749*J749*(1-K749)</f>
        <v>13500</v>
      </c>
      <c r="N749" s="11" t="n">
        <f aca="false">M749-I749*L749</f>
        <v>3500</v>
      </c>
    </row>
    <row r="750" customFormat="false" ht="15" hidden="false" customHeight="false" outlineLevel="0" collapsed="false">
      <c r="A750" s="2" t="s">
        <v>529</v>
      </c>
      <c r="B750" s="2" t="s">
        <v>530</v>
      </c>
      <c r="C750" s="10" t="n">
        <v>45798</v>
      </c>
      <c r="D750" s="2" t="n">
        <f aca="false">MONTH(C750)</f>
        <v>5</v>
      </c>
      <c r="E750" s="2" t="s">
        <v>77</v>
      </c>
      <c r="F750" s="2" t="s">
        <v>64</v>
      </c>
      <c r="G750" s="2" t="s">
        <v>70</v>
      </c>
      <c r="H750" s="2" t="s">
        <v>71</v>
      </c>
      <c r="I750" s="2" t="n">
        <v>3</v>
      </c>
      <c r="J750" s="11" t="n">
        <v>2500</v>
      </c>
      <c r="K750" s="12" t="n">
        <v>0</v>
      </c>
      <c r="L750" s="11" t="n">
        <v>1600</v>
      </c>
      <c r="M750" s="11" t="n">
        <f aca="false">I750*J750*(1-K750)</f>
        <v>7500</v>
      </c>
      <c r="N750" s="11" t="n">
        <f aca="false">M750-I750*L750</f>
        <v>2700</v>
      </c>
    </row>
    <row r="751" customFormat="false" ht="15" hidden="false" customHeight="false" outlineLevel="0" collapsed="false">
      <c r="A751" s="2" t="s">
        <v>718</v>
      </c>
      <c r="B751" s="2" t="s">
        <v>719</v>
      </c>
      <c r="C751" s="10" t="n">
        <v>45798</v>
      </c>
      <c r="D751" s="2" t="n">
        <f aca="false">MONTH(C751)</f>
        <v>5</v>
      </c>
      <c r="E751" s="2" t="s">
        <v>77</v>
      </c>
      <c r="F751" s="2" t="s">
        <v>64</v>
      </c>
      <c r="G751" s="2" t="s">
        <v>65</v>
      </c>
      <c r="H751" s="2" t="s">
        <v>82</v>
      </c>
      <c r="I751" s="2" t="n">
        <v>5</v>
      </c>
      <c r="J751" s="11" t="n">
        <v>250</v>
      </c>
      <c r="K751" s="12" t="n">
        <v>0.05</v>
      </c>
      <c r="L751" s="11" t="n">
        <v>100</v>
      </c>
      <c r="M751" s="11" t="n">
        <f aca="false">I751*J751*(1-K751)</f>
        <v>1187.5</v>
      </c>
      <c r="N751" s="11" t="n">
        <f aca="false">M751-I751*L751</f>
        <v>687.5</v>
      </c>
    </row>
    <row r="752" customFormat="false" ht="15" hidden="false" customHeight="false" outlineLevel="0" collapsed="false">
      <c r="A752" s="2" t="s">
        <v>1381</v>
      </c>
      <c r="B752" s="2" t="s">
        <v>1382</v>
      </c>
      <c r="C752" s="10" t="n">
        <v>45798</v>
      </c>
      <c r="D752" s="2" t="n">
        <f aca="false">MONTH(C752)</f>
        <v>5</v>
      </c>
      <c r="E752" s="2" t="s">
        <v>63</v>
      </c>
      <c r="F752" s="2" t="s">
        <v>92</v>
      </c>
      <c r="G752" s="2" t="s">
        <v>73</v>
      </c>
      <c r="H752" s="2" t="s">
        <v>85</v>
      </c>
      <c r="I752" s="2" t="n">
        <v>3</v>
      </c>
      <c r="J752" s="11" t="n">
        <v>1200</v>
      </c>
      <c r="K752" s="12" t="n">
        <v>0</v>
      </c>
      <c r="L752" s="11" t="n">
        <v>600</v>
      </c>
      <c r="M752" s="11" t="n">
        <f aca="false">I752*J752*(1-K752)</f>
        <v>3600</v>
      </c>
      <c r="N752" s="11" t="n">
        <f aca="false">M752-I752*L752</f>
        <v>1800</v>
      </c>
    </row>
    <row r="753" customFormat="false" ht="15" hidden="false" customHeight="false" outlineLevel="0" collapsed="false">
      <c r="A753" s="2" t="s">
        <v>1414</v>
      </c>
      <c r="B753" s="2" t="s">
        <v>1415</v>
      </c>
      <c r="C753" s="10" t="n">
        <v>45798</v>
      </c>
      <c r="D753" s="2" t="n">
        <f aca="false">MONTH(C753)</f>
        <v>5</v>
      </c>
      <c r="E753" s="2" t="s">
        <v>63</v>
      </c>
      <c r="F753" s="2" t="s">
        <v>64</v>
      </c>
      <c r="G753" s="2" t="s">
        <v>70</v>
      </c>
      <c r="H753" s="2" t="s">
        <v>122</v>
      </c>
      <c r="I753" s="2" t="n">
        <v>3</v>
      </c>
      <c r="J753" s="11" t="n">
        <v>1500</v>
      </c>
      <c r="K753" s="12" t="n">
        <v>0</v>
      </c>
      <c r="L753" s="11" t="n">
        <v>900</v>
      </c>
      <c r="M753" s="11" t="n">
        <f aca="false">I753*J753*(1-K753)</f>
        <v>4500</v>
      </c>
      <c r="N753" s="11" t="n">
        <f aca="false">M753-I753*L753</f>
        <v>1800</v>
      </c>
    </row>
    <row r="754" customFormat="false" ht="15" hidden="false" customHeight="false" outlineLevel="0" collapsed="false">
      <c r="A754" s="2" t="s">
        <v>1434</v>
      </c>
      <c r="B754" s="2" t="s">
        <v>1433</v>
      </c>
      <c r="C754" s="10" t="n">
        <v>45798</v>
      </c>
      <c r="D754" s="2" t="n">
        <f aca="false">MONTH(C754)</f>
        <v>5</v>
      </c>
      <c r="E754" s="2" t="s">
        <v>91</v>
      </c>
      <c r="F754" s="2" t="s">
        <v>69</v>
      </c>
      <c r="G754" s="2" t="s">
        <v>73</v>
      </c>
      <c r="H754" s="2" t="s">
        <v>104</v>
      </c>
      <c r="I754" s="2" t="n">
        <v>3</v>
      </c>
      <c r="J754" s="11" t="n">
        <v>5500</v>
      </c>
      <c r="K754" s="12" t="n">
        <v>0.1</v>
      </c>
      <c r="L754" s="11" t="n">
        <v>3600</v>
      </c>
      <c r="M754" s="11" t="n">
        <f aca="false">I754*J754*(1-K754)</f>
        <v>14850</v>
      </c>
      <c r="N754" s="11" t="n">
        <f aca="false">M754-I754*L754</f>
        <v>4050</v>
      </c>
    </row>
    <row r="755" customFormat="false" ht="15" hidden="false" customHeight="false" outlineLevel="0" collapsed="false">
      <c r="A755" s="2" t="s">
        <v>1526</v>
      </c>
      <c r="B755" s="2" t="s">
        <v>1525</v>
      </c>
      <c r="C755" s="10" t="n">
        <v>45798</v>
      </c>
      <c r="D755" s="2" t="n">
        <f aca="false">MONTH(C755)</f>
        <v>5</v>
      </c>
      <c r="E755" s="2" t="s">
        <v>81</v>
      </c>
      <c r="F755" s="2" t="s">
        <v>92</v>
      </c>
      <c r="G755" s="2" t="s">
        <v>70</v>
      </c>
      <c r="H755" s="2" t="s">
        <v>122</v>
      </c>
      <c r="I755" s="2" t="n">
        <v>3</v>
      </c>
      <c r="J755" s="11" t="n">
        <v>1500</v>
      </c>
      <c r="K755" s="12" t="n">
        <v>0.15</v>
      </c>
      <c r="L755" s="11" t="n">
        <v>900</v>
      </c>
      <c r="M755" s="11" t="n">
        <f aca="false">I755*J755*(1-K755)</f>
        <v>3825</v>
      </c>
      <c r="N755" s="11" t="n">
        <f aca="false">M755-I755*L755</f>
        <v>1125</v>
      </c>
    </row>
    <row r="756" customFormat="false" ht="15" hidden="false" customHeight="false" outlineLevel="0" collapsed="false">
      <c r="A756" s="2" t="s">
        <v>840</v>
      </c>
      <c r="B756" s="2" t="s">
        <v>841</v>
      </c>
      <c r="C756" s="10" t="n">
        <v>45799</v>
      </c>
      <c r="D756" s="2" t="n">
        <f aca="false">MONTH(C756)</f>
        <v>5</v>
      </c>
      <c r="E756" s="2" t="s">
        <v>63</v>
      </c>
      <c r="F756" s="2" t="s">
        <v>64</v>
      </c>
      <c r="G756" s="2" t="s">
        <v>70</v>
      </c>
      <c r="H756" s="2" t="s">
        <v>97</v>
      </c>
      <c r="I756" s="2" t="n">
        <v>3</v>
      </c>
      <c r="J756" s="11" t="n">
        <v>3000</v>
      </c>
      <c r="K756" s="12" t="n">
        <v>0.05</v>
      </c>
      <c r="L756" s="11" t="n">
        <v>2000</v>
      </c>
      <c r="M756" s="11" t="n">
        <f aca="false">I756*J756*(1-K756)</f>
        <v>8550</v>
      </c>
      <c r="N756" s="11" t="n">
        <f aca="false">M756-I756*L756</f>
        <v>2550</v>
      </c>
    </row>
    <row r="757" customFormat="false" ht="15" hidden="false" customHeight="false" outlineLevel="0" collapsed="false">
      <c r="A757" s="2" t="s">
        <v>1087</v>
      </c>
      <c r="B757" s="2" t="s">
        <v>1084</v>
      </c>
      <c r="C757" s="10" t="n">
        <v>45799</v>
      </c>
      <c r="D757" s="2" t="n">
        <f aca="false">MONTH(C757)</f>
        <v>5</v>
      </c>
      <c r="E757" s="2" t="s">
        <v>77</v>
      </c>
      <c r="F757" s="2" t="s">
        <v>64</v>
      </c>
      <c r="G757" s="2" t="s">
        <v>70</v>
      </c>
      <c r="H757" s="2" t="s">
        <v>122</v>
      </c>
      <c r="I757" s="2" t="n">
        <v>2</v>
      </c>
      <c r="J757" s="11" t="n">
        <v>1500</v>
      </c>
      <c r="K757" s="12" t="n">
        <v>0.1</v>
      </c>
      <c r="L757" s="11" t="n">
        <v>900</v>
      </c>
      <c r="M757" s="11" t="n">
        <f aca="false">I757*J757*(1-K757)</f>
        <v>2700</v>
      </c>
      <c r="N757" s="11" t="n">
        <f aca="false">M757-I757*L757</f>
        <v>900</v>
      </c>
    </row>
    <row r="758" customFormat="false" ht="15" hidden="false" customHeight="false" outlineLevel="0" collapsed="false">
      <c r="A758" s="2" t="s">
        <v>1220</v>
      </c>
      <c r="B758" s="2" t="s">
        <v>1221</v>
      </c>
      <c r="C758" s="10" t="n">
        <v>45799</v>
      </c>
      <c r="D758" s="2" t="n">
        <f aca="false">MONTH(C758)</f>
        <v>5</v>
      </c>
      <c r="E758" s="2" t="s">
        <v>63</v>
      </c>
      <c r="F758" s="2" t="s">
        <v>64</v>
      </c>
      <c r="G758" s="2" t="s">
        <v>73</v>
      </c>
      <c r="H758" s="2" t="s">
        <v>74</v>
      </c>
      <c r="I758" s="2" t="n">
        <v>3</v>
      </c>
      <c r="J758" s="11" t="n">
        <v>7000</v>
      </c>
      <c r="K758" s="12" t="n">
        <v>0.1</v>
      </c>
      <c r="L758" s="11" t="n">
        <v>4800</v>
      </c>
      <c r="M758" s="11" t="n">
        <f aca="false">I758*J758*(1-K758)</f>
        <v>18900</v>
      </c>
      <c r="N758" s="11" t="n">
        <f aca="false">M758-I758*L758</f>
        <v>4500</v>
      </c>
    </row>
    <row r="759" customFormat="false" ht="15" hidden="false" customHeight="false" outlineLevel="0" collapsed="false">
      <c r="A759" s="2" t="s">
        <v>1528</v>
      </c>
      <c r="B759" s="2" t="s">
        <v>1525</v>
      </c>
      <c r="C759" s="10" t="n">
        <v>45799</v>
      </c>
      <c r="D759" s="2" t="n">
        <f aca="false">MONTH(C759)</f>
        <v>5</v>
      </c>
      <c r="E759" s="2" t="s">
        <v>81</v>
      </c>
      <c r="F759" s="2" t="s">
        <v>92</v>
      </c>
      <c r="G759" s="2" t="s">
        <v>73</v>
      </c>
      <c r="H759" s="2" t="s">
        <v>87</v>
      </c>
      <c r="I759" s="2" t="n">
        <v>8</v>
      </c>
      <c r="J759" s="11" t="n">
        <v>9000</v>
      </c>
      <c r="K759" s="12" t="n">
        <v>0</v>
      </c>
      <c r="L759" s="11" t="n">
        <v>6200</v>
      </c>
      <c r="M759" s="11" t="n">
        <f aca="false">I759*J759*(1-K759)</f>
        <v>72000</v>
      </c>
      <c r="N759" s="11" t="n">
        <f aca="false">M759-I759*L759</f>
        <v>22400</v>
      </c>
    </row>
    <row r="760" customFormat="false" ht="15" hidden="false" customHeight="false" outlineLevel="0" collapsed="false">
      <c r="A760" s="2" t="s">
        <v>1978</v>
      </c>
      <c r="B760" s="2" t="s">
        <v>1976</v>
      </c>
      <c r="C760" s="10" t="n">
        <v>45799</v>
      </c>
      <c r="D760" s="2" t="n">
        <f aca="false">MONTH(C760)</f>
        <v>5</v>
      </c>
      <c r="E760" s="2" t="s">
        <v>63</v>
      </c>
      <c r="F760" s="2" t="s">
        <v>92</v>
      </c>
      <c r="G760" s="2" t="s">
        <v>70</v>
      </c>
      <c r="H760" s="2" t="s">
        <v>97</v>
      </c>
      <c r="I760" s="2" t="n">
        <v>3</v>
      </c>
      <c r="J760" s="11" t="n">
        <v>3000</v>
      </c>
      <c r="K760" s="12" t="n">
        <v>0.15</v>
      </c>
      <c r="L760" s="11" t="n">
        <v>2000</v>
      </c>
      <c r="M760" s="11" t="n">
        <f aca="false">I760*J760*(1-K760)</f>
        <v>7650</v>
      </c>
      <c r="N760" s="11" t="n">
        <f aca="false">M760-I760*L760</f>
        <v>1650</v>
      </c>
    </row>
    <row r="761" customFormat="false" ht="15" hidden="false" customHeight="false" outlineLevel="0" collapsed="false">
      <c r="A761" s="2" t="s">
        <v>2556</v>
      </c>
      <c r="B761" s="2" t="s">
        <v>2549</v>
      </c>
      <c r="C761" s="10" t="n">
        <v>45799</v>
      </c>
      <c r="D761" s="2" t="n">
        <f aca="false">MONTH(C761)</f>
        <v>5</v>
      </c>
      <c r="E761" s="2" t="s">
        <v>91</v>
      </c>
      <c r="F761" s="2" t="s">
        <v>64</v>
      </c>
      <c r="G761" s="2" t="s">
        <v>70</v>
      </c>
      <c r="H761" s="2" t="s">
        <v>126</v>
      </c>
      <c r="I761" s="2" t="n">
        <v>1</v>
      </c>
      <c r="J761" s="11" t="n">
        <v>4500</v>
      </c>
      <c r="K761" s="12" t="n">
        <v>0.1</v>
      </c>
      <c r="L761" s="11" t="n">
        <v>3300</v>
      </c>
      <c r="M761" s="11" t="n">
        <f aca="false">I761*J761*(1-K761)</f>
        <v>4050</v>
      </c>
      <c r="N761" s="11" t="n">
        <f aca="false">M761-I761*L761</f>
        <v>750</v>
      </c>
    </row>
    <row r="762" customFormat="false" ht="15" hidden="false" customHeight="false" outlineLevel="0" collapsed="false">
      <c r="A762" s="2" t="s">
        <v>441</v>
      </c>
      <c r="B762" s="2" t="s">
        <v>442</v>
      </c>
      <c r="C762" s="10" t="n">
        <v>45800</v>
      </c>
      <c r="D762" s="2" t="n">
        <f aca="false">MONTH(C762)</f>
        <v>5</v>
      </c>
      <c r="E762" s="2" t="s">
        <v>81</v>
      </c>
      <c r="F762" s="2" t="s">
        <v>64</v>
      </c>
      <c r="G762" s="2" t="s">
        <v>73</v>
      </c>
      <c r="H762" s="2" t="s">
        <v>74</v>
      </c>
      <c r="I762" s="2" t="n">
        <v>1</v>
      </c>
      <c r="J762" s="11" t="n">
        <v>7000</v>
      </c>
      <c r="K762" s="12" t="n">
        <v>0</v>
      </c>
      <c r="L762" s="11" t="n">
        <v>4800</v>
      </c>
      <c r="M762" s="11" t="n">
        <f aca="false">I762*J762*(1-K762)</f>
        <v>7000</v>
      </c>
      <c r="N762" s="11" t="n">
        <f aca="false">M762-I762*L762</f>
        <v>2200</v>
      </c>
    </row>
    <row r="763" customFormat="false" ht="15" hidden="false" customHeight="false" outlineLevel="0" collapsed="false">
      <c r="A763" s="2" t="s">
        <v>1301</v>
      </c>
      <c r="B763" s="2" t="s">
        <v>1300</v>
      </c>
      <c r="C763" s="10" t="n">
        <v>45800</v>
      </c>
      <c r="D763" s="2" t="n">
        <f aca="false">MONTH(C763)</f>
        <v>5</v>
      </c>
      <c r="E763" s="2" t="s">
        <v>77</v>
      </c>
      <c r="F763" s="2" t="s">
        <v>92</v>
      </c>
      <c r="G763" s="2" t="s">
        <v>73</v>
      </c>
      <c r="H763" s="2" t="s">
        <v>74</v>
      </c>
      <c r="I763" s="2" t="n">
        <v>6</v>
      </c>
      <c r="J763" s="11" t="n">
        <v>7000</v>
      </c>
      <c r="K763" s="12" t="n">
        <v>0</v>
      </c>
      <c r="L763" s="11" t="n">
        <v>4800</v>
      </c>
      <c r="M763" s="11" t="n">
        <f aca="false">I763*J763*(1-K763)</f>
        <v>42000</v>
      </c>
      <c r="N763" s="11" t="n">
        <f aca="false">M763-I763*L763</f>
        <v>13200</v>
      </c>
    </row>
    <row r="764" customFormat="false" ht="15" hidden="false" customHeight="false" outlineLevel="0" collapsed="false">
      <c r="A764" s="2" t="s">
        <v>1304</v>
      </c>
      <c r="B764" s="2" t="s">
        <v>1300</v>
      </c>
      <c r="C764" s="10" t="n">
        <v>45800</v>
      </c>
      <c r="D764" s="2" t="n">
        <f aca="false">MONTH(C764)</f>
        <v>5</v>
      </c>
      <c r="E764" s="2" t="s">
        <v>77</v>
      </c>
      <c r="F764" s="2" t="s">
        <v>92</v>
      </c>
      <c r="G764" s="2" t="s">
        <v>73</v>
      </c>
      <c r="H764" s="2" t="s">
        <v>87</v>
      </c>
      <c r="I764" s="2" t="n">
        <v>3</v>
      </c>
      <c r="J764" s="11" t="n">
        <v>9000</v>
      </c>
      <c r="K764" s="12" t="n">
        <v>0</v>
      </c>
      <c r="L764" s="11" t="n">
        <v>6200</v>
      </c>
      <c r="M764" s="11" t="n">
        <f aca="false">I764*J764*(1-K764)</f>
        <v>27000</v>
      </c>
      <c r="N764" s="11" t="n">
        <f aca="false">M764-I764*L764</f>
        <v>8400</v>
      </c>
    </row>
    <row r="765" customFormat="false" ht="15" hidden="false" customHeight="false" outlineLevel="0" collapsed="false">
      <c r="A765" s="2" t="s">
        <v>1480</v>
      </c>
      <c r="B765" s="2" t="s">
        <v>1477</v>
      </c>
      <c r="C765" s="10" t="n">
        <v>45800</v>
      </c>
      <c r="D765" s="2" t="n">
        <f aca="false">MONTH(C765)</f>
        <v>5</v>
      </c>
      <c r="E765" s="2" t="s">
        <v>63</v>
      </c>
      <c r="F765" s="2" t="s">
        <v>92</v>
      </c>
      <c r="G765" s="2" t="s">
        <v>73</v>
      </c>
      <c r="H765" s="2" t="s">
        <v>74</v>
      </c>
      <c r="I765" s="2" t="n">
        <v>7</v>
      </c>
      <c r="J765" s="11" t="n">
        <v>7000</v>
      </c>
      <c r="K765" s="12" t="n">
        <v>0</v>
      </c>
      <c r="L765" s="11" t="n">
        <v>4800</v>
      </c>
      <c r="M765" s="11" t="n">
        <f aca="false">I765*J765*(1-K765)</f>
        <v>49000</v>
      </c>
      <c r="N765" s="11" t="n">
        <f aca="false">M765-I765*L765</f>
        <v>15400</v>
      </c>
    </row>
    <row r="766" customFormat="false" ht="15" hidden="false" customHeight="false" outlineLevel="0" collapsed="false">
      <c r="A766" s="2" t="s">
        <v>2402</v>
      </c>
      <c r="B766" s="2" t="s">
        <v>2401</v>
      </c>
      <c r="C766" s="10" t="n">
        <v>45800</v>
      </c>
      <c r="D766" s="2" t="n">
        <f aca="false">MONTH(C766)</f>
        <v>5</v>
      </c>
      <c r="E766" s="2" t="s">
        <v>81</v>
      </c>
      <c r="F766" s="2" t="s">
        <v>69</v>
      </c>
      <c r="G766" s="2" t="s">
        <v>73</v>
      </c>
      <c r="H766" s="2" t="s">
        <v>74</v>
      </c>
      <c r="I766" s="2" t="n">
        <v>5</v>
      </c>
      <c r="J766" s="11" t="n">
        <v>7000</v>
      </c>
      <c r="K766" s="12" t="n">
        <v>0</v>
      </c>
      <c r="L766" s="11" t="n">
        <v>4800</v>
      </c>
      <c r="M766" s="11" t="n">
        <f aca="false">I766*J766*(1-K766)</f>
        <v>35000</v>
      </c>
      <c r="N766" s="11" t="n">
        <f aca="false">M766-I766*L766</f>
        <v>11000</v>
      </c>
    </row>
    <row r="767" customFormat="false" ht="15" hidden="false" customHeight="false" outlineLevel="0" collapsed="false">
      <c r="A767" s="2" t="s">
        <v>2603</v>
      </c>
      <c r="B767" s="2" t="s">
        <v>2602</v>
      </c>
      <c r="C767" s="10" t="n">
        <v>45800</v>
      </c>
      <c r="D767" s="2" t="n">
        <f aca="false">MONTH(C767)</f>
        <v>5</v>
      </c>
      <c r="E767" s="2" t="s">
        <v>63</v>
      </c>
      <c r="F767" s="2" t="s">
        <v>64</v>
      </c>
      <c r="G767" s="2" t="s">
        <v>65</v>
      </c>
      <c r="H767" s="2" t="s">
        <v>107</v>
      </c>
      <c r="I767" s="2" t="n">
        <v>4</v>
      </c>
      <c r="J767" s="11" t="n">
        <v>500</v>
      </c>
      <c r="K767" s="12" t="n">
        <v>0.1</v>
      </c>
      <c r="L767" s="11" t="n">
        <v>250</v>
      </c>
      <c r="M767" s="11" t="n">
        <f aca="false">I767*J767*(1-K767)</f>
        <v>1800</v>
      </c>
      <c r="N767" s="11" t="n">
        <f aca="false">M767-I767*L767</f>
        <v>800</v>
      </c>
    </row>
    <row r="768" customFormat="false" ht="15" hidden="false" customHeight="false" outlineLevel="0" collapsed="false">
      <c r="A768" s="2" t="s">
        <v>2630</v>
      </c>
      <c r="B768" s="2" t="s">
        <v>2629</v>
      </c>
      <c r="C768" s="10" t="n">
        <v>45800</v>
      </c>
      <c r="D768" s="2" t="n">
        <f aca="false">MONTH(C768)</f>
        <v>5</v>
      </c>
      <c r="E768" s="2" t="s">
        <v>91</v>
      </c>
      <c r="F768" s="2" t="s">
        <v>69</v>
      </c>
      <c r="G768" s="2" t="s">
        <v>70</v>
      </c>
      <c r="H768" s="2" t="s">
        <v>126</v>
      </c>
      <c r="I768" s="2" t="n">
        <v>2</v>
      </c>
      <c r="J768" s="11" t="n">
        <v>4500</v>
      </c>
      <c r="K768" s="12" t="n">
        <v>0</v>
      </c>
      <c r="L768" s="11" t="n">
        <v>3300</v>
      </c>
      <c r="M768" s="11" t="n">
        <f aca="false">I768*J768*(1-K768)</f>
        <v>9000</v>
      </c>
      <c r="N768" s="11" t="n">
        <f aca="false">M768-I768*L768</f>
        <v>2400</v>
      </c>
    </row>
    <row r="769" customFormat="false" ht="15" hidden="false" customHeight="false" outlineLevel="0" collapsed="false">
      <c r="A769" s="2" t="s">
        <v>275</v>
      </c>
      <c r="B769" s="2" t="s">
        <v>274</v>
      </c>
      <c r="C769" s="10" t="n">
        <v>45801</v>
      </c>
      <c r="D769" s="2" t="n">
        <f aca="false">MONTH(C769)</f>
        <v>5</v>
      </c>
      <c r="E769" s="2" t="s">
        <v>63</v>
      </c>
      <c r="F769" s="2" t="s">
        <v>69</v>
      </c>
      <c r="G769" s="2" t="s">
        <v>65</v>
      </c>
      <c r="H769" s="2" t="s">
        <v>66</v>
      </c>
      <c r="I769" s="2" t="n">
        <v>11</v>
      </c>
      <c r="J769" s="11" t="n">
        <v>600</v>
      </c>
      <c r="K769" s="12" t="n">
        <v>0</v>
      </c>
      <c r="L769" s="11" t="n">
        <v>300</v>
      </c>
      <c r="M769" s="11" t="n">
        <f aca="false">I769*J769*(1-K769)</f>
        <v>6600</v>
      </c>
      <c r="N769" s="11" t="n">
        <f aca="false">M769-I769*L769</f>
        <v>3300</v>
      </c>
    </row>
    <row r="770" customFormat="false" ht="15" hidden="false" customHeight="false" outlineLevel="0" collapsed="false">
      <c r="A770" s="2" t="s">
        <v>314</v>
      </c>
      <c r="B770" s="2" t="s">
        <v>310</v>
      </c>
      <c r="C770" s="10" t="n">
        <v>45801</v>
      </c>
      <c r="D770" s="2" t="n">
        <f aca="false">MONTH(C770)</f>
        <v>5</v>
      </c>
      <c r="E770" s="2" t="s">
        <v>91</v>
      </c>
      <c r="F770" s="2" t="s">
        <v>69</v>
      </c>
      <c r="G770" s="2" t="s">
        <v>65</v>
      </c>
      <c r="H770" s="2" t="s">
        <v>82</v>
      </c>
      <c r="I770" s="2" t="n">
        <v>11</v>
      </c>
      <c r="J770" s="11" t="n">
        <v>250</v>
      </c>
      <c r="K770" s="12" t="n">
        <v>0.1</v>
      </c>
      <c r="L770" s="11" t="n">
        <v>100</v>
      </c>
      <c r="M770" s="11" t="n">
        <f aca="false">I770*J770*(1-K770)</f>
        <v>2475</v>
      </c>
      <c r="N770" s="11" t="n">
        <f aca="false">M770-I770*L770</f>
        <v>1375</v>
      </c>
    </row>
    <row r="771" customFormat="false" ht="15" hidden="false" customHeight="false" outlineLevel="0" collapsed="false">
      <c r="A771" s="2" t="s">
        <v>587</v>
      </c>
      <c r="B771" s="2" t="s">
        <v>584</v>
      </c>
      <c r="C771" s="10" t="n">
        <v>45801</v>
      </c>
      <c r="D771" s="2" t="n">
        <f aca="false">MONTH(C771)</f>
        <v>5</v>
      </c>
      <c r="E771" s="2" t="s">
        <v>63</v>
      </c>
      <c r="F771" s="2" t="s">
        <v>64</v>
      </c>
      <c r="G771" s="2" t="s">
        <v>65</v>
      </c>
      <c r="H771" s="2" t="s">
        <v>78</v>
      </c>
      <c r="I771" s="2" t="n">
        <v>3</v>
      </c>
      <c r="J771" s="11" t="n">
        <v>400</v>
      </c>
      <c r="K771" s="12" t="n">
        <v>0</v>
      </c>
      <c r="L771" s="11" t="n">
        <v>200</v>
      </c>
      <c r="M771" s="11" t="n">
        <f aca="false">I771*J771*(1-K771)</f>
        <v>1200</v>
      </c>
      <c r="N771" s="11" t="n">
        <f aca="false">M771-I771*L771</f>
        <v>600</v>
      </c>
    </row>
    <row r="772" customFormat="false" ht="15" hidden="false" customHeight="false" outlineLevel="0" collapsed="false">
      <c r="A772" s="2" t="s">
        <v>692</v>
      </c>
      <c r="B772" s="2" t="s">
        <v>688</v>
      </c>
      <c r="C772" s="10" t="n">
        <v>45801</v>
      </c>
      <c r="D772" s="2" t="n">
        <f aca="false">MONTH(C772)</f>
        <v>5</v>
      </c>
      <c r="E772" s="2" t="s">
        <v>3019</v>
      </c>
      <c r="F772" s="2" t="s">
        <v>64</v>
      </c>
      <c r="G772" s="2" t="s">
        <v>65</v>
      </c>
      <c r="H772" s="2" t="s">
        <v>107</v>
      </c>
      <c r="I772" s="2" t="n">
        <v>6</v>
      </c>
      <c r="J772" s="11" t="n">
        <v>500</v>
      </c>
      <c r="K772" s="12" t="n">
        <v>0</v>
      </c>
      <c r="L772" s="11" t="n">
        <v>250</v>
      </c>
      <c r="M772" s="11" t="n">
        <f aca="false">I772*J772*(1-K772)</f>
        <v>3000</v>
      </c>
      <c r="N772" s="11" t="n">
        <f aca="false">M772-I772*L772</f>
        <v>1500</v>
      </c>
    </row>
    <row r="773" customFormat="false" ht="15" hidden="false" customHeight="false" outlineLevel="0" collapsed="false">
      <c r="A773" s="2" t="s">
        <v>1487</v>
      </c>
      <c r="B773" s="2" t="s">
        <v>1477</v>
      </c>
      <c r="C773" s="10" t="n">
        <v>45801</v>
      </c>
      <c r="D773" s="2" t="n">
        <f aca="false">MONTH(C773)</f>
        <v>5</v>
      </c>
      <c r="E773" s="2" t="s">
        <v>63</v>
      </c>
      <c r="F773" s="2" t="s">
        <v>92</v>
      </c>
      <c r="G773" s="2" t="s">
        <v>73</v>
      </c>
      <c r="H773" s="2" t="s">
        <v>85</v>
      </c>
      <c r="I773" s="2" t="n">
        <v>7</v>
      </c>
      <c r="J773" s="11" t="n">
        <v>1200</v>
      </c>
      <c r="K773" s="12" t="n">
        <v>0.05</v>
      </c>
      <c r="L773" s="11" t="n">
        <v>600</v>
      </c>
      <c r="M773" s="11" t="n">
        <f aca="false">I773*J773*(1-K773)</f>
        <v>7980</v>
      </c>
      <c r="N773" s="11" t="n">
        <f aca="false">M773-I773*L773</f>
        <v>3780</v>
      </c>
    </row>
    <row r="774" customFormat="false" ht="15" hidden="false" customHeight="false" outlineLevel="0" collapsed="false">
      <c r="A774" s="2" t="s">
        <v>1709</v>
      </c>
      <c r="B774" s="2" t="s">
        <v>1710</v>
      </c>
      <c r="C774" s="10" t="n">
        <v>45801</v>
      </c>
      <c r="D774" s="2" t="n">
        <f aca="false">MONTH(C774)</f>
        <v>5</v>
      </c>
      <c r="E774" s="2" t="s">
        <v>81</v>
      </c>
      <c r="F774" s="2" t="s">
        <v>64</v>
      </c>
      <c r="G774" s="2" t="s">
        <v>73</v>
      </c>
      <c r="H774" s="2" t="s">
        <v>74</v>
      </c>
      <c r="I774" s="2" t="n">
        <v>2</v>
      </c>
      <c r="J774" s="11" t="n">
        <v>7000</v>
      </c>
      <c r="K774" s="12" t="n">
        <v>0</v>
      </c>
      <c r="L774" s="11" t="n">
        <v>4800</v>
      </c>
      <c r="M774" s="11" t="n">
        <f aca="false">I774*J774*(1-K774)</f>
        <v>14000</v>
      </c>
      <c r="N774" s="11" t="n">
        <f aca="false">M774-I774*L774</f>
        <v>4400</v>
      </c>
    </row>
    <row r="775" customFormat="false" ht="15" hidden="false" customHeight="false" outlineLevel="0" collapsed="false">
      <c r="A775" s="2" t="s">
        <v>2045</v>
      </c>
      <c r="B775" s="2" t="s">
        <v>2040</v>
      </c>
      <c r="C775" s="10" t="n">
        <v>45801</v>
      </c>
      <c r="D775" s="2" t="n">
        <f aca="false">MONTH(C775)</f>
        <v>5</v>
      </c>
      <c r="E775" s="2" t="s">
        <v>63</v>
      </c>
      <c r="F775" s="2" t="s">
        <v>92</v>
      </c>
      <c r="G775" s="2" t="s">
        <v>73</v>
      </c>
      <c r="H775" s="2" t="s">
        <v>87</v>
      </c>
      <c r="I775" s="2" t="n">
        <v>4</v>
      </c>
      <c r="J775" s="11" t="n">
        <v>9000</v>
      </c>
      <c r="K775" s="12" t="n">
        <v>0</v>
      </c>
      <c r="L775" s="11" t="n">
        <v>6200</v>
      </c>
      <c r="M775" s="11" t="n">
        <f aca="false">I775*J775*(1-K775)</f>
        <v>36000</v>
      </c>
      <c r="N775" s="11" t="n">
        <f aca="false">M775-I775*L775</f>
        <v>11200</v>
      </c>
    </row>
    <row r="776" customFormat="false" ht="15" hidden="false" customHeight="false" outlineLevel="0" collapsed="false">
      <c r="A776" s="2" t="s">
        <v>2775</v>
      </c>
      <c r="B776" s="2" t="s">
        <v>2776</v>
      </c>
      <c r="C776" s="10" t="n">
        <v>45801</v>
      </c>
      <c r="D776" s="2" t="n">
        <f aca="false">MONTH(C776)</f>
        <v>5</v>
      </c>
      <c r="E776" s="2" t="s">
        <v>77</v>
      </c>
      <c r="F776" s="2" t="s">
        <v>64</v>
      </c>
      <c r="G776" s="2" t="s">
        <v>70</v>
      </c>
      <c r="H776" s="2" t="s">
        <v>71</v>
      </c>
      <c r="I776" s="2" t="n">
        <v>2</v>
      </c>
      <c r="J776" s="11" t="n">
        <v>2500</v>
      </c>
      <c r="K776" s="12" t="n">
        <v>0.05</v>
      </c>
      <c r="L776" s="11" t="n">
        <v>1600</v>
      </c>
      <c r="M776" s="11" t="n">
        <f aca="false">I776*J776*(1-K776)</f>
        <v>4750</v>
      </c>
      <c r="N776" s="11" t="n">
        <f aca="false">M776-I776*L776</f>
        <v>1550</v>
      </c>
    </row>
    <row r="777" customFormat="false" ht="15" hidden="false" customHeight="false" outlineLevel="0" collapsed="false">
      <c r="A777" s="2" t="s">
        <v>524</v>
      </c>
      <c r="B777" s="2" t="s">
        <v>525</v>
      </c>
      <c r="C777" s="10" t="n">
        <v>45802</v>
      </c>
      <c r="D777" s="2" t="n">
        <f aca="false">MONTH(C777)</f>
        <v>5</v>
      </c>
      <c r="E777" s="2" t="s">
        <v>63</v>
      </c>
      <c r="F777" s="2" t="s">
        <v>64</v>
      </c>
      <c r="G777" s="2" t="s">
        <v>73</v>
      </c>
      <c r="H777" s="2" t="s">
        <v>87</v>
      </c>
      <c r="I777" s="2" t="n">
        <v>2</v>
      </c>
      <c r="J777" s="11" t="n">
        <v>9000</v>
      </c>
      <c r="K777" s="12" t="n">
        <v>0</v>
      </c>
      <c r="L777" s="11" t="n">
        <v>6200</v>
      </c>
      <c r="M777" s="11" t="n">
        <f aca="false">I777*J777*(1-K777)</f>
        <v>18000</v>
      </c>
      <c r="N777" s="11" t="n">
        <f aca="false">M777-I777*L777</f>
        <v>5600</v>
      </c>
    </row>
    <row r="778" customFormat="false" ht="15" hidden="false" customHeight="false" outlineLevel="0" collapsed="false">
      <c r="A778" s="2" t="s">
        <v>588</v>
      </c>
      <c r="B778" s="2" t="s">
        <v>584</v>
      </c>
      <c r="C778" s="10" t="n">
        <v>45802</v>
      </c>
      <c r="D778" s="2" t="n">
        <f aca="false">MONTH(C778)</f>
        <v>5</v>
      </c>
      <c r="E778" s="2" t="s">
        <v>63</v>
      </c>
      <c r="F778" s="2" t="s">
        <v>64</v>
      </c>
      <c r="G778" s="2" t="s">
        <v>70</v>
      </c>
      <c r="H778" s="2" t="s">
        <v>126</v>
      </c>
      <c r="I778" s="2" t="n">
        <v>2</v>
      </c>
      <c r="J778" s="11" t="n">
        <v>4500</v>
      </c>
      <c r="K778" s="12" t="n">
        <v>0</v>
      </c>
      <c r="L778" s="11" t="n">
        <v>3300</v>
      </c>
      <c r="M778" s="11" t="n">
        <f aca="false">I778*J778*(1-K778)</f>
        <v>9000</v>
      </c>
      <c r="N778" s="11" t="n">
        <f aca="false">M778-I778*L778</f>
        <v>2400</v>
      </c>
    </row>
    <row r="779" customFormat="false" ht="15" hidden="false" customHeight="false" outlineLevel="0" collapsed="false">
      <c r="A779" s="2" t="s">
        <v>647</v>
      </c>
      <c r="B779" s="2" t="s">
        <v>646</v>
      </c>
      <c r="C779" s="10" t="n">
        <v>45802</v>
      </c>
      <c r="D779" s="2" t="n">
        <f aca="false">MONTH(C779)</f>
        <v>5</v>
      </c>
      <c r="E779" s="2" t="s">
        <v>77</v>
      </c>
      <c r="F779" s="2" t="s">
        <v>92</v>
      </c>
      <c r="G779" s="2" t="s">
        <v>73</v>
      </c>
      <c r="H779" s="2" t="s">
        <v>85</v>
      </c>
      <c r="I779" s="2" t="n">
        <v>3</v>
      </c>
      <c r="J779" s="11" t="n">
        <v>1200</v>
      </c>
      <c r="K779" s="12" t="n">
        <v>0.1</v>
      </c>
      <c r="L779" s="11" t="n">
        <v>600</v>
      </c>
      <c r="M779" s="11" t="n">
        <f aca="false">I779*J779*(1-K779)</f>
        <v>3240</v>
      </c>
      <c r="N779" s="11" t="n">
        <f aca="false">M779-I779*L779</f>
        <v>1440</v>
      </c>
    </row>
    <row r="780" customFormat="false" ht="15" hidden="false" customHeight="false" outlineLevel="0" collapsed="false">
      <c r="A780" s="2" t="s">
        <v>1398</v>
      </c>
      <c r="B780" s="2" t="s">
        <v>1397</v>
      </c>
      <c r="C780" s="10" t="n">
        <v>45802</v>
      </c>
      <c r="D780" s="2" t="n">
        <f aca="false">MONTH(C780)</f>
        <v>5</v>
      </c>
      <c r="E780" s="2" t="s">
        <v>81</v>
      </c>
      <c r="F780" s="2" t="s">
        <v>64</v>
      </c>
      <c r="G780" s="2" t="s">
        <v>73</v>
      </c>
      <c r="H780" s="2" t="s">
        <v>85</v>
      </c>
      <c r="I780" s="2" t="n">
        <v>3</v>
      </c>
      <c r="J780" s="11" t="n">
        <v>1200</v>
      </c>
      <c r="K780" s="12" t="n">
        <v>0</v>
      </c>
      <c r="L780" s="11" t="n">
        <v>600</v>
      </c>
      <c r="M780" s="11" t="n">
        <f aca="false">I780*J780*(1-K780)</f>
        <v>3600</v>
      </c>
      <c r="N780" s="11" t="n">
        <f aca="false">M780-I780*L780</f>
        <v>1800</v>
      </c>
    </row>
    <row r="781" customFormat="false" ht="15" hidden="false" customHeight="false" outlineLevel="0" collapsed="false">
      <c r="A781" s="2" t="s">
        <v>1435</v>
      </c>
      <c r="B781" s="2" t="s">
        <v>1436</v>
      </c>
      <c r="C781" s="10" t="n">
        <v>45802</v>
      </c>
      <c r="D781" s="2" t="n">
        <f aca="false">MONTH(C781)</f>
        <v>5</v>
      </c>
      <c r="E781" s="2" t="s">
        <v>63</v>
      </c>
      <c r="F781" s="2" t="s">
        <v>69</v>
      </c>
      <c r="G781" s="2" t="s">
        <v>65</v>
      </c>
      <c r="H781" s="2" t="s">
        <v>82</v>
      </c>
      <c r="I781" s="2" t="n">
        <v>12</v>
      </c>
      <c r="J781" s="11" t="n">
        <v>250</v>
      </c>
      <c r="K781" s="12" t="n">
        <v>0.1</v>
      </c>
      <c r="L781" s="11" t="n">
        <v>100</v>
      </c>
      <c r="M781" s="11" t="n">
        <f aca="false">I781*J781*(1-K781)</f>
        <v>2700</v>
      </c>
      <c r="N781" s="11" t="n">
        <f aca="false">M781-I781*L781</f>
        <v>1500</v>
      </c>
    </row>
    <row r="782" customFormat="false" ht="15" hidden="false" customHeight="false" outlineLevel="0" collapsed="false">
      <c r="A782" s="2" t="s">
        <v>1501</v>
      </c>
      <c r="B782" s="2" t="s">
        <v>1497</v>
      </c>
      <c r="C782" s="10" t="n">
        <v>45802</v>
      </c>
      <c r="D782" s="2" t="n">
        <f aca="false">MONTH(C782)</f>
        <v>5</v>
      </c>
      <c r="E782" s="2" t="s">
        <v>81</v>
      </c>
      <c r="F782" s="2" t="s">
        <v>69</v>
      </c>
      <c r="G782" s="2" t="s">
        <v>70</v>
      </c>
      <c r="H782" s="2" t="s">
        <v>71</v>
      </c>
      <c r="I782" s="2" t="n">
        <v>4</v>
      </c>
      <c r="J782" s="11" t="n">
        <v>2500</v>
      </c>
      <c r="K782" s="12" t="n">
        <v>0.1</v>
      </c>
      <c r="L782" s="11" t="n">
        <v>1600</v>
      </c>
      <c r="M782" s="11" t="n">
        <f aca="false">I782*J782*(1-K782)</f>
        <v>9000</v>
      </c>
      <c r="N782" s="11" t="n">
        <f aca="false">M782-I782*L782</f>
        <v>2600</v>
      </c>
    </row>
    <row r="783" customFormat="false" ht="15" hidden="false" customHeight="false" outlineLevel="0" collapsed="false">
      <c r="A783" s="2" t="s">
        <v>2044</v>
      </c>
      <c r="B783" s="2" t="s">
        <v>2040</v>
      </c>
      <c r="C783" s="10" t="n">
        <v>45802</v>
      </c>
      <c r="D783" s="2" t="n">
        <f aca="false">MONTH(C783)</f>
        <v>5</v>
      </c>
      <c r="E783" s="2" t="s">
        <v>63</v>
      </c>
      <c r="F783" s="2" t="s">
        <v>92</v>
      </c>
      <c r="G783" s="2" t="s">
        <v>73</v>
      </c>
      <c r="H783" s="2" t="s">
        <v>74</v>
      </c>
      <c r="I783" s="2" t="n">
        <v>3</v>
      </c>
      <c r="J783" s="11" t="n">
        <v>7000</v>
      </c>
      <c r="K783" s="12" t="n">
        <v>0.1</v>
      </c>
      <c r="L783" s="11" t="n">
        <v>4800</v>
      </c>
      <c r="M783" s="11" t="n">
        <f aca="false">I783*J783*(1-K783)</f>
        <v>18900</v>
      </c>
      <c r="N783" s="11" t="n">
        <f aca="false">M783-I783*L783</f>
        <v>4500</v>
      </c>
    </row>
    <row r="784" customFormat="false" ht="15" hidden="false" customHeight="false" outlineLevel="0" collapsed="false">
      <c r="A784" s="2" t="s">
        <v>168</v>
      </c>
      <c r="B784" s="2" t="s">
        <v>166</v>
      </c>
      <c r="C784" s="10" t="n">
        <v>45803</v>
      </c>
      <c r="D784" s="2" t="n">
        <f aca="false">MONTH(C784)</f>
        <v>5</v>
      </c>
      <c r="E784" s="2" t="s">
        <v>63</v>
      </c>
      <c r="F784" s="2" t="s">
        <v>92</v>
      </c>
      <c r="G784" s="2" t="s">
        <v>73</v>
      </c>
      <c r="H784" s="2" t="s">
        <v>74</v>
      </c>
      <c r="I784" s="2" t="n">
        <v>6</v>
      </c>
      <c r="J784" s="11" t="n">
        <v>7000</v>
      </c>
      <c r="K784" s="12" t="n">
        <v>0.15</v>
      </c>
      <c r="L784" s="11" t="n">
        <v>4800</v>
      </c>
      <c r="M784" s="11" t="n">
        <f aca="false">I784*J784*(1-K784)</f>
        <v>35700</v>
      </c>
      <c r="N784" s="11" t="n">
        <f aca="false">M784-I784*L784</f>
        <v>6900</v>
      </c>
    </row>
    <row r="785" customFormat="false" ht="15" hidden="false" customHeight="false" outlineLevel="0" collapsed="false">
      <c r="A785" s="2" t="s">
        <v>199</v>
      </c>
      <c r="B785" s="2" t="s">
        <v>196</v>
      </c>
      <c r="C785" s="10" t="n">
        <v>45803</v>
      </c>
      <c r="D785" s="2" t="n">
        <f aca="false">MONTH(C785)</f>
        <v>5</v>
      </c>
      <c r="E785" s="2" t="s">
        <v>77</v>
      </c>
      <c r="F785" s="2" t="s">
        <v>64</v>
      </c>
      <c r="G785" s="2" t="s">
        <v>73</v>
      </c>
      <c r="H785" s="2" t="s">
        <v>85</v>
      </c>
      <c r="I785" s="2" t="n">
        <v>3</v>
      </c>
      <c r="J785" s="11" t="n">
        <v>1200</v>
      </c>
      <c r="K785" s="12" t="n">
        <v>0</v>
      </c>
      <c r="L785" s="11" t="n">
        <v>600</v>
      </c>
      <c r="M785" s="11" t="n">
        <f aca="false">I785*J785*(1-K785)</f>
        <v>3600</v>
      </c>
      <c r="N785" s="11" t="n">
        <f aca="false">M785-I785*L785</f>
        <v>1800</v>
      </c>
    </row>
    <row r="786" customFormat="false" ht="15" hidden="false" customHeight="false" outlineLevel="0" collapsed="false">
      <c r="A786" s="2" t="s">
        <v>540</v>
      </c>
      <c r="B786" s="2" t="s">
        <v>538</v>
      </c>
      <c r="C786" s="10" t="n">
        <v>45803</v>
      </c>
      <c r="D786" s="2" t="n">
        <f aca="false">MONTH(C786)</f>
        <v>5</v>
      </c>
      <c r="E786" s="2" t="s">
        <v>77</v>
      </c>
      <c r="F786" s="2" t="s">
        <v>64</v>
      </c>
      <c r="G786" s="2" t="s">
        <v>73</v>
      </c>
      <c r="H786" s="2" t="s">
        <v>85</v>
      </c>
      <c r="I786" s="2" t="n">
        <v>2</v>
      </c>
      <c r="J786" s="11" t="n">
        <v>1200</v>
      </c>
      <c r="K786" s="12" t="n">
        <v>0.05</v>
      </c>
      <c r="L786" s="11" t="n">
        <v>600</v>
      </c>
      <c r="M786" s="11" t="n">
        <f aca="false">I786*J786*(1-K786)</f>
        <v>2280</v>
      </c>
      <c r="N786" s="11" t="n">
        <f aca="false">M786-I786*L786</f>
        <v>1080</v>
      </c>
    </row>
    <row r="787" customFormat="false" ht="15" hidden="false" customHeight="false" outlineLevel="0" collapsed="false">
      <c r="A787" s="2" t="s">
        <v>1095</v>
      </c>
      <c r="B787" s="2" t="s">
        <v>1096</v>
      </c>
      <c r="C787" s="10" t="n">
        <v>45803</v>
      </c>
      <c r="D787" s="2" t="n">
        <f aca="false">MONTH(C787)</f>
        <v>5</v>
      </c>
      <c r="E787" s="2" t="s">
        <v>77</v>
      </c>
      <c r="F787" s="2" t="s">
        <v>92</v>
      </c>
      <c r="G787" s="2" t="s">
        <v>73</v>
      </c>
      <c r="H787" s="2" t="s">
        <v>87</v>
      </c>
      <c r="I787" s="2" t="n">
        <v>7</v>
      </c>
      <c r="J787" s="11" t="n">
        <v>9000</v>
      </c>
      <c r="K787" s="12" t="n">
        <v>0.1</v>
      </c>
      <c r="L787" s="11" t="n">
        <v>6200</v>
      </c>
      <c r="M787" s="11" t="n">
        <f aca="false">I787*J787*(1-K787)</f>
        <v>56700</v>
      </c>
      <c r="N787" s="11" t="n">
        <f aca="false">M787-I787*L787</f>
        <v>13300</v>
      </c>
    </row>
    <row r="788" customFormat="false" ht="15" hidden="false" customHeight="false" outlineLevel="0" collapsed="false">
      <c r="A788" s="2" t="s">
        <v>1154</v>
      </c>
      <c r="B788" s="2" t="s">
        <v>1153</v>
      </c>
      <c r="C788" s="10" t="n">
        <v>45803</v>
      </c>
      <c r="D788" s="2" t="n">
        <f aca="false">MONTH(C788)</f>
        <v>5</v>
      </c>
      <c r="E788" s="2" t="s">
        <v>91</v>
      </c>
      <c r="F788" s="2" t="s">
        <v>64</v>
      </c>
      <c r="G788" s="2" t="s">
        <v>65</v>
      </c>
      <c r="H788" s="2" t="s">
        <v>107</v>
      </c>
      <c r="I788" s="2" t="n">
        <v>2</v>
      </c>
      <c r="J788" s="11" t="n">
        <v>500</v>
      </c>
      <c r="K788" s="12" t="n">
        <v>0</v>
      </c>
      <c r="L788" s="11" t="n">
        <v>250</v>
      </c>
      <c r="M788" s="11" t="n">
        <f aca="false">I788*J788*(1-K788)</f>
        <v>1000</v>
      </c>
      <c r="N788" s="11" t="n">
        <f aca="false">M788-I788*L788</f>
        <v>500</v>
      </c>
    </row>
    <row r="789" customFormat="false" ht="15" hidden="false" customHeight="false" outlineLevel="0" collapsed="false">
      <c r="A789" s="2" t="s">
        <v>1522</v>
      </c>
      <c r="B789" s="2" t="s">
        <v>1523</v>
      </c>
      <c r="C789" s="10" t="n">
        <v>45803</v>
      </c>
      <c r="D789" s="2" t="n">
        <f aca="false">MONTH(C789)</f>
        <v>5</v>
      </c>
      <c r="E789" s="2" t="s">
        <v>81</v>
      </c>
      <c r="F789" s="2" t="s">
        <v>64</v>
      </c>
      <c r="G789" s="2" t="s">
        <v>73</v>
      </c>
      <c r="H789" s="2" t="s">
        <v>74</v>
      </c>
      <c r="I789" s="2" t="n">
        <v>1</v>
      </c>
      <c r="J789" s="11" t="n">
        <v>7000</v>
      </c>
      <c r="K789" s="12" t="n">
        <v>0.1</v>
      </c>
      <c r="L789" s="11" t="n">
        <v>4800</v>
      </c>
      <c r="M789" s="11" t="n">
        <f aca="false">I789*J789*(1-K789)</f>
        <v>6300</v>
      </c>
      <c r="N789" s="11" t="n">
        <f aca="false">M789-I789*L789</f>
        <v>1500</v>
      </c>
    </row>
    <row r="790" customFormat="false" ht="15" hidden="false" customHeight="false" outlineLevel="0" collapsed="false">
      <c r="A790" s="2" t="s">
        <v>1847</v>
      </c>
      <c r="B790" s="2" t="s">
        <v>1843</v>
      </c>
      <c r="C790" s="10" t="n">
        <v>45803</v>
      </c>
      <c r="D790" s="2" t="n">
        <f aca="false">MONTH(C790)</f>
        <v>5</v>
      </c>
      <c r="E790" s="2" t="s">
        <v>63</v>
      </c>
      <c r="F790" s="2" t="s">
        <v>64</v>
      </c>
      <c r="G790" s="2" t="s">
        <v>70</v>
      </c>
      <c r="H790" s="2" t="s">
        <v>71</v>
      </c>
      <c r="I790" s="2" t="n">
        <v>3</v>
      </c>
      <c r="J790" s="11" t="n">
        <v>2500</v>
      </c>
      <c r="K790" s="12" t="n">
        <v>0</v>
      </c>
      <c r="L790" s="11" t="n">
        <v>1600</v>
      </c>
      <c r="M790" s="11" t="n">
        <f aca="false">I790*J790*(1-K790)</f>
        <v>7500</v>
      </c>
      <c r="N790" s="11" t="n">
        <f aca="false">M790-I790*L790</f>
        <v>2700</v>
      </c>
    </row>
    <row r="791" customFormat="false" ht="15" hidden="false" customHeight="false" outlineLevel="0" collapsed="false">
      <c r="A791" s="2" t="s">
        <v>861</v>
      </c>
      <c r="B791" s="2" t="s">
        <v>862</v>
      </c>
      <c r="C791" s="10" t="n">
        <v>45804</v>
      </c>
      <c r="D791" s="2" t="n">
        <f aca="false">MONTH(C791)</f>
        <v>5</v>
      </c>
      <c r="E791" s="2" t="s">
        <v>77</v>
      </c>
      <c r="F791" s="2" t="s">
        <v>64</v>
      </c>
      <c r="G791" s="2" t="s">
        <v>65</v>
      </c>
      <c r="H791" s="2" t="s">
        <v>82</v>
      </c>
      <c r="I791" s="2" t="n">
        <v>6</v>
      </c>
      <c r="J791" s="11" t="n">
        <v>250</v>
      </c>
      <c r="K791" s="12" t="n">
        <v>0.05</v>
      </c>
      <c r="L791" s="11" t="n">
        <v>100</v>
      </c>
      <c r="M791" s="11" t="n">
        <f aca="false">I791*J791*(1-K791)</f>
        <v>1425</v>
      </c>
      <c r="N791" s="11" t="n">
        <f aca="false">M791-I791*L791</f>
        <v>825</v>
      </c>
    </row>
    <row r="792" customFormat="false" ht="15" hidden="false" customHeight="false" outlineLevel="0" collapsed="false">
      <c r="A792" s="2" t="s">
        <v>1490</v>
      </c>
      <c r="B792" s="2" t="s">
        <v>1491</v>
      </c>
      <c r="C792" s="10" t="n">
        <v>45804</v>
      </c>
      <c r="D792" s="2" t="n">
        <f aca="false">MONTH(C792)</f>
        <v>5</v>
      </c>
      <c r="E792" s="2" t="s">
        <v>77</v>
      </c>
      <c r="F792" s="2" t="s">
        <v>64</v>
      </c>
      <c r="G792" s="2" t="s">
        <v>70</v>
      </c>
      <c r="H792" s="2" t="s">
        <v>126</v>
      </c>
      <c r="I792" s="2" t="n">
        <v>1</v>
      </c>
      <c r="J792" s="11" t="n">
        <v>4500</v>
      </c>
      <c r="K792" s="12" t="n">
        <v>0.05</v>
      </c>
      <c r="L792" s="11" t="n">
        <v>3300</v>
      </c>
      <c r="M792" s="11" t="n">
        <f aca="false">I792*J792*(1-K792)</f>
        <v>4275</v>
      </c>
      <c r="N792" s="11" t="n">
        <f aca="false">M792-I792*L792</f>
        <v>975</v>
      </c>
    </row>
    <row r="793" customFormat="false" ht="15" hidden="false" customHeight="false" outlineLevel="0" collapsed="false">
      <c r="A793" s="2" t="s">
        <v>1800</v>
      </c>
      <c r="B793" s="2" t="s">
        <v>1801</v>
      </c>
      <c r="C793" s="10" t="n">
        <v>45805</v>
      </c>
      <c r="D793" s="2" t="n">
        <f aca="false">MONTH(C793)</f>
        <v>5</v>
      </c>
      <c r="E793" s="2" t="s">
        <v>91</v>
      </c>
      <c r="F793" s="2" t="s">
        <v>69</v>
      </c>
      <c r="G793" s="2" t="s">
        <v>73</v>
      </c>
      <c r="H793" s="2" t="s">
        <v>87</v>
      </c>
      <c r="I793" s="2" t="n">
        <v>4</v>
      </c>
      <c r="J793" s="11" t="n">
        <v>9000</v>
      </c>
      <c r="K793" s="12" t="n">
        <v>0</v>
      </c>
      <c r="L793" s="11" t="n">
        <v>6200</v>
      </c>
      <c r="M793" s="11" t="n">
        <f aca="false">I793*J793*(1-K793)</f>
        <v>36000</v>
      </c>
      <c r="N793" s="11" t="n">
        <f aca="false">M793-I793*L793</f>
        <v>11200</v>
      </c>
    </row>
    <row r="794" customFormat="false" ht="15" hidden="false" customHeight="false" outlineLevel="0" collapsed="false">
      <c r="A794" s="2" t="s">
        <v>1996</v>
      </c>
      <c r="B794" s="2" t="s">
        <v>1997</v>
      </c>
      <c r="C794" s="10" t="n">
        <v>45805</v>
      </c>
      <c r="D794" s="2" t="n">
        <f aca="false">MONTH(C794)</f>
        <v>5</v>
      </c>
      <c r="E794" s="2" t="s">
        <v>63</v>
      </c>
      <c r="F794" s="2" t="s">
        <v>64</v>
      </c>
      <c r="G794" s="2" t="s">
        <v>70</v>
      </c>
      <c r="H794" s="2" t="s">
        <v>126</v>
      </c>
      <c r="I794" s="2" t="n">
        <v>1</v>
      </c>
      <c r="J794" s="11" t="n">
        <v>4500</v>
      </c>
      <c r="K794" s="12" t="n">
        <v>0.1</v>
      </c>
      <c r="L794" s="11" t="n">
        <v>3300</v>
      </c>
      <c r="M794" s="11" t="n">
        <f aca="false">I794*J794*(1-K794)</f>
        <v>4050</v>
      </c>
      <c r="N794" s="11" t="n">
        <f aca="false">M794-I794*L794</f>
        <v>750</v>
      </c>
    </row>
    <row r="795" customFormat="false" ht="15" hidden="false" customHeight="false" outlineLevel="0" collapsed="false">
      <c r="A795" s="2" t="s">
        <v>211</v>
      </c>
      <c r="B795" s="2" t="s">
        <v>210</v>
      </c>
      <c r="C795" s="10" t="n">
        <v>45809</v>
      </c>
      <c r="D795" s="2" t="n">
        <f aca="false">MONTH(C795)</f>
        <v>6</v>
      </c>
      <c r="E795" s="2" t="s">
        <v>77</v>
      </c>
      <c r="F795" s="2" t="s">
        <v>64</v>
      </c>
      <c r="G795" s="2" t="s">
        <v>65</v>
      </c>
      <c r="H795" s="2" t="s">
        <v>107</v>
      </c>
      <c r="I795" s="2" t="n">
        <v>3</v>
      </c>
      <c r="J795" s="11" t="n">
        <v>500</v>
      </c>
      <c r="K795" s="12" t="n">
        <v>0.05</v>
      </c>
      <c r="L795" s="11" t="n">
        <v>250</v>
      </c>
      <c r="M795" s="11" t="n">
        <f aca="false">I795*J795*(1-K795)</f>
        <v>1425</v>
      </c>
      <c r="N795" s="11" t="n">
        <f aca="false">M795-I795*L795</f>
        <v>675</v>
      </c>
    </row>
    <row r="796" customFormat="false" ht="15" hidden="false" customHeight="false" outlineLevel="0" collapsed="false">
      <c r="A796" s="2" t="s">
        <v>890</v>
      </c>
      <c r="B796" s="2" t="s">
        <v>891</v>
      </c>
      <c r="C796" s="10" t="n">
        <v>45809</v>
      </c>
      <c r="D796" s="2" t="n">
        <f aca="false">MONTH(C796)</f>
        <v>6</v>
      </c>
      <c r="E796" s="2" t="s">
        <v>63</v>
      </c>
      <c r="F796" s="2" t="s">
        <v>64</v>
      </c>
      <c r="G796" s="2" t="s">
        <v>65</v>
      </c>
      <c r="H796" s="2" t="s">
        <v>82</v>
      </c>
      <c r="I796" s="2" t="n">
        <v>7</v>
      </c>
      <c r="J796" s="11" t="n">
        <v>250</v>
      </c>
      <c r="K796" s="12" t="n">
        <v>0</v>
      </c>
      <c r="L796" s="11" t="n">
        <v>100</v>
      </c>
      <c r="M796" s="11" t="n">
        <f aca="false">I796*J796*(1-K796)</f>
        <v>1750</v>
      </c>
      <c r="N796" s="11" t="n">
        <f aca="false">M796-I796*L796</f>
        <v>1050</v>
      </c>
    </row>
    <row r="797" customFormat="false" ht="15" hidden="false" customHeight="false" outlineLevel="0" collapsed="false">
      <c r="A797" s="2" t="s">
        <v>1289</v>
      </c>
      <c r="B797" s="2" t="s">
        <v>1287</v>
      </c>
      <c r="C797" s="10" t="n">
        <v>45809</v>
      </c>
      <c r="D797" s="2" t="n">
        <f aca="false">MONTH(C797)</f>
        <v>6</v>
      </c>
      <c r="E797" s="2" t="s">
        <v>63</v>
      </c>
      <c r="F797" s="2" t="s">
        <v>64</v>
      </c>
      <c r="G797" s="2" t="s">
        <v>65</v>
      </c>
      <c r="H797" s="2" t="s">
        <v>107</v>
      </c>
      <c r="I797" s="2" t="n">
        <v>2</v>
      </c>
      <c r="J797" s="11" t="n">
        <v>500</v>
      </c>
      <c r="K797" s="12" t="n">
        <v>0</v>
      </c>
      <c r="L797" s="11" t="n">
        <v>250</v>
      </c>
      <c r="M797" s="11" t="n">
        <f aca="false">I797*J797*(1-K797)</f>
        <v>1000</v>
      </c>
      <c r="N797" s="11" t="n">
        <f aca="false">M797-I797*L797</f>
        <v>500</v>
      </c>
    </row>
    <row r="798" customFormat="false" ht="15" hidden="false" customHeight="false" outlineLevel="0" collapsed="false">
      <c r="A798" s="2" t="s">
        <v>1692</v>
      </c>
      <c r="B798" s="2" t="s">
        <v>1691</v>
      </c>
      <c r="C798" s="10" t="n">
        <v>45809</v>
      </c>
      <c r="D798" s="2" t="n">
        <f aca="false">MONTH(C798)</f>
        <v>6</v>
      </c>
      <c r="E798" s="2" t="s">
        <v>77</v>
      </c>
      <c r="F798" s="2" t="s">
        <v>69</v>
      </c>
      <c r="G798" s="2" t="s">
        <v>73</v>
      </c>
      <c r="H798" s="2" t="s">
        <v>104</v>
      </c>
      <c r="I798" s="2" t="n">
        <v>4</v>
      </c>
      <c r="J798" s="11" t="n">
        <v>5500</v>
      </c>
      <c r="K798" s="12" t="n">
        <v>0</v>
      </c>
      <c r="L798" s="11" t="n">
        <v>3600</v>
      </c>
      <c r="M798" s="11" t="n">
        <f aca="false">I798*J798*(1-K798)</f>
        <v>22000</v>
      </c>
      <c r="N798" s="11" t="n">
        <f aca="false">M798-I798*L798</f>
        <v>7600</v>
      </c>
    </row>
    <row r="799" customFormat="false" ht="15" hidden="false" customHeight="false" outlineLevel="0" collapsed="false">
      <c r="A799" s="2" t="s">
        <v>2594</v>
      </c>
      <c r="B799" s="2" t="s">
        <v>2590</v>
      </c>
      <c r="C799" s="10" t="n">
        <v>45809</v>
      </c>
      <c r="D799" s="2" t="n">
        <f aca="false">MONTH(C799)</f>
        <v>6</v>
      </c>
      <c r="E799" s="2" t="s">
        <v>77</v>
      </c>
      <c r="F799" s="2" t="s">
        <v>64</v>
      </c>
      <c r="G799" s="2" t="s">
        <v>70</v>
      </c>
      <c r="H799" s="2" t="s">
        <v>126</v>
      </c>
      <c r="I799" s="2" t="n">
        <v>3</v>
      </c>
      <c r="J799" s="11" t="n">
        <v>4500</v>
      </c>
      <c r="K799" s="12" t="n">
        <v>0.1</v>
      </c>
      <c r="L799" s="11" t="n">
        <v>3300</v>
      </c>
      <c r="M799" s="11" t="n">
        <f aca="false">I799*J799*(1-K799)</f>
        <v>12150</v>
      </c>
      <c r="N799" s="11" t="n">
        <f aca="false">M799-I799*L799</f>
        <v>2250</v>
      </c>
    </row>
    <row r="800" customFormat="false" ht="15" hidden="false" customHeight="false" outlineLevel="0" collapsed="false">
      <c r="A800" s="2" t="s">
        <v>403</v>
      </c>
      <c r="B800" s="2" t="s">
        <v>404</v>
      </c>
      <c r="C800" s="10" t="n">
        <v>45810</v>
      </c>
      <c r="D800" s="2" t="n">
        <f aca="false">MONTH(C800)</f>
        <v>6</v>
      </c>
      <c r="E800" s="2" t="s">
        <v>91</v>
      </c>
      <c r="F800" s="2" t="s">
        <v>64</v>
      </c>
      <c r="G800" s="2" t="s">
        <v>73</v>
      </c>
      <c r="H800" s="2" t="s">
        <v>87</v>
      </c>
      <c r="I800" s="2" t="n">
        <v>2</v>
      </c>
      <c r="J800" s="11" t="n">
        <v>9000</v>
      </c>
      <c r="K800" s="12" t="n">
        <v>0.1</v>
      </c>
      <c r="L800" s="11" t="n">
        <v>6200</v>
      </c>
      <c r="M800" s="11" t="n">
        <f aca="false">I800*J800*(1-K800)</f>
        <v>16200</v>
      </c>
      <c r="N800" s="11" t="n">
        <f aca="false">M800-I800*L800</f>
        <v>3800</v>
      </c>
    </row>
    <row r="801" customFormat="false" ht="15" hidden="false" customHeight="false" outlineLevel="0" collapsed="false">
      <c r="A801" s="2" t="s">
        <v>881</v>
      </c>
      <c r="B801" s="2" t="s">
        <v>878</v>
      </c>
      <c r="C801" s="10" t="n">
        <v>45810</v>
      </c>
      <c r="D801" s="2" t="n">
        <f aca="false">MONTH(C801)</f>
        <v>6</v>
      </c>
      <c r="E801" s="2" t="s">
        <v>63</v>
      </c>
      <c r="F801" s="2" t="s">
        <v>92</v>
      </c>
      <c r="G801" s="2" t="s">
        <v>73</v>
      </c>
      <c r="H801" s="2" t="s">
        <v>74</v>
      </c>
      <c r="I801" s="2" t="n">
        <v>6</v>
      </c>
      <c r="J801" s="11" t="n">
        <v>7000</v>
      </c>
      <c r="K801" s="12" t="n">
        <v>0.15</v>
      </c>
      <c r="L801" s="11" t="n">
        <v>4800</v>
      </c>
      <c r="M801" s="11" t="n">
        <f aca="false">I801*J801*(1-K801)</f>
        <v>35700</v>
      </c>
      <c r="N801" s="11" t="n">
        <f aca="false">M801-I801*L801</f>
        <v>6900</v>
      </c>
    </row>
    <row r="802" customFormat="false" ht="15" hidden="false" customHeight="false" outlineLevel="0" collapsed="false">
      <c r="A802" s="2" t="s">
        <v>1374</v>
      </c>
      <c r="B802" s="2" t="s">
        <v>1375</v>
      </c>
      <c r="C802" s="10" t="n">
        <v>45810</v>
      </c>
      <c r="D802" s="2" t="n">
        <f aca="false">MONTH(C802)</f>
        <v>6</v>
      </c>
      <c r="E802" s="2" t="s">
        <v>77</v>
      </c>
      <c r="F802" s="2" t="s">
        <v>69</v>
      </c>
      <c r="G802" s="2" t="s">
        <v>73</v>
      </c>
      <c r="H802" s="2" t="s">
        <v>85</v>
      </c>
      <c r="I802" s="2" t="n">
        <v>1</v>
      </c>
      <c r="J802" s="11" t="n">
        <v>1200</v>
      </c>
      <c r="K802" s="12" t="n">
        <v>0.1</v>
      </c>
      <c r="L802" s="11" t="n">
        <v>600</v>
      </c>
      <c r="M802" s="11" t="n">
        <f aca="false">I802*J802*(1-K802)</f>
        <v>1080</v>
      </c>
      <c r="N802" s="11" t="n">
        <f aca="false">M802-I802*L802</f>
        <v>480</v>
      </c>
    </row>
    <row r="803" customFormat="false" ht="15" hidden="false" customHeight="false" outlineLevel="0" collapsed="false">
      <c r="A803" s="2" t="s">
        <v>2565</v>
      </c>
      <c r="B803" s="2" t="s">
        <v>2566</v>
      </c>
      <c r="C803" s="10" t="n">
        <v>45810</v>
      </c>
      <c r="D803" s="2" t="n">
        <f aca="false">MONTH(C803)</f>
        <v>6</v>
      </c>
      <c r="E803" s="2" t="s">
        <v>91</v>
      </c>
      <c r="F803" s="2" t="s">
        <v>64</v>
      </c>
      <c r="G803" s="2" t="s">
        <v>65</v>
      </c>
      <c r="H803" s="2" t="s">
        <v>66</v>
      </c>
      <c r="I803" s="2" t="n">
        <v>6</v>
      </c>
      <c r="J803" s="11" t="n">
        <v>600</v>
      </c>
      <c r="K803" s="12" t="n">
        <v>0.05</v>
      </c>
      <c r="L803" s="11" t="n">
        <v>300</v>
      </c>
      <c r="M803" s="11" t="n">
        <f aca="false">I803*J803*(1-K803)</f>
        <v>3420</v>
      </c>
      <c r="N803" s="11" t="n">
        <f aca="false">M803-I803*L803</f>
        <v>1620</v>
      </c>
    </row>
    <row r="804" customFormat="false" ht="15" hidden="false" customHeight="false" outlineLevel="0" collapsed="false">
      <c r="A804" s="2" t="s">
        <v>518</v>
      </c>
      <c r="B804" s="2" t="s">
        <v>514</v>
      </c>
      <c r="C804" s="10" t="n">
        <v>45811</v>
      </c>
      <c r="D804" s="2" t="n">
        <f aca="false">MONTH(C804)</f>
        <v>6</v>
      </c>
      <c r="E804" s="2" t="s">
        <v>63</v>
      </c>
      <c r="F804" s="2" t="s">
        <v>69</v>
      </c>
      <c r="G804" s="2" t="s">
        <v>70</v>
      </c>
      <c r="H804" s="2" t="s">
        <v>122</v>
      </c>
      <c r="I804" s="2" t="n">
        <v>4</v>
      </c>
      <c r="J804" s="11" t="n">
        <v>1500</v>
      </c>
      <c r="K804" s="12" t="n">
        <v>0</v>
      </c>
      <c r="L804" s="11" t="n">
        <v>900</v>
      </c>
      <c r="M804" s="11" t="n">
        <f aca="false">I804*J804*(1-K804)</f>
        <v>6000</v>
      </c>
      <c r="N804" s="11" t="n">
        <f aca="false">M804-I804*L804</f>
        <v>2400</v>
      </c>
    </row>
    <row r="805" customFormat="false" ht="15" hidden="false" customHeight="false" outlineLevel="0" collapsed="false">
      <c r="A805" s="2" t="s">
        <v>2001</v>
      </c>
      <c r="B805" s="2" t="s">
        <v>2000</v>
      </c>
      <c r="C805" s="10" t="n">
        <v>45811</v>
      </c>
      <c r="D805" s="2" t="n">
        <f aca="false">MONTH(C805)</f>
        <v>6</v>
      </c>
      <c r="E805" s="2" t="s">
        <v>91</v>
      </c>
      <c r="F805" s="2" t="s">
        <v>64</v>
      </c>
      <c r="G805" s="2" t="s">
        <v>73</v>
      </c>
      <c r="H805" s="2" t="s">
        <v>85</v>
      </c>
      <c r="I805" s="2" t="n">
        <v>3</v>
      </c>
      <c r="J805" s="11" t="n">
        <v>1200</v>
      </c>
      <c r="K805" s="12" t="n">
        <v>0</v>
      </c>
      <c r="L805" s="11" t="n">
        <v>600</v>
      </c>
      <c r="M805" s="11" t="n">
        <f aca="false">I805*J805*(1-K805)</f>
        <v>3600</v>
      </c>
      <c r="N805" s="11" t="n">
        <f aca="false">M805-I805*L805</f>
        <v>1800</v>
      </c>
    </row>
    <row r="806" customFormat="false" ht="15" hidden="false" customHeight="false" outlineLevel="0" collapsed="false">
      <c r="A806" s="2" t="s">
        <v>2088</v>
      </c>
      <c r="B806" s="2" t="s">
        <v>2089</v>
      </c>
      <c r="C806" s="10" t="n">
        <v>45811</v>
      </c>
      <c r="D806" s="2" t="n">
        <f aca="false">MONTH(C806)</f>
        <v>6</v>
      </c>
      <c r="E806" s="2" t="s">
        <v>77</v>
      </c>
      <c r="F806" s="2" t="s">
        <v>69</v>
      </c>
      <c r="G806" s="2" t="s">
        <v>70</v>
      </c>
      <c r="H806" s="2" t="s">
        <v>126</v>
      </c>
      <c r="I806" s="2" t="n">
        <v>2</v>
      </c>
      <c r="J806" s="11" t="n">
        <v>4500</v>
      </c>
      <c r="K806" s="12" t="n">
        <v>0</v>
      </c>
      <c r="L806" s="11" t="n">
        <v>3300</v>
      </c>
      <c r="M806" s="11" t="n">
        <f aca="false">I806*J806*(1-K806)</f>
        <v>9000</v>
      </c>
      <c r="N806" s="11" t="n">
        <f aca="false">M806-I806*L806</f>
        <v>2400</v>
      </c>
    </row>
    <row r="807" customFormat="false" ht="15" hidden="false" customHeight="false" outlineLevel="0" collapsed="false">
      <c r="A807" s="2" t="s">
        <v>2581</v>
      </c>
      <c r="B807" s="2" t="s">
        <v>2580</v>
      </c>
      <c r="C807" s="10" t="n">
        <v>45811</v>
      </c>
      <c r="D807" s="2" t="n">
        <f aca="false">MONTH(C807)</f>
        <v>6</v>
      </c>
      <c r="E807" s="2" t="s">
        <v>63</v>
      </c>
      <c r="F807" s="2" t="s">
        <v>64</v>
      </c>
      <c r="G807" s="2" t="s">
        <v>70</v>
      </c>
      <c r="H807" s="2" t="s">
        <v>97</v>
      </c>
      <c r="I807" s="2" t="n">
        <v>2</v>
      </c>
      <c r="J807" s="11" t="n">
        <v>3000</v>
      </c>
      <c r="K807" s="12" t="n">
        <v>0.1</v>
      </c>
      <c r="L807" s="11" t="n">
        <v>2000</v>
      </c>
      <c r="M807" s="11" t="n">
        <f aca="false">I807*J807*(1-K807)</f>
        <v>5400</v>
      </c>
      <c r="N807" s="11" t="n">
        <f aca="false">M807-I807*L807</f>
        <v>1400</v>
      </c>
    </row>
    <row r="808" customFormat="false" ht="15" hidden="false" customHeight="false" outlineLevel="0" collapsed="false">
      <c r="A808" s="2" t="s">
        <v>125</v>
      </c>
      <c r="B808" s="2" t="s">
        <v>120</v>
      </c>
      <c r="C808" s="10" t="n">
        <v>45812</v>
      </c>
      <c r="D808" s="2" t="n">
        <f aca="false">MONTH(C808)</f>
        <v>6</v>
      </c>
      <c r="E808" s="2" t="s">
        <v>81</v>
      </c>
      <c r="F808" s="2" t="s">
        <v>64</v>
      </c>
      <c r="G808" s="2" t="s">
        <v>70</v>
      </c>
      <c r="H808" s="2" t="s">
        <v>126</v>
      </c>
      <c r="I808" s="2" t="n">
        <v>1</v>
      </c>
      <c r="J808" s="11" t="n">
        <v>4500</v>
      </c>
      <c r="K808" s="12" t="n">
        <v>0</v>
      </c>
      <c r="L808" s="11" t="n">
        <v>3300</v>
      </c>
      <c r="M808" s="11" t="n">
        <f aca="false">I808*J808*(1-K808)</f>
        <v>4500</v>
      </c>
      <c r="N808" s="11" t="n">
        <f aca="false">M808-I808*L808</f>
        <v>1200</v>
      </c>
    </row>
    <row r="809" customFormat="false" ht="15" hidden="false" customHeight="false" outlineLevel="0" collapsed="false">
      <c r="A809" s="2" t="s">
        <v>183</v>
      </c>
      <c r="B809" s="2" t="s">
        <v>175</v>
      </c>
      <c r="C809" s="10" t="n">
        <v>45812</v>
      </c>
      <c r="D809" s="2" t="n">
        <f aca="false">MONTH(C809)</f>
        <v>6</v>
      </c>
      <c r="E809" s="2" t="s">
        <v>77</v>
      </c>
      <c r="F809" s="2" t="s">
        <v>64</v>
      </c>
      <c r="G809" s="2" t="s">
        <v>65</v>
      </c>
      <c r="H809" s="2" t="s">
        <v>66</v>
      </c>
      <c r="I809" s="2" t="n">
        <v>6</v>
      </c>
      <c r="J809" s="11" t="n">
        <v>600</v>
      </c>
      <c r="K809" s="12" t="n">
        <v>0</v>
      </c>
      <c r="L809" s="11" t="n">
        <v>300</v>
      </c>
      <c r="M809" s="11" t="n">
        <f aca="false">I809*J809*(1-K809)</f>
        <v>3600</v>
      </c>
      <c r="N809" s="11" t="n">
        <f aca="false">M809-I809*L809</f>
        <v>1800</v>
      </c>
    </row>
    <row r="810" customFormat="false" ht="15" hidden="false" customHeight="false" outlineLevel="0" collapsed="false">
      <c r="A810" s="2" t="s">
        <v>317</v>
      </c>
      <c r="B810" s="2" t="s">
        <v>310</v>
      </c>
      <c r="C810" s="10" t="n">
        <v>45812</v>
      </c>
      <c r="D810" s="2" t="n">
        <f aca="false">MONTH(C810)</f>
        <v>6</v>
      </c>
      <c r="E810" s="2" t="s">
        <v>91</v>
      </c>
      <c r="F810" s="2" t="s">
        <v>69</v>
      </c>
      <c r="G810" s="2" t="s">
        <v>70</v>
      </c>
      <c r="H810" s="2" t="s">
        <v>71</v>
      </c>
      <c r="I810" s="2" t="n">
        <v>1</v>
      </c>
      <c r="J810" s="11" t="n">
        <v>2500</v>
      </c>
      <c r="K810" s="12" t="n">
        <v>0.05</v>
      </c>
      <c r="L810" s="11" t="n">
        <v>1600</v>
      </c>
      <c r="M810" s="11" t="n">
        <f aca="false">I810*J810*(1-K810)</f>
        <v>2375</v>
      </c>
      <c r="N810" s="11" t="n">
        <f aca="false">M810-I810*L810</f>
        <v>775</v>
      </c>
    </row>
    <row r="811" customFormat="false" ht="15" hidden="false" customHeight="false" outlineLevel="0" collapsed="false">
      <c r="A811" s="2" t="s">
        <v>2085</v>
      </c>
      <c r="B811" s="2" t="s">
        <v>2086</v>
      </c>
      <c r="C811" s="10" t="n">
        <v>45812</v>
      </c>
      <c r="D811" s="2" t="n">
        <f aca="false">MONTH(C811)</f>
        <v>6</v>
      </c>
      <c r="E811" s="2" t="s">
        <v>77</v>
      </c>
      <c r="F811" s="2" t="s">
        <v>64</v>
      </c>
      <c r="G811" s="2" t="s">
        <v>70</v>
      </c>
      <c r="H811" s="2" t="s">
        <v>97</v>
      </c>
      <c r="I811" s="2" t="n">
        <v>2</v>
      </c>
      <c r="J811" s="11" t="n">
        <v>3000</v>
      </c>
      <c r="K811" s="12" t="n">
        <v>0</v>
      </c>
      <c r="L811" s="11" t="n">
        <v>2000</v>
      </c>
      <c r="M811" s="11" t="n">
        <f aca="false">I811*J811*(1-K811)</f>
        <v>6000</v>
      </c>
      <c r="N811" s="11" t="n">
        <f aca="false">M811-I811*L811</f>
        <v>2000</v>
      </c>
    </row>
    <row r="812" customFormat="false" ht="15" hidden="false" customHeight="false" outlineLevel="0" collapsed="false">
      <c r="A812" s="2" t="s">
        <v>2403</v>
      </c>
      <c r="B812" s="2" t="s">
        <v>2404</v>
      </c>
      <c r="C812" s="10" t="n">
        <v>45812</v>
      </c>
      <c r="D812" s="2" t="n">
        <f aca="false">MONTH(C812)</f>
        <v>6</v>
      </c>
      <c r="E812" s="2" t="s">
        <v>77</v>
      </c>
      <c r="F812" s="2" t="s">
        <v>69</v>
      </c>
      <c r="G812" s="2" t="s">
        <v>73</v>
      </c>
      <c r="H812" s="2" t="s">
        <v>74</v>
      </c>
      <c r="I812" s="2" t="n">
        <v>2</v>
      </c>
      <c r="J812" s="11" t="n">
        <v>7000</v>
      </c>
      <c r="K812" s="12" t="n">
        <v>0.1</v>
      </c>
      <c r="L812" s="11" t="n">
        <v>4800</v>
      </c>
      <c r="M812" s="11" t="n">
        <f aca="false">I812*J812*(1-K812)</f>
        <v>12600</v>
      </c>
      <c r="N812" s="11" t="n">
        <f aca="false">M812-I812*L812</f>
        <v>3000</v>
      </c>
    </row>
    <row r="813" customFormat="false" ht="15" hidden="false" customHeight="false" outlineLevel="0" collapsed="false">
      <c r="A813" s="2" t="s">
        <v>2876</v>
      </c>
      <c r="B813" s="2" t="s">
        <v>2874</v>
      </c>
      <c r="C813" s="10" t="n">
        <v>45812</v>
      </c>
      <c r="D813" s="2" t="n">
        <f aca="false">MONTH(C813)</f>
        <v>6</v>
      </c>
      <c r="E813" s="2" t="s">
        <v>91</v>
      </c>
      <c r="F813" s="2" t="s">
        <v>64</v>
      </c>
      <c r="G813" s="2" t="s">
        <v>70</v>
      </c>
      <c r="H813" s="2" t="s">
        <v>71</v>
      </c>
      <c r="I813" s="2" t="n">
        <v>1</v>
      </c>
      <c r="J813" s="11" t="n">
        <v>2500</v>
      </c>
      <c r="K813" s="12" t="n">
        <v>0</v>
      </c>
      <c r="L813" s="11" t="n">
        <v>1600</v>
      </c>
      <c r="M813" s="11" t="n">
        <f aca="false">I813*J813*(1-K813)</f>
        <v>2500</v>
      </c>
      <c r="N813" s="11" t="n">
        <f aca="false">M813-I813*L813</f>
        <v>900</v>
      </c>
    </row>
    <row r="814" customFormat="false" ht="15" hidden="false" customHeight="false" outlineLevel="0" collapsed="false">
      <c r="A814" s="2" t="s">
        <v>1106</v>
      </c>
      <c r="B814" s="2" t="s">
        <v>1102</v>
      </c>
      <c r="C814" s="10" t="n">
        <v>45813</v>
      </c>
      <c r="D814" s="2" t="n">
        <f aca="false">MONTH(C814)</f>
        <v>6</v>
      </c>
      <c r="E814" s="2" t="s">
        <v>63</v>
      </c>
      <c r="F814" s="2" t="s">
        <v>69</v>
      </c>
      <c r="G814" s="2" t="s">
        <v>73</v>
      </c>
      <c r="H814" s="2" t="s">
        <v>87</v>
      </c>
      <c r="I814" s="2" t="n">
        <v>1</v>
      </c>
      <c r="J814" s="11" t="n">
        <v>9000</v>
      </c>
      <c r="K814" s="12" t="n">
        <v>0.05</v>
      </c>
      <c r="L814" s="11" t="n">
        <v>6200</v>
      </c>
      <c r="M814" s="11" t="n">
        <f aca="false">I814*J814*(1-K814)</f>
        <v>8550</v>
      </c>
      <c r="N814" s="11" t="n">
        <f aca="false">M814-I814*L814</f>
        <v>2350</v>
      </c>
    </row>
    <row r="815" customFormat="false" ht="15" hidden="false" customHeight="false" outlineLevel="0" collapsed="false">
      <c r="A815" s="2" t="s">
        <v>2092</v>
      </c>
      <c r="B815" s="2" t="s">
        <v>2093</v>
      </c>
      <c r="C815" s="10" t="n">
        <v>45813</v>
      </c>
      <c r="D815" s="2" t="n">
        <f aca="false">MONTH(C815)</f>
        <v>6</v>
      </c>
      <c r="E815" s="2" t="s">
        <v>81</v>
      </c>
      <c r="F815" s="2" t="s">
        <v>69</v>
      </c>
      <c r="G815" s="2" t="s">
        <v>73</v>
      </c>
      <c r="H815" s="2" t="s">
        <v>87</v>
      </c>
      <c r="I815" s="2" t="n">
        <v>3</v>
      </c>
      <c r="J815" s="11" t="n">
        <v>9000</v>
      </c>
      <c r="K815" s="12" t="n">
        <v>0</v>
      </c>
      <c r="L815" s="11" t="n">
        <v>6200</v>
      </c>
      <c r="M815" s="11" t="n">
        <f aca="false">I815*J815*(1-K815)</f>
        <v>27000</v>
      </c>
      <c r="N815" s="11" t="n">
        <f aca="false">M815-I815*L815</f>
        <v>8400</v>
      </c>
    </row>
    <row r="816" customFormat="false" ht="15" hidden="false" customHeight="false" outlineLevel="0" collapsed="false">
      <c r="A816" s="2" t="s">
        <v>2933</v>
      </c>
      <c r="B816" s="2" t="s">
        <v>2934</v>
      </c>
      <c r="C816" s="10" t="n">
        <v>45813</v>
      </c>
      <c r="D816" s="2" t="n">
        <f aca="false">MONTH(C816)</f>
        <v>6</v>
      </c>
      <c r="E816" s="2" t="s">
        <v>63</v>
      </c>
      <c r="F816" s="2" t="s">
        <v>69</v>
      </c>
      <c r="G816" s="2" t="s">
        <v>70</v>
      </c>
      <c r="H816" s="2" t="s">
        <v>97</v>
      </c>
      <c r="I816" s="2" t="n">
        <v>4</v>
      </c>
      <c r="J816" s="11" t="n">
        <v>3000</v>
      </c>
      <c r="K816" s="12" t="n">
        <v>0</v>
      </c>
      <c r="L816" s="11" t="n">
        <v>2000</v>
      </c>
      <c r="M816" s="11" t="n">
        <f aca="false">I816*J816*(1-K816)</f>
        <v>12000</v>
      </c>
      <c r="N816" s="11" t="n">
        <f aca="false">M816-I816*L816</f>
        <v>4000</v>
      </c>
    </row>
    <row r="817" customFormat="false" ht="15" hidden="false" customHeight="false" outlineLevel="0" collapsed="false">
      <c r="A817" s="2" t="s">
        <v>197</v>
      </c>
      <c r="B817" s="2" t="s">
        <v>196</v>
      </c>
      <c r="C817" s="10" t="n">
        <v>45814</v>
      </c>
      <c r="D817" s="2" t="n">
        <f aca="false">MONTH(C817)</f>
        <v>6</v>
      </c>
      <c r="E817" s="2" t="s">
        <v>77</v>
      </c>
      <c r="F817" s="2" t="s">
        <v>64</v>
      </c>
      <c r="G817" s="2" t="s">
        <v>70</v>
      </c>
      <c r="H817" s="2" t="s">
        <v>126</v>
      </c>
      <c r="I817" s="2" t="n">
        <v>1</v>
      </c>
      <c r="J817" s="11" t="n">
        <v>4500</v>
      </c>
      <c r="K817" s="12" t="n">
        <v>0</v>
      </c>
      <c r="L817" s="11" t="n">
        <v>3300</v>
      </c>
      <c r="M817" s="11" t="n">
        <f aca="false">I817*J817*(1-K817)</f>
        <v>4500</v>
      </c>
      <c r="N817" s="11" t="n">
        <f aca="false">M817-I817*L817</f>
        <v>1200</v>
      </c>
    </row>
    <row r="818" customFormat="false" ht="15" hidden="false" customHeight="false" outlineLevel="0" collapsed="false">
      <c r="A818" s="2" t="s">
        <v>400</v>
      </c>
      <c r="B818" s="2" t="s">
        <v>401</v>
      </c>
      <c r="C818" s="10" t="n">
        <v>45814</v>
      </c>
      <c r="D818" s="2" t="n">
        <f aca="false">MONTH(C818)</f>
        <v>6</v>
      </c>
      <c r="E818" s="2" t="s">
        <v>77</v>
      </c>
      <c r="F818" s="2" t="s">
        <v>64</v>
      </c>
      <c r="G818" s="2" t="s">
        <v>65</v>
      </c>
      <c r="H818" s="2" t="s">
        <v>82</v>
      </c>
      <c r="I818" s="2" t="n">
        <v>4</v>
      </c>
      <c r="J818" s="11" t="n">
        <v>250</v>
      </c>
      <c r="K818" s="12" t="n">
        <v>0</v>
      </c>
      <c r="L818" s="11" t="n">
        <v>100</v>
      </c>
      <c r="M818" s="11" t="n">
        <f aca="false">I818*J818*(1-K818)</f>
        <v>1000</v>
      </c>
      <c r="N818" s="11" t="n">
        <f aca="false">M818-I818*L818</f>
        <v>600</v>
      </c>
    </row>
    <row r="819" customFormat="false" ht="15" hidden="false" customHeight="false" outlineLevel="0" collapsed="false">
      <c r="A819" s="2" t="s">
        <v>594</v>
      </c>
      <c r="B819" s="2" t="s">
        <v>595</v>
      </c>
      <c r="C819" s="10" t="n">
        <v>45814</v>
      </c>
      <c r="D819" s="2" t="n">
        <f aca="false">MONTH(C819)</f>
        <v>6</v>
      </c>
      <c r="E819" s="2" t="s">
        <v>81</v>
      </c>
      <c r="F819" s="2" t="s">
        <v>64</v>
      </c>
      <c r="G819" s="2" t="s">
        <v>65</v>
      </c>
      <c r="H819" s="2" t="s">
        <v>107</v>
      </c>
      <c r="I819" s="2" t="n">
        <v>4</v>
      </c>
      <c r="J819" s="11" t="n">
        <v>500</v>
      </c>
      <c r="K819" s="12" t="n">
        <v>0.1</v>
      </c>
      <c r="L819" s="11" t="n">
        <v>250</v>
      </c>
      <c r="M819" s="11" t="n">
        <f aca="false">I819*J819*(1-K819)</f>
        <v>1800</v>
      </c>
      <c r="N819" s="11" t="n">
        <f aca="false">M819-I819*L819</f>
        <v>800</v>
      </c>
    </row>
    <row r="820" customFormat="false" ht="15" hidden="false" customHeight="false" outlineLevel="0" collapsed="false">
      <c r="A820" s="2" t="s">
        <v>1118</v>
      </c>
      <c r="B820" s="2" t="s">
        <v>1119</v>
      </c>
      <c r="C820" s="10" t="n">
        <v>45814</v>
      </c>
      <c r="D820" s="2" t="n">
        <f aca="false">MONTH(C820)</f>
        <v>6</v>
      </c>
      <c r="E820" s="2" t="s">
        <v>77</v>
      </c>
      <c r="F820" s="2" t="s">
        <v>64</v>
      </c>
      <c r="G820" s="2" t="s">
        <v>65</v>
      </c>
      <c r="H820" s="2" t="s">
        <v>107</v>
      </c>
      <c r="I820" s="2" t="n">
        <v>3</v>
      </c>
      <c r="J820" s="11" t="n">
        <v>500</v>
      </c>
      <c r="K820" s="12" t="n">
        <v>0</v>
      </c>
      <c r="L820" s="11" t="n">
        <v>250</v>
      </c>
      <c r="M820" s="11" t="n">
        <f aca="false">I820*J820*(1-K820)</f>
        <v>1500</v>
      </c>
      <c r="N820" s="11" t="n">
        <f aca="false">M820-I820*L820</f>
        <v>750</v>
      </c>
    </row>
    <row r="821" customFormat="false" ht="15" hidden="false" customHeight="false" outlineLevel="0" collapsed="false">
      <c r="A821" s="2" t="s">
        <v>1272</v>
      </c>
      <c r="B821" s="2" t="s">
        <v>1271</v>
      </c>
      <c r="C821" s="10" t="n">
        <v>45814</v>
      </c>
      <c r="D821" s="2" t="n">
        <f aca="false">MONTH(C821)</f>
        <v>6</v>
      </c>
      <c r="E821" s="2" t="s">
        <v>77</v>
      </c>
      <c r="F821" s="2" t="s">
        <v>92</v>
      </c>
      <c r="G821" s="2" t="s">
        <v>73</v>
      </c>
      <c r="H821" s="2" t="s">
        <v>104</v>
      </c>
      <c r="I821" s="2" t="n">
        <v>8</v>
      </c>
      <c r="J821" s="11" t="n">
        <v>5500</v>
      </c>
      <c r="K821" s="12" t="n">
        <v>0.15</v>
      </c>
      <c r="L821" s="11" t="n">
        <v>3600</v>
      </c>
      <c r="M821" s="11" t="n">
        <f aca="false">I821*J821*(1-K821)</f>
        <v>37400</v>
      </c>
      <c r="N821" s="11" t="n">
        <f aca="false">M821-I821*L821</f>
        <v>8600</v>
      </c>
    </row>
    <row r="822" customFormat="false" ht="15" hidden="false" customHeight="false" outlineLevel="0" collapsed="false">
      <c r="A822" s="2" t="s">
        <v>1361</v>
      </c>
      <c r="B822" s="2" t="s">
        <v>1358</v>
      </c>
      <c r="C822" s="10" t="n">
        <v>45814</v>
      </c>
      <c r="D822" s="2" t="n">
        <f aca="false">MONTH(C822)</f>
        <v>6</v>
      </c>
      <c r="E822" s="2" t="s">
        <v>77</v>
      </c>
      <c r="F822" s="2" t="s">
        <v>64</v>
      </c>
      <c r="G822" s="2" t="s">
        <v>65</v>
      </c>
      <c r="H822" s="2" t="s">
        <v>66</v>
      </c>
      <c r="I822" s="2" t="n">
        <v>8</v>
      </c>
      <c r="J822" s="11" t="n">
        <v>600</v>
      </c>
      <c r="K822" s="12" t="n">
        <v>0</v>
      </c>
      <c r="L822" s="11" t="n">
        <v>300</v>
      </c>
      <c r="M822" s="11" t="n">
        <f aca="false">I822*J822*(1-K822)</f>
        <v>4800</v>
      </c>
      <c r="N822" s="11" t="n">
        <f aca="false">M822-I822*L822</f>
        <v>2400</v>
      </c>
    </row>
    <row r="823" customFormat="false" ht="15" hidden="false" customHeight="false" outlineLevel="0" collapsed="false">
      <c r="A823" s="2" t="s">
        <v>1759</v>
      </c>
      <c r="B823" s="2" t="s">
        <v>1760</v>
      </c>
      <c r="C823" s="10" t="n">
        <v>45814</v>
      </c>
      <c r="D823" s="2" t="n">
        <f aca="false">MONTH(C823)</f>
        <v>6</v>
      </c>
      <c r="E823" s="2" t="s">
        <v>81</v>
      </c>
      <c r="F823" s="2" t="s">
        <v>64</v>
      </c>
      <c r="G823" s="2" t="s">
        <v>73</v>
      </c>
      <c r="H823" s="2" t="s">
        <v>104</v>
      </c>
      <c r="I823" s="2" t="n">
        <v>1</v>
      </c>
      <c r="J823" s="11" t="n">
        <v>5500</v>
      </c>
      <c r="K823" s="12" t="n">
        <v>0.05</v>
      </c>
      <c r="L823" s="11" t="n">
        <v>3600</v>
      </c>
      <c r="M823" s="11" t="n">
        <f aca="false">I823*J823*(1-K823)</f>
        <v>5225</v>
      </c>
      <c r="N823" s="11" t="n">
        <f aca="false">M823-I823*L823</f>
        <v>1625</v>
      </c>
    </row>
    <row r="824" customFormat="false" ht="15" hidden="false" customHeight="false" outlineLevel="0" collapsed="false">
      <c r="A824" s="2" t="s">
        <v>2411</v>
      </c>
      <c r="B824" s="2" t="s">
        <v>2406</v>
      </c>
      <c r="C824" s="10" t="n">
        <v>45814</v>
      </c>
      <c r="D824" s="2" t="n">
        <f aca="false">MONTH(C824)</f>
        <v>6</v>
      </c>
      <c r="E824" s="2" t="s">
        <v>81</v>
      </c>
      <c r="F824" s="2" t="s">
        <v>69</v>
      </c>
      <c r="G824" s="2" t="s">
        <v>70</v>
      </c>
      <c r="H824" s="2" t="s">
        <v>126</v>
      </c>
      <c r="I824" s="2" t="n">
        <v>1</v>
      </c>
      <c r="J824" s="11" t="n">
        <v>4500</v>
      </c>
      <c r="K824" s="12" t="n">
        <v>0</v>
      </c>
      <c r="L824" s="11" t="n">
        <v>3300</v>
      </c>
      <c r="M824" s="11" t="n">
        <f aca="false">I824*J824*(1-K824)</f>
        <v>4500</v>
      </c>
      <c r="N824" s="11" t="n">
        <f aca="false">M824-I824*L824</f>
        <v>1200</v>
      </c>
    </row>
    <row r="825" customFormat="false" ht="15" hidden="false" customHeight="false" outlineLevel="0" collapsed="false">
      <c r="A825" s="2" t="s">
        <v>2561</v>
      </c>
      <c r="B825" s="2" t="s">
        <v>2560</v>
      </c>
      <c r="C825" s="10" t="n">
        <v>45814</v>
      </c>
      <c r="D825" s="2" t="n">
        <f aca="false">MONTH(C825)</f>
        <v>6</v>
      </c>
      <c r="E825" s="2" t="s">
        <v>77</v>
      </c>
      <c r="F825" s="2" t="s">
        <v>64</v>
      </c>
      <c r="G825" s="2" t="s">
        <v>65</v>
      </c>
      <c r="H825" s="2" t="s">
        <v>107</v>
      </c>
      <c r="I825" s="2" t="n">
        <v>3</v>
      </c>
      <c r="J825" s="11" t="n">
        <v>500</v>
      </c>
      <c r="K825" s="12" t="n">
        <v>0.05</v>
      </c>
      <c r="L825" s="11" t="n">
        <v>250</v>
      </c>
      <c r="M825" s="11" t="n">
        <f aca="false">I825*J825*(1-K825)</f>
        <v>1425</v>
      </c>
      <c r="N825" s="11" t="n">
        <f aca="false">M825-I825*L825</f>
        <v>675</v>
      </c>
    </row>
    <row r="826" customFormat="false" ht="15" hidden="false" customHeight="false" outlineLevel="0" collapsed="false">
      <c r="A826" s="2" t="s">
        <v>319</v>
      </c>
      <c r="B826" s="2" t="s">
        <v>310</v>
      </c>
      <c r="C826" s="10" t="n">
        <v>45815</v>
      </c>
      <c r="D826" s="2" t="n">
        <f aca="false">MONTH(C826)</f>
        <v>6</v>
      </c>
      <c r="E826" s="2" t="s">
        <v>91</v>
      </c>
      <c r="F826" s="2" t="s">
        <v>69</v>
      </c>
      <c r="G826" s="2" t="s">
        <v>73</v>
      </c>
      <c r="H826" s="2" t="s">
        <v>85</v>
      </c>
      <c r="I826" s="2" t="n">
        <v>1</v>
      </c>
      <c r="J826" s="11" t="n">
        <v>1200</v>
      </c>
      <c r="K826" s="12" t="n">
        <v>0.05</v>
      </c>
      <c r="L826" s="11" t="n">
        <v>600</v>
      </c>
      <c r="M826" s="11" t="n">
        <f aca="false">I826*J826*(1-K826)</f>
        <v>1140</v>
      </c>
      <c r="N826" s="11" t="n">
        <f aca="false">M826-I826*L826</f>
        <v>540</v>
      </c>
    </row>
    <row r="827" customFormat="false" ht="15" hidden="false" customHeight="false" outlineLevel="0" collapsed="false">
      <c r="A827" s="2" t="s">
        <v>586</v>
      </c>
      <c r="B827" s="2" t="s">
        <v>584</v>
      </c>
      <c r="C827" s="10" t="n">
        <v>45815</v>
      </c>
      <c r="D827" s="2" t="n">
        <f aca="false">MONTH(C827)</f>
        <v>6</v>
      </c>
      <c r="E827" s="2" t="s">
        <v>63</v>
      </c>
      <c r="F827" s="2" t="s">
        <v>64</v>
      </c>
      <c r="G827" s="2" t="s">
        <v>73</v>
      </c>
      <c r="H827" s="2" t="s">
        <v>74</v>
      </c>
      <c r="I827" s="2" t="n">
        <v>1</v>
      </c>
      <c r="J827" s="11" t="n">
        <v>7000</v>
      </c>
      <c r="K827" s="12" t="n">
        <v>0</v>
      </c>
      <c r="L827" s="11" t="n">
        <v>4800</v>
      </c>
      <c r="M827" s="11" t="n">
        <f aca="false">I827*J827*(1-K827)</f>
        <v>7000</v>
      </c>
      <c r="N827" s="11" t="n">
        <f aca="false">M827-I827*L827</f>
        <v>2200</v>
      </c>
    </row>
    <row r="828" customFormat="false" ht="15" hidden="false" customHeight="false" outlineLevel="0" collapsed="false">
      <c r="A828" s="2" t="s">
        <v>677</v>
      </c>
      <c r="B828" s="2" t="s">
        <v>676</v>
      </c>
      <c r="C828" s="10" t="n">
        <v>45815</v>
      </c>
      <c r="D828" s="2" t="n">
        <f aca="false">MONTH(C828)</f>
        <v>6</v>
      </c>
      <c r="E828" s="2" t="s">
        <v>81</v>
      </c>
      <c r="F828" s="2" t="s">
        <v>69</v>
      </c>
      <c r="G828" s="2" t="s">
        <v>70</v>
      </c>
      <c r="H828" s="2" t="s">
        <v>126</v>
      </c>
      <c r="I828" s="2" t="n">
        <v>4</v>
      </c>
      <c r="J828" s="11" t="n">
        <v>4500</v>
      </c>
      <c r="K828" s="12" t="n">
        <v>0.05</v>
      </c>
      <c r="L828" s="11" t="n">
        <v>3300</v>
      </c>
      <c r="M828" s="11" t="n">
        <f aca="false">I828*J828*(1-K828)</f>
        <v>17100</v>
      </c>
      <c r="N828" s="11" t="n">
        <f aca="false">M828-I828*L828</f>
        <v>3900</v>
      </c>
    </row>
    <row r="829" customFormat="false" ht="15" hidden="false" customHeight="false" outlineLevel="0" collapsed="false">
      <c r="A829" s="2" t="s">
        <v>758</v>
      </c>
      <c r="B829" s="2" t="s">
        <v>759</v>
      </c>
      <c r="C829" s="10" t="n">
        <v>45815</v>
      </c>
      <c r="D829" s="2" t="n">
        <f aca="false">MONTH(C829)</f>
        <v>6</v>
      </c>
      <c r="E829" s="2" t="s">
        <v>77</v>
      </c>
      <c r="F829" s="2" t="s">
        <v>69</v>
      </c>
      <c r="G829" s="2" t="s">
        <v>65</v>
      </c>
      <c r="H829" s="2" t="s">
        <v>66</v>
      </c>
      <c r="I829" s="2" t="n">
        <v>12</v>
      </c>
      <c r="J829" s="11" t="n">
        <v>600</v>
      </c>
      <c r="K829" s="12" t="n">
        <v>0</v>
      </c>
      <c r="L829" s="11" t="n">
        <v>300</v>
      </c>
      <c r="M829" s="11" t="n">
        <f aca="false">I829*J829*(1-K829)</f>
        <v>7200</v>
      </c>
      <c r="N829" s="11" t="n">
        <f aca="false">M829-I829*L829</f>
        <v>3600</v>
      </c>
    </row>
    <row r="830" customFormat="false" ht="15" hidden="false" customHeight="false" outlineLevel="0" collapsed="false">
      <c r="A830" s="2" t="s">
        <v>1254</v>
      </c>
      <c r="B830" s="2" t="s">
        <v>1255</v>
      </c>
      <c r="C830" s="10" t="n">
        <v>45815</v>
      </c>
      <c r="D830" s="2" t="n">
        <f aca="false">MONTH(C830)</f>
        <v>6</v>
      </c>
      <c r="E830" s="2" t="s">
        <v>91</v>
      </c>
      <c r="F830" s="2" t="s">
        <v>69</v>
      </c>
      <c r="G830" s="2" t="s">
        <v>70</v>
      </c>
      <c r="H830" s="2" t="s">
        <v>97</v>
      </c>
      <c r="I830" s="2" t="n">
        <v>2</v>
      </c>
      <c r="J830" s="11" t="n">
        <v>3000</v>
      </c>
      <c r="K830" s="12" t="n">
        <v>0</v>
      </c>
      <c r="L830" s="11" t="n">
        <v>2000</v>
      </c>
      <c r="M830" s="11" t="n">
        <f aca="false">I830*J830*(1-K830)</f>
        <v>6000</v>
      </c>
      <c r="N830" s="11" t="n">
        <f aca="false">M830-I830*L830</f>
        <v>2000</v>
      </c>
    </row>
    <row r="831" customFormat="false" ht="15" hidden="false" customHeight="false" outlineLevel="0" collapsed="false">
      <c r="A831" s="2" t="s">
        <v>1270</v>
      </c>
      <c r="B831" s="2" t="s">
        <v>1271</v>
      </c>
      <c r="C831" s="10" t="n">
        <v>45815</v>
      </c>
      <c r="D831" s="2" t="n">
        <f aca="false">MONTH(C831)</f>
        <v>6</v>
      </c>
      <c r="E831" s="2" t="s">
        <v>77</v>
      </c>
      <c r="F831" s="2" t="s">
        <v>92</v>
      </c>
      <c r="G831" s="2" t="s">
        <v>65</v>
      </c>
      <c r="H831" s="2" t="s">
        <v>107</v>
      </c>
      <c r="I831" s="2" t="n">
        <v>18</v>
      </c>
      <c r="J831" s="11" t="n">
        <v>500</v>
      </c>
      <c r="K831" s="12" t="n">
        <v>0</v>
      </c>
      <c r="L831" s="11" t="n">
        <v>250</v>
      </c>
      <c r="M831" s="11" t="n">
        <f aca="false">I831*J831*(1-K831)</f>
        <v>9000</v>
      </c>
      <c r="N831" s="11" t="n">
        <f aca="false">M831-I831*L831</f>
        <v>4500</v>
      </c>
    </row>
    <row r="832" customFormat="false" ht="15" hidden="false" customHeight="false" outlineLevel="0" collapsed="false">
      <c r="A832" s="2" t="s">
        <v>1681</v>
      </c>
      <c r="B832" s="2" t="s">
        <v>1682</v>
      </c>
      <c r="C832" s="10" t="n">
        <v>45815</v>
      </c>
      <c r="D832" s="2" t="n">
        <f aca="false">MONTH(C832)</f>
        <v>6</v>
      </c>
      <c r="E832" s="2" t="s">
        <v>91</v>
      </c>
      <c r="F832" s="2" t="s">
        <v>64</v>
      </c>
      <c r="G832" s="2" t="s">
        <v>65</v>
      </c>
      <c r="H832" s="2" t="s">
        <v>82</v>
      </c>
      <c r="I832" s="2" t="n">
        <v>2</v>
      </c>
      <c r="J832" s="11" t="n">
        <v>250</v>
      </c>
      <c r="K832" s="12" t="n">
        <v>0.1</v>
      </c>
      <c r="L832" s="11" t="n">
        <v>100</v>
      </c>
      <c r="M832" s="11" t="n">
        <f aca="false">I832*J832*(1-K832)</f>
        <v>450</v>
      </c>
      <c r="N832" s="11" t="n">
        <f aca="false">M832-I832*L832</f>
        <v>250</v>
      </c>
    </row>
    <row r="833" customFormat="false" ht="15" hidden="false" customHeight="false" outlineLevel="0" collapsed="false">
      <c r="A833" s="2" t="s">
        <v>2008</v>
      </c>
      <c r="B833" s="2" t="s">
        <v>2000</v>
      </c>
      <c r="C833" s="10" t="n">
        <v>45815</v>
      </c>
      <c r="D833" s="2" t="n">
        <f aca="false">MONTH(C833)</f>
        <v>6</v>
      </c>
      <c r="E833" s="2" t="s">
        <v>91</v>
      </c>
      <c r="F833" s="2" t="s">
        <v>64</v>
      </c>
      <c r="G833" s="2" t="s">
        <v>70</v>
      </c>
      <c r="H833" s="2" t="s">
        <v>97</v>
      </c>
      <c r="I833" s="2" t="n">
        <v>1</v>
      </c>
      <c r="J833" s="11" t="n">
        <v>3000</v>
      </c>
      <c r="K833" s="12" t="n">
        <v>0.1</v>
      </c>
      <c r="L833" s="11" t="n">
        <v>2000</v>
      </c>
      <c r="M833" s="11" t="n">
        <f aca="false">I833*J833*(1-K833)</f>
        <v>2700</v>
      </c>
      <c r="N833" s="11" t="n">
        <f aca="false">M833-I833*L833</f>
        <v>700</v>
      </c>
    </row>
    <row r="834" customFormat="false" ht="15" hidden="false" customHeight="false" outlineLevel="0" collapsed="false">
      <c r="A834" s="2" t="s">
        <v>2902</v>
      </c>
      <c r="B834" s="2" t="s">
        <v>2903</v>
      </c>
      <c r="C834" s="10" t="n">
        <v>45815</v>
      </c>
      <c r="D834" s="2" t="n">
        <f aca="false">MONTH(C834)</f>
        <v>6</v>
      </c>
      <c r="E834" s="2" t="s">
        <v>81</v>
      </c>
      <c r="F834" s="2" t="s">
        <v>64</v>
      </c>
      <c r="G834" s="2" t="s">
        <v>73</v>
      </c>
      <c r="H834" s="2" t="s">
        <v>74</v>
      </c>
      <c r="I834" s="2" t="n">
        <v>2</v>
      </c>
      <c r="J834" s="11" t="n">
        <v>7000</v>
      </c>
      <c r="K834" s="12" t="n">
        <v>0</v>
      </c>
      <c r="L834" s="11" t="n">
        <v>4800</v>
      </c>
      <c r="M834" s="11" t="n">
        <f aca="false">I834*J834*(1-K834)</f>
        <v>14000</v>
      </c>
      <c r="N834" s="11" t="n">
        <f aca="false">M834-I834*L834</f>
        <v>4400</v>
      </c>
    </row>
    <row r="835" customFormat="false" ht="15" hidden="false" customHeight="false" outlineLevel="0" collapsed="false">
      <c r="A835" s="2" t="s">
        <v>2825</v>
      </c>
      <c r="B835" s="2" t="s">
        <v>2824</v>
      </c>
      <c r="C835" s="10" t="n">
        <v>45816</v>
      </c>
      <c r="D835" s="2" t="n">
        <f aca="false">MONTH(C835)</f>
        <v>6</v>
      </c>
      <c r="E835" s="2" t="s">
        <v>91</v>
      </c>
      <c r="F835" s="2" t="s">
        <v>64</v>
      </c>
      <c r="G835" s="2" t="s">
        <v>65</v>
      </c>
      <c r="H835" s="2" t="s">
        <v>107</v>
      </c>
      <c r="I835" s="2" t="n">
        <v>4</v>
      </c>
      <c r="J835" s="11" t="n">
        <v>500</v>
      </c>
      <c r="K835" s="12" t="n">
        <v>0.05</v>
      </c>
      <c r="L835" s="11" t="n">
        <v>250</v>
      </c>
      <c r="M835" s="11" t="n">
        <f aca="false">I835*J835*(1-K835)</f>
        <v>1900</v>
      </c>
      <c r="N835" s="11" t="n">
        <f aca="false">M835-I835*L835</f>
        <v>900</v>
      </c>
    </row>
    <row r="836" customFormat="false" ht="15" hidden="false" customHeight="false" outlineLevel="0" collapsed="false">
      <c r="A836" s="2" t="s">
        <v>2833</v>
      </c>
      <c r="B836" s="2" t="s">
        <v>2834</v>
      </c>
      <c r="C836" s="10" t="n">
        <v>45816</v>
      </c>
      <c r="D836" s="2" t="n">
        <f aca="false">MONTH(C836)</f>
        <v>6</v>
      </c>
      <c r="E836" s="2" t="s">
        <v>77</v>
      </c>
      <c r="F836" s="2" t="s">
        <v>64</v>
      </c>
      <c r="G836" s="2" t="s">
        <v>70</v>
      </c>
      <c r="H836" s="2" t="s">
        <v>97</v>
      </c>
      <c r="I836" s="2" t="n">
        <v>1</v>
      </c>
      <c r="J836" s="11" t="n">
        <v>3000</v>
      </c>
      <c r="K836" s="12" t="n">
        <v>0</v>
      </c>
      <c r="L836" s="11" t="n">
        <v>2000</v>
      </c>
      <c r="M836" s="11" t="n">
        <f aca="false">I836*J836*(1-K836)</f>
        <v>3000</v>
      </c>
      <c r="N836" s="11" t="n">
        <f aca="false">M836-I836*L836</f>
        <v>1000</v>
      </c>
    </row>
    <row r="837" customFormat="false" ht="15" hidden="false" customHeight="false" outlineLevel="0" collapsed="false">
      <c r="A837" s="2" t="s">
        <v>2871</v>
      </c>
      <c r="B837" s="2" t="s">
        <v>2872</v>
      </c>
      <c r="C837" s="10" t="n">
        <v>45816</v>
      </c>
      <c r="D837" s="2" t="n">
        <f aca="false">MONTH(C837)</f>
        <v>6</v>
      </c>
      <c r="E837" s="2" t="s">
        <v>81</v>
      </c>
      <c r="F837" s="2" t="s">
        <v>69</v>
      </c>
      <c r="G837" s="2" t="s">
        <v>65</v>
      </c>
      <c r="H837" s="2" t="s">
        <v>66</v>
      </c>
      <c r="I837" s="2" t="n">
        <v>9</v>
      </c>
      <c r="J837" s="11" t="n">
        <v>600</v>
      </c>
      <c r="K837" s="12" t="n">
        <v>0.05</v>
      </c>
      <c r="L837" s="11" t="n">
        <v>300</v>
      </c>
      <c r="M837" s="11" t="n">
        <f aca="false">I837*J837*(1-K837)</f>
        <v>5130</v>
      </c>
      <c r="N837" s="11" t="n">
        <f aca="false">M837-I837*L837</f>
        <v>2430</v>
      </c>
    </row>
    <row r="838" customFormat="false" ht="15" hidden="false" customHeight="false" outlineLevel="0" collapsed="false">
      <c r="A838" s="2" t="s">
        <v>1359</v>
      </c>
      <c r="B838" s="2" t="s">
        <v>1358</v>
      </c>
      <c r="C838" s="10" t="n">
        <v>45817</v>
      </c>
      <c r="D838" s="2" t="n">
        <f aca="false">MONTH(C838)</f>
        <v>6</v>
      </c>
      <c r="E838" s="2" t="s">
        <v>77</v>
      </c>
      <c r="F838" s="2" t="s">
        <v>64</v>
      </c>
      <c r="G838" s="2" t="s">
        <v>73</v>
      </c>
      <c r="H838" s="2" t="s">
        <v>87</v>
      </c>
      <c r="I838" s="2" t="n">
        <v>1</v>
      </c>
      <c r="J838" s="11" t="n">
        <v>9000</v>
      </c>
      <c r="K838" s="12" t="n">
        <v>0</v>
      </c>
      <c r="L838" s="11" t="n">
        <v>6200</v>
      </c>
      <c r="M838" s="11" t="n">
        <f aca="false">I838*J838*(1-K838)</f>
        <v>9000</v>
      </c>
      <c r="N838" s="11" t="n">
        <f aca="false">M838-I838*L838</f>
        <v>2800</v>
      </c>
    </row>
    <row r="839" customFormat="false" ht="15" hidden="false" customHeight="false" outlineLevel="0" collapsed="false">
      <c r="A839" s="2" t="s">
        <v>2452</v>
      </c>
      <c r="B839" s="2" t="s">
        <v>2449</v>
      </c>
      <c r="C839" s="10" t="n">
        <v>45817</v>
      </c>
      <c r="D839" s="2" t="n">
        <f aca="false">MONTH(C839)</f>
        <v>6</v>
      </c>
      <c r="E839" s="2" t="s">
        <v>63</v>
      </c>
      <c r="F839" s="2" t="s">
        <v>69</v>
      </c>
      <c r="G839" s="2" t="s">
        <v>73</v>
      </c>
      <c r="H839" s="2" t="s">
        <v>74</v>
      </c>
      <c r="I839" s="2" t="n">
        <v>2</v>
      </c>
      <c r="J839" s="11" t="n">
        <v>7000</v>
      </c>
      <c r="K839" s="12" t="n">
        <v>0</v>
      </c>
      <c r="L839" s="11" t="n">
        <v>4800</v>
      </c>
      <c r="M839" s="11" t="n">
        <f aca="false">I839*J839*(1-K839)</f>
        <v>14000</v>
      </c>
      <c r="N839" s="11" t="n">
        <f aca="false">M839-I839*L839</f>
        <v>4400</v>
      </c>
    </row>
    <row r="840" customFormat="false" ht="15" hidden="false" customHeight="false" outlineLevel="0" collapsed="false">
      <c r="A840" s="2" t="s">
        <v>159</v>
      </c>
      <c r="B840" s="2" t="s">
        <v>156</v>
      </c>
      <c r="C840" s="10" t="n">
        <v>45818</v>
      </c>
      <c r="D840" s="2" t="n">
        <f aca="false">MONTH(C840)</f>
        <v>6</v>
      </c>
      <c r="E840" s="2" t="s">
        <v>91</v>
      </c>
      <c r="F840" s="2" t="s">
        <v>92</v>
      </c>
      <c r="G840" s="2" t="s">
        <v>73</v>
      </c>
      <c r="H840" s="2" t="s">
        <v>87</v>
      </c>
      <c r="I840" s="2" t="n">
        <v>4</v>
      </c>
      <c r="J840" s="11" t="n">
        <v>9000</v>
      </c>
      <c r="K840" s="12" t="n">
        <v>0.05</v>
      </c>
      <c r="L840" s="11" t="n">
        <v>6200</v>
      </c>
      <c r="M840" s="11" t="n">
        <f aca="false">I840*J840*(1-K840)</f>
        <v>34200</v>
      </c>
      <c r="N840" s="11" t="n">
        <f aca="false">M840-I840*L840</f>
        <v>9400</v>
      </c>
    </row>
    <row r="841" customFormat="false" ht="15" hidden="false" customHeight="false" outlineLevel="0" collapsed="false">
      <c r="A841" s="2" t="s">
        <v>198</v>
      </c>
      <c r="B841" s="2" t="s">
        <v>196</v>
      </c>
      <c r="C841" s="10" t="n">
        <v>45818</v>
      </c>
      <c r="D841" s="2" t="n">
        <f aca="false">MONTH(C841)</f>
        <v>6</v>
      </c>
      <c r="E841" s="2" t="s">
        <v>77</v>
      </c>
      <c r="F841" s="2" t="s">
        <v>64</v>
      </c>
      <c r="G841" s="2" t="s">
        <v>70</v>
      </c>
      <c r="H841" s="2" t="s">
        <v>126</v>
      </c>
      <c r="I841" s="2" t="n">
        <v>2</v>
      </c>
      <c r="J841" s="11" t="n">
        <v>4500</v>
      </c>
      <c r="K841" s="12" t="n">
        <v>0</v>
      </c>
      <c r="L841" s="11" t="n">
        <v>3300</v>
      </c>
      <c r="M841" s="11" t="n">
        <f aca="false">I841*J841*(1-K841)</f>
        <v>9000</v>
      </c>
      <c r="N841" s="11" t="n">
        <f aca="false">M841-I841*L841</f>
        <v>2400</v>
      </c>
    </row>
    <row r="842" customFormat="false" ht="15" hidden="false" customHeight="false" outlineLevel="0" collapsed="false">
      <c r="A842" s="2" t="s">
        <v>961</v>
      </c>
      <c r="B842" s="2" t="s">
        <v>956</v>
      </c>
      <c r="C842" s="10" t="n">
        <v>45818</v>
      </c>
      <c r="D842" s="2" t="n">
        <f aca="false">MONTH(C842)</f>
        <v>6</v>
      </c>
      <c r="E842" s="2" t="s">
        <v>91</v>
      </c>
      <c r="F842" s="2" t="s">
        <v>69</v>
      </c>
      <c r="G842" s="2" t="s">
        <v>70</v>
      </c>
      <c r="H842" s="2" t="s">
        <v>71</v>
      </c>
      <c r="I842" s="2" t="n">
        <v>4</v>
      </c>
      <c r="J842" s="11" t="n">
        <v>2500</v>
      </c>
      <c r="K842" s="12" t="n">
        <v>0.1</v>
      </c>
      <c r="L842" s="11" t="n">
        <v>1600</v>
      </c>
      <c r="M842" s="11" t="n">
        <f aca="false">I842*J842*(1-K842)</f>
        <v>9000</v>
      </c>
      <c r="N842" s="11" t="n">
        <f aca="false">M842-I842*L842</f>
        <v>2600</v>
      </c>
    </row>
    <row r="843" customFormat="false" ht="15" hidden="false" customHeight="false" outlineLevel="0" collapsed="false">
      <c r="A843" s="2" t="s">
        <v>1133</v>
      </c>
      <c r="B843" s="2" t="s">
        <v>1134</v>
      </c>
      <c r="C843" s="10" t="n">
        <v>45818</v>
      </c>
      <c r="D843" s="2" t="n">
        <f aca="false">MONTH(C843)</f>
        <v>6</v>
      </c>
      <c r="E843" s="2" t="s">
        <v>77</v>
      </c>
      <c r="F843" s="2" t="s">
        <v>64</v>
      </c>
      <c r="G843" s="2" t="s">
        <v>65</v>
      </c>
      <c r="H843" s="2" t="s">
        <v>78</v>
      </c>
      <c r="I843" s="2" t="n">
        <v>6</v>
      </c>
      <c r="J843" s="11" t="n">
        <v>400</v>
      </c>
      <c r="K843" s="12" t="n">
        <v>0</v>
      </c>
      <c r="L843" s="11" t="n">
        <v>200</v>
      </c>
      <c r="M843" s="11" t="n">
        <f aca="false">I843*J843*(1-K843)</f>
        <v>2400</v>
      </c>
      <c r="N843" s="11" t="n">
        <f aca="false">M843-I843*L843</f>
        <v>1200</v>
      </c>
    </row>
    <row r="844" customFormat="false" ht="15" hidden="false" customHeight="false" outlineLevel="0" collapsed="false">
      <c r="A844" s="2" t="s">
        <v>1388</v>
      </c>
      <c r="B844" s="2" t="s">
        <v>1387</v>
      </c>
      <c r="C844" s="10" t="n">
        <v>45818</v>
      </c>
      <c r="D844" s="2" t="n">
        <f aca="false">MONTH(C844)</f>
        <v>6</v>
      </c>
      <c r="E844" s="2" t="s">
        <v>91</v>
      </c>
      <c r="F844" s="2" t="s">
        <v>64</v>
      </c>
      <c r="G844" s="2" t="s">
        <v>70</v>
      </c>
      <c r="H844" s="2" t="s">
        <v>71</v>
      </c>
      <c r="I844" s="2" t="n">
        <v>2</v>
      </c>
      <c r="J844" s="11" t="n">
        <v>2500</v>
      </c>
      <c r="K844" s="12" t="n">
        <v>0</v>
      </c>
      <c r="L844" s="11" t="n">
        <v>1600</v>
      </c>
      <c r="M844" s="11" t="n">
        <f aca="false">I844*J844*(1-K844)</f>
        <v>5000</v>
      </c>
      <c r="N844" s="11" t="n">
        <f aca="false">M844-I844*L844</f>
        <v>1800</v>
      </c>
    </row>
    <row r="845" customFormat="false" ht="15" hidden="false" customHeight="false" outlineLevel="0" collapsed="false">
      <c r="A845" s="2" t="s">
        <v>2102</v>
      </c>
      <c r="B845" s="2" t="s">
        <v>2098</v>
      </c>
      <c r="C845" s="10" t="n">
        <v>45818</v>
      </c>
      <c r="D845" s="2" t="n">
        <f aca="false">MONTH(C845)</f>
        <v>6</v>
      </c>
      <c r="E845" s="2" t="s">
        <v>91</v>
      </c>
      <c r="F845" s="2" t="s">
        <v>92</v>
      </c>
      <c r="G845" s="2" t="s">
        <v>70</v>
      </c>
      <c r="H845" s="2" t="s">
        <v>97</v>
      </c>
      <c r="I845" s="2" t="n">
        <v>4</v>
      </c>
      <c r="J845" s="11" t="n">
        <v>3000</v>
      </c>
      <c r="K845" s="12" t="n">
        <v>0.1</v>
      </c>
      <c r="L845" s="11" t="n">
        <v>2000</v>
      </c>
      <c r="M845" s="11" t="n">
        <f aca="false">I845*J845*(1-K845)</f>
        <v>10800</v>
      </c>
      <c r="N845" s="11" t="n">
        <f aca="false">M845-I845*L845</f>
        <v>2800</v>
      </c>
    </row>
    <row r="846" customFormat="false" ht="15" hidden="false" customHeight="false" outlineLevel="0" collapsed="false">
      <c r="A846" s="2" t="s">
        <v>2525</v>
      </c>
      <c r="B846" s="2" t="s">
        <v>2526</v>
      </c>
      <c r="C846" s="10" t="n">
        <v>45818</v>
      </c>
      <c r="D846" s="2" t="n">
        <f aca="false">MONTH(C846)</f>
        <v>6</v>
      </c>
      <c r="E846" s="2" t="s">
        <v>81</v>
      </c>
      <c r="F846" s="2" t="s">
        <v>69</v>
      </c>
      <c r="G846" s="2" t="s">
        <v>65</v>
      </c>
      <c r="H846" s="2" t="s">
        <v>66</v>
      </c>
      <c r="I846" s="2" t="n">
        <v>18</v>
      </c>
      <c r="J846" s="11" t="n">
        <v>600</v>
      </c>
      <c r="K846" s="12" t="n">
        <v>0</v>
      </c>
      <c r="L846" s="11" t="n">
        <v>300</v>
      </c>
      <c r="M846" s="11" t="n">
        <f aca="false">I846*J846*(1-K846)</f>
        <v>10800</v>
      </c>
      <c r="N846" s="11" t="n">
        <f aca="false">M846-I846*L846</f>
        <v>5400</v>
      </c>
    </row>
    <row r="847" customFormat="false" ht="15" hidden="false" customHeight="false" outlineLevel="0" collapsed="false">
      <c r="A847" s="2" t="s">
        <v>2637</v>
      </c>
      <c r="B847" s="2" t="s">
        <v>2629</v>
      </c>
      <c r="C847" s="10" t="n">
        <v>45818</v>
      </c>
      <c r="D847" s="2" t="n">
        <f aca="false">MONTH(C847)</f>
        <v>6</v>
      </c>
      <c r="E847" s="2" t="s">
        <v>91</v>
      </c>
      <c r="F847" s="2" t="s">
        <v>69</v>
      </c>
      <c r="G847" s="2" t="s">
        <v>65</v>
      </c>
      <c r="H847" s="2" t="s">
        <v>82</v>
      </c>
      <c r="I847" s="2" t="n">
        <v>5</v>
      </c>
      <c r="J847" s="11" t="n">
        <v>250</v>
      </c>
      <c r="K847" s="12" t="n">
        <v>0.05</v>
      </c>
      <c r="L847" s="11" t="n">
        <v>100</v>
      </c>
      <c r="M847" s="11" t="n">
        <f aca="false">I847*J847*(1-K847)</f>
        <v>1187.5</v>
      </c>
      <c r="N847" s="11" t="n">
        <f aca="false">M847-I847*L847</f>
        <v>687.5</v>
      </c>
    </row>
    <row r="848" customFormat="false" ht="15" hidden="false" customHeight="false" outlineLevel="0" collapsed="false">
      <c r="A848" s="2" t="s">
        <v>2949</v>
      </c>
      <c r="B848" s="2" t="s">
        <v>2950</v>
      </c>
      <c r="C848" s="10" t="n">
        <v>45818</v>
      </c>
      <c r="D848" s="2" t="n">
        <f aca="false">MONTH(C848)</f>
        <v>6</v>
      </c>
      <c r="E848" s="2" t="s">
        <v>63</v>
      </c>
      <c r="F848" s="2" t="s">
        <v>64</v>
      </c>
      <c r="G848" s="2" t="s">
        <v>73</v>
      </c>
      <c r="H848" s="2" t="s">
        <v>85</v>
      </c>
      <c r="I848" s="2" t="n">
        <v>3</v>
      </c>
      <c r="J848" s="11" t="n">
        <v>1200</v>
      </c>
      <c r="K848" s="12" t="n">
        <v>0</v>
      </c>
      <c r="L848" s="11" t="n">
        <v>600</v>
      </c>
      <c r="M848" s="11" t="n">
        <f aca="false">I848*J848*(1-K848)</f>
        <v>3600</v>
      </c>
      <c r="N848" s="11" t="n">
        <f aca="false">M848-I848*L848</f>
        <v>1800</v>
      </c>
    </row>
    <row r="849" customFormat="false" ht="15" hidden="false" customHeight="false" outlineLevel="0" collapsed="false">
      <c r="A849" s="2" t="s">
        <v>1173</v>
      </c>
      <c r="B849" s="2" t="s">
        <v>1174</v>
      </c>
      <c r="C849" s="10" t="n">
        <v>45819</v>
      </c>
      <c r="D849" s="2" t="n">
        <f aca="false">MONTH(C849)</f>
        <v>6</v>
      </c>
      <c r="E849" s="2" t="s">
        <v>77</v>
      </c>
      <c r="F849" s="2" t="s">
        <v>64</v>
      </c>
      <c r="G849" s="2" t="s">
        <v>65</v>
      </c>
      <c r="H849" s="2" t="s">
        <v>78</v>
      </c>
      <c r="I849" s="2" t="n">
        <v>5</v>
      </c>
      <c r="J849" s="11" t="n">
        <v>400</v>
      </c>
      <c r="K849" s="12" t="n">
        <v>0</v>
      </c>
      <c r="L849" s="11" t="n">
        <v>200</v>
      </c>
      <c r="M849" s="11" t="n">
        <f aca="false">I849*J849*(1-K849)</f>
        <v>2000</v>
      </c>
      <c r="N849" s="11" t="n">
        <f aca="false">M849-I849*L849</f>
        <v>1000</v>
      </c>
    </row>
    <row r="850" customFormat="false" ht="15" hidden="false" customHeight="false" outlineLevel="0" collapsed="false">
      <c r="A850" s="2" t="s">
        <v>1420</v>
      </c>
      <c r="B850" s="2" t="s">
        <v>1421</v>
      </c>
      <c r="C850" s="10" t="n">
        <v>45819</v>
      </c>
      <c r="D850" s="2" t="n">
        <f aca="false">MONTH(C850)</f>
        <v>6</v>
      </c>
      <c r="E850" s="2" t="s">
        <v>63</v>
      </c>
      <c r="F850" s="2" t="s">
        <v>64</v>
      </c>
      <c r="G850" s="2" t="s">
        <v>65</v>
      </c>
      <c r="H850" s="2" t="s">
        <v>66</v>
      </c>
      <c r="I850" s="2" t="n">
        <v>8</v>
      </c>
      <c r="J850" s="11" t="n">
        <v>600</v>
      </c>
      <c r="K850" s="12" t="n">
        <v>0.05</v>
      </c>
      <c r="L850" s="11" t="n">
        <v>300</v>
      </c>
      <c r="M850" s="11" t="n">
        <f aca="false">I850*J850*(1-K850)</f>
        <v>4560</v>
      </c>
      <c r="N850" s="11" t="n">
        <f aca="false">M850-I850*L850</f>
        <v>2160</v>
      </c>
    </row>
    <row r="851" customFormat="false" ht="15" hidden="false" customHeight="false" outlineLevel="0" collapsed="false">
      <c r="A851" s="2" t="s">
        <v>2119</v>
      </c>
      <c r="B851" s="2" t="s">
        <v>2118</v>
      </c>
      <c r="C851" s="10" t="n">
        <v>45819</v>
      </c>
      <c r="D851" s="2" t="n">
        <f aca="false">MONTH(C851)</f>
        <v>6</v>
      </c>
      <c r="E851" s="2" t="s">
        <v>91</v>
      </c>
      <c r="F851" s="2" t="s">
        <v>92</v>
      </c>
      <c r="G851" s="2" t="s">
        <v>70</v>
      </c>
      <c r="H851" s="2" t="s">
        <v>126</v>
      </c>
      <c r="I851" s="2" t="n">
        <v>4</v>
      </c>
      <c r="J851" s="11" t="n">
        <v>4500</v>
      </c>
      <c r="K851" s="12" t="n">
        <v>0</v>
      </c>
      <c r="L851" s="11" t="n">
        <v>3300</v>
      </c>
      <c r="M851" s="11" t="n">
        <f aca="false">I851*J851*(1-K851)</f>
        <v>18000</v>
      </c>
      <c r="N851" s="11" t="n">
        <f aca="false">M851-I851*L851</f>
        <v>4800</v>
      </c>
    </row>
    <row r="852" customFormat="false" ht="15" hidden="false" customHeight="false" outlineLevel="0" collapsed="false">
      <c r="A852" s="2" t="s">
        <v>2851</v>
      </c>
      <c r="B852" s="2" t="s">
        <v>2846</v>
      </c>
      <c r="C852" s="10" t="n">
        <v>45819</v>
      </c>
      <c r="D852" s="2" t="n">
        <f aca="false">MONTH(C852)</f>
        <v>6</v>
      </c>
      <c r="E852" s="2" t="s">
        <v>63</v>
      </c>
      <c r="F852" s="2" t="s">
        <v>69</v>
      </c>
      <c r="G852" s="2" t="s">
        <v>65</v>
      </c>
      <c r="H852" s="2" t="s">
        <v>78</v>
      </c>
      <c r="I852" s="2" t="n">
        <v>11</v>
      </c>
      <c r="J852" s="11" t="n">
        <v>400</v>
      </c>
      <c r="K852" s="12" t="n">
        <v>0.05</v>
      </c>
      <c r="L852" s="11" t="n">
        <v>200</v>
      </c>
      <c r="M852" s="11" t="n">
        <f aca="false">I852*J852*(1-K852)</f>
        <v>4180</v>
      </c>
      <c r="N852" s="11" t="n">
        <f aca="false">M852-I852*L852</f>
        <v>1980</v>
      </c>
    </row>
    <row r="853" customFormat="false" ht="15" hidden="false" customHeight="false" outlineLevel="0" collapsed="false">
      <c r="A853" s="2" t="s">
        <v>901</v>
      </c>
      <c r="B853" s="2" t="s">
        <v>899</v>
      </c>
      <c r="C853" s="10" t="n">
        <v>45820</v>
      </c>
      <c r="D853" s="2" t="n">
        <f aca="false">MONTH(C853)</f>
        <v>6</v>
      </c>
      <c r="E853" s="2" t="s">
        <v>63</v>
      </c>
      <c r="F853" s="2" t="s">
        <v>69</v>
      </c>
      <c r="G853" s="2" t="s">
        <v>73</v>
      </c>
      <c r="H853" s="2" t="s">
        <v>85</v>
      </c>
      <c r="I853" s="2" t="n">
        <v>1</v>
      </c>
      <c r="J853" s="11" t="n">
        <v>1200</v>
      </c>
      <c r="K853" s="12" t="n">
        <v>0.1</v>
      </c>
      <c r="L853" s="11" t="n">
        <v>600</v>
      </c>
      <c r="M853" s="11" t="n">
        <f aca="false">I853*J853*(1-K853)</f>
        <v>1080</v>
      </c>
      <c r="N853" s="11" t="n">
        <f aca="false">M853-I853*L853</f>
        <v>480</v>
      </c>
    </row>
    <row r="854" customFormat="false" ht="15" hidden="false" customHeight="false" outlineLevel="0" collapsed="false">
      <c r="A854" s="2" t="s">
        <v>1902</v>
      </c>
      <c r="B854" s="2" t="s">
        <v>1901</v>
      </c>
      <c r="C854" s="10" t="n">
        <v>45820</v>
      </c>
      <c r="D854" s="2" t="n">
        <f aca="false">MONTH(C854)</f>
        <v>6</v>
      </c>
      <c r="E854" s="2" t="s">
        <v>63</v>
      </c>
      <c r="F854" s="2" t="s">
        <v>64</v>
      </c>
      <c r="G854" s="2" t="s">
        <v>65</v>
      </c>
      <c r="H854" s="2" t="s">
        <v>82</v>
      </c>
      <c r="I854" s="2" t="n">
        <v>5</v>
      </c>
      <c r="J854" s="11" t="n">
        <v>250</v>
      </c>
      <c r="K854" s="12" t="n">
        <v>0</v>
      </c>
      <c r="L854" s="11" t="n">
        <v>100</v>
      </c>
      <c r="M854" s="11" t="n">
        <f aca="false">I854*J854*(1-K854)</f>
        <v>1250</v>
      </c>
      <c r="N854" s="11" t="n">
        <f aca="false">M854-I854*L854</f>
        <v>750</v>
      </c>
    </row>
    <row r="855" customFormat="false" ht="15" hidden="false" customHeight="false" outlineLevel="0" collapsed="false">
      <c r="A855" s="2" t="s">
        <v>2002</v>
      </c>
      <c r="B855" s="2" t="s">
        <v>2000</v>
      </c>
      <c r="C855" s="10" t="n">
        <v>45820</v>
      </c>
      <c r="D855" s="2" t="n">
        <f aca="false">MONTH(C855)</f>
        <v>6</v>
      </c>
      <c r="E855" s="2" t="s">
        <v>91</v>
      </c>
      <c r="F855" s="2" t="s">
        <v>64</v>
      </c>
      <c r="G855" s="2" t="s">
        <v>65</v>
      </c>
      <c r="H855" s="2" t="s">
        <v>82</v>
      </c>
      <c r="I855" s="2" t="n">
        <v>4</v>
      </c>
      <c r="J855" s="11" t="n">
        <v>250</v>
      </c>
      <c r="K855" s="12" t="n">
        <v>0.05</v>
      </c>
      <c r="L855" s="11" t="n">
        <v>100</v>
      </c>
      <c r="M855" s="11" t="n">
        <f aca="false">I855*J855*(1-K855)</f>
        <v>950</v>
      </c>
      <c r="N855" s="11" t="n">
        <f aca="false">M855-I855*L855</f>
        <v>550</v>
      </c>
    </row>
    <row r="856" customFormat="false" ht="15" hidden="false" customHeight="false" outlineLevel="0" collapsed="false">
      <c r="A856" s="2" t="s">
        <v>431</v>
      </c>
      <c r="B856" s="2" t="s">
        <v>430</v>
      </c>
      <c r="C856" s="10" t="n">
        <v>45821</v>
      </c>
      <c r="D856" s="2" t="n">
        <f aca="false">MONTH(C856)</f>
        <v>6</v>
      </c>
      <c r="E856" s="2" t="s">
        <v>77</v>
      </c>
      <c r="F856" s="2" t="s">
        <v>92</v>
      </c>
      <c r="G856" s="2" t="s">
        <v>73</v>
      </c>
      <c r="H856" s="2" t="s">
        <v>87</v>
      </c>
      <c r="I856" s="2" t="n">
        <v>2</v>
      </c>
      <c r="J856" s="11" t="n">
        <v>9000</v>
      </c>
      <c r="K856" s="12" t="n">
        <v>0</v>
      </c>
      <c r="L856" s="11" t="n">
        <v>6200</v>
      </c>
      <c r="M856" s="11" t="n">
        <f aca="false">I856*J856*(1-K856)</f>
        <v>18000</v>
      </c>
      <c r="N856" s="11" t="n">
        <f aca="false">M856-I856*L856</f>
        <v>5600</v>
      </c>
    </row>
    <row r="857" customFormat="false" ht="15" hidden="false" customHeight="false" outlineLevel="0" collapsed="false">
      <c r="A857" s="2" t="s">
        <v>708</v>
      </c>
      <c r="B857" s="2" t="s">
        <v>706</v>
      </c>
      <c r="C857" s="10" t="n">
        <v>45821</v>
      </c>
      <c r="D857" s="2" t="n">
        <f aca="false">MONTH(C857)</f>
        <v>6</v>
      </c>
      <c r="E857" s="2" t="s">
        <v>63</v>
      </c>
      <c r="F857" s="2" t="s">
        <v>69</v>
      </c>
      <c r="G857" s="2" t="s">
        <v>70</v>
      </c>
      <c r="H857" s="2" t="s">
        <v>97</v>
      </c>
      <c r="I857" s="2" t="n">
        <v>5</v>
      </c>
      <c r="J857" s="11" t="n">
        <v>3000</v>
      </c>
      <c r="K857" s="12" t="n">
        <v>0</v>
      </c>
      <c r="L857" s="11" t="n">
        <v>2000</v>
      </c>
      <c r="M857" s="11" t="n">
        <f aca="false">I857*J857*(1-K857)</f>
        <v>15000</v>
      </c>
      <c r="N857" s="11" t="n">
        <f aca="false">M857-I857*L857</f>
        <v>5000</v>
      </c>
    </row>
    <row r="858" customFormat="false" ht="15" hidden="false" customHeight="false" outlineLevel="0" collapsed="false">
      <c r="A858" s="2" t="s">
        <v>1853</v>
      </c>
      <c r="B858" s="2" t="s">
        <v>1843</v>
      </c>
      <c r="C858" s="10" t="n">
        <v>45821</v>
      </c>
      <c r="D858" s="2" t="n">
        <f aca="false">MONTH(C858)</f>
        <v>6</v>
      </c>
      <c r="E858" s="2" t="s">
        <v>63</v>
      </c>
      <c r="F858" s="2" t="s">
        <v>64</v>
      </c>
      <c r="G858" s="2" t="s">
        <v>70</v>
      </c>
      <c r="H858" s="2" t="s">
        <v>97</v>
      </c>
      <c r="I858" s="2" t="n">
        <v>1</v>
      </c>
      <c r="J858" s="11" t="n">
        <v>3000</v>
      </c>
      <c r="K858" s="12" t="n">
        <v>0.05</v>
      </c>
      <c r="L858" s="11" t="n">
        <v>2000</v>
      </c>
      <c r="M858" s="11" t="n">
        <f aca="false">I858*J858*(1-K858)</f>
        <v>2850</v>
      </c>
      <c r="N858" s="11" t="n">
        <f aca="false">M858-I858*L858</f>
        <v>850</v>
      </c>
    </row>
    <row r="859" customFormat="false" ht="15" hidden="false" customHeight="false" outlineLevel="0" collapsed="false">
      <c r="A859" s="2" t="s">
        <v>2222</v>
      </c>
      <c r="B859" s="2" t="s">
        <v>2221</v>
      </c>
      <c r="C859" s="10" t="n">
        <v>45821</v>
      </c>
      <c r="D859" s="2" t="n">
        <f aca="false">MONTH(C859)</f>
        <v>6</v>
      </c>
      <c r="E859" s="2" t="s">
        <v>77</v>
      </c>
      <c r="F859" s="2" t="s">
        <v>69</v>
      </c>
      <c r="G859" s="2" t="s">
        <v>65</v>
      </c>
      <c r="H859" s="2" t="s">
        <v>78</v>
      </c>
      <c r="I859" s="2" t="n">
        <v>16</v>
      </c>
      <c r="J859" s="11" t="n">
        <v>400</v>
      </c>
      <c r="K859" s="12" t="n">
        <v>0</v>
      </c>
      <c r="L859" s="11" t="n">
        <v>200</v>
      </c>
      <c r="M859" s="11" t="n">
        <f aca="false">I859*J859*(1-K859)</f>
        <v>6400</v>
      </c>
      <c r="N859" s="11" t="n">
        <f aca="false">M859-I859*L859</f>
        <v>3200</v>
      </c>
    </row>
    <row r="860" customFormat="false" ht="15" hidden="false" customHeight="false" outlineLevel="0" collapsed="false">
      <c r="A860" s="2" t="s">
        <v>2431</v>
      </c>
      <c r="B860" s="2" t="s">
        <v>2430</v>
      </c>
      <c r="C860" s="10" t="n">
        <v>45821</v>
      </c>
      <c r="D860" s="2" t="n">
        <f aca="false">MONTH(C860)</f>
        <v>6</v>
      </c>
      <c r="E860" s="2" t="s">
        <v>81</v>
      </c>
      <c r="F860" s="2" t="s">
        <v>64</v>
      </c>
      <c r="G860" s="2" t="s">
        <v>73</v>
      </c>
      <c r="H860" s="2" t="s">
        <v>87</v>
      </c>
      <c r="I860" s="2" t="n">
        <v>3</v>
      </c>
      <c r="J860" s="11" t="n">
        <v>9000</v>
      </c>
      <c r="K860" s="12" t="n">
        <v>0</v>
      </c>
      <c r="L860" s="11" t="n">
        <v>6200</v>
      </c>
      <c r="M860" s="11" t="n">
        <f aca="false">I860*J860*(1-K860)</f>
        <v>27000</v>
      </c>
      <c r="N860" s="11" t="n">
        <f aca="false">M860-I860*L860</f>
        <v>8400</v>
      </c>
    </row>
    <row r="861" customFormat="false" ht="15" hidden="false" customHeight="false" outlineLevel="0" collapsed="false">
      <c r="A861" s="2" t="s">
        <v>249</v>
      </c>
      <c r="B861" s="2" t="s">
        <v>250</v>
      </c>
      <c r="C861" s="10" t="n">
        <v>45822</v>
      </c>
      <c r="D861" s="2" t="n">
        <f aca="false">MONTH(C861)</f>
        <v>6</v>
      </c>
      <c r="E861" s="2" t="s">
        <v>81</v>
      </c>
      <c r="F861" s="2" t="s">
        <v>69</v>
      </c>
      <c r="G861" s="2" t="s">
        <v>73</v>
      </c>
      <c r="H861" s="2" t="s">
        <v>85</v>
      </c>
      <c r="I861" s="2" t="n">
        <v>3</v>
      </c>
      <c r="J861" s="11" t="n">
        <v>1200</v>
      </c>
      <c r="K861" s="12" t="n">
        <v>0</v>
      </c>
      <c r="L861" s="11" t="n">
        <v>600</v>
      </c>
      <c r="M861" s="11" t="n">
        <f aca="false">I861*J861*(1-K861)</f>
        <v>3600</v>
      </c>
      <c r="N861" s="11" t="n">
        <f aca="false">M861-I861*L861</f>
        <v>1800</v>
      </c>
    </row>
    <row r="862" customFormat="false" ht="15" hidden="false" customHeight="false" outlineLevel="0" collapsed="false">
      <c r="A862" s="2" t="s">
        <v>415</v>
      </c>
      <c r="B862" s="2" t="s">
        <v>416</v>
      </c>
      <c r="C862" s="10" t="n">
        <v>45822</v>
      </c>
      <c r="D862" s="2" t="n">
        <f aca="false">MONTH(C862)</f>
        <v>6</v>
      </c>
      <c r="E862" s="2" t="s">
        <v>81</v>
      </c>
      <c r="F862" s="2" t="s">
        <v>64</v>
      </c>
      <c r="G862" s="2" t="s">
        <v>70</v>
      </c>
      <c r="H862" s="2" t="s">
        <v>126</v>
      </c>
      <c r="I862" s="2" t="n">
        <v>2</v>
      </c>
      <c r="J862" s="11" t="n">
        <v>4500</v>
      </c>
      <c r="K862" s="12" t="n">
        <v>0.05</v>
      </c>
      <c r="L862" s="11" t="n">
        <v>3300</v>
      </c>
      <c r="M862" s="11" t="n">
        <f aca="false">I862*J862*(1-K862)</f>
        <v>8550</v>
      </c>
      <c r="N862" s="11" t="n">
        <f aca="false">M862-I862*L862</f>
        <v>1950</v>
      </c>
    </row>
    <row r="863" customFormat="false" ht="15" hidden="false" customHeight="false" outlineLevel="0" collapsed="false">
      <c r="A863" s="2" t="s">
        <v>513</v>
      </c>
      <c r="B863" s="2" t="s">
        <v>514</v>
      </c>
      <c r="C863" s="10" t="n">
        <v>45822</v>
      </c>
      <c r="D863" s="2" t="n">
        <f aca="false">MONTH(C863)</f>
        <v>6</v>
      </c>
      <c r="E863" s="2" t="s">
        <v>81</v>
      </c>
      <c r="F863" s="2" t="s">
        <v>69</v>
      </c>
      <c r="G863" s="2" t="s">
        <v>65</v>
      </c>
      <c r="H863" s="2" t="s">
        <v>78</v>
      </c>
      <c r="I863" s="2" t="n">
        <v>16</v>
      </c>
      <c r="J863" s="11" t="n">
        <v>400</v>
      </c>
      <c r="K863" s="12" t="n">
        <v>0</v>
      </c>
      <c r="L863" s="11" t="n">
        <v>200</v>
      </c>
      <c r="M863" s="11" t="n">
        <f aca="false">I863*J863*(1-K863)</f>
        <v>6400</v>
      </c>
      <c r="N863" s="11" t="n">
        <f aca="false">M863-I863*L863</f>
        <v>3200</v>
      </c>
    </row>
    <row r="864" customFormat="false" ht="15" hidden="false" customHeight="false" outlineLevel="0" collapsed="false">
      <c r="A864" s="2" t="s">
        <v>585</v>
      </c>
      <c r="B864" s="2" t="s">
        <v>584</v>
      </c>
      <c r="C864" s="10" t="n">
        <v>45822</v>
      </c>
      <c r="D864" s="2" t="n">
        <f aca="false">MONTH(C864)</f>
        <v>6</v>
      </c>
      <c r="E864" s="2" t="s">
        <v>63</v>
      </c>
      <c r="F864" s="2" t="s">
        <v>64</v>
      </c>
      <c r="G864" s="2" t="s">
        <v>65</v>
      </c>
      <c r="H864" s="2" t="s">
        <v>107</v>
      </c>
      <c r="I864" s="2" t="n">
        <v>3</v>
      </c>
      <c r="J864" s="11" t="n">
        <v>500</v>
      </c>
      <c r="K864" s="12" t="n">
        <v>0</v>
      </c>
      <c r="L864" s="11" t="n">
        <v>250</v>
      </c>
      <c r="M864" s="11" t="n">
        <f aca="false">I864*J864*(1-K864)</f>
        <v>1500</v>
      </c>
      <c r="N864" s="11" t="n">
        <f aca="false">M864-I864*L864</f>
        <v>750</v>
      </c>
    </row>
    <row r="865" customFormat="false" ht="15" hidden="false" customHeight="false" outlineLevel="0" collapsed="false">
      <c r="A865" s="2" t="s">
        <v>1471</v>
      </c>
      <c r="B865" s="2" t="s">
        <v>1472</v>
      </c>
      <c r="C865" s="10" t="n">
        <v>45822</v>
      </c>
      <c r="D865" s="2" t="n">
        <f aca="false">MONTH(C865)</f>
        <v>6</v>
      </c>
      <c r="E865" s="2" t="s">
        <v>77</v>
      </c>
      <c r="F865" s="2" t="s">
        <v>64</v>
      </c>
      <c r="G865" s="2" t="s">
        <v>65</v>
      </c>
      <c r="H865" s="2" t="s">
        <v>78</v>
      </c>
      <c r="I865" s="2" t="n">
        <v>2</v>
      </c>
      <c r="J865" s="11" t="n">
        <v>400</v>
      </c>
      <c r="K865" s="12" t="n">
        <v>0.05</v>
      </c>
      <c r="L865" s="11" t="n">
        <v>200</v>
      </c>
      <c r="M865" s="11" t="n">
        <f aca="false">I865*J865*(1-K865)</f>
        <v>760</v>
      </c>
      <c r="N865" s="11" t="n">
        <f aca="false">M865-I865*L865</f>
        <v>360</v>
      </c>
    </row>
    <row r="866" customFormat="false" ht="15" hidden="false" customHeight="false" outlineLevel="0" collapsed="false">
      <c r="A866" s="2" t="s">
        <v>1562</v>
      </c>
      <c r="B866" s="2" t="s">
        <v>1563</v>
      </c>
      <c r="C866" s="10" t="n">
        <v>45822</v>
      </c>
      <c r="D866" s="2" t="n">
        <f aca="false">MONTH(C866)</f>
        <v>6</v>
      </c>
      <c r="E866" s="2" t="s">
        <v>81</v>
      </c>
      <c r="F866" s="2" t="s">
        <v>64</v>
      </c>
      <c r="G866" s="2" t="s">
        <v>70</v>
      </c>
      <c r="H866" s="2" t="s">
        <v>97</v>
      </c>
      <c r="I866" s="2" t="n">
        <v>2</v>
      </c>
      <c r="J866" s="11" t="n">
        <v>3000</v>
      </c>
      <c r="K866" s="12" t="n">
        <v>0.05</v>
      </c>
      <c r="L866" s="11" t="n">
        <v>2000</v>
      </c>
      <c r="M866" s="11" t="n">
        <f aca="false">I866*J866*(1-K866)</f>
        <v>5700</v>
      </c>
      <c r="N866" s="11" t="n">
        <f aca="false">M866-I866*L866</f>
        <v>1700</v>
      </c>
    </row>
    <row r="867" customFormat="false" ht="15" hidden="false" customHeight="false" outlineLevel="0" collapsed="false">
      <c r="A867" s="2" t="s">
        <v>2515</v>
      </c>
      <c r="B867" s="2" t="s">
        <v>2514</v>
      </c>
      <c r="C867" s="10" t="n">
        <v>45822</v>
      </c>
      <c r="D867" s="2" t="n">
        <f aca="false">MONTH(C867)</f>
        <v>6</v>
      </c>
      <c r="E867" s="2" t="s">
        <v>3019</v>
      </c>
      <c r="F867" s="2" t="s">
        <v>64</v>
      </c>
      <c r="G867" s="2" t="s">
        <v>70</v>
      </c>
      <c r="H867" s="2" t="s">
        <v>122</v>
      </c>
      <c r="I867" s="2" t="n">
        <v>3</v>
      </c>
      <c r="J867" s="11" t="n">
        <v>1500</v>
      </c>
      <c r="K867" s="12" t="n">
        <v>0.05</v>
      </c>
      <c r="L867" s="11" t="n">
        <v>900</v>
      </c>
      <c r="M867" s="11" t="n">
        <f aca="false">I867*J867*(1-K867)</f>
        <v>4275</v>
      </c>
      <c r="N867" s="11" t="n">
        <f aca="false">M867-I867*L867</f>
        <v>1575</v>
      </c>
    </row>
    <row r="868" customFormat="false" ht="15" hidden="false" customHeight="false" outlineLevel="0" collapsed="false">
      <c r="A868" s="2" t="s">
        <v>89</v>
      </c>
      <c r="B868" s="2" t="s">
        <v>90</v>
      </c>
      <c r="C868" s="10" t="n">
        <v>45823</v>
      </c>
      <c r="D868" s="2" t="n">
        <f aca="false">MONTH(C868)</f>
        <v>6</v>
      </c>
      <c r="E868" s="2" t="s">
        <v>91</v>
      </c>
      <c r="F868" s="2" t="s">
        <v>92</v>
      </c>
      <c r="G868" s="2" t="s">
        <v>73</v>
      </c>
      <c r="H868" s="2" t="s">
        <v>87</v>
      </c>
      <c r="I868" s="2" t="n">
        <v>5</v>
      </c>
      <c r="J868" s="11" t="n">
        <v>9000</v>
      </c>
      <c r="K868" s="12" t="n">
        <v>0.1</v>
      </c>
      <c r="L868" s="11" t="n">
        <v>6200</v>
      </c>
      <c r="M868" s="11" t="n">
        <f aca="false">I868*J868*(1-K868)</f>
        <v>40500</v>
      </c>
      <c r="N868" s="11" t="n">
        <f aca="false">M868-I868*L868</f>
        <v>9500</v>
      </c>
    </row>
    <row r="869" customFormat="false" ht="15" hidden="false" customHeight="false" outlineLevel="0" collapsed="false">
      <c r="A869" s="2" t="s">
        <v>868</v>
      </c>
      <c r="B869" s="2" t="s">
        <v>864</v>
      </c>
      <c r="C869" s="10" t="n">
        <v>45823</v>
      </c>
      <c r="D869" s="2" t="n">
        <f aca="false">MONTH(C869)</f>
        <v>6</v>
      </c>
      <c r="E869" s="2" t="s">
        <v>91</v>
      </c>
      <c r="F869" s="2" t="s">
        <v>64</v>
      </c>
      <c r="G869" s="2" t="s">
        <v>70</v>
      </c>
      <c r="H869" s="2" t="s">
        <v>126</v>
      </c>
      <c r="I869" s="2" t="n">
        <v>3</v>
      </c>
      <c r="J869" s="11" t="n">
        <v>4500</v>
      </c>
      <c r="K869" s="12" t="n">
        <v>0</v>
      </c>
      <c r="L869" s="11" t="n">
        <v>3300</v>
      </c>
      <c r="M869" s="11" t="n">
        <f aca="false">I869*J869*(1-K869)</f>
        <v>13500</v>
      </c>
      <c r="N869" s="11" t="n">
        <f aca="false">M869-I869*L869</f>
        <v>3600</v>
      </c>
    </row>
    <row r="870" customFormat="false" ht="15" hidden="false" customHeight="false" outlineLevel="0" collapsed="false">
      <c r="A870" s="2" t="s">
        <v>1386</v>
      </c>
      <c r="B870" s="2" t="s">
        <v>1387</v>
      </c>
      <c r="C870" s="10" t="n">
        <v>45823</v>
      </c>
      <c r="D870" s="2" t="n">
        <f aca="false">MONTH(C870)</f>
        <v>6</v>
      </c>
      <c r="E870" s="2" t="s">
        <v>91</v>
      </c>
      <c r="F870" s="2" t="s">
        <v>64</v>
      </c>
      <c r="G870" s="2" t="s">
        <v>70</v>
      </c>
      <c r="H870" s="2" t="s">
        <v>126</v>
      </c>
      <c r="I870" s="2" t="n">
        <v>3</v>
      </c>
      <c r="J870" s="11" t="n">
        <v>4500</v>
      </c>
      <c r="K870" s="12" t="n">
        <v>0.1</v>
      </c>
      <c r="L870" s="11" t="n">
        <v>3300</v>
      </c>
      <c r="M870" s="11" t="n">
        <f aca="false">I870*J870*(1-K870)</f>
        <v>12150</v>
      </c>
      <c r="N870" s="11" t="n">
        <f aca="false">M870-I870*L870</f>
        <v>2250</v>
      </c>
    </row>
    <row r="871" customFormat="false" ht="15" hidden="false" customHeight="false" outlineLevel="0" collapsed="false">
      <c r="A871" s="2" t="s">
        <v>1429</v>
      </c>
      <c r="B871" s="2" t="s">
        <v>1430</v>
      </c>
      <c r="C871" s="10" t="n">
        <v>45823</v>
      </c>
      <c r="D871" s="2" t="n">
        <f aca="false">MONTH(C871)</f>
        <v>6</v>
      </c>
      <c r="E871" s="2" t="s">
        <v>91</v>
      </c>
      <c r="F871" s="2" t="s">
        <v>64</v>
      </c>
      <c r="G871" s="2" t="s">
        <v>65</v>
      </c>
      <c r="H871" s="2" t="s">
        <v>107</v>
      </c>
      <c r="I871" s="2" t="n">
        <v>7</v>
      </c>
      <c r="J871" s="11" t="n">
        <v>500</v>
      </c>
      <c r="K871" s="12" t="n">
        <v>0.1</v>
      </c>
      <c r="L871" s="11" t="n">
        <v>250</v>
      </c>
      <c r="M871" s="11" t="n">
        <f aca="false">I871*J871*(1-K871)</f>
        <v>3150</v>
      </c>
      <c r="N871" s="11" t="n">
        <f aca="false">M871-I871*L871</f>
        <v>1400</v>
      </c>
    </row>
    <row r="872" customFormat="false" ht="15" hidden="false" customHeight="false" outlineLevel="0" collapsed="false">
      <c r="A872" s="2" t="s">
        <v>1590</v>
      </c>
      <c r="B872" s="2" t="s">
        <v>1586</v>
      </c>
      <c r="C872" s="10" t="n">
        <v>45823</v>
      </c>
      <c r="D872" s="2" t="n">
        <f aca="false">MONTH(C872)</f>
        <v>6</v>
      </c>
      <c r="E872" s="2" t="s">
        <v>77</v>
      </c>
      <c r="F872" s="2" t="s">
        <v>64</v>
      </c>
      <c r="G872" s="2" t="s">
        <v>65</v>
      </c>
      <c r="H872" s="2" t="s">
        <v>82</v>
      </c>
      <c r="I872" s="2" t="n">
        <v>3</v>
      </c>
      <c r="J872" s="11" t="n">
        <v>250</v>
      </c>
      <c r="K872" s="12" t="n">
        <v>0</v>
      </c>
      <c r="L872" s="11" t="n">
        <v>100</v>
      </c>
      <c r="M872" s="11" t="n">
        <f aca="false">I872*J872*(1-K872)</f>
        <v>750</v>
      </c>
      <c r="N872" s="11" t="n">
        <f aca="false">M872-I872*L872</f>
        <v>450</v>
      </c>
    </row>
    <row r="873" customFormat="false" ht="15" hidden="false" customHeight="false" outlineLevel="0" collapsed="false">
      <c r="A873" s="2" t="s">
        <v>1999</v>
      </c>
      <c r="B873" s="2" t="s">
        <v>2000</v>
      </c>
      <c r="C873" s="10" t="n">
        <v>45823</v>
      </c>
      <c r="D873" s="2" t="n">
        <f aca="false">MONTH(C873)</f>
        <v>6</v>
      </c>
      <c r="E873" s="2" t="s">
        <v>91</v>
      </c>
      <c r="F873" s="2" t="s">
        <v>64</v>
      </c>
      <c r="G873" s="2" t="s">
        <v>73</v>
      </c>
      <c r="H873" s="2" t="s">
        <v>85</v>
      </c>
      <c r="I873" s="2" t="n">
        <v>2</v>
      </c>
      <c r="J873" s="11" t="n">
        <v>1200</v>
      </c>
      <c r="K873" s="12" t="n">
        <v>0</v>
      </c>
      <c r="L873" s="11" t="n">
        <v>600</v>
      </c>
      <c r="M873" s="11" t="n">
        <f aca="false">I873*J873*(1-K873)</f>
        <v>2400</v>
      </c>
      <c r="N873" s="11" t="n">
        <f aca="false">M873-I873*L873</f>
        <v>1200</v>
      </c>
    </row>
    <row r="874" customFormat="false" ht="15" hidden="false" customHeight="false" outlineLevel="0" collapsed="false">
      <c r="A874" s="2" t="s">
        <v>2076</v>
      </c>
      <c r="B874" s="2" t="s">
        <v>2077</v>
      </c>
      <c r="C874" s="10" t="n">
        <v>45823</v>
      </c>
      <c r="D874" s="2" t="n">
        <f aca="false">MONTH(C874)</f>
        <v>6</v>
      </c>
      <c r="E874" s="2" t="s">
        <v>77</v>
      </c>
      <c r="F874" s="2" t="s">
        <v>64</v>
      </c>
      <c r="G874" s="2" t="s">
        <v>65</v>
      </c>
      <c r="H874" s="2" t="s">
        <v>66</v>
      </c>
      <c r="I874" s="2" t="n">
        <v>6</v>
      </c>
      <c r="J874" s="11" t="n">
        <v>600</v>
      </c>
      <c r="K874" s="12" t="n">
        <v>0</v>
      </c>
      <c r="L874" s="11" t="n">
        <v>300</v>
      </c>
      <c r="M874" s="11" t="n">
        <f aca="false">I874*J874*(1-K874)</f>
        <v>3600</v>
      </c>
      <c r="N874" s="11" t="n">
        <f aca="false">M874-I874*L874</f>
        <v>1800</v>
      </c>
    </row>
    <row r="875" customFormat="false" ht="15" hidden="false" customHeight="false" outlineLevel="0" collapsed="false">
      <c r="A875" s="2" t="s">
        <v>2116</v>
      </c>
      <c r="B875" s="2" t="s">
        <v>2115</v>
      </c>
      <c r="C875" s="10" t="n">
        <v>45823</v>
      </c>
      <c r="D875" s="2" t="n">
        <f aca="false">MONTH(C875)</f>
        <v>6</v>
      </c>
      <c r="E875" s="2" t="s">
        <v>63</v>
      </c>
      <c r="F875" s="2" t="s">
        <v>92</v>
      </c>
      <c r="G875" s="2" t="s">
        <v>73</v>
      </c>
      <c r="H875" s="2" t="s">
        <v>87</v>
      </c>
      <c r="I875" s="2" t="n">
        <v>6</v>
      </c>
      <c r="J875" s="11" t="n">
        <v>9000</v>
      </c>
      <c r="K875" s="12" t="n">
        <v>0.05</v>
      </c>
      <c r="L875" s="11" t="n">
        <v>6200</v>
      </c>
      <c r="M875" s="11" t="n">
        <f aca="false">I875*J875*(1-K875)</f>
        <v>51300</v>
      </c>
      <c r="N875" s="11" t="n">
        <f aca="false">M875-I875*L875</f>
        <v>14100</v>
      </c>
    </row>
    <row r="876" customFormat="false" ht="15" hidden="false" customHeight="false" outlineLevel="0" collapsed="false">
      <c r="A876" s="2" t="s">
        <v>2349</v>
      </c>
      <c r="B876" s="2" t="s">
        <v>2350</v>
      </c>
      <c r="C876" s="10" t="n">
        <v>45823</v>
      </c>
      <c r="D876" s="2" t="n">
        <f aca="false">MONTH(C876)</f>
        <v>6</v>
      </c>
      <c r="E876" s="2" t="s">
        <v>77</v>
      </c>
      <c r="F876" s="2" t="s">
        <v>69</v>
      </c>
      <c r="G876" s="2" t="s">
        <v>70</v>
      </c>
      <c r="H876" s="2" t="s">
        <v>126</v>
      </c>
      <c r="I876" s="2" t="n">
        <v>2</v>
      </c>
      <c r="J876" s="11" t="n">
        <v>4500</v>
      </c>
      <c r="K876" s="12" t="n">
        <v>0.05</v>
      </c>
      <c r="L876" s="11" t="n">
        <v>3300</v>
      </c>
      <c r="M876" s="11" t="n">
        <f aca="false">I876*J876*(1-K876)</f>
        <v>8550</v>
      </c>
      <c r="N876" s="11" t="n">
        <f aca="false">M876-I876*L876</f>
        <v>1950</v>
      </c>
    </row>
    <row r="877" customFormat="false" ht="15" hidden="false" customHeight="false" outlineLevel="0" collapsed="false">
      <c r="A877" s="2" t="s">
        <v>2392</v>
      </c>
      <c r="B877" s="2" t="s">
        <v>2393</v>
      </c>
      <c r="C877" s="10" t="n">
        <v>45823</v>
      </c>
      <c r="D877" s="2" t="n">
        <f aca="false">MONTH(C877)</f>
        <v>6</v>
      </c>
      <c r="E877" s="2" t="s">
        <v>91</v>
      </c>
      <c r="F877" s="2" t="s">
        <v>69</v>
      </c>
      <c r="G877" s="2" t="s">
        <v>73</v>
      </c>
      <c r="H877" s="2" t="s">
        <v>85</v>
      </c>
      <c r="I877" s="2" t="n">
        <v>2</v>
      </c>
      <c r="J877" s="11" t="n">
        <v>1200</v>
      </c>
      <c r="K877" s="12" t="n">
        <v>0</v>
      </c>
      <c r="L877" s="11" t="n">
        <v>600</v>
      </c>
      <c r="M877" s="11" t="n">
        <f aca="false">I877*J877*(1-K877)</f>
        <v>2400</v>
      </c>
      <c r="N877" s="11" t="n">
        <f aca="false">M877-I877*L877</f>
        <v>1200</v>
      </c>
    </row>
    <row r="878" customFormat="false" ht="15" hidden="false" customHeight="false" outlineLevel="0" collapsed="false">
      <c r="A878" s="2" t="s">
        <v>2687</v>
      </c>
      <c r="B878" s="2" t="s">
        <v>2688</v>
      </c>
      <c r="C878" s="10" t="n">
        <v>45823</v>
      </c>
      <c r="D878" s="2" t="n">
        <f aca="false">MONTH(C878)</f>
        <v>6</v>
      </c>
      <c r="E878" s="2" t="s">
        <v>81</v>
      </c>
      <c r="F878" s="2" t="s">
        <v>92</v>
      </c>
      <c r="G878" s="2" t="s">
        <v>70</v>
      </c>
      <c r="H878" s="2" t="s">
        <v>126</v>
      </c>
      <c r="I878" s="2" t="n">
        <v>6</v>
      </c>
      <c r="J878" s="11" t="n">
        <v>4500</v>
      </c>
      <c r="K878" s="12" t="n">
        <v>0</v>
      </c>
      <c r="L878" s="11" t="n">
        <v>3300</v>
      </c>
      <c r="M878" s="11" t="n">
        <f aca="false">I878*J878*(1-K878)</f>
        <v>27000</v>
      </c>
      <c r="N878" s="11" t="n">
        <f aca="false">M878-I878*L878</f>
        <v>7200</v>
      </c>
    </row>
    <row r="879" customFormat="false" ht="15" hidden="false" customHeight="false" outlineLevel="0" collapsed="false">
      <c r="A879" s="2" t="s">
        <v>2819</v>
      </c>
      <c r="B879" s="2" t="s">
        <v>2820</v>
      </c>
      <c r="C879" s="10" t="n">
        <v>45823</v>
      </c>
      <c r="D879" s="2" t="n">
        <f aca="false">MONTH(C879)</f>
        <v>6</v>
      </c>
      <c r="E879" s="2" t="s">
        <v>77</v>
      </c>
      <c r="F879" s="2" t="s">
        <v>64</v>
      </c>
      <c r="G879" s="2" t="s">
        <v>70</v>
      </c>
      <c r="H879" s="2" t="s">
        <v>126</v>
      </c>
      <c r="I879" s="2" t="n">
        <v>1</v>
      </c>
      <c r="J879" s="11" t="n">
        <v>4500</v>
      </c>
      <c r="K879" s="12" t="n">
        <v>0</v>
      </c>
      <c r="L879" s="11" t="n">
        <v>3300</v>
      </c>
      <c r="M879" s="11" t="n">
        <f aca="false">I879*J879*(1-K879)</f>
        <v>4500</v>
      </c>
      <c r="N879" s="11" t="n">
        <f aca="false">M879-I879*L879</f>
        <v>1200</v>
      </c>
    </row>
    <row r="880" customFormat="false" ht="15" hidden="false" customHeight="false" outlineLevel="0" collapsed="false">
      <c r="A880" s="2" t="s">
        <v>504</v>
      </c>
      <c r="B880" s="2" t="s">
        <v>505</v>
      </c>
      <c r="C880" s="10" t="n">
        <v>45824</v>
      </c>
      <c r="D880" s="2" t="n">
        <f aca="false">MONTH(C880)</f>
        <v>6</v>
      </c>
      <c r="E880" s="2" t="s">
        <v>77</v>
      </c>
      <c r="F880" s="2" t="s">
        <v>64</v>
      </c>
      <c r="G880" s="2" t="s">
        <v>65</v>
      </c>
      <c r="H880" s="2" t="s">
        <v>107</v>
      </c>
      <c r="I880" s="2" t="n">
        <v>7</v>
      </c>
      <c r="J880" s="11" t="n">
        <v>500</v>
      </c>
      <c r="K880" s="12" t="n">
        <v>0.05</v>
      </c>
      <c r="L880" s="11" t="n">
        <v>250</v>
      </c>
      <c r="M880" s="11" t="n">
        <f aca="false">I880*J880*(1-K880)</f>
        <v>3325</v>
      </c>
      <c r="N880" s="11" t="n">
        <f aca="false">M880-I880*L880</f>
        <v>1575</v>
      </c>
    </row>
    <row r="881" customFormat="false" ht="15" hidden="false" customHeight="false" outlineLevel="0" collapsed="false">
      <c r="A881" s="2" t="s">
        <v>2062</v>
      </c>
      <c r="B881" s="2" t="s">
        <v>2063</v>
      </c>
      <c r="C881" s="10" t="n">
        <v>45824</v>
      </c>
      <c r="D881" s="2" t="n">
        <f aca="false">MONTH(C881)</f>
        <v>6</v>
      </c>
      <c r="E881" s="2" t="s">
        <v>63</v>
      </c>
      <c r="F881" s="2" t="s">
        <v>64</v>
      </c>
      <c r="G881" s="2" t="s">
        <v>65</v>
      </c>
      <c r="H881" s="2" t="s">
        <v>107</v>
      </c>
      <c r="I881" s="2" t="n">
        <v>3</v>
      </c>
      <c r="J881" s="11" t="n">
        <v>500</v>
      </c>
      <c r="K881" s="12" t="n">
        <v>0.05</v>
      </c>
      <c r="L881" s="11" t="n">
        <v>250</v>
      </c>
      <c r="M881" s="11" t="n">
        <f aca="false">I881*J881*(1-K881)</f>
        <v>1425</v>
      </c>
      <c r="N881" s="11" t="n">
        <f aca="false">M881-I881*L881</f>
        <v>675</v>
      </c>
    </row>
    <row r="882" customFormat="false" ht="15" hidden="false" customHeight="false" outlineLevel="0" collapsed="false">
      <c r="A882" s="2" t="s">
        <v>2323</v>
      </c>
      <c r="B882" s="2" t="s">
        <v>2318</v>
      </c>
      <c r="C882" s="10" t="n">
        <v>45824</v>
      </c>
      <c r="D882" s="2" t="n">
        <f aca="false">MONTH(C882)</f>
        <v>6</v>
      </c>
      <c r="E882" s="2" t="s">
        <v>77</v>
      </c>
      <c r="F882" s="2" t="s">
        <v>64</v>
      </c>
      <c r="G882" s="2" t="s">
        <v>65</v>
      </c>
      <c r="H882" s="2" t="s">
        <v>78</v>
      </c>
      <c r="I882" s="2" t="n">
        <v>6</v>
      </c>
      <c r="J882" s="11" t="n">
        <v>400</v>
      </c>
      <c r="K882" s="12" t="n">
        <v>0.1</v>
      </c>
      <c r="L882" s="11" t="n">
        <v>200</v>
      </c>
      <c r="M882" s="11" t="n">
        <f aca="false">I882*J882*(1-K882)</f>
        <v>2160</v>
      </c>
      <c r="N882" s="11" t="n">
        <f aca="false">M882-I882*L882</f>
        <v>960</v>
      </c>
    </row>
    <row r="883" customFormat="false" ht="15" hidden="false" customHeight="false" outlineLevel="0" collapsed="false">
      <c r="A883" s="2" t="s">
        <v>2627</v>
      </c>
      <c r="B883" s="2" t="s">
        <v>2626</v>
      </c>
      <c r="C883" s="10" t="n">
        <v>45824</v>
      </c>
      <c r="D883" s="2" t="n">
        <f aca="false">MONTH(C883)</f>
        <v>6</v>
      </c>
      <c r="E883" s="2" t="s">
        <v>77</v>
      </c>
      <c r="F883" s="2" t="s">
        <v>92</v>
      </c>
      <c r="G883" s="2" t="s">
        <v>73</v>
      </c>
      <c r="H883" s="2" t="s">
        <v>74</v>
      </c>
      <c r="I883" s="2" t="n">
        <v>7</v>
      </c>
      <c r="J883" s="11" t="n">
        <v>7000</v>
      </c>
      <c r="K883" s="12" t="n">
        <v>0.15</v>
      </c>
      <c r="L883" s="11" t="n">
        <v>4800</v>
      </c>
      <c r="M883" s="11" t="n">
        <f aca="false">I883*J883*(1-K883)</f>
        <v>41650</v>
      </c>
      <c r="N883" s="11" t="n">
        <f aca="false">M883-I883*L883</f>
        <v>8050</v>
      </c>
    </row>
    <row r="884" customFormat="false" ht="15" hidden="false" customHeight="false" outlineLevel="0" collapsed="false">
      <c r="A884" s="2" t="s">
        <v>172</v>
      </c>
      <c r="B884" s="2" t="s">
        <v>166</v>
      </c>
      <c r="C884" s="10" t="n">
        <v>45825</v>
      </c>
      <c r="D884" s="2" t="n">
        <f aca="false">MONTH(C884)</f>
        <v>6</v>
      </c>
      <c r="E884" s="2" t="s">
        <v>63</v>
      </c>
      <c r="F884" s="2" t="s">
        <v>92</v>
      </c>
      <c r="G884" s="2" t="s">
        <v>73</v>
      </c>
      <c r="H884" s="2" t="s">
        <v>104</v>
      </c>
      <c r="I884" s="2" t="n">
        <v>6</v>
      </c>
      <c r="J884" s="11" t="n">
        <v>5500</v>
      </c>
      <c r="K884" s="12" t="n">
        <v>0.15</v>
      </c>
      <c r="L884" s="11" t="n">
        <v>3600</v>
      </c>
      <c r="M884" s="11" t="n">
        <f aca="false">I884*J884*(1-K884)</f>
        <v>28050</v>
      </c>
      <c r="N884" s="11" t="n">
        <f aca="false">M884-I884*L884</f>
        <v>6450</v>
      </c>
    </row>
    <row r="885" customFormat="false" ht="15" hidden="false" customHeight="false" outlineLevel="0" collapsed="false">
      <c r="A885" s="2" t="s">
        <v>819</v>
      </c>
      <c r="B885" s="2" t="s">
        <v>816</v>
      </c>
      <c r="C885" s="10" t="n">
        <v>45825</v>
      </c>
      <c r="D885" s="2" t="n">
        <f aca="false">MONTH(C885)</f>
        <v>6</v>
      </c>
      <c r="E885" s="2" t="s">
        <v>77</v>
      </c>
      <c r="F885" s="2" t="s">
        <v>69</v>
      </c>
      <c r="G885" s="2" t="s">
        <v>70</v>
      </c>
      <c r="H885" s="2" t="s">
        <v>122</v>
      </c>
      <c r="I885" s="2" t="n">
        <v>2</v>
      </c>
      <c r="J885" s="11" t="n">
        <v>1500</v>
      </c>
      <c r="K885" s="12" t="n">
        <v>0.1</v>
      </c>
      <c r="L885" s="11" t="n">
        <v>900</v>
      </c>
      <c r="M885" s="11" t="n">
        <f aca="false">I885*J885*(1-K885)</f>
        <v>2700</v>
      </c>
      <c r="N885" s="11" t="n">
        <f aca="false">M885-I885*L885</f>
        <v>900</v>
      </c>
    </row>
    <row r="886" customFormat="false" ht="15" hidden="false" customHeight="false" outlineLevel="0" collapsed="false">
      <c r="A886" s="2" t="s">
        <v>1033</v>
      </c>
      <c r="B886" s="2" t="s">
        <v>1030</v>
      </c>
      <c r="C886" s="10" t="n">
        <v>45825</v>
      </c>
      <c r="D886" s="2" t="n">
        <f aca="false">MONTH(C886)</f>
        <v>6</v>
      </c>
      <c r="E886" s="2" t="s">
        <v>91</v>
      </c>
      <c r="F886" s="2" t="s">
        <v>64</v>
      </c>
      <c r="G886" s="2" t="s">
        <v>65</v>
      </c>
      <c r="H886" s="2" t="s">
        <v>66</v>
      </c>
      <c r="I886" s="2" t="n">
        <v>5</v>
      </c>
      <c r="J886" s="11" t="n">
        <v>600</v>
      </c>
      <c r="K886" s="12" t="n">
        <v>0.05</v>
      </c>
      <c r="L886" s="11" t="n">
        <v>300</v>
      </c>
      <c r="M886" s="11" t="n">
        <f aca="false">I886*J886*(1-K886)</f>
        <v>2850</v>
      </c>
      <c r="N886" s="11" t="n">
        <f aca="false">M886-I886*L886</f>
        <v>1350</v>
      </c>
    </row>
    <row r="887" customFormat="false" ht="15" hidden="false" customHeight="false" outlineLevel="0" collapsed="false">
      <c r="A887" s="2" t="s">
        <v>1097</v>
      </c>
      <c r="B887" s="2" t="s">
        <v>1096</v>
      </c>
      <c r="C887" s="10" t="n">
        <v>45825</v>
      </c>
      <c r="D887" s="2" t="n">
        <f aca="false">MONTH(C887)</f>
        <v>6</v>
      </c>
      <c r="E887" s="2" t="s">
        <v>77</v>
      </c>
      <c r="F887" s="2" t="s">
        <v>92</v>
      </c>
      <c r="G887" s="2" t="s">
        <v>73</v>
      </c>
      <c r="H887" s="2" t="s">
        <v>87</v>
      </c>
      <c r="I887" s="2" t="n">
        <v>3</v>
      </c>
      <c r="J887" s="11" t="n">
        <v>9000</v>
      </c>
      <c r="K887" s="12" t="n">
        <v>0.05</v>
      </c>
      <c r="L887" s="11" t="n">
        <v>6200</v>
      </c>
      <c r="M887" s="11" t="n">
        <f aca="false">I887*J887*(1-K887)</f>
        <v>25650</v>
      </c>
      <c r="N887" s="11" t="n">
        <f aca="false">M887-I887*L887</f>
        <v>7050</v>
      </c>
    </row>
    <row r="888" customFormat="false" ht="15" hidden="false" customHeight="false" outlineLevel="0" collapsed="false">
      <c r="A888" s="2" t="s">
        <v>1328</v>
      </c>
      <c r="B888" s="2" t="s">
        <v>1329</v>
      </c>
      <c r="C888" s="10" t="n">
        <v>45825</v>
      </c>
      <c r="D888" s="2" t="n">
        <f aca="false">MONTH(C888)</f>
        <v>6</v>
      </c>
      <c r="E888" s="2" t="s">
        <v>63</v>
      </c>
      <c r="F888" s="2" t="s">
        <v>64</v>
      </c>
      <c r="G888" s="2" t="s">
        <v>70</v>
      </c>
      <c r="H888" s="2" t="s">
        <v>71</v>
      </c>
      <c r="I888" s="2" t="n">
        <v>3</v>
      </c>
      <c r="J888" s="11" t="n">
        <v>2500</v>
      </c>
      <c r="K888" s="12" t="n">
        <v>0.05</v>
      </c>
      <c r="L888" s="11" t="n">
        <v>1600</v>
      </c>
      <c r="M888" s="11" t="n">
        <f aca="false">I888*J888*(1-K888)</f>
        <v>7125</v>
      </c>
      <c r="N888" s="11" t="n">
        <f aca="false">M888-I888*L888</f>
        <v>2325</v>
      </c>
    </row>
    <row r="889" customFormat="false" ht="15" hidden="false" customHeight="false" outlineLevel="0" collapsed="false">
      <c r="A889" s="2" t="s">
        <v>2327</v>
      </c>
      <c r="B889" s="2" t="s">
        <v>2318</v>
      </c>
      <c r="C889" s="10" t="n">
        <v>45825</v>
      </c>
      <c r="D889" s="2" t="n">
        <f aca="false">MONTH(C889)</f>
        <v>6</v>
      </c>
      <c r="E889" s="2" t="s">
        <v>77</v>
      </c>
      <c r="F889" s="2" t="s">
        <v>64</v>
      </c>
      <c r="G889" s="2" t="s">
        <v>73</v>
      </c>
      <c r="H889" s="2" t="s">
        <v>87</v>
      </c>
      <c r="I889" s="2" t="n">
        <v>3</v>
      </c>
      <c r="J889" s="11" t="n">
        <v>9000</v>
      </c>
      <c r="K889" s="12" t="n">
        <v>0.05</v>
      </c>
      <c r="L889" s="11" t="n">
        <v>6200</v>
      </c>
      <c r="M889" s="11" t="n">
        <f aca="false">I889*J889*(1-K889)</f>
        <v>25650</v>
      </c>
      <c r="N889" s="11" t="n">
        <f aca="false">M889-I889*L889</f>
        <v>7050</v>
      </c>
    </row>
    <row r="890" customFormat="false" ht="15" hidden="false" customHeight="false" outlineLevel="0" collapsed="false">
      <c r="A890" s="2" t="s">
        <v>2547</v>
      </c>
      <c r="B890" s="2" t="s">
        <v>2546</v>
      </c>
      <c r="C890" s="10" t="n">
        <v>45825</v>
      </c>
      <c r="D890" s="2" t="n">
        <f aca="false">MONTH(C890)</f>
        <v>6</v>
      </c>
      <c r="E890" s="2" t="s">
        <v>91</v>
      </c>
      <c r="F890" s="2" t="s">
        <v>64</v>
      </c>
      <c r="G890" s="2" t="s">
        <v>73</v>
      </c>
      <c r="H890" s="2" t="s">
        <v>85</v>
      </c>
      <c r="I890" s="2" t="n">
        <v>3</v>
      </c>
      <c r="J890" s="11" t="n">
        <v>1200</v>
      </c>
      <c r="K890" s="12" t="n">
        <v>0</v>
      </c>
      <c r="L890" s="11" t="n">
        <v>600</v>
      </c>
      <c r="M890" s="11" t="n">
        <f aca="false">I890*J890*(1-K890)</f>
        <v>3600</v>
      </c>
      <c r="N890" s="11" t="n">
        <f aca="false">M890-I890*L890</f>
        <v>1800</v>
      </c>
    </row>
    <row r="891" customFormat="false" ht="15" hidden="false" customHeight="false" outlineLevel="0" collapsed="false">
      <c r="A891" s="2" t="s">
        <v>1032</v>
      </c>
      <c r="B891" s="2" t="s">
        <v>1030</v>
      </c>
      <c r="C891" s="10" t="n">
        <v>45826</v>
      </c>
      <c r="D891" s="2" t="n">
        <f aca="false">MONTH(C891)</f>
        <v>6</v>
      </c>
      <c r="E891" s="2" t="s">
        <v>77</v>
      </c>
      <c r="F891" s="2" t="s">
        <v>64</v>
      </c>
      <c r="G891" s="2" t="s">
        <v>73</v>
      </c>
      <c r="H891" s="2" t="s">
        <v>74</v>
      </c>
      <c r="I891" s="2" t="n">
        <v>2</v>
      </c>
      <c r="J891" s="11" t="n">
        <v>7000</v>
      </c>
      <c r="K891" s="12" t="n">
        <v>0.05</v>
      </c>
      <c r="L891" s="11" t="n">
        <v>4800</v>
      </c>
      <c r="M891" s="11" t="n">
        <f aca="false">I891*J891*(1-K891)</f>
        <v>13300</v>
      </c>
      <c r="N891" s="11" t="n">
        <f aca="false">M891-I891*L891</f>
        <v>3700</v>
      </c>
    </row>
    <row r="892" customFormat="false" ht="15" hidden="false" customHeight="false" outlineLevel="0" collapsed="false">
      <c r="A892" s="2" t="s">
        <v>1648</v>
      </c>
      <c r="B892" s="2" t="s">
        <v>1647</v>
      </c>
      <c r="C892" s="10" t="n">
        <v>45826</v>
      </c>
      <c r="D892" s="2" t="n">
        <f aca="false">MONTH(C892)</f>
        <v>6</v>
      </c>
      <c r="E892" s="2" t="s">
        <v>63</v>
      </c>
      <c r="F892" s="2" t="s">
        <v>64</v>
      </c>
      <c r="G892" s="2" t="s">
        <v>73</v>
      </c>
      <c r="H892" s="2" t="s">
        <v>74</v>
      </c>
      <c r="I892" s="2" t="n">
        <v>3</v>
      </c>
      <c r="J892" s="11" t="n">
        <v>7000</v>
      </c>
      <c r="K892" s="12" t="n">
        <v>0.1</v>
      </c>
      <c r="L892" s="11" t="n">
        <v>4800</v>
      </c>
      <c r="M892" s="11" t="n">
        <f aca="false">I892*J892*(1-K892)</f>
        <v>18900</v>
      </c>
      <c r="N892" s="11" t="n">
        <f aca="false">M892-I892*L892</f>
        <v>4500</v>
      </c>
    </row>
    <row r="893" customFormat="false" ht="15" hidden="false" customHeight="false" outlineLevel="0" collapsed="false">
      <c r="A893" s="2" t="s">
        <v>2051</v>
      </c>
      <c r="B893" s="2" t="s">
        <v>2047</v>
      </c>
      <c r="C893" s="10" t="n">
        <v>45826</v>
      </c>
      <c r="D893" s="2" t="n">
        <f aca="false">MONTH(C893)</f>
        <v>6</v>
      </c>
      <c r="E893" s="2" t="s">
        <v>77</v>
      </c>
      <c r="F893" s="2" t="s">
        <v>64</v>
      </c>
      <c r="G893" s="2" t="s">
        <v>73</v>
      </c>
      <c r="H893" s="2" t="s">
        <v>74</v>
      </c>
      <c r="I893" s="2" t="n">
        <v>2</v>
      </c>
      <c r="J893" s="11" t="n">
        <v>7000</v>
      </c>
      <c r="K893" s="12" t="n">
        <v>0</v>
      </c>
      <c r="L893" s="11" t="n">
        <v>4800</v>
      </c>
      <c r="M893" s="11" t="n">
        <f aca="false">I893*J893*(1-K893)</f>
        <v>14000</v>
      </c>
      <c r="N893" s="11" t="n">
        <f aca="false">M893-I893*L893</f>
        <v>4400</v>
      </c>
    </row>
    <row r="894" customFormat="false" ht="15" hidden="false" customHeight="false" outlineLevel="0" collapsed="false">
      <c r="A894" s="2" t="s">
        <v>2055</v>
      </c>
      <c r="B894" s="2" t="s">
        <v>2054</v>
      </c>
      <c r="C894" s="10" t="n">
        <v>45826</v>
      </c>
      <c r="D894" s="2" t="n">
        <f aca="false">MONTH(C894)</f>
        <v>6</v>
      </c>
      <c r="E894" s="2" t="s">
        <v>91</v>
      </c>
      <c r="F894" s="2" t="s">
        <v>64</v>
      </c>
      <c r="G894" s="2" t="s">
        <v>73</v>
      </c>
      <c r="H894" s="2" t="s">
        <v>74</v>
      </c>
      <c r="I894" s="2" t="n">
        <v>1</v>
      </c>
      <c r="J894" s="11" t="n">
        <v>7000</v>
      </c>
      <c r="K894" s="12" t="n">
        <v>0</v>
      </c>
      <c r="L894" s="11" t="n">
        <v>4800</v>
      </c>
      <c r="M894" s="11" t="n">
        <f aca="false">I894*J894*(1-K894)</f>
        <v>7000</v>
      </c>
      <c r="N894" s="11" t="n">
        <f aca="false">M894-I894*L894</f>
        <v>2200</v>
      </c>
    </row>
    <row r="895" customFormat="false" ht="15" hidden="false" customHeight="false" outlineLevel="0" collapsed="false">
      <c r="A895" s="2" t="s">
        <v>2559</v>
      </c>
      <c r="B895" s="2" t="s">
        <v>2560</v>
      </c>
      <c r="C895" s="10" t="n">
        <v>45827</v>
      </c>
      <c r="D895" s="2" t="n">
        <f aca="false">MONTH(C895)</f>
        <v>6</v>
      </c>
      <c r="E895" s="2" t="s">
        <v>77</v>
      </c>
      <c r="F895" s="2" t="s">
        <v>64</v>
      </c>
      <c r="G895" s="2" t="s">
        <v>65</v>
      </c>
      <c r="H895" s="2" t="s">
        <v>82</v>
      </c>
      <c r="I895" s="2" t="n">
        <v>2</v>
      </c>
      <c r="J895" s="11" t="n">
        <v>250</v>
      </c>
      <c r="K895" s="12" t="n">
        <v>0</v>
      </c>
      <c r="L895" s="11" t="n">
        <v>100</v>
      </c>
      <c r="M895" s="11" t="n">
        <f aca="false">I895*J895*(1-K895)</f>
        <v>500</v>
      </c>
      <c r="N895" s="11" t="n">
        <f aca="false">M895-I895*L895</f>
        <v>300</v>
      </c>
    </row>
    <row r="896" customFormat="false" ht="15" hidden="false" customHeight="false" outlineLevel="0" collapsed="false">
      <c r="A896" s="2" t="s">
        <v>2868</v>
      </c>
      <c r="B896" s="2" t="s">
        <v>2865</v>
      </c>
      <c r="C896" s="10" t="n">
        <v>45827</v>
      </c>
      <c r="D896" s="2" t="n">
        <f aca="false">MONTH(C896)</f>
        <v>6</v>
      </c>
      <c r="E896" s="2" t="s">
        <v>77</v>
      </c>
      <c r="F896" s="2" t="s">
        <v>69</v>
      </c>
      <c r="G896" s="2" t="s">
        <v>73</v>
      </c>
      <c r="H896" s="2" t="s">
        <v>87</v>
      </c>
      <c r="I896" s="2" t="n">
        <v>4</v>
      </c>
      <c r="J896" s="11" t="n">
        <v>9000</v>
      </c>
      <c r="K896" s="12" t="n">
        <v>0</v>
      </c>
      <c r="L896" s="11" t="n">
        <v>6200</v>
      </c>
      <c r="M896" s="11" t="n">
        <f aca="false">I896*J896*(1-K896)</f>
        <v>36000</v>
      </c>
      <c r="N896" s="11" t="n">
        <f aca="false">M896-I896*L896</f>
        <v>11200</v>
      </c>
    </row>
    <row r="897" customFormat="false" ht="15" hidden="false" customHeight="false" outlineLevel="0" collapsed="false">
      <c r="A897" s="2" t="s">
        <v>2923</v>
      </c>
      <c r="B897" s="2" t="s">
        <v>2916</v>
      </c>
      <c r="C897" s="10" t="n">
        <v>45827</v>
      </c>
      <c r="D897" s="2" t="n">
        <f aca="false">MONTH(C897)</f>
        <v>6</v>
      </c>
      <c r="E897" s="2" t="s">
        <v>63</v>
      </c>
      <c r="F897" s="2" t="s">
        <v>69</v>
      </c>
      <c r="G897" s="2" t="s">
        <v>70</v>
      </c>
      <c r="H897" s="2" t="s">
        <v>97</v>
      </c>
      <c r="I897" s="2" t="n">
        <v>5</v>
      </c>
      <c r="J897" s="11" t="n">
        <v>3000</v>
      </c>
      <c r="K897" s="12" t="n">
        <v>0.1</v>
      </c>
      <c r="L897" s="11" t="n">
        <v>2000</v>
      </c>
      <c r="M897" s="11" t="n">
        <f aca="false">I897*J897*(1-K897)</f>
        <v>13500</v>
      </c>
      <c r="N897" s="11" t="n">
        <f aca="false">M897-I897*L897</f>
        <v>3500</v>
      </c>
    </row>
    <row r="898" customFormat="false" ht="15" hidden="false" customHeight="false" outlineLevel="0" collapsed="false">
      <c r="A898" s="2" t="s">
        <v>397</v>
      </c>
      <c r="B898" s="2" t="s">
        <v>396</v>
      </c>
      <c r="C898" s="10" t="n">
        <v>45828</v>
      </c>
      <c r="D898" s="2" t="n">
        <f aca="false">MONTH(C898)</f>
        <v>6</v>
      </c>
      <c r="E898" s="2" t="s">
        <v>77</v>
      </c>
      <c r="F898" s="2" t="s">
        <v>64</v>
      </c>
      <c r="G898" s="2" t="s">
        <v>73</v>
      </c>
      <c r="H898" s="2" t="s">
        <v>104</v>
      </c>
      <c r="I898" s="2" t="n">
        <v>3</v>
      </c>
      <c r="J898" s="11" t="n">
        <v>5500</v>
      </c>
      <c r="K898" s="12" t="n">
        <v>0</v>
      </c>
      <c r="L898" s="11" t="n">
        <v>3600</v>
      </c>
      <c r="M898" s="11" t="n">
        <f aca="false">I898*J898*(1-K898)</f>
        <v>16500</v>
      </c>
      <c r="N898" s="11" t="n">
        <f aca="false">M898-I898*L898</f>
        <v>5700</v>
      </c>
    </row>
    <row r="899" customFormat="false" ht="15" hidden="false" customHeight="false" outlineLevel="0" collapsed="false">
      <c r="A899" s="2" t="s">
        <v>1226</v>
      </c>
      <c r="B899" s="2" t="s">
        <v>1227</v>
      </c>
      <c r="C899" s="10" t="n">
        <v>45828</v>
      </c>
      <c r="D899" s="2" t="n">
        <f aca="false">MONTH(C899)</f>
        <v>6</v>
      </c>
      <c r="E899" s="2" t="s">
        <v>77</v>
      </c>
      <c r="F899" s="2" t="s">
        <v>69</v>
      </c>
      <c r="G899" s="2" t="s">
        <v>73</v>
      </c>
      <c r="H899" s="2" t="s">
        <v>85</v>
      </c>
      <c r="I899" s="2" t="n">
        <v>2</v>
      </c>
      <c r="J899" s="11" t="n">
        <v>1200</v>
      </c>
      <c r="K899" s="12" t="n">
        <v>0.05</v>
      </c>
      <c r="L899" s="11" t="n">
        <v>600</v>
      </c>
      <c r="M899" s="11" t="n">
        <f aca="false">I899*J899*(1-K899)</f>
        <v>2280</v>
      </c>
      <c r="N899" s="11" t="n">
        <f aca="false">M899-I899*L899</f>
        <v>1080</v>
      </c>
    </row>
    <row r="900" customFormat="false" ht="15" hidden="false" customHeight="false" outlineLevel="0" collapsed="false">
      <c r="A900" s="2" t="s">
        <v>1568</v>
      </c>
      <c r="B900" s="2" t="s">
        <v>1567</v>
      </c>
      <c r="C900" s="10" t="n">
        <v>45828</v>
      </c>
      <c r="D900" s="2" t="n">
        <f aca="false">MONTH(C900)</f>
        <v>6</v>
      </c>
      <c r="E900" s="2" t="s">
        <v>81</v>
      </c>
      <c r="F900" s="2" t="s">
        <v>64</v>
      </c>
      <c r="G900" s="2" t="s">
        <v>65</v>
      </c>
      <c r="H900" s="2" t="s">
        <v>82</v>
      </c>
      <c r="I900" s="2" t="n">
        <v>4</v>
      </c>
      <c r="J900" s="11" t="n">
        <v>250</v>
      </c>
      <c r="K900" s="12" t="n">
        <v>0</v>
      </c>
      <c r="L900" s="11" t="n">
        <v>100</v>
      </c>
      <c r="M900" s="11" t="n">
        <f aca="false">I900*J900*(1-K900)</f>
        <v>1000</v>
      </c>
      <c r="N900" s="11" t="n">
        <f aca="false">M900-I900*L900</f>
        <v>600</v>
      </c>
    </row>
    <row r="901" customFormat="false" ht="15" hidden="false" customHeight="false" outlineLevel="0" collapsed="false">
      <c r="A901" s="2" t="s">
        <v>1950</v>
      </c>
      <c r="B901" s="2" t="s">
        <v>1945</v>
      </c>
      <c r="C901" s="10" t="n">
        <v>45828</v>
      </c>
      <c r="D901" s="2" t="n">
        <f aca="false">MONTH(C901)</f>
        <v>6</v>
      </c>
      <c r="E901" s="2" t="s">
        <v>77</v>
      </c>
      <c r="F901" s="2" t="s">
        <v>92</v>
      </c>
      <c r="G901" s="2" t="s">
        <v>70</v>
      </c>
      <c r="H901" s="2" t="s">
        <v>126</v>
      </c>
      <c r="I901" s="2" t="n">
        <v>6</v>
      </c>
      <c r="J901" s="11" t="n">
        <v>4500</v>
      </c>
      <c r="K901" s="12" t="n">
        <v>0.1</v>
      </c>
      <c r="L901" s="11" t="n">
        <v>3300</v>
      </c>
      <c r="M901" s="11" t="n">
        <f aca="false">I901*J901*(1-K901)</f>
        <v>24300</v>
      </c>
      <c r="N901" s="11" t="n">
        <f aca="false">M901-I901*L901</f>
        <v>4500</v>
      </c>
    </row>
    <row r="902" customFormat="false" ht="15" hidden="false" customHeight="false" outlineLevel="0" collapsed="false">
      <c r="A902" s="2" t="s">
        <v>137</v>
      </c>
      <c r="B902" s="2" t="s">
        <v>136</v>
      </c>
      <c r="C902" s="10" t="n">
        <v>45829</v>
      </c>
      <c r="D902" s="2" t="n">
        <f aca="false">MONTH(C902)</f>
        <v>6</v>
      </c>
      <c r="E902" s="2" t="s">
        <v>63</v>
      </c>
      <c r="F902" s="2" t="s">
        <v>92</v>
      </c>
      <c r="G902" s="2" t="s">
        <v>73</v>
      </c>
      <c r="H902" s="2" t="s">
        <v>104</v>
      </c>
      <c r="I902" s="2" t="n">
        <v>2</v>
      </c>
      <c r="J902" s="11" t="n">
        <v>5500</v>
      </c>
      <c r="K902" s="12" t="n">
        <v>0.1</v>
      </c>
      <c r="L902" s="11" t="n">
        <v>3600</v>
      </c>
      <c r="M902" s="11" t="n">
        <f aca="false">I902*J902*(1-K902)</f>
        <v>9900</v>
      </c>
      <c r="N902" s="11" t="n">
        <f aca="false">M902-I902*L902</f>
        <v>2700</v>
      </c>
    </row>
    <row r="903" customFormat="false" ht="15" hidden="false" customHeight="false" outlineLevel="0" collapsed="false">
      <c r="A903" s="2" t="s">
        <v>1238</v>
      </c>
      <c r="B903" s="2" t="s">
        <v>1239</v>
      </c>
      <c r="C903" s="10" t="n">
        <v>45829</v>
      </c>
      <c r="D903" s="2" t="n">
        <f aca="false">MONTH(C903)</f>
        <v>6</v>
      </c>
      <c r="E903" s="2" t="s">
        <v>81</v>
      </c>
      <c r="F903" s="2" t="s">
        <v>64</v>
      </c>
      <c r="G903" s="2" t="s">
        <v>70</v>
      </c>
      <c r="H903" s="2" t="s">
        <v>97</v>
      </c>
      <c r="I903" s="2" t="n">
        <v>1</v>
      </c>
      <c r="J903" s="11" t="n">
        <v>3000</v>
      </c>
      <c r="K903" s="12" t="n">
        <v>0</v>
      </c>
      <c r="L903" s="11" t="n">
        <v>2000</v>
      </c>
      <c r="M903" s="11" t="n">
        <f aca="false">I903*J903*(1-K903)</f>
        <v>3000</v>
      </c>
      <c r="N903" s="11" t="n">
        <f aca="false">M903-I903*L903</f>
        <v>1000</v>
      </c>
    </row>
    <row r="904" customFormat="false" ht="15" hidden="false" customHeight="false" outlineLevel="0" collapsed="false">
      <c r="A904" s="2" t="s">
        <v>1507</v>
      </c>
      <c r="B904" s="2" t="s">
        <v>1506</v>
      </c>
      <c r="C904" s="10" t="n">
        <v>45829</v>
      </c>
      <c r="D904" s="2" t="n">
        <f aca="false">MONTH(C904)</f>
        <v>6</v>
      </c>
      <c r="E904" s="2" t="s">
        <v>77</v>
      </c>
      <c r="F904" s="2" t="s">
        <v>64</v>
      </c>
      <c r="G904" s="2" t="s">
        <v>73</v>
      </c>
      <c r="H904" s="2" t="s">
        <v>87</v>
      </c>
      <c r="I904" s="2" t="n">
        <v>2</v>
      </c>
      <c r="J904" s="11" t="n">
        <v>9000</v>
      </c>
      <c r="K904" s="12" t="n">
        <v>0.1</v>
      </c>
      <c r="L904" s="11" t="n">
        <v>6200</v>
      </c>
      <c r="M904" s="11" t="n">
        <f aca="false">I904*J904*(1-K904)</f>
        <v>16200</v>
      </c>
      <c r="N904" s="11" t="n">
        <f aca="false">M904-I904*L904</f>
        <v>3800</v>
      </c>
    </row>
    <row r="905" customFormat="false" ht="15" hidden="false" customHeight="false" outlineLevel="0" collapsed="false">
      <c r="A905" s="2" t="s">
        <v>1537</v>
      </c>
      <c r="B905" s="2" t="s">
        <v>1538</v>
      </c>
      <c r="C905" s="10" t="n">
        <v>45829</v>
      </c>
      <c r="D905" s="2" t="n">
        <f aca="false">MONTH(C905)</f>
        <v>6</v>
      </c>
      <c r="E905" s="2" t="s">
        <v>77</v>
      </c>
      <c r="F905" s="2" t="s">
        <v>64</v>
      </c>
      <c r="G905" s="2" t="s">
        <v>70</v>
      </c>
      <c r="H905" s="2" t="s">
        <v>122</v>
      </c>
      <c r="I905" s="2" t="n">
        <v>1</v>
      </c>
      <c r="J905" s="11" t="n">
        <v>1500</v>
      </c>
      <c r="K905" s="12" t="n">
        <v>0.1</v>
      </c>
      <c r="L905" s="11" t="n">
        <v>900</v>
      </c>
      <c r="M905" s="11" t="n">
        <f aca="false">I905*J905*(1-K905)</f>
        <v>1350</v>
      </c>
      <c r="N905" s="11" t="n">
        <f aca="false">M905-I905*L905</f>
        <v>450</v>
      </c>
    </row>
    <row r="906" customFormat="false" ht="15" hidden="false" customHeight="false" outlineLevel="0" collapsed="false">
      <c r="A906" s="2" t="s">
        <v>1613</v>
      </c>
      <c r="B906" s="2" t="s">
        <v>1609</v>
      </c>
      <c r="C906" s="10" t="n">
        <v>45829</v>
      </c>
      <c r="D906" s="2" t="n">
        <f aca="false">MONTH(C906)</f>
        <v>6</v>
      </c>
      <c r="E906" s="2" t="s">
        <v>81</v>
      </c>
      <c r="F906" s="2" t="s">
        <v>92</v>
      </c>
      <c r="G906" s="2" t="s">
        <v>70</v>
      </c>
      <c r="H906" s="2" t="s">
        <v>71</v>
      </c>
      <c r="I906" s="2" t="n">
        <v>3</v>
      </c>
      <c r="J906" s="11" t="n">
        <v>2500</v>
      </c>
      <c r="K906" s="12" t="n">
        <v>0</v>
      </c>
      <c r="L906" s="11" t="n">
        <v>1600</v>
      </c>
      <c r="M906" s="11" t="n">
        <f aca="false">I906*J906*(1-K906)</f>
        <v>7500</v>
      </c>
      <c r="N906" s="11" t="n">
        <f aca="false">M906-I906*L906</f>
        <v>2700</v>
      </c>
    </row>
    <row r="907" customFormat="false" ht="15" hidden="false" customHeight="false" outlineLevel="0" collapsed="false">
      <c r="A907" s="2" t="s">
        <v>1840</v>
      </c>
      <c r="B907" s="2" t="s">
        <v>1841</v>
      </c>
      <c r="C907" s="10" t="n">
        <v>45829</v>
      </c>
      <c r="D907" s="2" t="n">
        <f aca="false">MONTH(C907)</f>
        <v>6</v>
      </c>
      <c r="E907" s="2" t="s">
        <v>91</v>
      </c>
      <c r="F907" s="2" t="s">
        <v>64</v>
      </c>
      <c r="G907" s="2" t="s">
        <v>65</v>
      </c>
      <c r="H907" s="2" t="s">
        <v>78</v>
      </c>
      <c r="I907" s="2" t="n">
        <v>2</v>
      </c>
      <c r="J907" s="11" t="n">
        <v>400</v>
      </c>
      <c r="K907" s="12" t="n">
        <v>0.05</v>
      </c>
      <c r="L907" s="11" t="n">
        <v>200</v>
      </c>
      <c r="M907" s="11" t="n">
        <f aca="false">I907*J907*(1-K907)</f>
        <v>760</v>
      </c>
      <c r="N907" s="11" t="n">
        <f aca="false">M907-I907*L907</f>
        <v>360</v>
      </c>
    </row>
    <row r="908" customFormat="false" ht="15" hidden="false" customHeight="false" outlineLevel="0" collapsed="false">
      <c r="A908" s="2" t="s">
        <v>2416</v>
      </c>
      <c r="B908" s="2" t="s">
        <v>2417</v>
      </c>
      <c r="C908" s="10" t="n">
        <v>45829</v>
      </c>
      <c r="D908" s="2" t="n">
        <f aca="false">MONTH(C908)</f>
        <v>6</v>
      </c>
      <c r="E908" s="2" t="s">
        <v>77</v>
      </c>
      <c r="F908" s="2" t="s">
        <v>64</v>
      </c>
      <c r="G908" s="2" t="s">
        <v>70</v>
      </c>
      <c r="H908" s="2" t="s">
        <v>71</v>
      </c>
      <c r="I908" s="2" t="n">
        <v>1</v>
      </c>
      <c r="J908" s="11" t="n">
        <v>2500</v>
      </c>
      <c r="K908" s="12" t="n">
        <v>0</v>
      </c>
      <c r="L908" s="11" t="n">
        <v>1600</v>
      </c>
      <c r="M908" s="11" t="n">
        <f aca="false">I908*J908*(1-K908)</f>
        <v>2500</v>
      </c>
      <c r="N908" s="11" t="n">
        <f aca="false">M908-I908*L908</f>
        <v>900</v>
      </c>
    </row>
    <row r="909" customFormat="false" ht="15" hidden="false" customHeight="false" outlineLevel="0" collapsed="false">
      <c r="A909" s="2" t="s">
        <v>2718</v>
      </c>
      <c r="B909" s="2" t="s">
        <v>2716</v>
      </c>
      <c r="C909" s="10" t="n">
        <v>45829</v>
      </c>
      <c r="D909" s="2" t="n">
        <f aca="false">MONTH(C909)</f>
        <v>6</v>
      </c>
      <c r="E909" s="2" t="s">
        <v>77</v>
      </c>
      <c r="F909" s="2" t="s">
        <v>64</v>
      </c>
      <c r="G909" s="2" t="s">
        <v>70</v>
      </c>
      <c r="H909" s="2" t="s">
        <v>71</v>
      </c>
      <c r="I909" s="2" t="n">
        <v>1</v>
      </c>
      <c r="J909" s="11" t="n">
        <v>2500</v>
      </c>
      <c r="K909" s="12" t="n">
        <v>0.05</v>
      </c>
      <c r="L909" s="11" t="n">
        <v>1600</v>
      </c>
      <c r="M909" s="11" t="n">
        <f aca="false">I909*J909*(1-K909)</f>
        <v>2375</v>
      </c>
      <c r="N909" s="11" t="n">
        <f aca="false">M909-I909*L909</f>
        <v>775</v>
      </c>
    </row>
    <row r="910" customFormat="false" ht="15" hidden="false" customHeight="false" outlineLevel="0" collapsed="false">
      <c r="A910" s="2" t="s">
        <v>2829</v>
      </c>
      <c r="B910" s="2" t="s">
        <v>2827</v>
      </c>
      <c r="C910" s="10" t="n">
        <v>45829</v>
      </c>
      <c r="D910" s="2" t="n">
        <f aca="false">MONTH(C910)</f>
        <v>6</v>
      </c>
      <c r="E910" s="2" t="s">
        <v>77</v>
      </c>
      <c r="F910" s="2" t="s">
        <v>64</v>
      </c>
      <c r="G910" s="2" t="s">
        <v>70</v>
      </c>
      <c r="H910" s="2" t="s">
        <v>126</v>
      </c>
      <c r="I910" s="2" t="n">
        <v>2</v>
      </c>
      <c r="J910" s="11" t="n">
        <v>4500</v>
      </c>
      <c r="K910" s="12" t="n">
        <v>0</v>
      </c>
      <c r="L910" s="11" t="n">
        <v>3300</v>
      </c>
      <c r="M910" s="11" t="n">
        <f aca="false">I910*J910*(1-K910)</f>
        <v>9000</v>
      </c>
      <c r="N910" s="11" t="n">
        <f aca="false">M910-I910*L910</f>
        <v>2400</v>
      </c>
    </row>
    <row r="911" customFormat="false" ht="15" hidden="false" customHeight="false" outlineLevel="0" collapsed="false">
      <c r="A911" s="2" t="s">
        <v>581</v>
      </c>
      <c r="B911" s="2" t="s">
        <v>582</v>
      </c>
      <c r="C911" s="10" t="n">
        <v>45830</v>
      </c>
      <c r="D911" s="2" t="n">
        <f aca="false">MONTH(C911)</f>
        <v>6</v>
      </c>
      <c r="E911" s="2" t="s">
        <v>81</v>
      </c>
      <c r="F911" s="2" t="s">
        <v>64</v>
      </c>
      <c r="G911" s="2" t="s">
        <v>70</v>
      </c>
      <c r="H911" s="2" t="s">
        <v>71</v>
      </c>
      <c r="I911" s="2" t="n">
        <v>1</v>
      </c>
      <c r="J911" s="11" t="n">
        <v>2500</v>
      </c>
      <c r="K911" s="12" t="n">
        <v>0.1</v>
      </c>
      <c r="L911" s="11" t="n">
        <v>1600</v>
      </c>
      <c r="M911" s="11" t="n">
        <f aca="false">I911*J911*(1-K911)</f>
        <v>2250</v>
      </c>
      <c r="N911" s="11" t="n">
        <f aca="false">M911-I911*L911</f>
        <v>650</v>
      </c>
    </row>
    <row r="912" customFormat="false" ht="15" hidden="false" customHeight="false" outlineLevel="0" collapsed="false">
      <c r="A912" s="2" t="s">
        <v>830</v>
      </c>
      <c r="B912" s="2" t="s">
        <v>829</v>
      </c>
      <c r="C912" s="10" t="n">
        <v>45830</v>
      </c>
      <c r="D912" s="2" t="n">
        <f aca="false">MONTH(C912)</f>
        <v>6</v>
      </c>
      <c r="E912" s="2" t="s">
        <v>81</v>
      </c>
      <c r="F912" s="2" t="s">
        <v>92</v>
      </c>
      <c r="G912" s="2" t="s">
        <v>70</v>
      </c>
      <c r="H912" s="2" t="s">
        <v>126</v>
      </c>
      <c r="I912" s="2" t="n">
        <v>2</v>
      </c>
      <c r="J912" s="11" t="n">
        <v>4500</v>
      </c>
      <c r="K912" s="12" t="n">
        <v>0.1</v>
      </c>
      <c r="L912" s="11" t="n">
        <v>3300</v>
      </c>
      <c r="M912" s="11" t="n">
        <f aca="false">I912*J912*(1-K912)</f>
        <v>8100</v>
      </c>
      <c r="N912" s="11" t="n">
        <f aca="false">M912-I912*L912</f>
        <v>1500</v>
      </c>
    </row>
    <row r="913" customFormat="false" ht="15" hidden="false" customHeight="false" outlineLevel="0" collapsed="false">
      <c r="A913" s="2" t="s">
        <v>1592</v>
      </c>
      <c r="B913" s="2" t="s">
        <v>1586</v>
      </c>
      <c r="C913" s="10" t="n">
        <v>45830</v>
      </c>
      <c r="D913" s="2" t="n">
        <f aca="false">MONTH(C913)</f>
        <v>6</v>
      </c>
      <c r="E913" s="2" t="s">
        <v>77</v>
      </c>
      <c r="F913" s="2" t="s">
        <v>64</v>
      </c>
      <c r="G913" s="2" t="s">
        <v>73</v>
      </c>
      <c r="H913" s="2" t="s">
        <v>85</v>
      </c>
      <c r="I913" s="2" t="n">
        <v>2</v>
      </c>
      <c r="J913" s="11" t="n">
        <v>1200</v>
      </c>
      <c r="K913" s="12" t="n">
        <v>0</v>
      </c>
      <c r="L913" s="11" t="n">
        <v>600</v>
      </c>
      <c r="M913" s="11" t="n">
        <f aca="false">I913*J913*(1-K913)</f>
        <v>2400</v>
      </c>
      <c r="N913" s="11" t="n">
        <f aca="false">M913-I913*L913</f>
        <v>1200</v>
      </c>
    </row>
    <row r="914" customFormat="false" ht="15" hidden="false" customHeight="false" outlineLevel="0" collapsed="false">
      <c r="A914" s="2" t="s">
        <v>1683</v>
      </c>
      <c r="B914" s="2" t="s">
        <v>1682</v>
      </c>
      <c r="C914" s="10" t="n">
        <v>45830</v>
      </c>
      <c r="D914" s="2" t="n">
        <f aca="false">MONTH(C914)</f>
        <v>6</v>
      </c>
      <c r="E914" s="2" t="s">
        <v>91</v>
      </c>
      <c r="F914" s="2" t="s">
        <v>64</v>
      </c>
      <c r="G914" s="2" t="s">
        <v>73</v>
      </c>
      <c r="H914" s="2" t="s">
        <v>104</v>
      </c>
      <c r="I914" s="2" t="n">
        <v>3</v>
      </c>
      <c r="J914" s="11" t="n">
        <v>5500</v>
      </c>
      <c r="K914" s="12" t="n">
        <v>0.1</v>
      </c>
      <c r="L914" s="11" t="n">
        <v>3600</v>
      </c>
      <c r="M914" s="11" t="n">
        <f aca="false">I914*J914*(1-K914)</f>
        <v>14850</v>
      </c>
      <c r="N914" s="11" t="n">
        <f aca="false">M914-I914*L914</f>
        <v>4050</v>
      </c>
    </row>
    <row r="915" customFormat="false" ht="15" hidden="false" customHeight="false" outlineLevel="0" collapsed="false">
      <c r="A915" s="2" t="s">
        <v>2136</v>
      </c>
      <c r="B915" s="2" t="s">
        <v>2137</v>
      </c>
      <c r="C915" s="10" t="n">
        <v>45830</v>
      </c>
      <c r="D915" s="2" t="n">
        <f aca="false">MONTH(C915)</f>
        <v>6</v>
      </c>
      <c r="E915" s="2" t="s">
        <v>77</v>
      </c>
      <c r="F915" s="2" t="s">
        <v>64</v>
      </c>
      <c r="G915" s="2" t="s">
        <v>73</v>
      </c>
      <c r="H915" s="2" t="s">
        <v>87</v>
      </c>
      <c r="I915" s="2" t="n">
        <v>1</v>
      </c>
      <c r="J915" s="11" t="n">
        <v>9000</v>
      </c>
      <c r="K915" s="12" t="n">
        <v>0</v>
      </c>
      <c r="L915" s="11" t="n">
        <v>6200</v>
      </c>
      <c r="M915" s="11" t="n">
        <f aca="false">I915*J915*(1-K915)</f>
        <v>9000</v>
      </c>
      <c r="N915" s="11" t="n">
        <f aca="false">M915-I915*L915</f>
        <v>2800</v>
      </c>
    </row>
    <row r="916" customFormat="false" ht="15" hidden="false" customHeight="false" outlineLevel="0" collapsed="false">
      <c r="A916" s="2" t="s">
        <v>2567</v>
      </c>
      <c r="B916" s="2" t="s">
        <v>2566</v>
      </c>
      <c r="C916" s="10" t="n">
        <v>45830</v>
      </c>
      <c r="D916" s="2" t="n">
        <f aca="false">MONTH(C916)</f>
        <v>6</v>
      </c>
      <c r="E916" s="2" t="s">
        <v>91</v>
      </c>
      <c r="F916" s="2" t="s">
        <v>64</v>
      </c>
      <c r="G916" s="2" t="s">
        <v>70</v>
      </c>
      <c r="H916" s="2" t="s">
        <v>71</v>
      </c>
      <c r="I916" s="2" t="n">
        <v>1</v>
      </c>
      <c r="J916" s="11" t="n">
        <v>2500</v>
      </c>
      <c r="K916" s="12" t="n">
        <v>0</v>
      </c>
      <c r="L916" s="11" t="n">
        <v>1600</v>
      </c>
      <c r="M916" s="11" t="n">
        <f aca="false">I916*J916*(1-K916)</f>
        <v>2500</v>
      </c>
      <c r="N916" s="11" t="n">
        <f aca="false">M916-I916*L916</f>
        <v>900</v>
      </c>
    </row>
    <row r="917" customFormat="false" ht="15" hidden="false" customHeight="false" outlineLevel="0" collapsed="false">
      <c r="A917" s="2" t="s">
        <v>2633</v>
      </c>
      <c r="B917" s="2" t="s">
        <v>2629</v>
      </c>
      <c r="C917" s="10" t="n">
        <v>45830</v>
      </c>
      <c r="D917" s="2" t="n">
        <f aca="false">MONTH(C917)</f>
        <v>6</v>
      </c>
      <c r="E917" s="2" t="s">
        <v>91</v>
      </c>
      <c r="F917" s="2" t="s">
        <v>69</v>
      </c>
      <c r="G917" s="2" t="s">
        <v>65</v>
      </c>
      <c r="H917" s="2" t="s">
        <v>66</v>
      </c>
      <c r="I917" s="2" t="n">
        <v>10</v>
      </c>
      <c r="J917" s="11" t="n">
        <v>600</v>
      </c>
      <c r="K917" s="12" t="n">
        <v>0.1</v>
      </c>
      <c r="L917" s="11" t="n">
        <v>300</v>
      </c>
      <c r="M917" s="11" t="n">
        <f aca="false">I917*J917*(1-K917)</f>
        <v>5400</v>
      </c>
      <c r="N917" s="11" t="n">
        <f aca="false">M917-I917*L917</f>
        <v>2400</v>
      </c>
    </row>
    <row r="918" customFormat="false" ht="15" hidden="false" customHeight="false" outlineLevel="0" collapsed="false">
      <c r="A918" s="2" t="s">
        <v>2652</v>
      </c>
      <c r="B918" s="2" t="s">
        <v>2651</v>
      </c>
      <c r="C918" s="10" t="n">
        <v>45830</v>
      </c>
      <c r="D918" s="2" t="n">
        <f aca="false">MONTH(C918)</f>
        <v>6</v>
      </c>
      <c r="E918" s="2" t="s">
        <v>3019</v>
      </c>
      <c r="F918" s="2" t="s">
        <v>64</v>
      </c>
      <c r="G918" s="2" t="s">
        <v>65</v>
      </c>
      <c r="H918" s="2" t="s">
        <v>78</v>
      </c>
      <c r="I918" s="2" t="n">
        <v>6</v>
      </c>
      <c r="J918" s="11" t="n">
        <v>400</v>
      </c>
      <c r="K918" s="12" t="n">
        <v>0.05</v>
      </c>
      <c r="L918" s="11" t="n">
        <v>200</v>
      </c>
      <c r="M918" s="11" t="n">
        <f aca="false">I918*J918*(1-K918)</f>
        <v>2280</v>
      </c>
      <c r="N918" s="11" t="n">
        <f aca="false">M918-I918*L918</f>
        <v>1080</v>
      </c>
    </row>
    <row r="919" customFormat="false" ht="15" hidden="false" customHeight="false" outlineLevel="0" collapsed="false">
      <c r="A919" s="2" t="s">
        <v>2689</v>
      </c>
      <c r="B919" s="2" t="s">
        <v>2688</v>
      </c>
      <c r="C919" s="10" t="n">
        <v>45830</v>
      </c>
      <c r="D919" s="2" t="n">
        <f aca="false">MONTH(C919)</f>
        <v>6</v>
      </c>
      <c r="E919" s="2" t="s">
        <v>81</v>
      </c>
      <c r="F919" s="2" t="s">
        <v>92</v>
      </c>
      <c r="G919" s="2" t="s">
        <v>73</v>
      </c>
      <c r="H919" s="2" t="s">
        <v>85</v>
      </c>
      <c r="I919" s="2" t="n">
        <v>2</v>
      </c>
      <c r="J919" s="11" t="n">
        <v>1200</v>
      </c>
      <c r="K919" s="12" t="n">
        <v>0</v>
      </c>
      <c r="L919" s="11" t="n">
        <v>600</v>
      </c>
      <c r="M919" s="11" t="n">
        <f aca="false">I919*J919*(1-K919)</f>
        <v>2400</v>
      </c>
      <c r="N919" s="11" t="n">
        <f aca="false">M919-I919*L919</f>
        <v>1200</v>
      </c>
    </row>
    <row r="920" customFormat="false" ht="15" hidden="false" customHeight="false" outlineLevel="0" collapsed="false">
      <c r="A920" s="2" t="s">
        <v>2922</v>
      </c>
      <c r="B920" s="2" t="s">
        <v>2916</v>
      </c>
      <c r="C920" s="10" t="n">
        <v>45830</v>
      </c>
      <c r="D920" s="2" t="n">
        <f aca="false">MONTH(C920)</f>
        <v>6</v>
      </c>
      <c r="E920" s="2" t="s">
        <v>63</v>
      </c>
      <c r="F920" s="2" t="s">
        <v>69</v>
      </c>
      <c r="G920" s="2" t="s">
        <v>65</v>
      </c>
      <c r="H920" s="2" t="s">
        <v>78</v>
      </c>
      <c r="I920" s="2" t="n">
        <v>18</v>
      </c>
      <c r="J920" s="11" t="n">
        <v>400</v>
      </c>
      <c r="K920" s="12" t="n">
        <v>0.1</v>
      </c>
      <c r="L920" s="11" t="n">
        <v>200</v>
      </c>
      <c r="M920" s="11" t="n">
        <f aca="false">I920*J920*(1-K920)</f>
        <v>6480</v>
      </c>
      <c r="N920" s="11" t="n">
        <f aca="false">M920-I920*L920</f>
        <v>2880</v>
      </c>
    </row>
    <row r="921" customFormat="false" ht="15" hidden="false" customHeight="false" outlineLevel="0" collapsed="false">
      <c r="A921" s="2" t="s">
        <v>177</v>
      </c>
      <c r="B921" s="2" t="s">
        <v>175</v>
      </c>
      <c r="C921" s="10" t="n">
        <v>45831</v>
      </c>
      <c r="D921" s="2" t="n">
        <f aca="false">MONTH(C921)</f>
        <v>6</v>
      </c>
      <c r="E921" s="2" t="s">
        <v>77</v>
      </c>
      <c r="F921" s="2" t="s">
        <v>64</v>
      </c>
      <c r="G921" s="2" t="s">
        <v>65</v>
      </c>
      <c r="H921" s="2" t="s">
        <v>66</v>
      </c>
      <c r="I921" s="2" t="n">
        <v>8</v>
      </c>
      <c r="J921" s="11" t="n">
        <v>600</v>
      </c>
      <c r="K921" s="12" t="n">
        <v>0</v>
      </c>
      <c r="L921" s="11" t="n">
        <v>300</v>
      </c>
      <c r="M921" s="11" t="n">
        <f aca="false">I921*J921*(1-K921)</f>
        <v>4800</v>
      </c>
      <c r="N921" s="11" t="n">
        <f aca="false">M921-I921*L921</f>
        <v>2400</v>
      </c>
    </row>
    <row r="922" customFormat="false" ht="15" hidden="false" customHeight="false" outlineLevel="0" collapsed="false">
      <c r="A922" s="2" t="s">
        <v>751</v>
      </c>
      <c r="B922" s="2" t="s">
        <v>752</v>
      </c>
      <c r="C922" s="10" t="n">
        <v>45831</v>
      </c>
      <c r="D922" s="2" t="n">
        <f aca="false">MONTH(C922)</f>
        <v>6</v>
      </c>
      <c r="E922" s="2" t="s">
        <v>81</v>
      </c>
      <c r="F922" s="2" t="s">
        <v>92</v>
      </c>
      <c r="G922" s="2" t="s">
        <v>65</v>
      </c>
      <c r="H922" s="2" t="s">
        <v>66</v>
      </c>
      <c r="I922" s="2" t="n">
        <v>22</v>
      </c>
      <c r="J922" s="11" t="n">
        <v>600</v>
      </c>
      <c r="K922" s="12" t="n">
        <v>0.15</v>
      </c>
      <c r="L922" s="11" t="n">
        <v>300</v>
      </c>
      <c r="M922" s="11" t="n">
        <f aca="false">I922*J922*(1-K922)</f>
        <v>11220</v>
      </c>
      <c r="N922" s="11" t="n">
        <f aca="false">M922-I922*L922</f>
        <v>4620</v>
      </c>
    </row>
    <row r="923" customFormat="false" ht="15" hidden="false" customHeight="false" outlineLevel="0" collapsed="false">
      <c r="A923" s="2" t="s">
        <v>2510</v>
      </c>
      <c r="B923" s="2" t="s">
        <v>2507</v>
      </c>
      <c r="C923" s="10" t="n">
        <v>45831</v>
      </c>
      <c r="D923" s="2" t="n">
        <f aca="false">MONTH(C923)</f>
        <v>6</v>
      </c>
      <c r="E923" s="2" t="s">
        <v>77</v>
      </c>
      <c r="F923" s="2" t="s">
        <v>64</v>
      </c>
      <c r="G923" s="2" t="s">
        <v>70</v>
      </c>
      <c r="H923" s="2" t="s">
        <v>97</v>
      </c>
      <c r="I923" s="2" t="n">
        <v>3</v>
      </c>
      <c r="J923" s="11" t="n">
        <v>3000</v>
      </c>
      <c r="K923" s="12" t="n">
        <v>0.1</v>
      </c>
      <c r="L923" s="11" t="n">
        <v>2000</v>
      </c>
      <c r="M923" s="11" t="n">
        <f aca="false">I923*J923*(1-K923)</f>
        <v>8100</v>
      </c>
      <c r="N923" s="11" t="n">
        <f aca="false">M923-I923*L923</f>
        <v>2100</v>
      </c>
    </row>
    <row r="924" customFormat="false" ht="15" hidden="false" customHeight="false" outlineLevel="0" collapsed="false">
      <c r="A924" s="2" t="s">
        <v>2890</v>
      </c>
      <c r="B924" s="2" t="s">
        <v>2891</v>
      </c>
      <c r="C924" s="10" t="n">
        <v>45831</v>
      </c>
      <c r="D924" s="2" t="n">
        <f aca="false">MONTH(C924)</f>
        <v>6</v>
      </c>
      <c r="E924" s="2" t="s">
        <v>91</v>
      </c>
      <c r="F924" s="2" t="s">
        <v>69</v>
      </c>
      <c r="G924" s="2" t="s">
        <v>73</v>
      </c>
      <c r="H924" s="2" t="s">
        <v>74</v>
      </c>
      <c r="I924" s="2" t="n">
        <v>4</v>
      </c>
      <c r="J924" s="11" t="n">
        <v>7000</v>
      </c>
      <c r="K924" s="12" t="n">
        <v>0</v>
      </c>
      <c r="L924" s="11" t="n">
        <v>4800</v>
      </c>
      <c r="M924" s="11" t="n">
        <f aca="false">I924*J924*(1-K924)</f>
        <v>28000</v>
      </c>
      <c r="N924" s="11" t="n">
        <f aca="false">M924-I924*L924</f>
        <v>8800</v>
      </c>
    </row>
    <row r="925" customFormat="false" ht="15" hidden="false" customHeight="false" outlineLevel="0" collapsed="false">
      <c r="A925" s="2" t="s">
        <v>1342</v>
      </c>
      <c r="B925" s="2" t="s">
        <v>1340</v>
      </c>
      <c r="C925" s="10" t="n">
        <v>45832</v>
      </c>
      <c r="D925" s="2" t="n">
        <f aca="false">MONTH(C925)</f>
        <v>6</v>
      </c>
      <c r="E925" s="2" t="s">
        <v>77</v>
      </c>
      <c r="F925" s="2" t="s">
        <v>64</v>
      </c>
      <c r="G925" s="2" t="s">
        <v>65</v>
      </c>
      <c r="H925" s="2" t="s">
        <v>66</v>
      </c>
      <c r="I925" s="2" t="n">
        <v>2</v>
      </c>
      <c r="J925" s="11" t="n">
        <v>600</v>
      </c>
      <c r="K925" s="12" t="n">
        <v>0</v>
      </c>
      <c r="L925" s="11" t="n">
        <v>300</v>
      </c>
      <c r="M925" s="11" t="n">
        <f aca="false">I925*J925*(1-K925)</f>
        <v>1200</v>
      </c>
      <c r="N925" s="11" t="n">
        <f aca="false">M925-I925*L925</f>
        <v>600</v>
      </c>
    </row>
    <row r="926" customFormat="false" ht="15" hidden="false" customHeight="false" outlineLevel="0" collapsed="false">
      <c r="A926" s="2" t="s">
        <v>2805</v>
      </c>
      <c r="B926" s="2" t="s">
        <v>2804</v>
      </c>
      <c r="C926" s="10" t="n">
        <v>45832</v>
      </c>
      <c r="D926" s="2" t="n">
        <f aca="false">MONTH(C926)</f>
        <v>6</v>
      </c>
      <c r="E926" s="2" t="s">
        <v>63</v>
      </c>
      <c r="F926" s="2" t="s">
        <v>69</v>
      </c>
      <c r="G926" s="2" t="s">
        <v>70</v>
      </c>
      <c r="H926" s="2" t="s">
        <v>126</v>
      </c>
      <c r="I926" s="2" t="n">
        <v>3</v>
      </c>
      <c r="J926" s="11" t="n">
        <v>4500</v>
      </c>
      <c r="K926" s="12" t="n">
        <v>0</v>
      </c>
      <c r="L926" s="11" t="n">
        <v>3300</v>
      </c>
      <c r="M926" s="11" t="n">
        <f aca="false">I926*J926*(1-K926)</f>
        <v>13500</v>
      </c>
      <c r="N926" s="11" t="n">
        <f aca="false">M926-I926*L926</f>
        <v>3600</v>
      </c>
    </row>
    <row r="927" customFormat="false" ht="15" hidden="false" customHeight="false" outlineLevel="0" collapsed="false">
      <c r="A927" s="2" t="s">
        <v>1204</v>
      </c>
      <c r="B927" s="2" t="s">
        <v>1205</v>
      </c>
      <c r="C927" s="10" t="n">
        <v>45833</v>
      </c>
      <c r="D927" s="2" t="n">
        <f aca="false">MONTH(C927)</f>
        <v>6</v>
      </c>
      <c r="E927" s="2" t="s">
        <v>63</v>
      </c>
      <c r="F927" s="2" t="s">
        <v>64</v>
      </c>
      <c r="G927" s="2" t="s">
        <v>73</v>
      </c>
      <c r="H927" s="2" t="s">
        <v>85</v>
      </c>
      <c r="I927" s="2" t="n">
        <v>3</v>
      </c>
      <c r="J927" s="11" t="n">
        <v>1200</v>
      </c>
      <c r="K927" s="12" t="n">
        <v>0</v>
      </c>
      <c r="L927" s="11" t="n">
        <v>600</v>
      </c>
      <c r="M927" s="11" t="n">
        <f aca="false">I927*J927*(1-K927)</f>
        <v>3600</v>
      </c>
      <c r="N927" s="11" t="n">
        <f aca="false">M927-I927*L927</f>
        <v>1800</v>
      </c>
    </row>
    <row r="928" customFormat="false" ht="15" hidden="false" customHeight="false" outlineLevel="0" collapsed="false">
      <c r="A928" s="2" t="s">
        <v>1474</v>
      </c>
      <c r="B928" s="2" t="s">
        <v>1472</v>
      </c>
      <c r="C928" s="10" t="n">
        <v>45833</v>
      </c>
      <c r="D928" s="2" t="n">
        <f aca="false">MONTH(C928)</f>
        <v>6</v>
      </c>
      <c r="E928" s="2" t="s">
        <v>77</v>
      </c>
      <c r="F928" s="2" t="s">
        <v>64</v>
      </c>
      <c r="G928" s="2" t="s">
        <v>70</v>
      </c>
      <c r="H928" s="2" t="s">
        <v>97</v>
      </c>
      <c r="I928" s="2" t="n">
        <v>2</v>
      </c>
      <c r="J928" s="11" t="n">
        <v>3000</v>
      </c>
      <c r="K928" s="12" t="n">
        <v>0.05</v>
      </c>
      <c r="L928" s="11" t="n">
        <v>2000</v>
      </c>
      <c r="M928" s="11" t="n">
        <f aca="false">I928*J928*(1-K928)</f>
        <v>5700</v>
      </c>
      <c r="N928" s="11" t="n">
        <f aca="false">M928-I928*L928</f>
        <v>1700</v>
      </c>
    </row>
    <row r="929" customFormat="false" ht="15" hidden="false" customHeight="false" outlineLevel="0" collapsed="false">
      <c r="A929" s="2" t="s">
        <v>1486</v>
      </c>
      <c r="B929" s="2" t="s">
        <v>1477</v>
      </c>
      <c r="C929" s="10" t="n">
        <v>45833</v>
      </c>
      <c r="D929" s="2" t="n">
        <f aca="false">MONTH(C929)</f>
        <v>6</v>
      </c>
      <c r="E929" s="2" t="s">
        <v>63</v>
      </c>
      <c r="F929" s="2" t="s">
        <v>92</v>
      </c>
      <c r="G929" s="2" t="s">
        <v>73</v>
      </c>
      <c r="H929" s="2" t="s">
        <v>85</v>
      </c>
      <c r="I929" s="2" t="n">
        <v>3</v>
      </c>
      <c r="J929" s="11" t="n">
        <v>1200</v>
      </c>
      <c r="K929" s="12" t="n">
        <v>0.1</v>
      </c>
      <c r="L929" s="11" t="n">
        <v>600</v>
      </c>
      <c r="M929" s="11" t="n">
        <f aca="false">I929*J929*(1-K929)</f>
        <v>3240</v>
      </c>
      <c r="N929" s="11" t="n">
        <f aca="false">M929-I929*L929</f>
        <v>1440</v>
      </c>
    </row>
    <row r="930" customFormat="false" ht="15" hidden="false" customHeight="false" outlineLevel="0" collapsed="false">
      <c r="A930" s="2" t="s">
        <v>2170</v>
      </c>
      <c r="B930" s="2" t="s">
        <v>2168</v>
      </c>
      <c r="C930" s="10" t="n">
        <v>45833</v>
      </c>
      <c r="D930" s="2" t="n">
        <f aca="false">MONTH(C930)</f>
        <v>6</v>
      </c>
      <c r="E930" s="2" t="s">
        <v>81</v>
      </c>
      <c r="F930" s="2" t="s">
        <v>64</v>
      </c>
      <c r="G930" s="2" t="s">
        <v>70</v>
      </c>
      <c r="H930" s="2" t="s">
        <v>122</v>
      </c>
      <c r="I930" s="2" t="n">
        <v>3</v>
      </c>
      <c r="J930" s="11" t="n">
        <v>1500</v>
      </c>
      <c r="K930" s="12" t="n">
        <v>0</v>
      </c>
      <c r="L930" s="11" t="n">
        <v>900</v>
      </c>
      <c r="M930" s="11" t="n">
        <f aca="false">I930*J930*(1-K930)</f>
        <v>4500</v>
      </c>
      <c r="N930" s="11" t="n">
        <f aca="false">M930-I930*L930</f>
        <v>1800</v>
      </c>
    </row>
    <row r="931" customFormat="false" ht="15" hidden="false" customHeight="false" outlineLevel="0" collapsed="false">
      <c r="A931" s="2" t="s">
        <v>2530</v>
      </c>
      <c r="B931" s="2" t="s">
        <v>2528</v>
      </c>
      <c r="C931" s="10" t="n">
        <v>45833</v>
      </c>
      <c r="D931" s="2" t="n">
        <f aca="false">MONTH(C931)</f>
        <v>6</v>
      </c>
      <c r="E931" s="2" t="s">
        <v>63</v>
      </c>
      <c r="F931" s="2" t="s">
        <v>69</v>
      </c>
      <c r="G931" s="2" t="s">
        <v>73</v>
      </c>
      <c r="H931" s="2" t="s">
        <v>87</v>
      </c>
      <c r="I931" s="2" t="n">
        <v>4</v>
      </c>
      <c r="J931" s="11" t="n">
        <v>9000</v>
      </c>
      <c r="K931" s="12" t="n">
        <v>0.1</v>
      </c>
      <c r="L931" s="11" t="n">
        <v>6200</v>
      </c>
      <c r="M931" s="11" t="n">
        <f aca="false">I931*J931*(1-K931)</f>
        <v>32400</v>
      </c>
      <c r="N931" s="11" t="n">
        <f aca="false">M931-I931*L931</f>
        <v>7600</v>
      </c>
    </row>
    <row r="932" customFormat="false" ht="15" hidden="false" customHeight="false" outlineLevel="0" collapsed="false">
      <c r="A932" s="2" t="s">
        <v>1454</v>
      </c>
      <c r="B932" s="2" t="s">
        <v>1453</v>
      </c>
      <c r="C932" s="10" t="n">
        <v>45834</v>
      </c>
      <c r="D932" s="2" t="n">
        <f aca="false">MONTH(C932)</f>
        <v>6</v>
      </c>
      <c r="E932" s="2" t="s">
        <v>91</v>
      </c>
      <c r="F932" s="2" t="s">
        <v>92</v>
      </c>
      <c r="G932" s="2" t="s">
        <v>73</v>
      </c>
      <c r="H932" s="2" t="s">
        <v>87</v>
      </c>
      <c r="I932" s="2" t="n">
        <v>8</v>
      </c>
      <c r="J932" s="11" t="n">
        <v>9000</v>
      </c>
      <c r="K932" s="12" t="n">
        <v>0.15</v>
      </c>
      <c r="L932" s="11" t="n">
        <v>6200</v>
      </c>
      <c r="M932" s="11" t="n">
        <f aca="false">I932*J932*(1-K932)</f>
        <v>61200</v>
      </c>
      <c r="N932" s="11" t="n">
        <f aca="false">M932-I932*L932</f>
        <v>11600</v>
      </c>
    </row>
    <row r="933" customFormat="false" ht="15" hidden="false" customHeight="false" outlineLevel="0" collapsed="false">
      <c r="A933" s="2" t="s">
        <v>1496</v>
      </c>
      <c r="B933" s="2" t="s">
        <v>1497</v>
      </c>
      <c r="C933" s="10" t="n">
        <v>45834</v>
      </c>
      <c r="D933" s="2" t="n">
        <f aca="false">MONTH(C933)</f>
        <v>6</v>
      </c>
      <c r="E933" s="2" t="s">
        <v>81</v>
      </c>
      <c r="F933" s="2" t="s">
        <v>69</v>
      </c>
      <c r="G933" s="2" t="s">
        <v>70</v>
      </c>
      <c r="H933" s="2" t="s">
        <v>71</v>
      </c>
      <c r="I933" s="2" t="n">
        <v>5</v>
      </c>
      <c r="J933" s="11" t="n">
        <v>2500</v>
      </c>
      <c r="K933" s="12" t="n">
        <v>0</v>
      </c>
      <c r="L933" s="11" t="n">
        <v>1600</v>
      </c>
      <c r="M933" s="11" t="n">
        <f aca="false">I933*J933*(1-K933)</f>
        <v>12500</v>
      </c>
      <c r="N933" s="11" t="n">
        <f aca="false">M933-I933*L933</f>
        <v>4500</v>
      </c>
    </row>
    <row r="934" customFormat="false" ht="15" hidden="false" customHeight="false" outlineLevel="0" collapsed="false">
      <c r="A934" s="2" t="s">
        <v>1539</v>
      </c>
      <c r="B934" s="2" t="s">
        <v>1538</v>
      </c>
      <c r="C934" s="10" t="n">
        <v>45834</v>
      </c>
      <c r="D934" s="2" t="n">
        <f aca="false">MONTH(C934)</f>
        <v>6</v>
      </c>
      <c r="E934" s="2" t="s">
        <v>77</v>
      </c>
      <c r="F934" s="2" t="s">
        <v>64</v>
      </c>
      <c r="G934" s="2" t="s">
        <v>70</v>
      </c>
      <c r="H934" s="2" t="s">
        <v>97</v>
      </c>
      <c r="I934" s="2" t="n">
        <v>1</v>
      </c>
      <c r="J934" s="11" t="n">
        <v>3000</v>
      </c>
      <c r="K934" s="12" t="n">
        <v>0</v>
      </c>
      <c r="L934" s="11" t="n">
        <v>2000</v>
      </c>
      <c r="M934" s="11" t="n">
        <f aca="false">I934*J934*(1-K934)</f>
        <v>3000</v>
      </c>
      <c r="N934" s="11" t="n">
        <f aca="false">M934-I934*L934</f>
        <v>1000</v>
      </c>
    </row>
    <row r="935" customFormat="false" ht="15" hidden="false" customHeight="false" outlineLevel="0" collapsed="false">
      <c r="A935" s="2" t="s">
        <v>1876</v>
      </c>
      <c r="B935" s="2" t="s">
        <v>1877</v>
      </c>
      <c r="C935" s="10" t="n">
        <v>45834</v>
      </c>
      <c r="D935" s="2" t="n">
        <f aca="false">MONTH(C935)</f>
        <v>6</v>
      </c>
      <c r="E935" s="2" t="s">
        <v>77</v>
      </c>
      <c r="F935" s="2" t="s">
        <v>64</v>
      </c>
      <c r="G935" s="2" t="s">
        <v>73</v>
      </c>
      <c r="H935" s="2" t="s">
        <v>87</v>
      </c>
      <c r="I935" s="2" t="n">
        <v>2</v>
      </c>
      <c r="J935" s="11" t="n">
        <v>9000</v>
      </c>
      <c r="K935" s="12" t="n">
        <v>0.1</v>
      </c>
      <c r="L935" s="11" t="n">
        <v>6200</v>
      </c>
      <c r="M935" s="11" t="n">
        <f aca="false">I935*J935*(1-K935)</f>
        <v>16200</v>
      </c>
      <c r="N935" s="11" t="n">
        <f aca="false">M935-I935*L935</f>
        <v>3800</v>
      </c>
    </row>
    <row r="936" customFormat="false" ht="15" hidden="false" customHeight="false" outlineLevel="0" collapsed="false">
      <c r="A936" s="2" t="s">
        <v>2291</v>
      </c>
      <c r="B936" s="2" t="s">
        <v>2288</v>
      </c>
      <c r="C936" s="10" t="n">
        <v>45834</v>
      </c>
      <c r="D936" s="2" t="n">
        <f aca="false">MONTH(C936)</f>
        <v>6</v>
      </c>
      <c r="E936" s="2" t="s">
        <v>63</v>
      </c>
      <c r="F936" s="2" t="s">
        <v>64</v>
      </c>
      <c r="G936" s="2" t="s">
        <v>65</v>
      </c>
      <c r="H936" s="2" t="s">
        <v>78</v>
      </c>
      <c r="I936" s="2" t="n">
        <v>6</v>
      </c>
      <c r="J936" s="11" t="n">
        <v>400</v>
      </c>
      <c r="K936" s="12" t="n">
        <v>0</v>
      </c>
      <c r="L936" s="11" t="n">
        <v>200</v>
      </c>
      <c r="M936" s="11" t="n">
        <f aca="false">I936*J936*(1-K936)</f>
        <v>2400</v>
      </c>
      <c r="N936" s="11" t="n">
        <f aca="false">M936-I936*L936</f>
        <v>1200</v>
      </c>
    </row>
    <row r="937" customFormat="false" ht="15" hidden="false" customHeight="false" outlineLevel="0" collapsed="false">
      <c r="A937" s="2" t="s">
        <v>173</v>
      </c>
      <c r="B937" s="2" t="s">
        <v>166</v>
      </c>
      <c r="C937" s="10" t="n">
        <v>45835</v>
      </c>
      <c r="D937" s="2" t="n">
        <f aca="false">MONTH(C937)</f>
        <v>6</v>
      </c>
      <c r="E937" s="2" t="s">
        <v>63</v>
      </c>
      <c r="F937" s="2" t="s">
        <v>92</v>
      </c>
      <c r="G937" s="2" t="s">
        <v>70</v>
      </c>
      <c r="H937" s="2" t="s">
        <v>126</v>
      </c>
      <c r="I937" s="2" t="n">
        <v>4</v>
      </c>
      <c r="J937" s="11" t="n">
        <v>4500</v>
      </c>
      <c r="K937" s="12" t="n">
        <v>0.05</v>
      </c>
      <c r="L937" s="11" t="n">
        <v>3300</v>
      </c>
      <c r="M937" s="11" t="n">
        <f aca="false">I937*J937*(1-K937)</f>
        <v>17100</v>
      </c>
      <c r="N937" s="11" t="n">
        <f aca="false">M937-I937*L937</f>
        <v>3900</v>
      </c>
    </row>
    <row r="938" customFormat="false" ht="15" hidden="false" customHeight="false" outlineLevel="0" collapsed="false">
      <c r="A938" s="2" t="s">
        <v>223</v>
      </c>
      <c r="B938" s="2" t="s">
        <v>224</v>
      </c>
      <c r="C938" s="10" t="n">
        <v>45835</v>
      </c>
      <c r="D938" s="2" t="n">
        <f aca="false">MONTH(C938)</f>
        <v>6</v>
      </c>
      <c r="E938" s="2" t="s">
        <v>77</v>
      </c>
      <c r="F938" s="2" t="s">
        <v>69</v>
      </c>
      <c r="G938" s="2" t="s">
        <v>73</v>
      </c>
      <c r="H938" s="2" t="s">
        <v>87</v>
      </c>
      <c r="I938" s="2" t="n">
        <v>5</v>
      </c>
      <c r="J938" s="11" t="n">
        <v>9000</v>
      </c>
      <c r="K938" s="12" t="n">
        <v>0</v>
      </c>
      <c r="L938" s="11" t="n">
        <v>6200</v>
      </c>
      <c r="M938" s="11" t="n">
        <f aca="false">I938*J938*(1-K938)</f>
        <v>45000</v>
      </c>
      <c r="N938" s="11" t="n">
        <f aca="false">M938-I938*L938</f>
        <v>14000</v>
      </c>
    </row>
    <row r="939" customFormat="false" ht="15" hidden="false" customHeight="false" outlineLevel="0" collapsed="false">
      <c r="A939" s="2" t="s">
        <v>350</v>
      </c>
      <c r="B939" s="2" t="s">
        <v>349</v>
      </c>
      <c r="C939" s="10" t="n">
        <v>45835</v>
      </c>
      <c r="D939" s="2" t="n">
        <f aca="false">MONTH(C939)</f>
        <v>6</v>
      </c>
      <c r="E939" s="2" t="s">
        <v>77</v>
      </c>
      <c r="F939" s="2" t="s">
        <v>64</v>
      </c>
      <c r="G939" s="2" t="s">
        <v>65</v>
      </c>
      <c r="H939" s="2" t="s">
        <v>78</v>
      </c>
      <c r="I939" s="2" t="n">
        <v>2</v>
      </c>
      <c r="J939" s="11" t="n">
        <v>400</v>
      </c>
      <c r="K939" s="12" t="n">
        <v>0</v>
      </c>
      <c r="L939" s="11" t="n">
        <v>200</v>
      </c>
      <c r="M939" s="11" t="n">
        <f aca="false">I939*J939*(1-K939)</f>
        <v>800</v>
      </c>
      <c r="N939" s="11" t="n">
        <f aca="false">M939-I939*L939</f>
        <v>400</v>
      </c>
    </row>
    <row r="940" customFormat="false" ht="15" hidden="false" customHeight="false" outlineLevel="0" collapsed="false">
      <c r="A940" s="2" t="s">
        <v>433</v>
      </c>
      <c r="B940" s="2" t="s">
        <v>430</v>
      </c>
      <c r="C940" s="10" t="n">
        <v>45835</v>
      </c>
      <c r="D940" s="2" t="n">
        <f aca="false">MONTH(C940)</f>
        <v>6</v>
      </c>
      <c r="E940" s="2" t="s">
        <v>77</v>
      </c>
      <c r="F940" s="2" t="s">
        <v>92</v>
      </c>
      <c r="G940" s="2" t="s">
        <v>70</v>
      </c>
      <c r="H940" s="2" t="s">
        <v>126</v>
      </c>
      <c r="I940" s="2" t="n">
        <v>3</v>
      </c>
      <c r="J940" s="11" t="n">
        <v>4500</v>
      </c>
      <c r="K940" s="12" t="n">
        <v>0.15</v>
      </c>
      <c r="L940" s="11" t="n">
        <v>3300</v>
      </c>
      <c r="M940" s="11" t="n">
        <f aca="false">I940*J940*(1-K940)</f>
        <v>11475</v>
      </c>
      <c r="N940" s="11" t="n">
        <f aca="false">M940-I940*L940</f>
        <v>1575</v>
      </c>
    </row>
    <row r="941" customFormat="false" ht="15" hidden="false" customHeight="false" outlineLevel="0" collapsed="false">
      <c r="A941" s="2" t="s">
        <v>709</v>
      </c>
      <c r="B941" s="2" t="s">
        <v>706</v>
      </c>
      <c r="C941" s="10" t="n">
        <v>45835</v>
      </c>
      <c r="D941" s="2" t="n">
        <f aca="false">MONTH(C941)</f>
        <v>6</v>
      </c>
      <c r="E941" s="2" t="s">
        <v>63</v>
      </c>
      <c r="F941" s="2" t="s">
        <v>69</v>
      </c>
      <c r="G941" s="2" t="s">
        <v>70</v>
      </c>
      <c r="H941" s="2" t="s">
        <v>71</v>
      </c>
      <c r="I941" s="2" t="n">
        <v>3</v>
      </c>
      <c r="J941" s="11" t="n">
        <v>2500</v>
      </c>
      <c r="K941" s="12" t="n">
        <v>0</v>
      </c>
      <c r="L941" s="11" t="n">
        <v>1600</v>
      </c>
      <c r="M941" s="11" t="n">
        <f aca="false">I941*J941*(1-K941)</f>
        <v>7500</v>
      </c>
      <c r="N941" s="11" t="n">
        <f aca="false">M941-I941*L941</f>
        <v>2700</v>
      </c>
    </row>
    <row r="942" customFormat="false" ht="15" hidden="false" customHeight="false" outlineLevel="0" collapsed="false">
      <c r="A942" s="2" t="s">
        <v>1162</v>
      </c>
      <c r="B942" s="2" t="s">
        <v>1163</v>
      </c>
      <c r="C942" s="10" t="n">
        <v>45835</v>
      </c>
      <c r="D942" s="2" t="n">
        <f aca="false">MONTH(C942)</f>
        <v>6</v>
      </c>
      <c r="E942" s="2" t="s">
        <v>77</v>
      </c>
      <c r="F942" s="2" t="s">
        <v>64</v>
      </c>
      <c r="G942" s="2" t="s">
        <v>73</v>
      </c>
      <c r="H942" s="2" t="s">
        <v>74</v>
      </c>
      <c r="I942" s="2" t="n">
        <v>2</v>
      </c>
      <c r="J942" s="11" t="n">
        <v>7000</v>
      </c>
      <c r="K942" s="12" t="n">
        <v>0</v>
      </c>
      <c r="L942" s="11" t="n">
        <v>4800</v>
      </c>
      <c r="M942" s="11" t="n">
        <f aca="false">I942*J942*(1-K942)</f>
        <v>14000</v>
      </c>
      <c r="N942" s="11" t="n">
        <f aca="false">M942-I942*L942</f>
        <v>4400</v>
      </c>
    </row>
    <row r="943" customFormat="false" ht="15" hidden="false" customHeight="false" outlineLevel="0" collapsed="false">
      <c r="A943" s="2" t="s">
        <v>1236</v>
      </c>
      <c r="B943" s="2" t="s">
        <v>1237</v>
      </c>
      <c r="C943" s="10" t="n">
        <v>45835</v>
      </c>
      <c r="D943" s="2" t="n">
        <f aca="false">MONTH(C943)</f>
        <v>6</v>
      </c>
      <c r="E943" s="2" t="s">
        <v>63</v>
      </c>
      <c r="F943" s="2" t="s">
        <v>64</v>
      </c>
      <c r="G943" s="2" t="s">
        <v>65</v>
      </c>
      <c r="H943" s="2" t="s">
        <v>78</v>
      </c>
      <c r="I943" s="2" t="n">
        <v>5</v>
      </c>
      <c r="J943" s="11" t="n">
        <v>400</v>
      </c>
      <c r="K943" s="12" t="n">
        <v>0.1</v>
      </c>
      <c r="L943" s="11" t="n">
        <v>200</v>
      </c>
      <c r="M943" s="11" t="n">
        <f aca="false">I943*J943*(1-K943)</f>
        <v>1800</v>
      </c>
      <c r="N943" s="11" t="n">
        <f aca="false">M943-I943*L943</f>
        <v>800</v>
      </c>
    </row>
    <row r="944" customFormat="false" ht="15" hidden="false" customHeight="false" outlineLevel="0" collapsed="false">
      <c r="A944" s="2" t="s">
        <v>1929</v>
      </c>
      <c r="B944" s="2" t="s">
        <v>1928</v>
      </c>
      <c r="C944" s="10" t="n">
        <v>45835</v>
      </c>
      <c r="D944" s="2" t="n">
        <f aca="false">MONTH(C944)</f>
        <v>6</v>
      </c>
      <c r="E944" s="2" t="s">
        <v>77</v>
      </c>
      <c r="F944" s="2" t="s">
        <v>64</v>
      </c>
      <c r="G944" s="2" t="s">
        <v>65</v>
      </c>
      <c r="H944" s="2" t="s">
        <v>82</v>
      </c>
      <c r="I944" s="2" t="n">
        <v>4</v>
      </c>
      <c r="J944" s="11" t="n">
        <v>250</v>
      </c>
      <c r="K944" s="12" t="n">
        <v>0</v>
      </c>
      <c r="L944" s="11" t="n">
        <v>100</v>
      </c>
      <c r="M944" s="11" t="n">
        <f aca="false">I944*J944*(1-K944)</f>
        <v>1000</v>
      </c>
      <c r="N944" s="11" t="n">
        <f aca="false">M944-I944*L944</f>
        <v>600</v>
      </c>
    </row>
    <row r="945" customFormat="false" ht="15" hidden="false" customHeight="false" outlineLevel="0" collapsed="false">
      <c r="A945" s="2" t="s">
        <v>2774</v>
      </c>
      <c r="B945" s="2" t="s">
        <v>2772</v>
      </c>
      <c r="C945" s="10" t="n">
        <v>45835</v>
      </c>
      <c r="D945" s="2" t="n">
        <f aca="false">MONTH(C945)</f>
        <v>6</v>
      </c>
      <c r="E945" s="2" t="s">
        <v>63</v>
      </c>
      <c r="F945" s="2" t="s">
        <v>64</v>
      </c>
      <c r="G945" s="2" t="s">
        <v>70</v>
      </c>
      <c r="H945" s="2" t="s">
        <v>126</v>
      </c>
      <c r="I945" s="2" t="n">
        <v>1</v>
      </c>
      <c r="J945" s="11" t="n">
        <v>4500</v>
      </c>
      <c r="K945" s="12" t="n">
        <v>0</v>
      </c>
      <c r="L945" s="11" t="n">
        <v>3300</v>
      </c>
      <c r="M945" s="11" t="n">
        <f aca="false">I945*J945*(1-K945)</f>
        <v>4500</v>
      </c>
      <c r="N945" s="11" t="n">
        <f aca="false">M945-I945*L945</f>
        <v>1200</v>
      </c>
    </row>
    <row r="946" customFormat="false" ht="15" hidden="false" customHeight="false" outlineLevel="0" collapsed="false">
      <c r="A946" s="2" t="s">
        <v>2850</v>
      </c>
      <c r="B946" s="2" t="s">
        <v>2846</v>
      </c>
      <c r="C946" s="10" t="n">
        <v>45835</v>
      </c>
      <c r="D946" s="2" t="n">
        <f aca="false">MONTH(C946)</f>
        <v>6</v>
      </c>
      <c r="E946" s="2" t="s">
        <v>63</v>
      </c>
      <c r="F946" s="2" t="s">
        <v>69</v>
      </c>
      <c r="G946" s="2" t="s">
        <v>65</v>
      </c>
      <c r="H946" s="2" t="s">
        <v>78</v>
      </c>
      <c r="I946" s="2" t="n">
        <v>17</v>
      </c>
      <c r="J946" s="11" t="n">
        <v>400</v>
      </c>
      <c r="K946" s="12" t="n">
        <v>0.1</v>
      </c>
      <c r="L946" s="11" t="n">
        <v>200</v>
      </c>
      <c r="M946" s="11" t="n">
        <f aca="false">I946*J946*(1-K946)</f>
        <v>6120</v>
      </c>
      <c r="N946" s="11" t="n">
        <f aca="false">M946-I946*L946</f>
        <v>2720</v>
      </c>
    </row>
    <row r="947" customFormat="false" ht="15" hidden="false" customHeight="false" outlineLevel="0" collapsed="false">
      <c r="A947" s="2" t="s">
        <v>1784</v>
      </c>
      <c r="B947" s="2" t="s">
        <v>1783</v>
      </c>
      <c r="C947" s="10" t="n">
        <v>45836</v>
      </c>
      <c r="D947" s="2" t="n">
        <f aca="false">MONTH(C947)</f>
        <v>6</v>
      </c>
      <c r="E947" s="2" t="s">
        <v>77</v>
      </c>
      <c r="F947" s="2" t="s">
        <v>64</v>
      </c>
      <c r="G947" s="2" t="s">
        <v>65</v>
      </c>
      <c r="H947" s="2" t="s">
        <v>66</v>
      </c>
      <c r="I947" s="2" t="n">
        <v>7</v>
      </c>
      <c r="J947" s="11" t="n">
        <v>600</v>
      </c>
      <c r="K947" s="12" t="n">
        <v>0</v>
      </c>
      <c r="L947" s="11" t="n">
        <v>300</v>
      </c>
      <c r="M947" s="11" t="n">
        <f aca="false">I947*J947*(1-K947)</f>
        <v>4200</v>
      </c>
      <c r="N947" s="11" t="n">
        <f aca="false">M947-I947*L947</f>
        <v>2100</v>
      </c>
    </row>
    <row r="948" customFormat="false" ht="15" hidden="false" customHeight="false" outlineLevel="0" collapsed="false">
      <c r="A948" s="2" t="s">
        <v>2491</v>
      </c>
      <c r="B948" s="2" t="s">
        <v>2486</v>
      </c>
      <c r="C948" s="10" t="n">
        <v>45836</v>
      </c>
      <c r="D948" s="2" t="n">
        <f aca="false">MONTH(C948)</f>
        <v>6</v>
      </c>
      <c r="E948" s="2" t="s">
        <v>63</v>
      </c>
      <c r="F948" s="2" t="s">
        <v>64</v>
      </c>
      <c r="G948" s="2" t="s">
        <v>73</v>
      </c>
      <c r="H948" s="2" t="s">
        <v>74</v>
      </c>
      <c r="I948" s="2" t="n">
        <v>2</v>
      </c>
      <c r="J948" s="11" t="n">
        <v>7000</v>
      </c>
      <c r="K948" s="12" t="n">
        <v>0</v>
      </c>
      <c r="L948" s="11" t="n">
        <v>4800</v>
      </c>
      <c r="M948" s="11" t="n">
        <f aca="false">I948*J948*(1-K948)</f>
        <v>14000</v>
      </c>
      <c r="N948" s="11" t="n">
        <f aca="false">M948-I948*L948</f>
        <v>4400</v>
      </c>
    </row>
    <row r="949" customFormat="false" ht="15" hidden="false" customHeight="false" outlineLevel="0" collapsed="false">
      <c r="A949" s="2" t="s">
        <v>1053</v>
      </c>
      <c r="B949" s="2" t="s">
        <v>1051</v>
      </c>
      <c r="C949" s="10" t="n">
        <v>45839</v>
      </c>
      <c r="D949" s="2" t="n">
        <f aca="false">MONTH(C949)</f>
        <v>7</v>
      </c>
      <c r="E949" s="2" t="s">
        <v>91</v>
      </c>
      <c r="F949" s="2" t="s">
        <v>64</v>
      </c>
      <c r="G949" s="2" t="s">
        <v>65</v>
      </c>
      <c r="H949" s="2" t="s">
        <v>107</v>
      </c>
      <c r="I949" s="2" t="n">
        <v>4</v>
      </c>
      <c r="J949" s="11" t="n">
        <v>500</v>
      </c>
      <c r="K949" s="12" t="n">
        <v>0</v>
      </c>
      <c r="L949" s="11" t="n">
        <v>250</v>
      </c>
      <c r="M949" s="11" t="n">
        <f aca="false">I949*J949*(1-K949)</f>
        <v>2000</v>
      </c>
      <c r="N949" s="11" t="n">
        <f aca="false">M949-I949*L949</f>
        <v>1000</v>
      </c>
    </row>
    <row r="950" customFormat="false" ht="15" hidden="false" customHeight="false" outlineLevel="0" collapsed="false">
      <c r="A950" s="2" t="s">
        <v>1178</v>
      </c>
      <c r="B950" s="2" t="s">
        <v>1179</v>
      </c>
      <c r="C950" s="10" t="n">
        <v>45839</v>
      </c>
      <c r="D950" s="2" t="n">
        <f aca="false">MONTH(C950)</f>
        <v>7</v>
      </c>
      <c r="E950" s="2" t="s">
        <v>91</v>
      </c>
      <c r="F950" s="2" t="s">
        <v>92</v>
      </c>
      <c r="G950" s="2" t="s">
        <v>65</v>
      </c>
      <c r="H950" s="2" t="s">
        <v>82</v>
      </c>
      <c r="I950" s="2" t="n">
        <v>22</v>
      </c>
      <c r="J950" s="11" t="n">
        <v>250</v>
      </c>
      <c r="K950" s="12" t="n">
        <v>0</v>
      </c>
      <c r="L950" s="11" t="n">
        <v>100</v>
      </c>
      <c r="M950" s="11" t="n">
        <f aca="false">I950*J950*(1-K950)</f>
        <v>5500</v>
      </c>
      <c r="N950" s="11" t="n">
        <f aca="false">M950-I950*L950</f>
        <v>3300</v>
      </c>
    </row>
    <row r="951" customFormat="false" ht="15" hidden="false" customHeight="false" outlineLevel="0" collapsed="false">
      <c r="A951" s="2" t="s">
        <v>1511</v>
      </c>
      <c r="B951" s="2" t="s">
        <v>1509</v>
      </c>
      <c r="C951" s="10" t="n">
        <v>45839</v>
      </c>
      <c r="D951" s="2" t="n">
        <f aca="false">MONTH(C951)</f>
        <v>7</v>
      </c>
      <c r="E951" s="2" t="s">
        <v>63</v>
      </c>
      <c r="F951" s="2" t="s">
        <v>92</v>
      </c>
      <c r="G951" s="2" t="s">
        <v>73</v>
      </c>
      <c r="H951" s="2" t="s">
        <v>87</v>
      </c>
      <c r="I951" s="2" t="n">
        <v>2</v>
      </c>
      <c r="J951" s="11" t="n">
        <v>9000</v>
      </c>
      <c r="K951" s="12" t="n">
        <v>0.1</v>
      </c>
      <c r="L951" s="11" t="n">
        <v>6200</v>
      </c>
      <c r="M951" s="11" t="n">
        <f aca="false">I951*J951*(1-K951)</f>
        <v>16200</v>
      </c>
      <c r="N951" s="11" t="n">
        <f aca="false">M951-I951*L951</f>
        <v>3800</v>
      </c>
    </row>
    <row r="952" customFormat="false" ht="15" hidden="false" customHeight="false" outlineLevel="0" collapsed="false">
      <c r="A952" s="2" t="s">
        <v>1091</v>
      </c>
      <c r="B952" s="2" t="s">
        <v>1084</v>
      </c>
      <c r="C952" s="10" t="n">
        <v>45840</v>
      </c>
      <c r="D952" s="2" t="n">
        <f aca="false">MONTH(C952)</f>
        <v>7</v>
      </c>
      <c r="E952" s="2" t="s">
        <v>77</v>
      </c>
      <c r="F952" s="2" t="s">
        <v>64</v>
      </c>
      <c r="G952" s="2" t="s">
        <v>65</v>
      </c>
      <c r="H952" s="2" t="s">
        <v>107</v>
      </c>
      <c r="I952" s="2" t="n">
        <v>5</v>
      </c>
      <c r="J952" s="11" t="n">
        <v>500</v>
      </c>
      <c r="K952" s="12" t="n">
        <v>0</v>
      </c>
      <c r="L952" s="11" t="n">
        <v>250</v>
      </c>
      <c r="M952" s="11" t="n">
        <f aca="false">I952*J952*(1-K952)</f>
        <v>2500</v>
      </c>
      <c r="N952" s="11" t="n">
        <f aca="false">M952-I952*L952</f>
        <v>1250</v>
      </c>
    </row>
    <row r="953" customFormat="false" ht="15" hidden="false" customHeight="false" outlineLevel="0" collapsed="false">
      <c r="A953" s="2" t="s">
        <v>2471</v>
      </c>
      <c r="B953" s="2" t="s">
        <v>2469</v>
      </c>
      <c r="C953" s="10" t="n">
        <v>45840</v>
      </c>
      <c r="D953" s="2" t="n">
        <f aca="false">MONTH(C953)</f>
        <v>7</v>
      </c>
      <c r="E953" s="2" t="s">
        <v>81</v>
      </c>
      <c r="F953" s="2" t="s">
        <v>64</v>
      </c>
      <c r="G953" s="2" t="s">
        <v>65</v>
      </c>
      <c r="H953" s="2" t="s">
        <v>78</v>
      </c>
      <c r="I953" s="2" t="n">
        <v>2</v>
      </c>
      <c r="J953" s="11" t="n">
        <v>400</v>
      </c>
      <c r="K953" s="12" t="n">
        <v>0</v>
      </c>
      <c r="L953" s="11" t="n">
        <v>200</v>
      </c>
      <c r="M953" s="11" t="n">
        <f aca="false">I953*J953*(1-K953)</f>
        <v>800</v>
      </c>
      <c r="N953" s="11" t="n">
        <f aca="false">M953-I953*L953</f>
        <v>400</v>
      </c>
    </row>
    <row r="954" customFormat="false" ht="15" hidden="false" customHeight="false" outlineLevel="0" collapsed="false">
      <c r="A954" s="2" t="s">
        <v>2932</v>
      </c>
      <c r="B954" s="2" t="s">
        <v>2929</v>
      </c>
      <c r="C954" s="10" t="n">
        <v>45840</v>
      </c>
      <c r="D954" s="2" t="n">
        <f aca="false">MONTH(C954)</f>
        <v>7</v>
      </c>
      <c r="E954" s="2" t="s">
        <v>91</v>
      </c>
      <c r="F954" s="2" t="s">
        <v>64</v>
      </c>
      <c r="G954" s="2" t="s">
        <v>70</v>
      </c>
      <c r="H954" s="2" t="s">
        <v>122</v>
      </c>
      <c r="I954" s="2" t="n">
        <v>2</v>
      </c>
      <c r="J954" s="11" t="n">
        <v>1500</v>
      </c>
      <c r="K954" s="12" t="n">
        <v>0</v>
      </c>
      <c r="L954" s="11" t="n">
        <v>900</v>
      </c>
      <c r="M954" s="11" t="n">
        <f aca="false">I954*J954*(1-K954)</f>
        <v>3000</v>
      </c>
      <c r="N954" s="11" t="n">
        <f aca="false">M954-I954*L954</f>
        <v>1200</v>
      </c>
    </row>
    <row r="955" customFormat="false" ht="15" hidden="false" customHeight="false" outlineLevel="0" collapsed="false">
      <c r="A955" s="2" t="s">
        <v>131</v>
      </c>
      <c r="B955" s="2" t="s">
        <v>132</v>
      </c>
      <c r="C955" s="10" t="n">
        <v>45842</v>
      </c>
      <c r="D955" s="2" t="n">
        <f aca="false">MONTH(C955)</f>
        <v>7</v>
      </c>
      <c r="E955" s="2" t="s">
        <v>77</v>
      </c>
      <c r="F955" s="2" t="s">
        <v>64</v>
      </c>
      <c r="G955" s="2" t="s">
        <v>70</v>
      </c>
      <c r="H955" s="2" t="s">
        <v>122</v>
      </c>
      <c r="I955" s="2" t="n">
        <v>2</v>
      </c>
      <c r="J955" s="11" t="n">
        <v>1500</v>
      </c>
      <c r="K955" s="12" t="n">
        <v>0.05</v>
      </c>
      <c r="L955" s="11" t="n">
        <v>900</v>
      </c>
      <c r="M955" s="11" t="n">
        <f aca="false">I955*J955*(1-K955)</f>
        <v>2850</v>
      </c>
      <c r="N955" s="11" t="n">
        <f aca="false">M955-I955*L955</f>
        <v>1050</v>
      </c>
    </row>
    <row r="956" customFormat="false" ht="15" hidden="false" customHeight="false" outlineLevel="0" collapsed="false">
      <c r="A956" s="2" t="s">
        <v>670</v>
      </c>
      <c r="B956" s="2" t="s">
        <v>671</v>
      </c>
      <c r="C956" s="10" t="n">
        <v>45842</v>
      </c>
      <c r="D956" s="2" t="n">
        <f aca="false">MONTH(C956)</f>
        <v>7</v>
      </c>
      <c r="E956" s="2" t="s">
        <v>63</v>
      </c>
      <c r="F956" s="2" t="s">
        <v>69</v>
      </c>
      <c r="G956" s="2" t="s">
        <v>65</v>
      </c>
      <c r="H956" s="2" t="s">
        <v>107</v>
      </c>
      <c r="I956" s="2" t="n">
        <v>12</v>
      </c>
      <c r="J956" s="11" t="n">
        <v>500</v>
      </c>
      <c r="K956" s="12" t="n">
        <v>0</v>
      </c>
      <c r="L956" s="11" t="n">
        <v>250</v>
      </c>
      <c r="M956" s="11" t="n">
        <f aca="false">I956*J956*(1-K956)</f>
        <v>6000</v>
      </c>
      <c r="N956" s="11" t="n">
        <f aca="false">M956-I956*L956</f>
        <v>3000</v>
      </c>
    </row>
    <row r="957" customFormat="false" ht="15" hidden="false" customHeight="false" outlineLevel="0" collapsed="false">
      <c r="A957" s="2" t="s">
        <v>1355</v>
      </c>
      <c r="B957" s="2" t="s">
        <v>1356</v>
      </c>
      <c r="C957" s="10" t="n">
        <v>45842</v>
      </c>
      <c r="D957" s="2" t="n">
        <f aca="false">MONTH(C957)</f>
        <v>7</v>
      </c>
      <c r="E957" s="2" t="s">
        <v>91</v>
      </c>
      <c r="F957" s="2" t="s">
        <v>69</v>
      </c>
      <c r="G957" s="2" t="s">
        <v>65</v>
      </c>
      <c r="H957" s="2" t="s">
        <v>66</v>
      </c>
      <c r="I957" s="2" t="n">
        <v>6</v>
      </c>
      <c r="J957" s="11" t="n">
        <v>600</v>
      </c>
      <c r="K957" s="12" t="n">
        <v>0.05</v>
      </c>
      <c r="L957" s="11" t="n">
        <v>300</v>
      </c>
      <c r="M957" s="11" t="n">
        <f aca="false">I957*J957*(1-K957)</f>
        <v>3420</v>
      </c>
      <c r="N957" s="11" t="n">
        <f aca="false">M957-I957*L957</f>
        <v>1620</v>
      </c>
    </row>
    <row r="958" customFormat="false" ht="15" hidden="false" customHeight="false" outlineLevel="0" collapsed="false">
      <c r="A958" s="2" t="s">
        <v>1570</v>
      </c>
      <c r="B958" s="2" t="s">
        <v>1567</v>
      </c>
      <c r="C958" s="10" t="n">
        <v>45842</v>
      </c>
      <c r="D958" s="2" t="n">
        <f aca="false">MONTH(C958)</f>
        <v>7</v>
      </c>
      <c r="E958" s="2" t="s">
        <v>81</v>
      </c>
      <c r="F958" s="2" t="s">
        <v>64</v>
      </c>
      <c r="G958" s="2" t="s">
        <v>65</v>
      </c>
      <c r="H958" s="2" t="s">
        <v>78</v>
      </c>
      <c r="I958" s="2" t="n">
        <v>4</v>
      </c>
      <c r="J958" s="11" t="n">
        <v>400</v>
      </c>
      <c r="K958" s="12" t="n">
        <v>0.05</v>
      </c>
      <c r="L958" s="11" t="n">
        <v>200</v>
      </c>
      <c r="M958" s="11" t="n">
        <f aca="false">I958*J958*(1-K958)</f>
        <v>1520</v>
      </c>
      <c r="N958" s="11" t="n">
        <f aca="false">M958-I958*L958</f>
        <v>720</v>
      </c>
    </row>
    <row r="959" customFormat="false" ht="15" hidden="false" customHeight="false" outlineLevel="0" collapsed="false">
      <c r="A959" s="2" t="s">
        <v>1704</v>
      </c>
      <c r="B959" s="2" t="s">
        <v>1705</v>
      </c>
      <c r="C959" s="10" t="n">
        <v>45842</v>
      </c>
      <c r="D959" s="2" t="n">
        <f aca="false">MONTH(C959)</f>
        <v>7</v>
      </c>
      <c r="E959" s="2" t="s">
        <v>63</v>
      </c>
      <c r="F959" s="2" t="s">
        <v>64</v>
      </c>
      <c r="G959" s="2" t="s">
        <v>73</v>
      </c>
      <c r="H959" s="2" t="s">
        <v>87</v>
      </c>
      <c r="I959" s="2" t="n">
        <v>1</v>
      </c>
      <c r="J959" s="11" t="n">
        <v>9000</v>
      </c>
      <c r="K959" s="12" t="n">
        <v>0</v>
      </c>
      <c r="L959" s="11" t="n">
        <v>6200</v>
      </c>
      <c r="M959" s="11" t="n">
        <f aca="false">I959*J959*(1-K959)</f>
        <v>9000</v>
      </c>
      <c r="N959" s="11" t="n">
        <f aca="false">M959-I959*L959</f>
        <v>2800</v>
      </c>
    </row>
    <row r="960" customFormat="false" ht="15" hidden="false" customHeight="false" outlineLevel="0" collapsed="false">
      <c r="A960" s="2" t="s">
        <v>2066</v>
      </c>
      <c r="B960" s="2" t="s">
        <v>2065</v>
      </c>
      <c r="C960" s="10" t="n">
        <v>45842</v>
      </c>
      <c r="D960" s="2" t="n">
        <f aca="false">MONTH(C960)</f>
        <v>7</v>
      </c>
      <c r="E960" s="2" t="s">
        <v>77</v>
      </c>
      <c r="F960" s="2" t="s">
        <v>64</v>
      </c>
      <c r="G960" s="2" t="s">
        <v>73</v>
      </c>
      <c r="H960" s="2" t="s">
        <v>87</v>
      </c>
      <c r="I960" s="2" t="n">
        <v>3</v>
      </c>
      <c r="J960" s="11" t="n">
        <v>9000</v>
      </c>
      <c r="K960" s="12" t="n">
        <v>0</v>
      </c>
      <c r="L960" s="11" t="n">
        <v>6200</v>
      </c>
      <c r="M960" s="11" t="n">
        <f aca="false">I960*J960*(1-K960)</f>
        <v>27000</v>
      </c>
      <c r="N960" s="11" t="n">
        <f aca="false">M960-I960*L960</f>
        <v>8400</v>
      </c>
    </row>
    <row r="961" customFormat="false" ht="15" hidden="false" customHeight="false" outlineLevel="0" collapsed="false">
      <c r="A961" s="2" t="s">
        <v>1577</v>
      </c>
      <c r="B961" s="2" t="s">
        <v>1576</v>
      </c>
      <c r="C961" s="10" t="n">
        <v>45843</v>
      </c>
      <c r="D961" s="2" t="n">
        <f aca="false">MONTH(C961)</f>
        <v>7</v>
      </c>
      <c r="E961" s="2" t="s">
        <v>63</v>
      </c>
      <c r="F961" s="2" t="s">
        <v>92</v>
      </c>
      <c r="G961" s="2" t="s">
        <v>73</v>
      </c>
      <c r="H961" s="2" t="s">
        <v>74</v>
      </c>
      <c r="I961" s="2" t="n">
        <v>2</v>
      </c>
      <c r="J961" s="11" t="n">
        <v>7000</v>
      </c>
      <c r="K961" s="12" t="n">
        <v>0.05</v>
      </c>
      <c r="L961" s="11" t="n">
        <v>4800</v>
      </c>
      <c r="M961" s="11" t="n">
        <f aca="false">I961*J961*(1-K961)</f>
        <v>13300</v>
      </c>
      <c r="N961" s="11" t="n">
        <f aca="false">M961-I961*L961</f>
        <v>3700</v>
      </c>
    </row>
    <row r="962" customFormat="false" ht="15" hidden="false" customHeight="false" outlineLevel="0" collapsed="false">
      <c r="A962" s="2" t="s">
        <v>1720</v>
      </c>
      <c r="B962" s="2" t="s">
        <v>1712</v>
      </c>
      <c r="C962" s="10" t="n">
        <v>45843</v>
      </c>
      <c r="D962" s="2" t="n">
        <f aca="false">MONTH(C962)</f>
        <v>7</v>
      </c>
      <c r="E962" s="2" t="s">
        <v>81</v>
      </c>
      <c r="F962" s="2" t="s">
        <v>64</v>
      </c>
      <c r="G962" s="2" t="s">
        <v>65</v>
      </c>
      <c r="H962" s="2" t="s">
        <v>107</v>
      </c>
      <c r="I962" s="2" t="n">
        <v>8</v>
      </c>
      <c r="J962" s="11" t="n">
        <v>500</v>
      </c>
      <c r="K962" s="12" t="n">
        <v>0.05</v>
      </c>
      <c r="L962" s="11" t="n">
        <v>250</v>
      </c>
      <c r="M962" s="11" t="n">
        <f aca="false">I962*J962*(1-K962)</f>
        <v>3800</v>
      </c>
      <c r="N962" s="11" t="n">
        <f aca="false">M962-I962*L962</f>
        <v>1800</v>
      </c>
    </row>
    <row r="963" customFormat="false" ht="15" hidden="false" customHeight="false" outlineLevel="0" collapsed="false">
      <c r="A963" s="2" t="s">
        <v>2157</v>
      </c>
      <c r="B963" s="2" t="s">
        <v>2158</v>
      </c>
      <c r="C963" s="10" t="n">
        <v>45843</v>
      </c>
      <c r="D963" s="2" t="n">
        <f aca="false">MONTH(C963)</f>
        <v>7</v>
      </c>
      <c r="E963" s="2" t="s">
        <v>91</v>
      </c>
      <c r="F963" s="2" t="s">
        <v>64</v>
      </c>
      <c r="G963" s="2" t="s">
        <v>70</v>
      </c>
      <c r="H963" s="2" t="s">
        <v>126</v>
      </c>
      <c r="I963" s="2" t="n">
        <v>2</v>
      </c>
      <c r="J963" s="11" t="n">
        <v>4500</v>
      </c>
      <c r="K963" s="12" t="n">
        <v>0.05</v>
      </c>
      <c r="L963" s="11" t="n">
        <v>3300</v>
      </c>
      <c r="M963" s="11" t="n">
        <f aca="false">I963*J963*(1-K963)</f>
        <v>8550</v>
      </c>
      <c r="N963" s="11" t="n">
        <f aca="false">M963-I963*L963</f>
        <v>1950</v>
      </c>
    </row>
    <row r="964" customFormat="false" ht="15" hidden="false" customHeight="false" outlineLevel="0" collapsed="false">
      <c r="A964" s="2" t="s">
        <v>2513</v>
      </c>
      <c r="B964" s="2" t="s">
        <v>2514</v>
      </c>
      <c r="C964" s="10" t="n">
        <v>45843</v>
      </c>
      <c r="D964" s="2" t="n">
        <f aca="false">MONTH(C964)</f>
        <v>7</v>
      </c>
      <c r="E964" s="2" t="s">
        <v>91</v>
      </c>
      <c r="F964" s="2" t="s">
        <v>64</v>
      </c>
      <c r="G964" s="2" t="s">
        <v>70</v>
      </c>
      <c r="H964" s="2" t="s">
        <v>126</v>
      </c>
      <c r="I964" s="2" t="n">
        <v>3</v>
      </c>
      <c r="J964" s="11" t="n">
        <v>4500</v>
      </c>
      <c r="K964" s="12" t="n">
        <v>0.1</v>
      </c>
      <c r="L964" s="11" t="n">
        <v>3300</v>
      </c>
      <c r="M964" s="11" t="n">
        <f aca="false">I964*J964*(1-K964)</f>
        <v>12150</v>
      </c>
      <c r="N964" s="11" t="n">
        <f aca="false">M964-I964*L964</f>
        <v>2250</v>
      </c>
    </row>
    <row r="965" customFormat="false" ht="15" hidden="false" customHeight="false" outlineLevel="0" collapsed="false">
      <c r="A965" s="2" t="s">
        <v>2609</v>
      </c>
      <c r="B965" s="2" t="s">
        <v>2608</v>
      </c>
      <c r="C965" s="10" t="n">
        <v>45843</v>
      </c>
      <c r="D965" s="2" t="n">
        <f aca="false">MONTH(C965)</f>
        <v>7</v>
      </c>
      <c r="E965" s="2" t="s">
        <v>77</v>
      </c>
      <c r="F965" s="2" t="s">
        <v>64</v>
      </c>
      <c r="G965" s="2" t="s">
        <v>65</v>
      </c>
      <c r="H965" s="2" t="s">
        <v>66</v>
      </c>
      <c r="I965" s="2" t="n">
        <v>4</v>
      </c>
      <c r="J965" s="11" t="n">
        <v>600</v>
      </c>
      <c r="K965" s="12" t="n">
        <v>0.05</v>
      </c>
      <c r="L965" s="11" t="n">
        <v>300</v>
      </c>
      <c r="M965" s="11" t="n">
        <f aca="false">I965*J965*(1-K965)</f>
        <v>2280</v>
      </c>
      <c r="N965" s="11" t="n">
        <f aca="false">M965-I965*L965</f>
        <v>1080</v>
      </c>
    </row>
    <row r="966" customFormat="false" ht="15" hidden="false" customHeight="false" outlineLevel="0" collapsed="false">
      <c r="A966" s="2" t="s">
        <v>2777</v>
      </c>
      <c r="B966" s="2" t="s">
        <v>2776</v>
      </c>
      <c r="C966" s="10" t="n">
        <v>45843</v>
      </c>
      <c r="D966" s="2" t="n">
        <f aca="false">MONTH(C966)</f>
        <v>7</v>
      </c>
      <c r="E966" s="2" t="s">
        <v>77</v>
      </c>
      <c r="F966" s="2" t="s">
        <v>64</v>
      </c>
      <c r="G966" s="2" t="s">
        <v>65</v>
      </c>
      <c r="H966" s="2" t="s">
        <v>82</v>
      </c>
      <c r="I966" s="2" t="n">
        <v>8</v>
      </c>
      <c r="J966" s="11" t="n">
        <v>250</v>
      </c>
      <c r="K966" s="12" t="n">
        <v>0.1</v>
      </c>
      <c r="L966" s="11" t="n">
        <v>100</v>
      </c>
      <c r="M966" s="11" t="n">
        <f aca="false">I966*J966*(1-K966)</f>
        <v>1800</v>
      </c>
      <c r="N966" s="11" t="n">
        <f aca="false">M966-I966*L966</f>
        <v>1000</v>
      </c>
    </row>
    <row r="967" customFormat="false" ht="15" hidden="false" customHeight="false" outlineLevel="0" collapsed="false">
      <c r="A967" s="2" t="s">
        <v>2935</v>
      </c>
      <c r="B967" s="2" t="s">
        <v>2934</v>
      </c>
      <c r="C967" s="10" t="n">
        <v>45843</v>
      </c>
      <c r="D967" s="2" t="n">
        <f aca="false">MONTH(C967)</f>
        <v>7</v>
      </c>
      <c r="E967" s="2" t="s">
        <v>63</v>
      </c>
      <c r="F967" s="2" t="s">
        <v>69</v>
      </c>
      <c r="G967" s="2" t="s">
        <v>73</v>
      </c>
      <c r="H967" s="2" t="s">
        <v>74</v>
      </c>
      <c r="I967" s="2" t="n">
        <v>3</v>
      </c>
      <c r="J967" s="11" t="n">
        <v>7000</v>
      </c>
      <c r="K967" s="12" t="n">
        <v>0</v>
      </c>
      <c r="L967" s="11" t="n">
        <v>4800</v>
      </c>
      <c r="M967" s="11" t="n">
        <f aca="false">I967*J967*(1-K967)</f>
        <v>21000</v>
      </c>
      <c r="N967" s="11" t="n">
        <f aca="false">M967-I967*L967</f>
        <v>6600</v>
      </c>
    </row>
    <row r="968" customFormat="false" ht="15" hidden="false" customHeight="false" outlineLevel="0" collapsed="false">
      <c r="A968" s="2" t="s">
        <v>118</v>
      </c>
      <c r="B968" s="2" t="s">
        <v>117</v>
      </c>
      <c r="C968" s="10" t="n">
        <v>45844</v>
      </c>
      <c r="D968" s="2" t="n">
        <f aca="false">MONTH(C968)</f>
        <v>7</v>
      </c>
      <c r="E968" s="2" t="s">
        <v>81</v>
      </c>
      <c r="F968" s="2" t="s">
        <v>69</v>
      </c>
      <c r="G968" s="2" t="s">
        <v>65</v>
      </c>
      <c r="H968" s="2" t="s">
        <v>82</v>
      </c>
      <c r="I968" s="2" t="n">
        <v>20</v>
      </c>
      <c r="J968" s="11" t="n">
        <v>250</v>
      </c>
      <c r="K968" s="12" t="n">
        <v>0.1</v>
      </c>
      <c r="L968" s="11" t="n">
        <v>100</v>
      </c>
      <c r="M968" s="11" t="n">
        <f aca="false">I968*J968*(1-K968)</f>
        <v>4500</v>
      </c>
      <c r="N968" s="11" t="n">
        <f aca="false">M968-I968*L968</f>
        <v>2500</v>
      </c>
    </row>
    <row r="969" customFormat="false" ht="15" hidden="false" customHeight="false" outlineLevel="0" collapsed="false">
      <c r="A969" s="2" t="s">
        <v>1321</v>
      </c>
      <c r="B969" s="2" t="s">
        <v>1319</v>
      </c>
      <c r="C969" s="10" t="n">
        <v>45844</v>
      </c>
      <c r="D969" s="2" t="n">
        <f aca="false">MONTH(C969)</f>
        <v>7</v>
      </c>
      <c r="E969" s="2" t="s">
        <v>77</v>
      </c>
      <c r="F969" s="2" t="s">
        <v>92</v>
      </c>
      <c r="G969" s="2" t="s">
        <v>73</v>
      </c>
      <c r="H969" s="2" t="s">
        <v>104</v>
      </c>
      <c r="I969" s="2" t="n">
        <v>5</v>
      </c>
      <c r="J969" s="11" t="n">
        <v>5500</v>
      </c>
      <c r="K969" s="12" t="n">
        <v>0</v>
      </c>
      <c r="L969" s="11" t="n">
        <v>3600</v>
      </c>
      <c r="M969" s="11" t="n">
        <f aca="false">I969*J969*(1-K969)</f>
        <v>27500</v>
      </c>
      <c r="N969" s="11" t="n">
        <f aca="false">M969-I969*L969</f>
        <v>9500</v>
      </c>
    </row>
    <row r="970" customFormat="false" ht="15" hidden="false" customHeight="false" outlineLevel="0" collapsed="false">
      <c r="A970" s="2" t="s">
        <v>2020</v>
      </c>
      <c r="B970" s="2" t="s">
        <v>2019</v>
      </c>
      <c r="C970" s="10" t="n">
        <v>45844</v>
      </c>
      <c r="D970" s="2" t="n">
        <f aca="false">MONTH(C970)</f>
        <v>7</v>
      </c>
      <c r="E970" s="2" t="s">
        <v>81</v>
      </c>
      <c r="F970" s="2" t="s">
        <v>92</v>
      </c>
      <c r="G970" s="2" t="s">
        <v>70</v>
      </c>
      <c r="H970" s="2" t="s">
        <v>97</v>
      </c>
      <c r="I970" s="2" t="n">
        <v>3</v>
      </c>
      <c r="J970" s="11" t="n">
        <v>3000</v>
      </c>
      <c r="K970" s="12" t="n">
        <v>0.15</v>
      </c>
      <c r="L970" s="11" t="n">
        <v>2000</v>
      </c>
      <c r="M970" s="11" t="n">
        <f aca="false">I970*J970*(1-K970)</f>
        <v>7650</v>
      </c>
      <c r="N970" s="11" t="n">
        <f aca="false">M970-I970*L970</f>
        <v>1650</v>
      </c>
    </row>
    <row r="971" customFormat="false" ht="15" hidden="false" customHeight="false" outlineLevel="0" collapsed="false">
      <c r="A971" s="2" t="s">
        <v>2218</v>
      </c>
      <c r="B971" s="2" t="s">
        <v>2215</v>
      </c>
      <c r="C971" s="10" t="n">
        <v>45844</v>
      </c>
      <c r="D971" s="2" t="n">
        <f aca="false">MONTH(C971)</f>
        <v>7</v>
      </c>
      <c r="E971" s="2" t="s">
        <v>77</v>
      </c>
      <c r="F971" s="2" t="s">
        <v>64</v>
      </c>
      <c r="G971" s="2" t="s">
        <v>73</v>
      </c>
      <c r="H971" s="2" t="s">
        <v>74</v>
      </c>
      <c r="I971" s="2" t="n">
        <v>1</v>
      </c>
      <c r="J971" s="11" t="n">
        <v>7000</v>
      </c>
      <c r="K971" s="12" t="n">
        <v>0</v>
      </c>
      <c r="L971" s="11" t="n">
        <v>4800</v>
      </c>
      <c r="M971" s="11" t="n">
        <f aca="false">I971*J971*(1-K971)</f>
        <v>7000</v>
      </c>
      <c r="N971" s="11" t="n">
        <f aca="false">M971-I971*L971</f>
        <v>2200</v>
      </c>
    </row>
    <row r="972" customFormat="false" ht="15" hidden="false" customHeight="false" outlineLevel="0" collapsed="false">
      <c r="A972" s="2" t="s">
        <v>2597</v>
      </c>
      <c r="B972" s="2" t="s">
        <v>2598</v>
      </c>
      <c r="C972" s="10" t="n">
        <v>45844</v>
      </c>
      <c r="D972" s="2" t="n">
        <f aca="false">MONTH(C972)</f>
        <v>7</v>
      </c>
      <c r="E972" s="2" t="s">
        <v>63</v>
      </c>
      <c r="F972" s="2" t="s">
        <v>69</v>
      </c>
      <c r="G972" s="2" t="s">
        <v>73</v>
      </c>
      <c r="H972" s="2" t="s">
        <v>87</v>
      </c>
      <c r="I972" s="2" t="n">
        <v>5</v>
      </c>
      <c r="J972" s="11" t="n">
        <v>9000</v>
      </c>
      <c r="K972" s="12" t="n">
        <v>0.05</v>
      </c>
      <c r="L972" s="11" t="n">
        <v>6200</v>
      </c>
      <c r="M972" s="11" t="n">
        <f aca="false">I972*J972*(1-K972)</f>
        <v>42750</v>
      </c>
      <c r="N972" s="11" t="n">
        <f aca="false">M972-I972*L972</f>
        <v>11750</v>
      </c>
    </row>
    <row r="973" customFormat="false" ht="15" hidden="false" customHeight="false" outlineLevel="0" collapsed="false">
      <c r="A973" s="2" t="s">
        <v>2894</v>
      </c>
      <c r="B973" s="2" t="s">
        <v>2893</v>
      </c>
      <c r="C973" s="10" t="n">
        <v>45844</v>
      </c>
      <c r="D973" s="2" t="n">
        <f aca="false">MONTH(C973)</f>
        <v>7</v>
      </c>
      <c r="E973" s="2" t="s">
        <v>81</v>
      </c>
      <c r="F973" s="2" t="s">
        <v>64</v>
      </c>
      <c r="G973" s="2" t="s">
        <v>65</v>
      </c>
      <c r="H973" s="2" t="s">
        <v>78</v>
      </c>
      <c r="I973" s="2" t="n">
        <v>3</v>
      </c>
      <c r="J973" s="11" t="n">
        <v>400</v>
      </c>
      <c r="K973" s="12" t="n">
        <v>0.1</v>
      </c>
      <c r="L973" s="11" t="n">
        <v>200</v>
      </c>
      <c r="M973" s="11" t="n">
        <f aca="false">I973*J973*(1-K973)</f>
        <v>1080</v>
      </c>
      <c r="N973" s="11" t="n">
        <f aca="false">M973-I973*L973</f>
        <v>480</v>
      </c>
    </row>
    <row r="974" customFormat="false" ht="15" hidden="false" customHeight="false" outlineLevel="0" collapsed="false">
      <c r="A974" s="2" t="s">
        <v>276</v>
      </c>
      <c r="B974" s="2" t="s">
        <v>277</v>
      </c>
      <c r="C974" s="10" t="n">
        <v>45845</v>
      </c>
      <c r="D974" s="2" t="n">
        <f aca="false">MONTH(C974)</f>
        <v>7</v>
      </c>
      <c r="E974" s="2" t="s">
        <v>63</v>
      </c>
      <c r="F974" s="2" t="s">
        <v>64</v>
      </c>
      <c r="G974" s="2" t="s">
        <v>70</v>
      </c>
      <c r="H974" s="2" t="s">
        <v>97</v>
      </c>
      <c r="I974" s="2" t="n">
        <v>2</v>
      </c>
      <c r="J974" s="11" t="n">
        <v>3000</v>
      </c>
      <c r="K974" s="12" t="n">
        <v>0.1</v>
      </c>
      <c r="L974" s="11" t="n">
        <v>2000</v>
      </c>
      <c r="M974" s="11" t="n">
        <f aca="false">I974*J974*(1-K974)</f>
        <v>5400</v>
      </c>
      <c r="N974" s="11" t="n">
        <f aca="false">M974-I974*L974</f>
        <v>1400</v>
      </c>
    </row>
    <row r="975" customFormat="false" ht="15" hidden="false" customHeight="false" outlineLevel="0" collapsed="false">
      <c r="A975" s="2" t="s">
        <v>352</v>
      </c>
      <c r="B975" s="2" t="s">
        <v>349</v>
      </c>
      <c r="C975" s="10" t="n">
        <v>45845</v>
      </c>
      <c r="D975" s="2" t="n">
        <f aca="false">MONTH(C975)</f>
        <v>7</v>
      </c>
      <c r="E975" s="2" t="s">
        <v>77</v>
      </c>
      <c r="F975" s="2" t="s">
        <v>64</v>
      </c>
      <c r="G975" s="2" t="s">
        <v>73</v>
      </c>
      <c r="H975" s="2" t="s">
        <v>74</v>
      </c>
      <c r="I975" s="2" t="n">
        <v>1</v>
      </c>
      <c r="J975" s="11" t="n">
        <v>7000</v>
      </c>
      <c r="K975" s="12" t="n">
        <v>0.1</v>
      </c>
      <c r="L975" s="11" t="n">
        <v>4800</v>
      </c>
      <c r="M975" s="11" t="n">
        <f aca="false">I975*J975*(1-K975)</f>
        <v>6300</v>
      </c>
      <c r="N975" s="11" t="n">
        <f aca="false">M975-I975*L975</f>
        <v>1500</v>
      </c>
    </row>
    <row r="976" customFormat="false" ht="15" hidden="false" customHeight="false" outlineLevel="0" collapsed="false">
      <c r="A976" s="2" t="s">
        <v>494</v>
      </c>
      <c r="B976" s="2" t="s">
        <v>492</v>
      </c>
      <c r="C976" s="10" t="n">
        <v>45845</v>
      </c>
      <c r="D976" s="2" t="n">
        <f aca="false">MONTH(C976)</f>
        <v>7</v>
      </c>
      <c r="E976" s="2" t="s">
        <v>77</v>
      </c>
      <c r="F976" s="2" t="s">
        <v>64</v>
      </c>
      <c r="G976" s="2" t="s">
        <v>70</v>
      </c>
      <c r="H976" s="2" t="s">
        <v>122</v>
      </c>
      <c r="I976" s="2" t="n">
        <v>3</v>
      </c>
      <c r="J976" s="11" t="n">
        <v>1500</v>
      </c>
      <c r="K976" s="12" t="n">
        <v>0</v>
      </c>
      <c r="L976" s="11" t="n">
        <v>900</v>
      </c>
      <c r="M976" s="11" t="n">
        <f aca="false">I976*J976*(1-K976)</f>
        <v>4500</v>
      </c>
      <c r="N976" s="11" t="n">
        <f aca="false">M976-I976*L976</f>
        <v>1800</v>
      </c>
    </row>
    <row r="977" customFormat="false" ht="15" hidden="false" customHeight="false" outlineLevel="0" collapsed="false">
      <c r="A977" s="2" t="s">
        <v>974</v>
      </c>
      <c r="B977" s="2" t="s">
        <v>969</v>
      </c>
      <c r="C977" s="10" t="n">
        <v>45845</v>
      </c>
      <c r="D977" s="2" t="n">
        <f aca="false">MONTH(C977)</f>
        <v>7</v>
      </c>
      <c r="E977" s="2" t="s">
        <v>77</v>
      </c>
      <c r="F977" s="2" t="s">
        <v>64</v>
      </c>
      <c r="G977" s="2" t="s">
        <v>65</v>
      </c>
      <c r="H977" s="2" t="s">
        <v>66</v>
      </c>
      <c r="I977" s="2" t="n">
        <v>3</v>
      </c>
      <c r="J977" s="11" t="n">
        <v>600</v>
      </c>
      <c r="K977" s="12" t="n">
        <v>0</v>
      </c>
      <c r="L977" s="11" t="n">
        <v>300</v>
      </c>
      <c r="M977" s="11" t="n">
        <f aca="false">I977*J977*(1-K977)</f>
        <v>1800</v>
      </c>
      <c r="N977" s="11" t="n">
        <f aca="false">M977-I977*L977</f>
        <v>900</v>
      </c>
    </row>
    <row r="978" customFormat="false" ht="15" hidden="false" customHeight="false" outlineLevel="0" collapsed="false">
      <c r="A978" s="2" t="s">
        <v>1819</v>
      </c>
      <c r="B978" s="2" t="s">
        <v>1816</v>
      </c>
      <c r="C978" s="10" t="n">
        <v>45845</v>
      </c>
      <c r="D978" s="2" t="n">
        <f aca="false">MONTH(C978)</f>
        <v>7</v>
      </c>
      <c r="E978" s="2" t="s">
        <v>63</v>
      </c>
      <c r="F978" s="2" t="s">
        <v>64</v>
      </c>
      <c r="G978" s="2" t="s">
        <v>65</v>
      </c>
      <c r="H978" s="2" t="s">
        <v>78</v>
      </c>
      <c r="I978" s="2" t="n">
        <v>2</v>
      </c>
      <c r="J978" s="11" t="n">
        <v>400</v>
      </c>
      <c r="K978" s="12" t="n">
        <v>0</v>
      </c>
      <c r="L978" s="11" t="n">
        <v>200</v>
      </c>
      <c r="M978" s="11" t="n">
        <f aca="false">I978*J978*(1-K978)</f>
        <v>800</v>
      </c>
      <c r="N978" s="11" t="n">
        <f aca="false">M978-I978*L978</f>
        <v>400</v>
      </c>
    </row>
    <row r="979" customFormat="false" ht="15" hidden="false" customHeight="false" outlineLevel="0" collapsed="false">
      <c r="A979" s="2" t="s">
        <v>2521</v>
      </c>
      <c r="B979" s="2" t="s">
        <v>2520</v>
      </c>
      <c r="C979" s="10" t="n">
        <v>45845</v>
      </c>
      <c r="D979" s="2" t="n">
        <f aca="false">MONTH(C979)</f>
        <v>7</v>
      </c>
      <c r="E979" s="2" t="s">
        <v>81</v>
      </c>
      <c r="F979" s="2" t="s">
        <v>64</v>
      </c>
      <c r="G979" s="2" t="s">
        <v>65</v>
      </c>
      <c r="H979" s="2" t="s">
        <v>66</v>
      </c>
      <c r="I979" s="2" t="n">
        <v>3</v>
      </c>
      <c r="J979" s="11" t="n">
        <v>600</v>
      </c>
      <c r="K979" s="12" t="n">
        <v>0.05</v>
      </c>
      <c r="L979" s="11" t="n">
        <v>300</v>
      </c>
      <c r="M979" s="11" t="n">
        <f aca="false">I979*J979*(1-K979)</f>
        <v>1710</v>
      </c>
      <c r="N979" s="11" t="n">
        <f aca="false">M979-I979*L979</f>
        <v>810</v>
      </c>
    </row>
    <row r="980" customFormat="false" ht="15" hidden="false" customHeight="false" outlineLevel="0" collapsed="false">
      <c r="A980" s="2" t="s">
        <v>2540</v>
      </c>
      <c r="B980" s="2" t="s">
        <v>2541</v>
      </c>
      <c r="C980" s="10" t="n">
        <v>45845</v>
      </c>
      <c r="D980" s="2" t="n">
        <f aca="false">MONTH(C980)</f>
        <v>7</v>
      </c>
      <c r="E980" s="2" t="s">
        <v>91</v>
      </c>
      <c r="F980" s="2" t="s">
        <v>64</v>
      </c>
      <c r="G980" s="2" t="s">
        <v>70</v>
      </c>
      <c r="H980" s="2" t="s">
        <v>126</v>
      </c>
      <c r="I980" s="2" t="n">
        <v>3</v>
      </c>
      <c r="J980" s="11" t="n">
        <v>4500</v>
      </c>
      <c r="K980" s="12" t="n">
        <v>0</v>
      </c>
      <c r="L980" s="11" t="n">
        <v>3300</v>
      </c>
      <c r="M980" s="11" t="n">
        <f aca="false">I980*J980*(1-K980)</f>
        <v>13500</v>
      </c>
      <c r="N980" s="11" t="n">
        <f aca="false">M980-I980*L980</f>
        <v>3600</v>
      </c>
    </row>
    <row r="981" customFormat="false" ht="15" hidden="false" customHeight="false" outlineLevel="0" collapsed="false">
      <c r="A981" s="2" t="s">
        <v>490</v>
      </c>
      <c r="B981" s="2" t="s">
        <v>486</v>
      </c>
      <c r="C981" s="10" t="n">
        <v>45846</v>
      </c>
      <c r="D981" s="2" t="n">
        <f aca="false">MONTH(C981)</f>
        <v>7</v>
      </c>
      <c r="E981" s="2" t="s">
        <v>63</v>
      </c>
      <c r="F981" s="2" t="s">
        <v>64</v>
      </c>
      <c r="G981" s="2" t="s">
        <v>73</v>
      </c>
      <c r="H981" s="2" t="s">
        <v>104</v>
      </c>
      <c r="I981" s="2" t="n">
        <v>3</v>
      </c>
      <c r="J981" s="11" t="n">
        <v>5500</v>
      </c>
      <c r="K981" s="12" t="n">
        <v>0</v>
      </c>
      <c r="L981" s="11" t="n">
        <v>3600</v>
      </c>
      <c r="M981" s="11" t="n">
        <f aca="false">I981*J981*(1-K981)</f>
        <v>16500</v>
      </c>
      <c r="N981" s="11" t="n">
        <f aca="false">M981-I981*L981</f>
        <v>5700</v>
      </c>
    </row>
    <row r="982" customFormat="false" ht="15" hidden="false" customHeight="false" outlineLevel="0" collapsed="false">
      <c r="A982" s="2" t="s">
        <v>1524</v>
      </c>
      <c r="B982" s="2" t="s">
        <v>1525</v>
      </c>
      <c r="C982" s="10" t="n">
        <v>45846</v>
      </c>
      <c r="D982" s="2" t="n">
        <f aca="false">MONTH(C982)</f>
        <v>7</v>
      </c>
      <c r="E982" s="2" t="s">
        <v>81</v>
      </c>
      <c r="F982" s="2" t="s">
        <v>92</v>
      </c>
      <c r="G982" s="2" t="s">
        <v>73</v>
      </c>
      <c r="H982" s="2" t="s">
        <v>104</v>
      </c>
      <c r="I982" s="2" t="n">
        <v>8</v>
      </c>
      <c r="J982" s="11" t="n">
        <v>5500</v>
      </c>
      <c r="K982" s="12" t="n">
        <v>0</v>
      </c>
      <c r="L982" s="11" t="n">
        <v>3600</v>
      </c>
      <c r="M982" s="11" t="n">
        <f aca="false">I982*J982*(1-K982)</f>
        <v>44000</v>
      </c>
      <c r="N982" s="11" t="n">
        <f aca="false">M982-I982*L982</f>
        <v>15200</v>
      </c>
    </row>
    <row r="983" customFormat="false" ht="15" hidden="false" customHeight="false" outlineLevel="0" collapsed="false">
      <c r="A983" s="2" t="s">
        <v>2398</v>
      </c>
      <c r="B983" s="2" t="s">
        <v>2399</v>
      </c>
      <c r="C983" s="10" t="n">
        <v>45846</v>
      </c>
      <c r="D983" s="2" t="n">
        <f aca="false">MONTH(C983)</f>
        <v>7</v>
      </c>
      <c r="E983" s="2" t="s">
        <v>63</v>
      </c>
      <c r="F983" s="2" t="s">
        <v>64</v>
      </c>
      <c r="G983" s="2" t="s">
        <v>65</v>
      </c>
      <c r="H983" s="2" t="s">
        <v>78</v>
      </c>
      <c r="I983" s="2" t="n">
        <v>2</v>
      </c>
      <c r="J983" s="11" t="n">
        <v>400</v>
      </c>
      <c r="K983" s="12" t="n">
        <v>0</v>
      </c>
      <c r="L983" s="11" t="n">
        <v>200</v>
      </c>
      <c r="M983" s="11" t="n">
        <f aca="false">I983*J983*(1-K983)</f>
        <v>800</v>
      </c>
      <c r="N983" s="11" t="n">
        <f aca="false">M983-I983*L983</f>
        <v>400</v>
      </c>
    </row>
    <row r="984" customFormat="false" ht="15" hidden="false" customHeight="false" outlineLevel="0" collapsed="false">
      <c r="A984" s="2" t="s">
        <v>2611</v>
      </c>
      <c r="B984" s="2" t="s">
        <v>2612</v>
      </c>
      <c r="C984" s="10" t="n">
        <v>45846</v>
      </c>
      <c r="D984" s="2" t="n">
        <f aca="false">MONTH(C984)</f>
        <v>7</v>
      </c>
      <c r="E984" s="2" t="s">
        <v>77</v>
      </c>
      <c r="F984" s="2" t="s">
        <v>69</v>
      </c>
      <c r="G984" s="2" t="s">
        <v>65</v>
      </c>
      <c r="H984" s="2" t="s">
        <v>78</v>
      </c>
      <c r="I984" s="2" t="n">
        <v>20</v>
      </c>
      <c r="J984" s="11" t="n">
        <v>400</v>
      </c>
      <c r="K984" s="12" t="n">
        <v>0</v>
      </c>
      <c r="L984" s="11" t="n">
        <v>200</v>
      </c>
      <c r="M984" s="11" t="n">
        <f aca="false">I984*J984*(1-K984)</f>
        <v>8000</v>
      </c>
      <c r="N984" s="11" t="n">
        <f aca="false">M984-I984*L984</f>
        <v>4000</v>
      </c>
    </row>
    <row r="985" customFormat="false" ht="15" hidden="false" customHeight="false" outlineLevel="0" collapsed="false">
      <c r="A985" s="2" t="s">
        <v>2613</v>
      </c>
      <c r="B985" s="2" t="s">
        <v>2612</v>
      </c>
      <c r="C985" s="10" t="n">
        <v>45846</v>
      </c>
      <c r="D985" s="2" t="n">
        <f aca="false">MONTH(C985)</f>
        <v>7</v>
      </c>
      <c r="E985" s="2" t="s">
        <v>77</v>
      </c>
      <c r="F985" s="2" t="s">
        <v>69</v>
      </c>
      <c r="G985" s="2" t="s">
        <v>70</v>
      </c>
      <c r="H985" s="2" t="s">
        <v>126</v>
      </c>
      <c r="I985" s="2" t="n">
        <v>2</v>
      </c>
      <c r="J985" s="11" t="n">
        <v>4500</v>
      </c>
      <c r="K985" s="12" t="n">
        <v>0</v>
      </c>
      <c r="L985" s="11" t="n">
        <v>3300</v>
      </c>
      <c r="M985" s="11" t="n">
        <f aca="false">I985*J985*(1-K985)</f>
        <v>9000</v>
      </c>
      <c r="N985" s="11" t="n">
        <f aca="false">M985-I985*L985</f>
        <v>2400</v>
      </c>
    </row>
    <row r="986" customFormat="false" ht="15" hidden="false" customHeight="false" outlineLevel="0" collapsed="false">
      <c r="A986" s="2" t="s">
        <v>1019</v>
      </c>
      <c r="B986" s="2" t="s">
        <v>1016</v>
      </c>
      <c r="C986" s="10" t="n">
        <v>45847</v>
      </c>
      <c r="D986" s="2" t="n">
        <f aca="false">MONTH(C986)</f>
        <v>7</v>
      </c>
      <c r="E986" s="2" t="s">
        <v>81</v>
      </c>
      <c r="F986" s="2" t="s">
        <v>64</v>
      </c>
      <c r="G986" s="2" t="s">
        <v>65</v>
      </c>
      <c r="H986" s="2" t="s">
        <v>66</v>
      </c>
      <c r="I986" s="2" t="n">
        <v>3</v>
      </c>
      <c r="J986" s="11" t="n">
        <v>600</v>
      </c>
      <c r="K986" s="12" t="n">
        <v>0</v>
      </c>
      <c r="L986" s="11" t="n">
        <v>300</v>
      </c>
      <c r="M986" s="11" t="n">
        <f aca="false">I986*J986*(1-K986)</f>
        <v>1800</v>
      </c>
      <c r="N986" s="11" t="n">
        <f aca="false">M986-I986*L986</f>
        <v>900</v>
      </c>
    </row>
    <row r="987" customFormat="false" ht="15" hidden="false" customHeight="false" outlineLevel="0" collapsed="false">
      <c r="A987" s="2" t="s">
        <v>2042</v>
      </c>
      <c r="B987" s="2" t="s">
        <v>2040</v>
      </c>
      <c r="C987" s="10" t="n">
        <v>45847</v>
      </c>
      <c r="D987" s="2" t="n">
        <f aca="false">MONTH(C987)</f>
        <v>7</v>
      </c>
      <c r="E987" s="2" t="s">
        <v>63</v>
      </c>
      <c r="F987" s="2" t="s">
        <v>92</v>
      </c>
      <c r="G987" s="2" t="s">
        <v>65</v>
      </c>
      <c r="H987" s="2" t="s">
        <v>82</v>
      </c>
      <c r="I987" s="2" t="n">
        <v>18</v>
      </c>
      <c r="J987" s="11" t="n">
        <v>250</v>
      </c>
      <c r="K987" s="12" t="n">
        <v>0.15</v>
      </c>
      <c r="L987" s="11" t="n">
        <v>100</v>
      </c>
      <c r="M987" s="11" t="n">
        <f aca="false">I987*J987*(1-K987)</f>
        <v>3825</v>
      </c>
      <c r="N987" s="11" t="n">
        <f aca="false">M987-I987*L987</f>
        <v>2025</v>
      </c>
    </row>
    <row r="988" customFormat="false" ht="15" hidden="false" customHeight="false" outlineLevel="0" collapsed="false">
      <c r="A988" s="2" t="s">
        <v>2684</v>
      </c>
      <c r="B988" s="2" t="s">
        <v>2683</v>
      </c>
      <c r="C988" s="10" t="n">
        <v>45847</v>
      </c>
      <c r="D988" s="2" t="n">
        <f aca="false">MONTH(C988)</f>
        <v>7</v>
      </c>
      <c r="E988" s="2" t="s">
        <v>77</v>
      </c>
      <c r="F988" s="2" t="s">
        <v>69</v>
      </c>
      <c r="G988" s="2" t="s">
        <v>70</v>
      </c>
      <c r="H988" s="2" t="s">
        <v>97</v>
      </c>
      <c r="I988" s="2" t="n">
        <v>5</v>
      </c>
      <c r="J988" s="11" t="n">
        <v>3000</v>
      </c>
      <c r="K988" s="12" t="n">
        <v>0</v>
      </c>
      <c r="L988" s="11" t="n">
        <v>2000</v>
      </c>
      <c r="M988" s="11" t="n">
        <f aca="false">I988*J988*(1-K988)</f>
        <v>15000</v>
      </c>
      <c r="N988" s="11" t="n">
        <f aca="false">M988-I988*L988</f>
        <v>5000</v>
      </c>
    </row>
    <row r="989" customFormat="false" ht="15" hidden="false" customHeight="false" outlineLevel="0" collapsed="false">
      <c r="A989" s="2" t="s">
        <v>560</v>
      </c>
      <c r="B989" s="2" t="s">
        <v>561</v>
      </c>
      <c r="C989" s="10" t="n">
        <v>45848</v>
      </c>
      <c r="D989" s="2" t="n">
        <f aca="false">MONTH(C989)</f>
        <v>7</v>
      </c>
      <c r="E989" s="2" t="s">
        <v>63</v>
      </c>
      <c r="F989" s="2" t="s">
        <v>92</v>
      </c>
      <c r="G989" s="2" t="s">
        <v>73</v>
      </c>
      <c r="H989" s="2" t="s">
        <v>104</v>
      </c>
      <c r="I989" s="2" t="n">
        <v>8</v>
      </c>
      <c r="J989" s="11" t="n">
        <v>5500</v>
      </c>
      <c r="K989" s="12" t="n">
        <v>0.05</v>
      </c>
      <c r="L989" s="11" t="n">
        <v>3600</v>
      </c>
      <c r="M989" s="11" t="n">
        <f aca="false">I989*J989*(1-K989)</f>
        <v>41800</v>
      </c>
      <c r="N989" s="11" t="n">
        <f aca="false">M989-I989*L989</f>
        <v>13000</v>
      </c>
    </row>
    <row r="990" customFormat="false" ht="15" hidden="false" customHeight="false" outlineLevel="0" collapsed="false">
      <c r="A990" s="2" t="s">
        <v>675</v>
      </c>
      <c r="B990" s="2" t="s">
        <v>676</v>
      </c>
      <c r="C990" s="10" t="n">
        <v>45848</v>
      </c>
      <c r="D990" s="2" t="n">
        <f aca="false">MONTH(C990)</f>
        <v>7</v>
      </c>
      <c r="E990" s="2" t="s">
        <v>81</v>
      </c>
      <c r="F990" s="2" t="s">
        <v>69</v>
      </c>
      <c r="G990" s="2" t="s">
        <v>73</v>
      </c>
      <c r="H990" s="2" t="s">
        <v>87</v>
      </c>
      <c r="I990" s="2" t="n">
        <v>1</v>
      </c>
      <c r="J990" s="11" t="n">
        <v>9000</v>
      </c>
      <c r="K990" s="12" t="n">
        <v>0.1</v>
      </c>
      <c r="L990" s="11" t="n">
        <v>6200</v>
      </c>
      <c r="M990" s="11" t="n">
        <f aca="false">I990*J990*(1-K990)</f>
        <v>8100</v>
      </c>
      <c r="N990" s="11" t="n">
        <f aca="false">M990-I990*L990</f>
        <v>1900</v>
      </c>
    </row>
    <row r="991" customFormat="false" ht="15" hidden="false" customHeight="false" outlineLevel="0" collapsed="false">
      <c r="A991" s="2" t="s">
        <v>1874</v>
      </c>
      <c r="B991" s="2" t="s">
        <v>1870</v>
      </c>
      <c r="C991" s="10" t="n">
        <v>45848</v>
      </c>
      <c r="D991" s="2" t="n">
        <f aca="false">MONTH(C991)</f>
        <v>7</v>
      </c>
      <c r="E991" s="2" t="s">
        <v>63</v>
      </c>
      <c r="F991" s="2" t="s">
        <v>64</v>
      </c>
      <c r="G991" s="2" t="s">
        <v>70</v>
      </c>
      <c r="H991" s="2" t="s">
        <v>71</v>
      </c>
      <c r="I991" s="2" t="n">
        <v>2</v>
      </c>
      <c r="J991" s="11" t="n">
        <v>2500</v>
      </c>
      <c r="K991" s="12" t="n">
        <v>0.1</v>
      </c>
      <c r="L991" s="11" t="n">
        <v>1600</v>
      </c>
      <c r="M991" s="11" t="n">
        <f aca="false">I991*J991*(1-K991)</f>
        <v>4500</v>
      </c>
      <c r="N991" s="11" t="n">
        <f aca="false">M991-I991*L991</f>
        <v>1300</v>
      </c>
    </row>
    <row r="992" customFormat="false" ht="15" hidden="false" customHeight="false" outlineLevel="0" collapsed="false">
      <c r="A992" s="2" t="s">
        <v>1972</v>
      </c>
      <c r="B992" s="2" t="s">
        <v>1973</v>
      </c>
      <c r="C992" s="10" t="n">
        <v>45848</v>
      </c>
      <c r="D992" s="2" t="n">
        <f aca="false">MONTH(C992)</f>
        <v>7</v>
      </c>
      <c r="E992" s="2" t="s">
        <v>81</v>
      </c>
      <c r="F992" s="2" t="s">
        <v>64</v>
      </c>
      <c r="G992" s="2" t="s">
        <v>65</v>
      </c>
      <c r="H992" s="2" t="s">
        <v>78</v>
      </c>
      <c r="I992" s="2" t="n">
        <v>3</v>
      </c>
      <c r="J992" s="11" t="n">
        <v>400</v>
      </c>
      <c r="K992" s="12" t="n">
        <v>0</v>
      </c>
      <c r="L992" s="11" t="n">
        <v>200</v>
      </c>
      <c r="M992" s="11" t="n">
        <f aca="false">I992*J992*(1-K992)</f>
        <v>1200</v>
      </c>
      <c r="N992" s="11" t="n">
        <f aca="false">M992-I992*L992</f>
        <v>600</v>
      </c>
    </row>
    <row r="993" customFormat="false" ht="15" hidden="false" customHeight="false" outlineLevel="0" collapsed="false">
      <c r="A993" s="2" t="s">
        <v>2124</v>
      </c>
      <c r="B993" s="2" t="s">
        <v>2125</v>
      </c>
      <c r="C993" s="10" t="n">
        <v>45848</v>
      </c>
      <c r="D993" s="2" t="n">
        <f aca="false">MONTH(C993)</f>
        <v>7</v>
      </c>
      <c r="E993" s="2" t="s">
        <v>63</v>
      </c>
      <c r="F993" s="2" t="s">
        <v>69</v>
      </c>
      <c r="G993" s="2" t="s">
        <v>65</v>
      </c>
      <c r="H993" s="2" t="s">
        <v>66</v>
      </c>
      <c r="I993" s="2" t="n">
        <v>13</v>
      </c>
      <c r="J993" s="11" t="n">
        <v>600</v>
      </c>
      <c r="K993" s="12" t="n">
        <v>0</v>
      </c>
      <c r="L993" s="11" t="n">
        <v>300</v>
      </c>
      <c r="M993" s="11" t="n">
        <f aca="false">I993*J993*(1-K993)</f>
        <v>7800</v>
      </c>
      <c r="N993" s="11" t="n">
        <f aca="false">M993-I993*L993</f>
        <v>3900</v>
      </c>
    </row>
    <row r="994" customFormat="false" ht="15" hidden="false" customHeight="false" outlineLevel="0" collapsed="false">
      <c r="A994" s="2" t="s">
        <v>738</v>
      </c>
      <c r="B994" s="2" t="s">
        <v>737</v>
      </c>
      <c r="C994" s="10" t="n">
        <v>45849</v>
      </c>
      <c r="D994" s="2" t="n">
        <f aca="false">MONTH(C994)</f>
        <v>7</v>
      </c>
      <c r="E994" s="2" t="s">
        <v>63</v>
      </c>
      <c r="F994" s="2" t="s">
        <v>64</v>
      </c>
      <c r="G994" s="2" t="s">
        <v>65</v>
      </c>
      <c r="H994" s="2" t="s">
        <v>107</v>
      </c>
      <c r="I994" s="2" t="n">
        <v>2</v>
      </c>
      <c r="J994" s="11" t="n">
        <v>500</v>
      </c>
      <c r="K994" s="12" t="n">
        <v>0</v>
      </c>
      <c r="L994" s="11" t="n">
        <v>250</v>
      </c>
      <c r="M994" s="11" t="n">
        <f aca="false">I994*J994*(1-K994)</f>
        <v>1000</v>
      </c>
      <c r="N994" s="11" t="n">
        <f aca="false">M994-I994*L994</f>
        <v>500</v>
      </c>
    </row>
    <row r="995" customFormat="false" ht="15" hidden="false" customHeight="false" outlineLevel="0" collapsed="false">
      <c r="A995" s="2" t="s">
        <v>933</v>
      </c>
      <c r="B995" s="2" t="s">
        <v>931</v>
      </c>
      <c r="C995" s="10" t="n">
        <v>45849</v>
      </c>
      <c r="D995" s="2" t="n">
        <f aca="false">MONTH(C995)</f>
        <v>7</v>
      </c>
      <c r="E995" s="2" t="s">
        <v>63</v>
      </c>
      <c r="F995" s="2" t="s">
        <v>64</v>
      </c>
      <c r="G995" s="2" t="s">
        <v>70</v>
      </c>
      <c r="H995" s="2" t="s">
        <v>126</v>
      </c>
      <c r="I995" s="2" t="n">
        <v>3</v>
      </c>
      <c r="J995" s="11" t="n">
        <v>4500</v>
      </c>
      <c r="K995" s="12" t="n">
        <v>0</v>
      </c>
      <c r="L995" s="11" t="n">
        <v>3300</v>
      </c>
      <c r="M995" s="11" t="n">
        <f aca="false">I995*J995*(1-K995)</f>
        <v>13500</v>
      </c>
      <c r="N995" s="11" t="n">
        <f aca="false">M995-I995*L995</f>
        <v>3600</v>
      </c>
    </row>
    <row r="996" customFormat="false" ht="15" hidden="false" customHeight="false" outlineLevel="0" collapsed="false">
      <c r="A996" s="2" t="s">
        <v>935</v>
      </c>
      <c r="B996" s="2" t="s">
        <v>936</v>
      </c>
      <c r="C996" s="10" t="n">
        <v>45849</v>
      </c>
      <c r="D996" s="2" t="n">
        <f aca="false">MONTH(C996)</f>
        <v>7</v>
      </c>
      <c r="E996" s="2" t="s">
        <v>63</v>
      </c>
      <c r="F996" s="2" t="s">
        <v>69</v>
      </c>
      <c r="G996" s="2" t="s">
        <v>70</v>
      </c>
      <c r="H996" s="2" t="s">
        <v>126</v>
      </c>
      <c r="I996" s="2" t="n">
        <v>3</v>
      </c>
      <c r="J996" s="11" t="n">
        <v>4500</v>
      </c>
      <c r="K996" s="12" t="n">
        <v>0.05</v>
      </c>
      <c r="L996" s="11" t="n">
        <v>3300</v>
      </c>
      <c r="M996" s="11" t="n">
        <f aca="false">I996*J996*(1-K996)</f>
        <v>12825</v>
      </c>
      <c r="N996" s="11" t="n">
        <f aca="false">M996-I996*L996</f>
        <v>2925</v>
      </c>
    </row>
    <row r="997" customFormat="false" ht="15" hidden="false" customHeight="false" outlineLevel="0" collapsed="false">
      <c r="A997" s="2" t="s">
        <v>2197</v>
      </c>
      <c r="B997" s="2" t="s">
        <v>2198</v>
      </c>
      <c r="C997" s="10" t="n">
        <v>45849</v>
      </c>
      <c r="D997" s="2" t="n">
        <f aca="false">MONTH(C997)</f>
        <v>7</v>
      </c>
      <c r="E997" s="2" t="s">
        <v>77</v>
      </c>
      <c r="F997" s="2" t="s">
        <v>64</v>
      </c>
      <c r="G997" s="2" t="s">
        <v>70</v>
      </c>
      <c r="H997" s="2" t="s">
        <v>97</v>
      </c>
      <c r="I997" s="2" t="n">
        <v>1</v>
      </c>
      <c r="J997" s="11" t="n">
        <v>3000</v>
      </c>
      <c r="K997" s="12" t="n">
        <v>0.1</v>
      </c>
      <c r="L997" s="11" t="n">
        <v>2000</v>
      </c>
      <c r="M997" s="11" t="n">
        <f aca="false">I997*J997*(1-K997)</f>
        <v>2700</v>
      </c>
      <c r="N997" s="11" t="n">
        <f aca="false">M997-I997*L997</f>
        <v>700</v>
      </c>
    </row>
    <row r="998" customFormat="false" ht="15" hidden="false" customHeight="false" outlineLevel="0" collapsed="false">
      <c r="A998" s="2" t="s">
        <v>273</v>
      </c>
      <c r="B998" s="2" t="s">
        <v>274</v>
      </c>
      <c r="C998" s="10" t="n">
        <v>45850</v>
      </c>
      <c r="D998" s="2" t="n">
        <f aca="false">MONTH(C998)</f>
        <v>7</v>
      </c>
      <c r="E998" s="2" t="s">
        <v>63</v>
      </c>
      <c r="F998" s="2" t="s">
        <v>69</v>
      </c>
      <c r="G998" s="2" t="s">
        <v>65</v>
      </c>
      <c r="H998" s="2" t="s">
        <v>66</v>
      </c>
      <c r="I998" s="2" t="n">
        <v>7</v>
      </c>
      <c r="J998" s="11" t="n">
        <v>600</v>
      </c>
      <c r="K998" s="12" t="n">
        <v>0</v>
      </c>
      <c r="L998" s="11" t="n">
        <v>300</v>
      </c>
      <c r="M998" s="11" t="n">
        <f aca="false">I998*J998*(1-K998)</f>
        <v>4200</v>
      </c>
      <c r="N998" s="11" t="n">
        <f aca="false">M998-I998*L998</f>
        <v>2100</v>
      </c>
    </row>
    <row r="999" customFormat="false" ht="15" hidden="false" customHeight="false" outlineLevel="0" collapsed="false">
      <c r="A999" s="2" t="s">
        <v>918</v>
      </c>
      <c r="B999" s="2" t="s">
        <v>919</v>
      </c>
      <c r="C999" s="10" t="n">
        <v>45850</v>
      </c>
      <c r="D999" s="2" t="n">
        <f aca="false">MONTH(C999)</f>
        <v>7</v>
      </c>
      <c r="E999" s="2" t="s">
        <v>63</v>
      </c>
      <c r="F999" s="2" t="s">
        <v>69</v>
      </c>
      <c r="G999" s="2" t="s">
        <v>65</v>
      </c>
      <c r="H999" s="2" t="s">
        <v>78</v>
      </c>
      <c r="I999" s="2" t="n">
        <v>13</v>
      </c>
      <c r="J999" s="11" t="n">
        <v>400</v>
      </c>
      <c r="K999" s="12" t="n">
        <v>0</v>
      </c>
      <c r="L999" s="11" t="n">
        <v>200</v>
      </c>
      <c r="M999" s="11" t="n">
        <f aca="false">I999*J999*(1-K999)</f>
        <v>5200</v>
      </c>
      <c r="N999" s="11" t="n">
        <f aca="false">M999-I999*L999</f>
        <v>2600</v>
      </c>
    </row>
    <row r="1000" customFormat="false" ht="15" hidden="false" customHeight="false" outlineLevel="0" collapsed="false">
      <c r="A1000" s="2" t="s">
        <v>950</v>
      </c>
      <c r="B1000" s="2" t="s">
        <v>951</v>
      </c>
      <c r="C1000" s="10" t="n">
        <v>45850</v>
      </c>
      <c r="D1000" s="2" t="n">
        <f aca="false">MONTH(C1000)</f>
        <v>7</v>
      </c>
      <c r="E1000" s="2" t="s">
        <v>77</v>
      </c>
      <c r="F1000" s="2" t="s">
        <v>92</v>
      </c>
      <c r="G1000" s="2" t="s">
        <v>70</v>
      </c>
      <c r="H1000" s="2" t="s">
        <v>97</v>
      </c>
      <c r="I1000" s="2" t="n">
        <v>3</v>
      </c>
      <c r="J1000" s="11" t="n">
        <v>3000</v>
      </c>
      <c r="K1000" s="12" t="n">
        <v>0.05</v>
      </c>
      <c r="L1000" s="11" t="n">
        <v>2000</v>
      </c>
      <c r="M1000" s="11" t="n">
        <f aca="false">I1000*J1000*(1-K1000)</f>
        <v>8550</v>
      </c>
      <c r="N1000" s="11" t="n">
        <f aca="false">M1000-I1000*L1000</f>
        <v>2550</v>
      </c>
    </row>
    <row r="1001" customFormat="false" ht="15" hidden="false" customHeight="false" outlineLevel="0" collapsed="false">
      <c r="A1001" s="2" t="s">
        <v>1549</v>
      </c>
      <c r="B1001" s="2" t="s">
        <v>1546</v>
      </c>
      <c r="C1001" s="10" t="n">
        <v>45850</v>
      </c>
      <c r="D1001" s="2" t="n">
        <f aca="false">MONTH(C1001)</f>
        <v>7</v>
      </c>
      <c r="E1001" s="2" t="s">
        <v>77</v>
      </c>
      <c r="F1001" s="2" t="s">
        <v>92</v>
      </c>
      <c r="G1001" s="2" t="s">
        <v>73</v>
      </c>
      <c r="H1001" s="2" t="s">
        <v>87</v>
      </c>
      <c r="I1001" s="2" t="n">
        <v>3</v>
      </c>
      <c r="J1001" s="11" t="n">
        <v>9000</v>
      </c>
      <c r="K1001" s="12" t="n">
        <v>0.15</v>
      </c>
      <c r="L1001" s="11" t="n">
        <v>6200</v>
      </c>
      <c r="M1001" s="11" t="n">
        <f aca="false">I1001*J1001*(1-K1001)</f>
        <v>22950</v>
      </c>
      <c r="N1001" s="11" t="n">
        <f aca="false">M1001-I1001*L1001</f>
        <v>4350</v>
      </c>
    </row>
    <row r="1002" customFormat="false" ht="15" hidden="false" customHeight="false" outlineLevel="0" collapsed="false">
      <c r="A1002" s="2" t="s">
        <v>1880</v>
      </c>
      <c r="B1002" s="2" t="s">
        <v>1879</v>
      </c>
      <c r="C1002" s="10" t="n">
        <v>45850</v>
      </c>
      <c r="D1002" s="2" t="n">
        <f aca="false">MONTH(C1002)</f>
        <v>7</v>
      </c>
      <c r="E1002" s="2" t="s">
        <v>81</v>
      </c>
      <c r="F1002" s="2" t="s">
        <v>92</v>
      </c>
      <c r="G1002" s="2" t="s">
        <v>73</v>
      </c>
      <c r="H1002" s="2" t="s">
        <v>74</v>
      </c>
      <c r="I1002" s="2" t="n">
        <v>8</v>
      </c>
      <c r="J1002" s="11" t="n">
        <v>7000</v>
      </c>
      <c r="K1002" s="12" t="n">
        <v>0.05</v>
      </c>
      <c r="L1002" s="11" t="n">
        <v>4800</v>
      </c>
      <c r="M1002" s="11" t="n">
        <f aca="false">I1002*J1002*(1-K1002)</f>
        <v>53200</v>
      </c>
      <c r="N1002" s="11" t="n">
        <f aca="false">M1002-I1002*L1002</f>
        <v>14800</v>
      </c>
    </row>
    <row r="1003" customFormat="false" ht="15" hidden="false" customHeight="false" outlineLevel="0" collapsed="false">
      <c r="A1003" s="2" t="s">
        <v>334</v>
      </c>
      <c r="B1003" s="2" t="s">
        <v>335</v>
      </c>
      <c r="C1003" s="10" t="n">
        <v>45851</v>
      </c>
      <c r="D1003" s="2" t="n">
        <f aca="false">MONTH(C1003)</f>
        <v>7</v>
      </c>
      <c r="E1003" s="2" t="s">
        <v>81</v>
      </c>
      <c r="F1003" s="2" t="s">
        <v>92</v>
      </c>
      <c r="G1003" s="2" t="s">
        <v>73</v>
      </c>
      <c r="H1003" s="2" t="s">
        <v>104</v>
      </c>
      <c r="I1003" s="2" t="n">
        <v>6</v>
      </c>
      <c r="J1003" s="11" t="n">
        <v>5500</v>
      </c>
      <c r="K1003" s="12" t="n">
        <v>0.05</v>
      </c>
      <c r="L1003" s="11" t="n">
        <v>3600</v>
      </c>
      <c r="M1003" s="11" t="n">
        <f aca="false">I1003*J1003*(1-K1003)</f>
        <v>31350</v>
      </c>
      <c r="N1003" s="11" t="n">
        <f aca="false">M1003-I1003*L1003</f>
        <v>9750</v>
      </c>
    </row>
    <row r="1004" customFormat="false" ht="15" hidden="false" customHeight="false" outlineLevel="0" collapsed="false">
      <c r="A1004" s="2" t="s">
        <v>1062</v>
      </c>
      <c r="B1004" s="2" t="s">
        <v>1063</v>
      </c>
      <c r="C1004" s="10" t="n">
        <v>45851</v>
      </c>
      <c r="D1004" s="2" t="n">
        <f aca="false">MONTH(C1004)</f>
        <v>7</v>
      </c>
      <c r="E1004" s="2" t="s">
        <v>91</v>
      </c>
      <c r="F1004" s="2" t="s">
        <v>64</v>
      </c>
      <c r="G1004" s="2" t="s">
        <v>65</v>
      </c>
      <c r="H1004" s="2" t="s">
        <v>107</v>
      </c>
      <c r="I1004" s="2" t="n">
        <v>7</v>
      </c>
      <c r="J1004" s="11" t="n">
        <v>500</v>
      </c>
      <c r="K1004" s="12" t="n">
        <v>0</v>
      </c>
      <c r="L1004" s="11" t="n">
        <v>250</v>
      </c>
      <c r="M1004" s="11" t="n">
        <f aca="false">I1004*J1004*(1-K1004)</f>
        <v>3500</v>
      </c>
      <c r="N1004" s="11" t="n">
        <f aca="false">M1004-I1004*L1004</f>
        <v>1750</v>
      </c>
    </row>
    <row r="1005" customFormat="false" ht="15" hidden="false" customHeight="false" outlineLevel="0" collapsed="false">
      <c r="A1005" s="2" t="s">
        <v>1991</v>
      </c>
      <c r="B1005" s="2" t="s">
        <v>1990</v>
      </c>
      <c r="C1005" s="10" t="n">
        <v>45851</v>
      </c>
      <c r="D1005" s="2" t="n">
        <f aca="false">MONTH(C1005)</f>
        <v>7</v>
      </c>
      <c r="E1005" s="2" t="s">
        <v>77</v>
      </c>
      <c r="F1005" s="2" t="s">
        <v>92</v>
      </c>
      <c r="G1005" s="2" t="s">
        <v>73</v>
      </c>
      <c r="H1005" s="2" t="s">
        <v>74</v>
      </c>
      <c r="I1005" s="2" t="n">
        <v>8</v>
      </c>
      <c r="J1005" s="11" t="n">
        <v>7000</v>
      </c>
      <c r="K1005" s="12" t="n">
        <v>0.1</v>
      </c>
      <c r="L1005" s="11" t="n">
        <v>4800</v>
      </c>
      <c r="M1005" s="11" t="n">
        <f aca="false">I1005*J1005*(1-K1005)</f>
        <v>50400</v>
      </c>
      <c r="N1005" s="11" t="n">
        <f aca="false">M1005-I1005*L1005</f>
        <v>12000</v>
      </c>
    </row>
    <row r="1006" customFormat="false" ht="15" hidden="false" customHeight="false" outlineLevel="0" collapsed="false">
      <c r="A1006" s="2" t="s">
        <v>746</v>
      </c>
      <c r="B1006" s="2" t="s">
        <v>747</v>
      </c>
      <c r="C1006" s="10" t="n">
        <v>45852</v>
      </c>
      <c r="D1006" s="2" t="n">
        <f aca="false">MONTH(C1006)</f>
        <v>7</v>
      </c>
      <c r="E1006" s="2" t="s">
        <v>81</v>
      </c>
      <c r="F1006" s="2" t="s">
        <v>64</v>
      </c>
      <c r="G1006" s="2" t="s">
        <v>73</v>
      </c>
      <c r="H1006" s="2" t="s">
        <v>74</v>
      </c>
      <c r="I1006" s="2" t="n">
        <v>3</v>
      </c>
      <c r="J1006" s="11" t="n">
        <v>7000</v>
      </c>
      <c r="K1006" s="12" t="n">
        <v>0</v>
      </c>
      <c r="L1006" s="11" t="n">
        <v>4800</v>
      </c>
      <c r="M1006" s="11" t="n">
        <f aca="false">I1006*J1006*(1-K1006)</f>
        <v>21000</v>
      </c>
      <c r="N1006" s="11" t="n">
        <f aca="false">M1006-I1006*L1006</f>
        <v>6600</v>
      </c>
    </row>
    <row r="1007" customFormat="false" ht="15" hidden="false" customHeight="false" outlineLevel="0" collapsed="false">
      <c r="A1007" s="2" t="s">
        <v>1923</v>
      </c>
      <c r="B1007" s="2" t="s">
        <v>1924</v>
      </c>
      <c r="C1007" s="10" t="n">
        <v>45852</v>
      </c>
      <c r="D1007" s="2" t="n">
        <f aca="false">MONTH(C1007)</f>
        <v>7</v>
      </c>
      <c r="E1007" s="2" t="s">
        <v>91</v>
      </c>
      <c r="F1007" s="2" t="s">
        <v>64</v>
      </c>
      <c r="G1007" s="2" t="s">
        <v>65</v>
      </c>
      <c r="H1007" s="2" t="s">
        <v>107</v>
      </c>
      <c r="I1007" s="2" t="n">
        <v>7</v>
      </c>
      <c r="J1007" s="11" t="n">
        <v>500</v>
      </c>
      <c r="K1007" s="12" t="n">
        <v>0</v>
      </c>
      <c r="L1007" s="11" t="n">
        <v>250</v>
      </c>
      <c r="M1007" s="11" t="n">
        <f aca="false">I1007*J1007*(1-K1007)</f>
        <v>3500</v>
      </c>
      <c r="N1007" s="11" t="n">
        <f aca="false">M1007-I1007*L1007</f>
        <v>1750</v>
      </c>
    </row>
    <row r="1008" customFormat="false" ht="15" hidden="false" customHeight="false" outlineLevel="0" collapsed="false">
      <c r="A1008" s="2" t="s">
        <v>2512</v>
      </c>
      <c r="B1008" s="2" t="s">
        <v>2507</v>
      </c>
      <c r="C1008" s="10" t="n">
        <v>45852</v>
      </c>
      <c r="D1008" s="2" t="n">
        <f aca="false">MONTH(C1008)</f>
        <v>7</v>
      </c>
      <c r="E1008" s="2" t="s">
        <v>77</v>
      </c>
      <c r="F1008" s="2" t="s">
        <v>64</v>
      </c>
      <c r="G1008" s="2" t="s">
        <v>73</v>
      </c>
      <c r="H1008" s="2" t="s">
        <v>74</v>
      </c>
      <c r="I1008" s="2" t="n">
        <v>2</v>
      </c>
      <c r="J1008" s="11" t="n">
        <v>7000</v>
      </c>
      <c r="K1008" s="12" t="n">
        <v>0</v>
      </c>
      <c r="L1008" s="11" t="n">
        <v>4800</v>
      </c>
      <c r="M1008" s="11" t="n">
        <f aca="false">I1008*J1008*(1-K1008)</f>
        <v>14000</v>
      </c>
      <c r="N1008" s="11" t="n">
        <f aca="false">M1008-I1008*L1008</f>
        <v>4400</v>
      </c>
    </row>
    <row r="1009" customFormat="false" ht="15" hidden="false" customHeight="false" outlineLevel="0" collapsed="false">
      <c r="A1009" s="2" t="s">
        <v>2643</v>
      </c>
      <c r="B1009" s="2" t="s">
        <v>2644</v>
      </c>
      <c r="C1009" s="10" t="n">
        <v>45852</v>
      </c>
      <c r="D1009" s="2" t="n">
        <f aca="false">MONTH(C1009)</f>
        <v>7</v>
      </c>
      <c r="E1009" s="2" t="s">
        <v>63</v>
      </c>
      <c r="F1009" s="2" t="s">
        <v>64</v>
      </c>
      <c r="G1009" s="2" t="s">
        <v>70</v>
      </c>
      <c r="H1009" s="2" t="s">
        <v>71</v>
      </c>
      <c r="I1009" s="2" t="n">
        <v>1</v>
      </c>
      <c r="J1009" s="11" t="n">
        <v>2500</v>
      </c>
      <c r="K1009" s="12" t="n">
        <v>0</v>
      </c>
      <c r="L1009" s="11" t="n">
        <v>1600</v>
      </c>
      <c r="M1009" s="11" t="n">
        <f aca="false">I1009*J1009*(1-K1009)</f>
        <v>2500</v>
      </c>
      <c r="N1009" s="11" t="n">
        <f aca="false">M1009-I1009*L1009</f>
        <v>900</v>
      </c>
    </row>
    <row r="1010" customFormat="false" ht="15" hidden="false" customHeight="false" outlineLevel="0" collapsed="false">
      <c r="A1010" s="2" t="s">
        <v>1200</v>
      </c>
      <c r="B1010" s="2" t="s">
        <v>1195</v>
      </c>
      <c r="C1010" s="10" t="n">
        <v>45853</v>
      </c>
      <c r="D1010" s="2" t="n">
        <f aca="false">MONTH(C1010)</f>
        <v>7</v>
      </c>
      <c r="E1010" s="2" t="s">
        <v>77</v>
      </c>
      <c r="F1010" s="2" t="s">
        <v>92</v>
      </c>
      <c r="G1010" s="2" t="s">
        <v>73</v>
      </c>
      <c r="H1010" s="2" t="s">
        <v>104</v>
      </c>
      <c r="I1010" s="2" t="n">
        <v>6</v>
      </c>
      <c r="J1010" s="11" t="n">
        <v>5500</v>
      </c>
      <c r="K1010" s="12" t="n">
        <v>0.1</v>
      </c>
      <c r="L1010" s="11" t="n">
        <v>3600</v>
      </c>
      <c r="M1010" s="11" t="n">
        <f aca="false">I1010*J1010*(1-K1010)</f>
        <v>29700</v>
      </c>
      <c r="N1010" s="11" t="n">
        <f aca="false">M1010-I1010*L1010</f>
        <v>8100</v>
      </c>
    </row>
    <row r="1011" customFormat="false" ht="15" hidden="false" customHeight="false" outlineLevel="0" collapsed="false">
      <c r="A1011" s="2" t="s">
        <v>1674</v>
      </c>
      <c r="B1011" s="2" t="s">
        <v>1664</v>
      </c>
      <c r="C1011" s="10" t="n">
        <v>45853</v>
      </c>
      <c r="D1011" s="2" t="n">
        <f aca="false">MONTH(C1011)</f>
        <v>7</v>
      </c>
      <c r="E1011" s="2" t="s">
        <v>81</v>
      </c>
      <c r="F1011" s="2" t="s">
        <v>92</v>
      </c>
      <c r="G1011" s="2" t="s">
        <v>73</v>
      </c>
      <c r="H1011" s="2" t="s">
        <v>104</v>
      </c>
      <c r="I1011" s="2" t="n">
        <v>2</v>
      </c>
      <c r="J1011" s="11" t="n">
        <v>5500</v>
      </c>
      <c r="K1011" s="12" t="n">
        <v>0.05</v>
      </c>
      <c r="L1011" s="11" t="n">
        <v>3600</v>
      </c>
      <c r="M1011" s="11" t="n">
        <f aca="false">I1011*J1011*(1-K1011)</f>
        <v>10450</v>
      </c>
      <c r="N1011" s="11" t="n">
        <f aca="false">M1011-I1011*L1011</f>
        <v>3250</v>
      </c>
    </row>
    <row r="1012" customFormat="false" ht="15" hidden="false" customHeight="false" outlineLevel="0" collapsed="false">
      <c r="A1012" s="2" t="s">
        <v>2367</v>
      </c>
      <c r="B1012" s="2" t="s">
        <v>2366</v>
      </c>
      <c r="C1012" s="10" t="n">
        <v>45853</v>
      </c>
      <c r="D1012" s="2" t="n">
        <f aca="false">MONTH(C1012)</f>
        <v>7</v>
      </c>
      <c r="E1012" s="2" t="s">
        <v>81</v>
      </c>
      <c r="F1012" s="2" t="s">
        <v>64</v>
      </c>
      <c r="G1012" s="2" t="s">
        <v>70</v>
      </c>
      <c r="H1012" s="2" t="s">
        <v>97</v>
      </c>
      <c r="I1012" s="2" t="n">
        <v>2</v>
      </c>
      <c r="J1012" s="11" t="n">
        <v>3000</v>
      </c>
      <c r="K1012" s="12" t="n">
        <v>0.1</v>
      </c>
      <c r="L1012" s="11" t="n">
        <v>2000</v>
      </c>
      <c r="M1012" s="11" t="n">
        <f aca="false">I1012*J1012*(1-K1012)</f>
        <v>5400</v>
      </c>
      <c r="N1012" s="11" t="n">
        <f aca="false">M1012-I1012*L1012</f>
        <v>1400</v>
      </c>
    </row>
    <row r="1013" customFormat="false" ht="15" hidden="false" customHeight="false" outlineLevel="0" collapsed="false">
      <c r="A1013" s="2" t="s">
        <v>336</v>
      </c>
      <c r="B1013" s="2" t="s">
        <v>335</v>
      </c>
      <c r="C1013" s="10" t="n">
        <v>45854</v>
      </c>
      <c r="D1013" s="2" t="n">
        <f aca="false">MONTH(C1013)</f>
        <v>7</v>
      </c>
      <c r="E1013" s="2" t="s">
        <v>77</v>
      </c>
      <c r="F1013" s="2" t="s">
        <v>92</v>
      </c>
      <c r="G1013" s="2" t="s">
        <v>73</v>
      </c>
      <c r="H1013" s="2" t="s">
        <v>87</v>
      </c>
      <c r="I1013" s="2" t="n">
        <v>2</v>
      </c>
      <c r="J1013" s="11" t="n">
        <v>9000</v>
      </c>
      <c r="K1013" s="12" t="n">
        <v>0</v>
      </c>
      <c r="L1013" s="11" t="n">
        <v>6200</v>
      </c>
      <c r="M1013" s="11" t="n">
        <f aca="false">I1013*J1013*(1-K1013)</f>
        <v>18000</v>
      </c>
      <c r="N1013" s="11" t="n">
        <f aca="false">M1013-I1013*L1013</f>
        <v>5600</v>
      </c>
    </row>
    <row r="1014" customFormat="false" ht="15" hidden="false" customHeight="false" outlineLevel="0" collapsed="false">
      <c r="A1014" s="2" t="s">
        <v>476</v>
      </c>
      <c r="B1014" s="2" t="s">
        <v>475</v>
      </c>
      <c r="C1014" s="10" t="n">
        <v>45854</v>
      </c>
      <c r="D1014" s="2" t="n">
        <f aca="false">MONTH(C1014)</f>
        <v>7</v>
      </c>
      <c r="E1014" s="2" t="s">
        <v>81</v>
      </c>
      <c r="F1014" s="2" t="s">
        <v>64</v>
      </c>
      <c r="G1014" s="2" t="s">
        <v>70</v>
      </c>
      <c r="H1014" s="2" t="s">
        <v>126</v>
      </c>
      <c r="I1014" s="2" t="n">
        <v>2</v>
      </c>
      <c r="J1014" s="11" t="n">
        <v>4500</v>
      </c>
      <c r="K1014" s="12" t="n">
        <v>0</v>
      </c>
      <c r="L1014" s="11" t="n">
        <v>3300</v>
      </c>
      <c r="M1014" s="11" t="n">
        <f aca="false">I1014*J1014*(1-K1014)</f>
        <v>9000</v>
      </c>
      <c r="N1014" s="11" t="n">
        <f aca="false">M1014-I1014*L1014</f>
        <v>2400</v>
      </c>
    </row>
    <row r="1015" customFormat="false" ht="15" hidden="false" customHeight="false" outlineLevel="0" collapsed="false">
      <c r="A1015" s="2" t="s">
        <v>1076</v>
      </c>
      <c r="B1015" s="2" t="s">
        <v>1071</v>
      </c>
      <c r="C1015" s="10" t="n">
        <v>45854</v>
      </c>
      <c r="D1015" s="2" t="n">
        <f aca="false">MONTH(C1015)</f>
        <v>7</v>
      </c>
      <c r="E1015" s="2" t="s">
        <v>77</v>
      </c>
      <c r="F1015" s="2" t="s">
        <v>92</v>
      </c>
      <c r="G1015" s="2" t="s">
        <v>73</v>
      </c>
      <c r="H1015" s="2" t="s">
        <v>85</v>
      </c>
      <c r="I1015" s="2" t="n">
        <v>7</v>
      </c>
      <c r="J1015" s="11" t="n">
        <v>1200</v>
      </c>
      <c r="K1015" s="12" t="n">
        <v>0.1</v>
      </c>
      <c r="L1015" s="11" t="n">
        <v>600</v>
      </c>
      <c r="M1015" s="11" t="n">
        <f aca="false">I1015*J1015*(1-K1015)</f>
        <v>7560</v>
      </c>
      <c r="N1015" s="11" t="n">
        <f aca="false">M1015-I1015*L1015</f>
        <v>3360</v>
      </c>
    </row>
    <row r="1016" customFormat="false" ht="15" hidden="false" customHeight="false" outlineLevel="0" collapsed="false">
      <c r="A1016" s="2" t="s">
        <v>1277</v>
      </c>
      <c r="B1016" s="2" t="s">
        <v>1278</v>
      </c>
      <c r="C1016" s="10" t="n">
        <v>45854</v>
      </c>
      <c r="D1016" s="2" t="n">
        <f aca="false">MONTH(C1016)</f>
        <v>7</v>
      </c>
      <c r="E1016" s="2" t="s">
        <v>63</v>
      </c>
      <c r="F1016" s="2" t="s">
        <v>64</v>
      </c>
      <c r="G1016" s="2" t="s">
        <v>73</v>
      </c>
      <c r="H1016" s="2" t="s">
        <v>104</v>
      </c>
      <c r="I1016" s="2" t="n">
        <v>2</v>
      </c>
      <c r="J1016" s="11" t="n">
        <v>5500</v>
      </c>
      <c r="K1016" s="12" t="n">
        <v>0.05</v>
      </c>
      <c r="L1016" s="11" t="n">
        <v>3600</v>
      </c>
      <c r="M1016" s="11" t="n">
        <f aca="false">I1016*J1016*(1-K1016)</f>
        <v>10450</v>
      </c>
      <c r="N1016" s="11" t="n">
        <f aca="false">M1016-I1016*L1016</f>
        <v>3250</v>
      </c>
    </row>
    <row r="1017" customFormat="false" ht="15" hidden="false" customHeight="false" outlineLevel="0" collapsed="false">
      <c r="A1017" s="2" t="s">
        <v>2373</v>
      </c>
      <c r="B1017" s="2" t="s">
        <v>2369</v>
      </c>
      <c r="C1017" s="10" t="n">
        <v>45854</v>
      </c>
      <c r="D1017" s="2" t="n">
        <f aca="false">MONTH(C1017)</f>
        <v>7</v>
      </c>
      <c r="E1017" s="2" t="s">
        <v>91</v>
      </c>
      <c r="F1017" s="2" t="s">
        <v>92</v>
      </c>
      <c r="G1017" s="2" t="s">
        <v>70</v>
      </c>
      <c r="H1017" s="2" t="s">
        <v>126</v>
      </c>
      <c r="I1017" s="2" t="n">
        <v>4</v>
      </c>
      <c r="J1017" s="11" t="n">
        <v>4500</v>
      </c>
      <c r="K1017" s="12" t="n">
        <v>0.05</v>
      </c>
      <c r="L1017" s="11" t="n">
        <v>3300</v>
      </c>
      <c r="M1017" s="11" t="n">
        <f aca="false">I1017*J1017*(1-K1017)</f>
        <v>17100</v>
      </c>
      <c r="N1017" s="11" t="n">
        <f aca="false">M1017-I1017*L1017</f>
        <v>3900</v>
      </c>
    </row>
    <row r="1018" customFormat="false" ht="15" hidden="false" customHeight="false" outlineLevel="0" collapsed="false">
      <c r="A1018" s="2" t="s">
        <v>398</v>
      </c>
      <c r="B1018" s="2" t="s">
        <v>396</v>
      </c>
      <c r="C1018" s="10" t="n">
        <v>45855</v>
      </c>
      <c r="D1018" s="2" t="n">
        <f aca="false">MONTH(C1018)</f>
        <v>7</v>
      </c>
      <c r="E1018" s="2" t="s">
        <v>77</v>
      </c>
      <c r="F1018" s="2" t="s">
        <v>64</v>
      </c>
      <c r="G1018" s="2" t="s">
        <v>65</v>
      </c>
      <c r="H1018" s="2" t="s">
        <v>66</v>
      </c>
      <c r="I1018" s="2" t="n">
        <v>8</v>
      </c>
      <c r="J1018" s="11" t="n">
        <v>600</v>
      </c>
      <c r="K1018" s="12" t="n">
        <v>0</v>
      </c>
      <c r="L1018" s="11" t="n">
        <v>300</v>
      </c>
      <c r="M1018" s="11" t="n">
        <f aca="false">I1018*J1018*(1-K1018)</f>
        <v>4800</v>
      </c>
      <c r="N1018" s="11" t="n">
        <f aca="false">M1018-I1018*L1018</f>
        <v>2400</v>
      </c>
    </row>
    <row r="1019" customFormat="false" ht="15" hidden="false" customHeight="false" outlineLevel="0" collapsed="false">
      <c r="A1019" s="2" t="s">
        <v>946</v>
      </c>
      <c r="B1019" s="2" t="s">
        <v>943</v>
      </c>
      <c r="C1019" s="10" t="n">
        <v>45855</v>
      </c>
      <c r="D1019" s="2" t="n">
        <f aca="false">MONTH(C1019)</f>
        <v>7</v>
      </c>
      <c r="E1019" s="2" t="s">
        <v>81</v>
      </c>
      <c r="F1019" s="2" t="s">
        <v>69</v>
      </c>
      <c r="G1019" s="2" t="s">
        <v>70</v>
      </c>
      <c r="H1019" s="2" t="s">
        <v>71</v>
      </c>
      <c r="I1019" s="2" t="n">
        <v>3</v>
      </c>
      <c r="J1019" s="11" t="n">
        <v>2500</v>
      </c>
      <c r="K1019" s="12" t="n">
        <v>0</v>
      </c>
      <c r="L1019" s="11" t="n">
        <v>1600</v>
      </c>
      <c r="M1019" s="11" t="n">
        <f aca="false">I1019*J1019*(1-K1019)</f>
        <v>7500</v>
      </c>
      <c r="N1019" s="11" t="n">
        <f aca="false">M1019-I1019*L1019</f>
        <v>2700</v>
      </c>
    </row>
    <row r="1020" customFormat="false" ht="15" hidden="false" customHeight="false" outlineLevel="0" collapsed="false">
      <c r="A1020" s="2" t="s">
        <v>1298</v>
      </c>
      <c r="B1020" s="2" t="s">
        <v>1297</v>
      </c>
      <c r="C1020" s="10" t="n">
        <v>45855</v>
      </c>
      <c r="D1020" s="2" t="n">
        <f aca="false">MONTH(C1020)</f>
        <v>7</v>
      </c>
      <c r="E1020" s="2" t="s">
        <v>81</v>
      </c>
      <c r="F1020" s="2" t="s">
        <v>64</v>
      </c>
      <c r="G1020" s="2" t="s">
        <v>70</v>
      </c>
      <c r="H1020" s="2" t="s">
        <v>126</v>
      </c>
      <c r="I1020" s="2" t="n">
        <v>3</v>
      </c>
      <c r="J1020" s="11" t="n">
        <v>4500</v>
      </c>
      <c r="K1020" s="12" t="n">
        <v>0</v>
      </c>
      <c r="L1020" s="11" t="n">
        <v>3300</v>
      </c>
      <c r="M1020" s="11" t="n">
        <f aca="false">I1020*J1020*(1-K1020)</f>
        <v>13500</v>
      </c>
      <c r="N1020" s="11" t="n">
        <f aca="false">M1020-I1020*L1020</f>
        <v>3600</v>
      </c>
    </row>
    <row r="1021" customFormat="false" ht="15" hidden="false" customHeight="false" outlineLevel="0" collapsed="false">
      <c r="A1021" s="2" t="s">
        <v>2169</v>
      </c>
      <c r="B1021" s="2" t="s">
        <v>2168</v>
      </c>
      <c r="C1021" s="10" t="n">
        <v>45855</v>
      </c>
      <c r="D1021" s="2" t="n">
        <f aca="false">MONTH(C1021)</f>
        <v>7</v>
      </c>
      <c r="E1021" s="2" t="s">
        <v>81</v>
      </c>
      <c r="F1021" s="2" t="s">
        <v>64</v>
      </c>
      <c r="G1021" s="2" t="s">
        <v>65</v>
      </c>
      <c r="H1021" s="2" t="s">
        <v>82</v>
      </c>
      <c r="I1021" s="2" t="n">
        <v>5</v>
      </c>
      <c r="J1021" s="11" t="n">
        <v>250</v>
      </c>
      <c r="K1021" s="12" t="n">
        <v>0</v>
      </c>
      <c r="L1021" s="11" t="n">
        <v>100</v>
      </c>
      <c r="M1021" s="11" t="n">
        <f aca="false">I1021*J1021*(1-K1021)</f>
        <v>1250</v>
      </c>
      <c r="N1021" s="11" t="n">
        <f aca="false">M1021-I1021*L1021</f>
        <v>750</v>
      </c>
    </row>
    <row r="1022" customFormat="false" ht="15" hidden="false" customHeight="false" outlineLevel="0" collapsed="false">
      <c r="A1022" s="2" t="s">
        <v>2273</v>
      </c>
      <c r="B1022" s="2" t="s">
        <v>2272</v>
      </c>
      <c r="C1022" s="10" t="n">
        <v>45855</v>
      </c>
      <c r="D1022" s="2" t="n">
        <f aca="false">MONTH(C1022)</f>
        <v>7</v>
      </c>
      <c r="E1022" s="2" t="s">
        <v>81</v>
      </c>
      <c r="F1022" s="2" t="s">
        <v>64</v>
      </c>
      <c r="G1022" s="2" t="s">
        <v>70</v>
      </c>
      <c r="H1022" s="2" t="s">
        <v>126</v>
      </c>
      <c r="I1022" s="2" t="n">
        <v>1</v>
      </c>
      <c r="J1022" s="11" t="n">
        <v>4500</v>
      </c>
      <c r="K1022" s="12" t="n">
        <v>0.05</v>
      </c>
      <c r="L1022" s="11" t="n">
        <v>3300</v>
      </c>
      <c r="M1022" s="11" t="n">
        <f aca="false">I1022*J1022*(1-K1022)</f>
        <v>4275</v>
      </c>
      <c r="N1022" s="11" t="n">
        <f aca="false">M1022-I1022*L1022</f>
        <v>975</v>
      </c>
    </row>
    <row r="1023" customFormat="false" ht="15" hidden="false" customHeight="false" outlineLevel="0" collapsed="false">
      <c r="A1023" s="2" t="s">
        <v>226</v>
      </c>
      <c r="B1023" s="2" t="s">
        <v>227</v>
      </c>
      <c r="C1023" s="10" t="n">
        <v>45856</v>
      </c>
      <c r="D1023" s="2" t="n">
        <f aca="false">MONTH(C1023)</f>
        <v>7</v>
      </c>
      <c r="E1023" s="2" t="s">
        <v>91</v>
      </c>
      <c r="F1023" s="2" t="s">
        <v>64</v>
      </c>
      <c r="G1023" s="2" t="s">
        <v>70</v>
      </c>
      <c r="H1023" s="2" t="s">
        <v>122</v>
      </c>
      <c r="I1023" s="2" t="n">
        <v>1</v>
      </c>
      <c r="J1023" s="11" t="n">
        <v>1500</v>
      </c>
      <c r="K1023" s="12" t="n">
        <v>0.05</v>
      </c>
      <c r="L1023" s="11" t="n">
        <v>900</v>
      </c>
      <c r="M1023" s="11" t="n">
        <f aca="false">I1023*J1023*(1-K1023)</f>
        <v>1425</v>
      </c>
      <c r="N1023" s="11" t="n">
        <f aca="false">M1023-I1023*L1023</f>
        <v>525</v>
      </c>
    </row>
    <row r="1024" customFormat="false" ht="15" hidden="false" customHeight="false" outlineLevel="0" collapsed="false">
      <c r="A1024" s="2" t="s">
        <v>836</v>
      </c>
      <c r="B1024" s="2" t="s">
        <v>837</v>
      </c>
      <c r="C1024" s="10" t="n">
        <v>45856</v>
      </c>
      <c r="D1024" s="2" t="n">
        <f aca="false">MONTH(C1024)</f>
        <v>7</v>
      </c>
      <c r="E1024" s="2" t="s">
        <v>91</v>
      </c>
      <c r="F1024" s="2" t="s">
        <v>64</v>
      </c>
      <c r="G1024" s="2" t="s">
        <v>65</v>
      </c>
      <c r="H1024" s="2" t="s">
        <v>66</v>
      </c>
      <c r="I1024" s="2" t="n">
        <v>3</v>
      </c>
      <c r="J1024" s="11" t="n">
        <v>600</v>
      </c>
      <c r="K1024" s="12" t="n">
        <v>0</v>
      </c>
      <c r="L1024" s="11" t="n">
        <v>300</v>
      </c>
      <c r="M1024" s="11" t="n">
        <f aca="false">I1024*J1024*(1-K1024)</f>
        <v>1800</v>
      </c>
      <c r="N1024" s="11" t="n">
        <f aca="false">M1024-I1024*L1024</f>
        <v>900</v>
      </c>
    </row>
    <row r="1025" customFormat="false" ht="15" hidden="false" customHeight="false" outlineLevel="0" collapsed="false">
      <c r="A1025" s="2" t="s">
        <v>985</v>
      </c>
      <c r="B1025" s="2" t="s">
        <v>984</v>
      </c>
      <c r="C1025" s="10" t="n">
        <v>45856</v>
      </c>
      <c r="D1025" s="2" t="n">
        <f aca="false">MONTH(C1025)</f>
        <v>7</v>
      </c>
      <c r="E1025" s="2" t="s">
        <v>63</v>
      </c>
      <c r="F1025" s="2" t="s">
        <v>64</v>
      </c>
      <c r="G1025" s="2" t="s">
        <v>65</v>
      </c>
      <c r="H1025" s="2" t="s">
        <v>78</v>
      </c>
      <c r="I1025" s="2" t="n">
        <v>2</v>
      </c>
      <c r="J1025" s="11" t="n">
        <v>400</v>
      </c>
      <c r="K1025" s="12" t="n">
        <v>0</v>
      </c>
      <c r="L1025" s="11" t="n">
        <v>200</v>
      </c>
      <c r="M1025" s="11" t="n">
        <f aca="false">I1025*J1025*(1-K1025)</f>
        <v>800</v>
      </c>
      <c r="N1025" s="11" t="n">
        <f aca="false">M1025-I1025*L1025</f>
        <v>400</v>
      </c>
    </row>
    <row r="1026" customFormat="false" ht="15" hidden="false" customHeight="false" outlineLevel="0" collapsed="false">
      <c r="A1026" s="2" t="s">
        <v>1293</v>
      </c>
      <c r="B1026" s="2" t="s">
        <v>1292</v>
      </c>
      <c r="C1026" s="10" t="n">
        <v>45856</v>
      </c>
      <c r="D1026" s="2" t="n">
        <f aca="false">MONTH(C1026)</f>
        <v>7</v>
      </c>
      <c r="E1026" s="2" t="s">
        <v>77</v>
      </c>
      <c r="F1026" s="2" t="s">
        <v>69</v>
      </c>
      <c r="G1026" s="2" t="s">
        <v>65</v>
      </c>
      <c r="H1026" s="2" t="s">
        <v>107</v>
      </c>
      <c r="I1026" s="2" t="n">
        <v>12</v>
      </c>
      <c r="J1026" s="11" t="n">
        <v>500</v>
      </c>
      <c r="K1026" s="12" t="n">
        <v>0</v>
      </c>
      <c r="L1026" s="11" t="n">
        <v>250</v>
      </c>
      <c r="M1026" s="11" t="n">
        <f aca="false">I1026*J1026*(1-K1026)</f>
        <v>6000</v>
      </c>
      <c r="N1026" s="11" t="n">
        <f aca="false">M1026-I1026*L1026</f>
        <v>3000</v>
      </c>
    </row>
    <row r="1027" customFormat="false" ht="15" hidden="false" customHeight="false" outlineLevel="0" collapsed="false">
      <c r="A1027" s="2" t="s">
        <v>1767</v>
      </c>
      <c r="B1027" s="2" t="s">
        <v>1766</v>
      </c>
      <c r="C1027" s="10" t="n">
        <v>45856</v>
      </c>
      <c r="D1027" s="2" t="n">
        <f aca="false">MONTH(C1027)</f>
        <v>7</v>
      </c>
      <c r="E1027" s="2" t="s">
        <v>77</v>
      </c>
      <c r="F1027" s="2" t="s">
        <v>69</v>
      </c>
      <c r="G1027" s="2" t="s">
        <v>65</v>
      </c>
      <c r="H1027" s="2" t="s">
        <v>82</v>
      </c>
      <c r="I1027" s="2" t="n">
        <v>15</v>
      </c>
      <c r="J1027" s="11" t="n">
        <v>250</v>
      </c>
      <c r="K1027" s="12" t="n">
        <v>0.1</v>
      </c>
      <c r="L1027" s="11" t="n">
        <v>100</v>
      </c>
      <c r="M1027" s="11" t="n">
        <f aca="false">I1027*J1027*(1-K1027)</f>
        <v>3375</v>
      </c>
      <c r="N1027" s="11" t="n">
        <f aca="false">M1027-I1027*L1027</f>
        <v>1875</v>
      </c>
    </row>
    <row r="1028" customFormat="false" ht="15" hidden="false" customHeight="false" outlineLevel="0" collapsed="false">
      <c r="A1028" s="2" t="s">
        <v>2139</v>
      </c>
      <c r="B1028" s="2" t="s">
        <v>2140</v>
      </c>
      <c r="C1028" s="10" t="n">
        <v>45856</v>
      </c>
      <c r="D1028" s="2" t="n">
        <f aca="false">MONTH(C1028)</f>
        <v>7</v>
      </c>
      <c r="E1028" s="2" t="s">
        <v>77</v>
      </c>
      <c r="F1028" s="2" t="s">
        <v>64</v>
      </c>
      <c r="G1028" s="2" t="s">
        <v>70</v>
      </c>
      <c r="H1028" s="2" t="s">
        <v>71</v>
      </c>
      <c r="I1028" s="2" t="n">
        <v>1</v>
      </c>
      <c r="J1028" s="11" t="n">
        <v>2500</v>
      </c>
      <c r="K1028" s="12" t="n">
        <v>0</v>
      </c>
      <c r="L1028" s="11" t="n">
        <v>1600</v>
      </c>
      <c r="M1028" s="11" t="n">
        <f aca="false">I1028*J1028*(1-K1028)</f>
        <v>2500</v>
      </c>
      <c r="N1028" s="11" t="n">
        <f aca="false">M1028-I1028*L1028</f>
        <v>900</v>
      </c>
    </row>
    <row r="1029" customFormat="false" ht="15" hidden="false" customHeight="false" outlineLevel="0" collapsed="false">
      <c r="A1029" s="2" t="s">
        <v>2167</v>
      </c>
      <c r="B1029" s="2" t="s">
        <v>2168</v>
      </c>
      <c r="C1029" s="10" t="n">
        <v>45856</v>
      </c>
      <c r="D1029" s="2" t="n">
        <f aca="false">MONTH(C1029)</f>
        <v>7</v>
      </c>
      <c r="E1029" s="2" t="s">
        <v>81</v>
      </c>
      <c r="F1029" s="2" t="s">
        <v>64</v>
      </c>
      <c r="G1029" s="2" t="s">
        <v>70</v>
      </c>
      <c r="H1029" s="2" t="s">
        <v>122</v>
      </c>
      <c r="I1029" s="2" t="n">
        <v>2</v>
      </c>
      <c r="J1029" s="11" t="n">
        <v>1500</v>
      </c>
      <c r="K1029" s="12" t="n">
        <v>0</v>
      </c>
      <c r="L1029" s="11" t="n">
        <v>900</v>
      </c>
      <c r="M1029" s="11" t="n">
        <f aca="false">I1029*J1029*(1-K1029)</f>
        <v>3000</v>
      </c>
      <c r="N1029" s="11" t="n">
        <f aca="false">M1029-I1029*L1029</f>
        <v>1200</v>
      </c>
    </row>
    <row r="1030" customFormat="false" ht="15" hidden="false" customHeight="false" outlineLevel="0" collapsed="false">
      <c r="A1030" s="2" t="s">
        <v>2326</v>
      </c>
      <c r="B1030" s="2" t="s">
        <v>2318</v>
      </c>
      <c r="C1030" s="10" t="n">
        <v>45856</v>
      </c>
      <c r="D1030" s="2" t="n">
        <f aca="false">MONTH(C1030)</f>
        <v>7</v>
      </c>
      <c r="E1030" s="2" t="s">
        <v>77</v>
      </c>
      <c r="F1030" s="2" t="s">
        <v>64</v>
      </c>
      <c r="G1030" s="2" t="s">
        <v>70</v>
      </c>
      <c r="H1030" s="2" t="s">
        <v>71</v>
      </c>
      <c r="I1030" s="2" t="n">
        <v>1</v>
      </c>
      <c r="J1030" s="11" t="n">
        <v>2500</v>
      </c>
      <c r="K1030" s="12" t="n">
        <v>0.1</v>
      </c>
      <c r="L1030" s="11" t="n">
        <v>1600</v>
      </c>
      <c r="M1030" s="11" t="n">
        <f aca="false">I1030*J1030*(1-K1030)</f>
        <v>2250</v>
      </c>
      <c r="N1030" s="11" t="n">
        <f aca="false">M1030-I1030*L1030</f>
        <v>650</v>
      </c>
    </row>
    <row r="1031" customFormat="false" ht="15" hidden="false" customHeight="false" outlineLevel="0" collapsed="false">
      <c r="A1031" s="2" t="s">
        <v>2751</v>
      </c>
      <c r="B1031" s="2" t="s">
        <v>2750</v>
      </c>
      <c r="C1031" s="10" t="n">
        <v>45856</v>
      </c>
      <c r="D1031" s="2" t="n">
        <f aca="false">MONTH(C1031)</f>
        <v>7</v>
      </c>
      <c r="E1031" s="2" t="s">
        <v>63</v>
      </c>
      <c r="F1031" s="2" t="s">
        <v>64</v>
      </c>
      <c r="G1031" s="2" t="s">
        <v>70</v>
      </c>
      <c r="H1031" s="2" t="s">
        <v>126</v>
      </c>
      <c r="I1031" s="2" t="n">
        <v>1</v>
      </c>
      <c r="J1031" s="11" t="n">
        <v>4500</v>
      </c>
      <c r="K1031" s="12" t="n">
        <v>0.1</v>
      </c>
      <c r="L1031" s="11" t="n">
        <v>3300</v>
      </c>
      <c r="M1031" s="11" t="n">
        <f aca="false">I1031*J1031*(1-K1031)</f>
        <v>4050</v>
      </c>
      <c r="N1031" s="11" t="n">
        <f aca="false">M1031-I1031*L1031</f>
        <v>750</v>
      </c>
    </row>
    <row r="1032" customFormat="false" ht="15" hidden="false" customHeight="false" outlineLevel="0" collapsed="false">
      <c r="A1032" s="2" t="s">
        <v>451</v>
      </c>
      <c r="B1032" s="2" t="s">
        <v>450</v>
      </c>
      <c r="C1032" s="10" t="n">
        <v>45857</v>
      </c>
      <c r="D1032" s="2" t="n">
        <f aca="false">MONTH(C1032)</f>
        <v>7</v>
      </c>
      <c r="E1032" s="2" t="s">
        <v>77</v>
      </c>
      <c r="F1032" s="2" t="s">
        <v>64</v>
      </c>
      <c r="G1032" s="2" t="s">
        <v>73</v>
      </c>
      <c r="H1032" s="2" t="s">
        <v>74</v>
      </c>
      <c r="I1032" s="2" t="n">
        <v>1</v>
      </c>
      <c r="J1032" s="11" t="n">
        <v>7000</v>
      </c>
      <c r="K1032" s="12" t="n">
        <v>0</v>
      </c>
      <c r="L1032" s="11" t="n">
        <v>4800</v>
      </c>
      <c r="M1032" s="11" t="n">
        <f aca="false">I1032*J1032*(1-K1032)</f>
        <v>7000</v>
      </c>
      <c r="N1032" s="11" t="n">
        <f aca="false">M1032-I1032*L1032</f>
        <v>2200</v>
      </c>
    </row>
    <row r="1033" customFormat="false" ht="15" hidden="false" customHeight="false" outlineLevel="0" collapsed="false">
      <c r="A1033" s="2" t="s">
        <v>604</v>
      </c>
      <c r="B1033" s="2" t="s">
        <v>602</v>
      </c>
      <c r="C1033" s="10" t="n">
        <v>45857</v>
      </c>
      <c r="D1033" s="2" t="n">
        <f aca="false">MONTH(C1033)</f>
        <v>7</v>
      </c>
      <c r="E1033" s="2" t="s">
        <v>77</v>
      </c>
      <c r="F1033" s="2" t="s">
        <v>64</v>
      </c>
      <c r="G1033" s="2" t="s">
        <v>65</v>
      </c>
      <c r="H1033" s="2" t="s">
        <v>78</v>
      </c>
      <c r="I1033" s="2" t="n">
        <v>8</v>
      </c>
      <c r="J1033" s="11" t="n">
        <v>400</v>
      </c>
      <c r="K1033" s="12" t="n">
        <v>0</v>
      </c>
      <c r="L1033" s="11" t="n">
        <v>200</v>
      </c>
      <c r="M1033" s="11" t="n">
        <f aca="false">I1033*J1033*(1-K1033)</f>
        <v>3200</v>
      </c>
      <c r="N1033" s="11" t="n">
        <f aca="false">M1033-I1033*L1033</f>
        <v>1600</v>
      </c>
    </row>
    <row r="1034" customFormat="false" ht="15" hidden="false" customHeight="false" outlineLevel="0" collapsed="false">
      <c r="A1034" s="2" t="s">
        <v>907</v>
      </c>
      <c r="B1034" s="2" t="s">
        <v>904</v>
      </c>
      <c r="C1034" s="10" t="n">
        <v>45857</v>
      </c>
      <c r="D1034" s="2" t="n">
        <f aca="false">MONTH(C1034)</f>
        <v>7</v>
      </c>
      <c r="E1034" s="2" t="s">
        <v>77</v>
      </c>
      <c r="F1034" s="2" t="s">
        <v>64</v>
      </c>
      <c r="G1034" s="2" t="s">
        <v>65</v>
      </c>
      <c r="H1034" s="2" t="s">
        <v>82</v>
      </c>
      <c r="I1034" s="2" t="n">
        <v>6</v>
      </c>
      <c r="J1034" s="11" t="n">
        <v>250</v>
      </c>
      <c r="K1034" s="12" t="n">
        <v>0.1</v>
      </c>
      <c r="L1034" s="11" t="n">
        <v>100</v>
      </c>
      <c r="M1034" s="11" t="n">
        <f aca="false">I1034*J1034*(1-K1034)</f>
        <v>1350</v>
      </c>
      <c r="N1034" s="11" t="n">
        <f aca="false">M1034-I1034*L1034</f>
        <v>750</v>
      </c>
    </row>
    <row r="1035" customFormat="false" ht="15" hidden="false" customHeight="false" outlineLevel="0" collapsed="false">
      <c r="A1035" s="2" t="s">
        <v>1389</v>
      </c>
      <c r="B1035" s="2" t="s">
        <v>1387</v>
      </c>
      <c r="C1035" s="10" t="n">
        <v>45857</v>
      </c>
      <c r="D1035" s="2" t="n">
        <f aca="false">MONTH(C1035)</f>
        <v>7</v>
      </c>
      <c r="E1035" s="2" t="s">
        <v>91</v>
      </c>
      <c r="F1035" s="2" t="s">
        <v>64</v>
      </c>
      <c r="G1035" s="2" t="s">
        <v>73</v>
      </c>
      <c r="H1035" s="2" t="s">
        <v>85</v>
      </c>
      <c r="I1035" s="2" t="n">
        <v>1</v>
      </c>
      <c r="J1035" s="11" t="n">
        <v>1200</v>
      </c>
      <c r="K1035" s="12" t="n">
        <v>0</v>
      </c>
      <c r="L1035" s="11" t="n">
        <v>600</v>
      </c>
      <c r="M1035" s="11" t="n">
        <f aca="false">I1035*J1035*(1-K1035)</f>
        <v>1200</v>
      </c>
      <c r="N1035" s="11" t="n">
        <f aca="false">M1035-I1035*L1035</f>
        <v>600</v>
      </c>
    </row>
    <row r="1036" customFormat="false" ht="15" hidden="false" customHeight="false" outlineLevel="0" collapsed="false">
      <c r="A1036" s="2" t="s">
        <v>2005</v>
      </c>
      <c r="B1036" s="2" t="s">
        <v>2000</v>
      </c>
      <c r="C1036" s="10" t="n">
        <v>45857</v>
      </c>
      <c r="D1036" s="2" t="n">
        <f aca="false">MONTH(C1036)</f>
        <v>7</v>
      </c>
      <c r="E1036" s="2" t="s">
        <v>91</v>
      </c>
      <c r="F1036" s="2" t="s">
        <v>64</v>
      </c>
      <c r="G1036" s="2" t="s">
        <v>65</v>
      </c>
      <c r="H1036" s="2" t="s">
        <v>107</v>
      </c>
      <c r="I1036" s="2" t="n">
        <v>8</v>
      </c>
      <c r="J1036" s="11" t="n">
        <v>500</v>
      </c>
      <c r="K1036" s="12" t="n">
        <v>0</v>
      </c>
      <c r="L1036" s="11" t="n">
        <v>250</v>
      </c>
      <c r="M1036" s="11" t="n">
        <f aca="false">I1036*J1036*(1-K1036)</f>
        <v>4000</v>
      </c>
      <c r="N1036" s="11" t="n">
        <f aca="false">M1036-I1036*L1036</f>
        <v>2000</v>
      </c>
    </row>
    <row r="1037" customFormat="false" ht="15" hidden="false" customHeight="false" outlineLevel="0" collapsed="false">
      <c r="A1037" s="2" t="s">
        <v>148</v>
      </c>
      <c r="B1037" s="2" t="s">
        <v>145</v>
      </c>
      <c r="C1037" s="10" t="n">
        <v>45858</v>
      </c>
      <c r="D1037" s="2" t="n">
        <f aca="false">MONTH(C1037)</f>
        <v>7</v>
      </c>
      <c r="E1037" s="2" t="s">
        <v>91</v>
      </c>
      <c r="F1037" s="2" t="s">
        <v>92</v>
      </c>
      <c r="G1037" s="2" t="s">
        <v>70</v>
      </c>
      <c r="H1037" s="2" t="s">
        <v>97</v>
      </c>
      <c r="I1037" s="2" t="n">
        <v>3</v>
      </c>
      <c r="J1037" s="11" t="n">
        <v>3000</v>
      </c>
      <c r="K1037" s="12" t="n">
        <v>0.15</v>
      </c>
      <c r="L1037" s="11" t="n">
        <v>2000</v>
      </c>
      <c r="M1037" s="11" t="n">
        <f aca="false">I1037*J1037*(1-K1037)</f>
        <v>7650</v>
      </c>
      <c r="N1037" s="11" t="n">
        <f aca="false">M1037-I1037*L1037</f>
        <v>1650</v>
      </c>
    </row>
    <row r="1038" customFormat="false" ht="15" hidden="false" customHeight="false" outlineLevel="0" collapsed="false">
      <c r="A1038" s="2" t="s">
        <v>1740</v>
      </c>
      <c r="B1038" s="2" t="s">
        <v>1741</v>
      </c>
      <c r="C1038" s="10" t="n">
        <v>45858</v>
      </c>
      <c r="D1038" s="2" t="n">
        <f aca="false">MONTH(C1038)</f>
        <v>7</v>
      </c>
      <c r="E1038" s="2" t="s">
        <v>63</v>
      </c>
      <c r="F1038" s="2" t="s">
        <v>64</v>
      </c>
      <c r="G1038" s="2" t="s">
        <v>73</v>
      </c>
      <c r="H1038" s="2" t="s">
        <v>74</v>
      </c>
      <c r="I1038" s="2" t="n">
        <v>1</v>
      </c>
      <c r="J1038" s="11" t="n">
        <v>7000</v>
      </c>
      <c r="K1038" s="12" t="n">
        <v>0</v>
      </c>
      <c r="L1038" s="11" t="n">
        <v>4800</v>
      </c>
      <c r="M1038" s="11" t="n">
        <f aca="false">I1038*J1038*(1-K1038)</f>
        <v>7000</v>
      </c>
      <c r="N1038" s="11" t="n">
        <f aca="false">M1038-I1038*L1038</f>
        <v>2200</v>
      </c>
    </row>
    <row r="1039" customFormat="false" ht="15" hidden="false" customHeight="false" outlineLevel="0" collapsed="false">
      <c r="A1039" s="2" t="s">
        <v>2294</v>
      </c>
      <c r="B1039" s="2" t="s">
        <v>2288</v>
      </c>
      <c r="C1039" s="10" t="n">
        <v>45858</v>
      </c>
      <c r="D1039" s="2" t="n">
        <f aca="false">MONTH(C1039)</f>
        <v>7</v>
      </c>
      <c r="E1039" s="2" t="s">
        <v>63</v>
      </c>
      <c r="F1039" s="2" t="s">
        <v>64</v>
      </c>
      <c r="G1039" s="2" t="s">
        <v>73</v>
      </c>
      <c r="H1039" s="2" t="s">
        <v>87</v>
      </c>
      <c r="I1039" s="2" t="n">
        <v>2</v>
      </c>
      <c r="J1039" s="11" t="n">
        <v>9000</v>
      </c>
      <c r="K1039" s="12" t="n">
        <v>0</v>
      </c>
      <c r="L1039" s="11" t="n">
        <v>6200</v>
      </c>
      <c r="M1039" s="11" t="n">
        <f aca="false">I1039*J1039*(1-K1039)</f>
        <v>18000</v>
      </c>
      <c r="N1039" s="11" t="n">
        <f aca="false">M1039-I1039*L1039</f>
        <v>5600</v>
      </c>
    </row>
    <row r="1040" customFormat="false" ht="15" hidden="false" customHeight="false" outlineLevel="0" collapsed="false">
      <c r="A1040" s="2" t="s">
        <v>268</v>
      </c>
      <c r="B1040" s="2" t="s">
        <v>267</v>
      </c>
      <c r="C1040" s="10" t="n">
        <v>45859</v>
      </c>
      <c r="D1040" s="2" t="n">
        <f aca="false">MONTH(C1040)</f>
        <v>7</v>
      </c>
      <c r="E1040" s="2" t="s">
        <v>63</v>
      </c>
      <c r="F1040" s="2" t="s">
        <v>92</v>
      </c>
      <c r="G1040" s="2" t="s">
        <v>70</v>
      </c>
      <c r="H1040" s="2" t="s">
        <v>97</v>
      </c>
      <c r="I1040" s="2" t="n">
        <v>2</v>
      </c>
      <c r="J1040" s="11" t="n">
        <v>3000</v>
      </c>
      <c r="K1040" s="12" t="n">
        <v>0.05</v>
      </c>
      <c r="L1040" s="11" t="n">
        <v>2000</v>
      </c>
      <c r="M1040" s="11" t="n">
        <f aca="false">I1040*J1040*(1-K1040)</f>
        <v>5700</v>
      </c>
      <c r="N1040" s="11" t="n">
        <f aca="false">M1040-I1040*L1040</f>
        <v>1700</v>
      </c>
    </row>
    <row r="1041" customFormat="false" ht="15" hidden="false" customHeight="false" outlineLevel="0" collapsed="false">
      <c r="A1041" s="2" t="s">
        <v>788</v>
      </c>
      <c r="B1041" s="2" t="s">
        <v>789</v>
      </c>
      <c r="C1041" s="10" t="n">
        <v>45859</v>
      </c>
      <c r="D1041" s="2" t="n">
        <f aca="false">MONTH(C1041)</f>
        <v>7</v>
      </c>
      <c r="E1041" s="2" t="s">
        <v>63</v>
      </c>
      <c r="F1041" s="2" t="s">
        <v>64</v>
      </c>
      <c r="G1041" s="2" t="s">
        <v>65</v>
      </c>
      <c r="H1041" s="2" t="s">
        <v>107</v>
      </c>
      <c r="I1041" s="2" t="n">
        <v>6</v>
      </c>
      <c r="J1041" s="11" t="n">
        <v>500</v>
      </c>
      <c r="K1041" s="12" t="n">
        <v>0</v>
      </c>
      <c r="L1041" s="11" t="n">
        <v>250</v>
      </c>
      <c r="M1041" s="11" t="n">
        <f aca="false">I1041*J1041*(1-K1041)</f>
        <v>3000</v>
      </c>
      <c r="N1041" s="11" t="n">
        <f aca="false">M1041-I1041*L1041</f>
        <v>1500</v>
      </c>
    </row>
    <row r="1042" customFormat="false" ht="15" hidden="false" customHeight="false" outlineLevel="0" collapsed="false">
      <c r="A1042" s="2" t="s">
        <v>873</v>
      </c>
      <c r="B1042" s="2" t="s">
        <v>871</v>
      </c>
      <c r="C1042" s="10" t="n">
        <v>45859</v>
      </c>
      <c r="D1042" s="2" t="n">
        <f aca="false">MONTH(C1042)</f>
        <v>7</v>
      </c>
      <c r="E1042" s="2" t="s">
        <v>91</v>
      </c>
      <c r="F1042" s="2" t="s">
        <v>64</v>
      </c>
      <c r="G1042" s="2" t="s">
        <v>70</v>
      </c>
      <c r="H1042" s="2" t="s">
        <v>122</v>
      </c>
      <c r="I1042" s="2" t="n">
        <v>3</v>
      </c>
      <c r="J1042" s="11" t="n">
        <v>1500</v>
      </c>
      <c r="K1042" s="12" t="n">
        <v>0</v>
      </c>
      <c r="L1042" s="11" t="n">
        <v>900</v>
      </c>
      <c r="M1042" s="11" t="n">
        <f aca="false">I1042*J1042*(1-K1042)</f>
        <v>4500</v>
      </c>
      <c r="N1042" s="11" t="n">
        <f aca="false">M1042-I1042*L1042</f>
        <v>1800</v>
      </c>
    </row>
    <row r="1043" customFormat="false" ht="15" hidden="false" customHeight="false" outlineLevel="0" collapsed="false">
      <c r="A1043" s="2" t="s">
        <v>2182</v>
      </c>
      <c r="B1043" s="2" t="s">
        <v>2183</v>
      </c>
      <c r="C1043" s="10" t="n">
        <v>45859</v>
      </c>
      <c r="D1043" s="2" t="n">
        <f aca="false">MONTH(C1043)</f>
        <v>7</v>
      </c>
      <c r="E1043" s="2" t="s">
        <v>91</v>
      </c>
      <c r="F1043" s="2" t="s">
        <v>69</v>
      </c>
      <c r="G1043" s="2" t="s">
        <v>73</v>
      </c>
      <c r="H1043" s="2" t="s">
        <v>104</v>
      </c>
      <c r="I1043" s="2" t="n">
        <v>1</v>
      </c>
      <c r="J1043" s="11" t="n">
        <v>5500</v>
      </c>
      <c r="K1043" s="12" t="n">
        <v>0</v>
      </c>
      <c r="L1043" s="11" t="n">
        <v>3600</v>
      </c>
      <c r="M1043" s="11" t="n">
        <f aca="false">I1043*J1043*(1-K1043)</f>
        <v>5500</v>
      </c>
      <c r="N1043" s="11" t="n">
        <f aca="false">M1043-I1043*L1043</f>
        <v>1900</v>
      </c>
    </row>
    <row r="1044" customFormat="false" ht="15" hidden="false" customHeight="false" outlineLevel="0" collapsed="false">
      <c r="A1044" s="2" t="s">
        <v>2852</v>
      </c>
      <c r="B1044" s="2" t="s">
        <v>2853</v>
      </c>
      <c r="C1044" s="10" t="n">
        <v>45859</v>
      </c>
      <c r="D1044" s="2" t="n">
        <f aca="false">MONTH(C1044)</f>
        <v>7</v>
      </c>
      <c r="E1044" s="2" t="s">
        <v>91</v>
      </c>
      <c r="F1044" s="2" t="s">
        <v>69</v>
      </c>
      <c r="G1044" s="2" t="s">
        <v>73</v>
      </c>
      <c r="H1044" s="2" t="s">
        <v>74</v>
      </c>
      <c r="I1044" s="2" t="n">
        <v>2</v>
      </c>
      <c r="J1044" s="11" t="n">
        <v>7000</v>
      </c>
      <c r="K1044" s="12" t="n">
        <v>0</v>
      </c>
      <c r="L1044" s="11" t="n">
        <v>4800</v>
      </c>
      <c r="M1044" s="11" t="n">
        <f aca="false">I1044*J1044*(1-K1044)</f>
        <v>14000</v>
      </c>
      <c r="N1044" s="11" t="n">
        <f aca="false">M1044-I1044*L1044</f>
        <v>4400</v>
      </c>
    </row>
    <row r="1045" customFormat="false" ht="15" hidden="false" customHeight="false" outlineLevel="0" collapsed="false">
      <c r="A1045" s="2" t="s">
        <v>2982</v>
      </c>
      <c r="B1045" s="2" t="s">
        <v>2980</v>
      </c>
      <c r="C1045" s="10" t="n">
        <v>45859</v>
      </c>
      <c r="D1045" s="2" t="n">
        <f aca="false">MONTH(C1045)</f>
        <v>7</v>
      </c>
      <c r="E1045" s="2" t="s">
        <v>77</v>
      </c>
      <c r="F1045" s="2" t="s">
        <v>92</v>
      </c>
      <c r="G1045" s="2" t="s">
        <v>70</v>
      </c>
      <c r="H1045" s="2" t="s">
        <v>97</v>
      </c>
      <c r="I1045" s="2" t="n">
        <v>7</v>
      </c>
      <c r="J1045" s="11" t="n">
        <v>3000</v>
      </c>
      <c r="K1045" s="12" t="n">
        <v>0.15</v>
      </c>
      <c r="L1045" s="11" t="n">
        <v>2000</v>
      </c>
      <c r="M1045" s="11" t="n">
        <f aca="false">I1045*J1045*(1-K1045)</f>
        <v>17850</v>
      </c>
      <c r="N1045" s="11" t="n">
        <f aca="false">M1045-I1045*L1045</f>
        <v>3850</v>
      </c>
    </row>
    <row r="1046" customFormat="false" ht="15" hidden="false" customHeight="false" outlineLevel="0" collapsed="false">
      <c r="A1046" s="2" t="s">
        <v>2709</v>
      </c>
      <c r="B1046" s="2" t="s">
        <v>2710</v>
      </c>
      <c r="C1046" s="10" t="n">
        <v>45860</v>
      </c>
      <c r="D1046" s="2" t="n">
        <f aca="false">MONTH(C1046)</f>
        <v>7</v>
      </c>
      <c r="E1046" s="2" t="s">
        <v>81</v>
      </c>
      <c r="F1046" s="2" t="s">
        <v>64</v>
      </c>
      <c r="G1046" s="2" t="s">
        <v>73</v>
      </c>
      <c r="H1046" s="2" t="s">
        <v>74</v>
      </c>
      <c r="I1046" s="2" t="n">
        <v>2</v>
      </c>
      <c r="J1046" s="11" t="n">
        <v>7000</v>
      </c>
      <c r="K1046" s="12" t="n">
        <v>0</v>
      </c>
      <c r="L1046" s="11" t="n">
        <v>4800</v>
      </c>
      <c r="M1046" s="11" t="n">
        <f aca="false">I1046*J1046*(1-K1046)</f>
        <v>14000</v>
      </c>
      <c r="N1046" s="11" t="n">
        <f aca="false">M1046-I1046*L1046</f>
        <v>4400</v>
      </c>
    </row>
    <row r="1047" customFormat="false" ht="15" hidden="false" customHeight="false" outlineLevel="0" collapsed="false">
      <c r="A1047" s="2" t="s">
        <v>171</v>
      </c>
      <c r="B1047" s="2" t="s">
        <v>166</v>
      </c>
      <c r="C1047" s="10" t="n">
        <v>45861</v>
      </c>
      <c r="D1047" s="2" t="n">
        <f aca="false">MONTH(C1047)</f>
        <v>7</v>
      </c>
      <c r="E1047" s="2" t="s">
        <v>63</v>
      </c>
      <c r="F1047" s="2" t="s">
        <v>92</v>
      </c>
      <c r="G1047" s="2" t="s">
        <v>73</v>
      </c>
      <c r="H1047" s="2" t="s">
        <v>74</v>
      </c>
      <c r="I1047" s="2" t="n">
        <v>6</v>
      </c>
      <c r="J1047" s="11" t="n">
        <v>7000</v>
      </c>
      <c r="K1047" s="12" t="n">
        <v>0.05</v>
      </c>
      <c r="L1047" s="11" t="n">
        <v>4800</v>
      </c>
      <c r="M1047" s="11" t="n">
        <f aca="false">I1047*J1047*(1-K1047)</f>
        <v>39900</v>
      </c>
      <c r="N1047" s="11" t="n">
        <f aca="false">M1047-I1047*L1047</f>
        <v>11100</v>
      </c>
    </row>
    <row r="1048" customFormat="false" ht="15" hidden="false" customHeight="false" outlineLevel="0" collapsed="false">
      <c r="A1048" s="2" t="s">
        <v>701</v>
      </c>
      <c r="B1048" s="2" t="s">
        <v>699</v>
      </c>
      <c r="C1048" s="10" t="n">
        <v>45861</v>
      </c>
      <c r="D1048" s="2" t="n">
        <f aca="false">MONTH(C1048)</f>
        <v>7</v>
      </c>
      <c r="E1048" s="2" t="s">
        <v>81</v>
      </c>
      <c r="F1048" s="2" t="s">
        <v>92</v>
      </c>
      <c r="G1048" s="2" t="s">
        <v>73</v>
      </c>
      <c r="H1048" s="2" t="s">
        <v>85</v>
      </c>
      <c r="I1048" s="2" t="n">
        <v>8</v>
      </c>
      <c r="J1048" s="11" t="n">
        <v>1200</v>
      </c>
      <c r="K1048" s="12" t="n">
        <v>0</v>
      </c>
      <c r="L1048" s="11" t="n">
        <v>600</v>
      </c>
      <c r="M1048" s="11" t="n">
        <f aca="false">I1048*J1048*(1-K1048)</f>
        <v>9600</v>
      </c>
      <c r="N1048" s="11" t="n">
        <f aca="false">M1048-I1048*L1048</f>
        <v>4800</v>
      </c>
    </row>
    <row r="1049" customFormat="false" ht="15" hidden="false" customHeight="false" outlineLevel="0" collapsed="false">
      <c r="A1049" s="2" t="s">
        <v>994</v>
      </c>
      <c r="B1049" s="2" t="s">
        <v>995</v>
      </c>
      <c r="C1049" s="10" t="n">
        <v>45861</v>
      </c>
      <c r="D1049" s="2" t="n">
        <f aca="false">MONTH(C1049)</f>
        <v>7</v>
      </c>
      <c r="E1049" s="2" t="s">
        <v>77</v>
      </c>
      <c r="F1049" s="2" t="s">
        <v>64</v>
      </c>
      <c r="G1049" s="2" t="s">
        <v>65</v>
      </c>
      <c r="H1049" s="2" t="s">
        <v>82</v>
      </c>
      <c r="I1049" s="2" t="n">
        <v>2</v>
      </c>
      <c r="J1049" s="11" t="n">
        <v>250</v>
      </c>
      <c r="K1049" s="12" t="n">
        <v>0</v>
      </c>
      <c r="L1049" s="11" t="n">
        <v>100</v>
      </c>
      <c r="M1049" s="11" t="n">
        <f aca="false">I1049*J1049*(1-K1049)</f>
        <v>500</v>
      </c>
      <c r="N1049" s="11" t="n">
        <f aca="false">M1049-I1049*L1049</f>
        <v>300</v>
      </c>
    </row>
    <row r="1050" customFormat="false" ht="15" hidden="false" customHeight="false" outlineLevel="0" collapsed="false">
      <c r="A1050" s="2" t="s">
        <v>1054</v>
      </c>
      <c r="B1050" s="2" t="s">
        <v>1055</v>
      </c>
      <c r="C1050" s="10" t="n">
        <v>45861</v>
      </c>
      <c r="D1050" s="2" t="n">
        <f aca="false">MONTH(C1050)</f>
        <v>7</v>
      </c>
      <c r="E1050" s="2" t="s">
        <v>63</v>
      </c>
      <c r="F1050" s="2" t="s">
        <v>92</v>
      </c>
      <c r="G1050" s="2" t="s">
        <v>70</v>
      </c>
      <c r="H1050" s="2" t="s">
        <v>122</v>
      </c>
      <c r="I1050" s="2" t="n">
        <v>3</v>
      </c>
      <c r="J1050" s="11" t="n">
        <v>1500</v>
      </c>
      <c r="K1050" s="12" t="n">
        <v>0.1</v>
      </c>
      <c r="L1050" s="11" t="n">
        <v>900</v>
      </c>
      <c r="M1050" s="11" t="n">
        <f aca="false">I1050*J1050*(1-K1050)</f>
        <v>4050</v>
      </c>
      <c r="N1050" s="11" t="n">
        <f aca="false">M1050-I1050*L1050</f>
        <v>1350</v>
      </c>
    </row>
    <row r="1051" customFormat="false" ht="15" hidden="false" customHeight="false" outlineLevel="0" collapsed="false">
      <c r="A1051" s="2" t="s">
        <v>2236</v>
      </c>
      <c r="B1051" s="2" t="s">
        <v>2237</v>
      </c>
      <c r="C1051" s="10" t="n">
        <v>45861</v>
      </c>
      <c r="D1051" s="2" t="n">
        <f aca="false">MONTH(C1051)</f>
        <v>7</v>
      </c>
      <c r="E1051" s="2" t="s">
        <v>77</v>
      </c>
      <c r="F1051" s="2" t="s">
        <v>64</v>
      </c>
      <c r="G1051" s="2" t="s">
        <v>73</v>
      </c>
      <c r="H1051" s="2" t="s">
        <v>74</v>
      </c>
      <c r="I1051" s="2" t="n">
        <v>3</v>
      </c>
      <c r="J1051" s="11" t="n">
        <v>7000</v>
      </c>
      <c r="K1051" s="12" t="n">
        <v>0.1</v>
      </c>
      <c r="L1051" s="11" t="n">
        <v>4800</v>
      </c>
      <c r="M1051" s="11" t="n">
        <f aca="false">I1051*J1051*(1-K1051)</f>
        <v>18900</v>
      </c>
      <c r="N1051" s="11" t="n">
        <f aca="false">M1051-I1051*L1051</f>
        <v>4500</v>
      </c>
    </row>
    <row r="1052" customFormat="false" ht="15" hidden="false" customHeight="false" outlineLevel="0" collapsed="false">
      <c r="A1052" s="2" t="s">
        <v>2616</v>
      </c>
      <c r="B1052" s="2" t="s">
        <v>2612</v>
      </c>
      <c r="C1052" s="10" t="n">
        <v>45861</v>
      </c>
      <c r="D1052" s="2" t="n">
        <f aca="false">MONTH(C1052)</f>
        <v>7</v>
      </c>
      <c r="E1052" s="2" t="s">
        <v>77</v>
      </c>
      <c r="F1052" s="2" t="s">
        <v>69</v>
      </c>
      <c r="G1052" s="2" t="s">
        <v>73</v>
      </c>
      <c r="H1052" s="2" t="s">
        <v>104</v>
      </c>
      <c r="I1052" s="2" t="n">
        <v>3</v>
      </c>
      <c r="J1052" s="11" t="n">
        <v>5500</v>
      </c>
      <c r="K1052" s="12" t="n">
        <v>0</v>
      </c>
      <c r="L1052" s="11" t="n">
        <v>3600</v>
      </c>
      <c r="M1052" s="11" t="n">
        <f aca="false">I1052*J1052*(1-K1052)</f>
        <v>16500</v>
      </c>
      <c r="N1052" s="11" t="n">
        <f aca="false">M1052-I1052*L1052</f>
        <v>5700</v>
      </c>
    </row>
    <row r="1053" customFormat="false" ht="15" hidden="false" customHeight="false" outlineLevel="0" collapsed="false">
      <c r="A1053" s="2" t="s">
        <v>2806</v>
      </c>
      <c r="B1053" s="2" t="s">
        <v>2804</v>
      </c>
      <c r="C1053" s="10" t="n">
        <v>45861</v>
      </c>
      <c r="D1053" s="2" t="n">
        <f aca="false">MONTH(C1053)</f>
        <v>7</v>
      </c>
      <c r="E1053" s="2" t="s">
        <v>63</v>
      </c>
      <c r="F1053" s="2" t="s">
        <v>69</v>
      </c>
      <c r="G1053" s="2" t="s">
        <v>73</v>
      </c>
      <c r="H1053" s="2" t="s">
        <v>85</v>
      </c>
      <c r="I1053" s="2" t="n">
        <v>2</v>
      </c>
      <c r="J1053" s="11" t="n">
        <v>1200</v>
      </c>
      <c r="K1053" s="12" t="n">
        <v>0</v>
      </c>
      <c r="L1053" s="11" t="n">
        <v>600</v>
      </c>
      <c r="M1053" s="11" t="n">
        <f aca="false">I1053*J1053*(1-K1053)</f>
        <v>2400</v>
      </c>
      <c r="N1053" s="11" t="n">
        <f aca="false">M1053-I1053*L1053</f>
        <v>1200</v>
      </c>
    </row>
    <row r="1054" customFormat="false" ht="15" hidden="false" customHeight="false" outlineLevel="0" collapsed="false">
      <c r="A1054" s="2" t="s">
        <v>2189</v>
      </c>
      <c r="B1054" s="2" t="s">
        <v>2185</v>
      </c>
      <c r="C1054" s="10" t="n">
        <v>45862</v>
      </c>
      <c r="D1054" s="2" t="n">
        <f aca="false">MONTH(C1054)</f>
        <v>7</v>
      </c>
      <c r="E1054" s="2" t="s">
        <v>77</v>
      </c>
      <c r="F1054" s="2" t="s">
        <v>64</v>
      </c>
      <c r="G1054" s="2" t="s">
        <v>65</v>
      </c>
      <c r="H1054" s="2" t="s">
        <v>78</v>
      </c>
      <c r="I1054" s="2" t="n">
        <v>3</v>
      </c>
      <c r="J1054" s="11" t="n">
        <v>400</v>
      </c>
      <c r="K1054" s="12" t="n">
        <v>0</v>
      </c>
      <c r="L1054" s="11" t="n">
        <v>200</v>
      </c>
      <c r="M1054" s="11" t="n">
        <f aca="false">I1054*J1054*(1-K1054)</f>
        <v>1200</v>
      </c>
      <c r="N1054" s="11" t="n">
        <f aca="false">M1054-I1054*L1054</f>
        <v>600</v>
      </c>
    </row>
    <row r="1055" customFormat="false" ht="15" hidden="false" customHeight="false" outlineLevel="0" collapsed="false">
      <c r="A1055" s="2" t="s">
        <v>2308</v>
      </c>
      <c r="B1055" s="2" t="s">
        <v>2305</v>
      </c>
      <c r="C1055" s="10" t="n">
        <v>45862</v>
      </c>
      <c r="D1055" s="2" t="n">
        <f aca="false">MONTH(C1055)</f>
        <v>7</v>
      </c>
      <c r="E1055" s="2" t="s">
        <v>81</v>
      </c>
      <c r="F1055" s="2" t="s">
        <v>64</v>
      </c>
      <c r="G1055" s="2" t="s">
        <v>70</v>
      </c>
      <c r="H1055" s="2" t="s">
        <v>71</v>
      </c>
      <c r="I1055" s="2" t="n">
        <v>2</v>
      </c>
      <c r="J1055" s="11" t="n">
        <v>2500</v>
      </c>
      <c r="K1055" s="12" t="n">
        <v>0</v>
      </c>
      <c r="L1055" s="11" t="n">
        <v>1600</v>
      </c>
      <c r="M1055" s="11" t="n">
        <f aca="false">I1055*J1055*(1-K1055)</f>
        <v>5000</v>
      </c>
      <c r="N1055" s="11" t="n">
        <f aca="false">M1055-I1055*L1055</f>
        <v>1800</v>
      </c>
    </row>
    <row r="1056" customFormat="false" ht="15" hidden="false" customHeight="false" outlineLevel="0" collapsed="false">
      <c r="A1056" s="2" t="s">
        <v>2418</v>
      </c>
      <c r="B1056" s="2" t="s">
        <v>2417</v>
      </c>
      <c r="C1056" s="10" t="n">
        <v>45862</v>
      </c>
      <c r="D1056" s="2" t="n">
        <f aca="false">MONTH(C1056)</f>
        <v>7</v>
      </c>
      <c r="E1056" s="2" t="s">
        <v>77</v>
      </c>
      <c r="F1056" s="2" t="s">
        <v>64</v>
      </c>
      <c r="G1056" s="2" t="s">
        <v>65</v>
      </c>
      <c r="H1056" s="2" t="s">
        <v>78</v>
      </c>
      <c r="I1056" s="2" t="n">
        <v>2</v>
      </c>
      <c r="J1056" s="11" t="n">
        <v>400</v>
      </c>
      <c r="K1056" s="12" t="n">
        <v>0</v>
      </c>
      <c r="L1056" s="11" t="n">
        <v>200</v>
      </c>
      <c r="M1056" s="11" t="n">
        <f aca="false">I1056*J1056*(1-K1056)</f>
        <v>800</v>
      </c>
      <c r="N1056" s="11" t="n">
        <f aca="false">M1056-I1056*L1056</f>
        <v>400</v>
      </c>
    </row>
    <row r="1057" customFormat="false" ht="15" hidden="false" customHeight="false" outlineLevel="0" collapsed="false">
      <c r="A1057" s="2" t="s">
        <v>289</v>
      </c>
      <c r="B1057" s="2" t="s">
        <v>290</v>
      </c>
      <c r="C1057" s="10" t="n">
        <v>45863</v>
      </c>
      <c r="D1057" s="2" t="n">
        <f aca="false">MONTH(C1057)</f>
        <v>7</v>
      </c>
      <c r="E1057" s="2" t="s">
        <v>77</v>
      </c>
      <c r="F1057" s="2" t="s">
        <v>64</v>
      </c>
      <c r="G1057" s="2" t="s">
        <v>65</v>
      </c>
      <c r="H1057" s="2" t="s">
        <v>78</v>
      </c>
      <c r="I1057" s="2" t="n">
        <v>8</v>
      </c>
      <c r="J1057" s="11" t="n">
        <v>400</v>
      </c>
      <c r="K1057" s="12" t="n">
        <v>0.1</v>
      </c>
      <c r="L1057" s="11" t="n">
        <v>200</v>
      </c>
      <c r="M1057" s="11" t="n">
        <f aca="false">I1057*J1057*(1-K1057)</f>
        <v>2880</v>
      </c>
      <c r="N1057" s="11" t="n">
        <f aca="false">M1057-I1057*L1057</f>
        <v>1280</v>
      </c>
    </row>
    <row r="1058" customFormat="false" ht="15" hidden="false" customHeight="false" outlineLevel="0" collapsed="false">
      <c r="A1058" s="2" t="s">
        <v>522</v>
      </c>
      <c r="B1058" s="2" t="s">
        <v>520</v>
      </c>
      <c r="C1058" s="10" t="n">
        <v>45863</v>
      </c>
      <c r="D1058" s="2" t="n">
        <f aca="false">MONTH(C1058)</f>
        <v>7</v>
      </c>
      <c r="E1058" s="2" t="s">
        <v>77</v>
      </c>
      <c r="F1058" s="2" t="s">
        <v>92</v>
      </c>
      <c r="G1058" s="2" t="s">
        <v>73</v>
      </c>
      <c r="H1058" s="2" t="s">
        <v>85</v>
      </c>
      <c r="I1058" s="2" t="n">
        <v>3</v>
      </c>
      <c r="J1058" s="11" t="n">
        <v>1200</v>
      </c>
      <c r="K1058" s="12" t="n">
        <v>0.05</v>
      </c>
      <c r="L1058" s="11" t="n">
        <v>600</v>
      </c>
      <c r="M1058" s="11" t="n">
        <f aca="false">I1058*J1058*(1-K1058)</f>
        <v>3420</v>
      </c>
      <c r="N1058" s="11" t="n">
        <f aca="false">M1058-I1058*L1058</f>
        <v>1620</v>
      </c>
    </row>
    <row r="1059" customFormat="false" ht="15" hidden="false" customHeight="false" outlineLevel="0" collapsed="false">
      <c r="A1059" s="2" t="s">
        <v>599</v>
      </c>
      <c r="B1059" s="2" t="s">
        <v>600</v>
      </c>
      <c r="C1059" s="10" t="n">
        <v>45863</v>
      </c>
      <c r="D1059" s="2" t="n">
        <f aca="false">MONTH(C1059)</f>
        <v>7</v>
      </c>
      <c r="E1059" s="2" t="s">
        <v>63</v>
      </c>
      <c r="F1059" s="2" t="s">
        <v>69</v>
      </c>
      <c r="G1059" s="2" t="s">
        <v>65</v>
      </c>
      <c r="H1059" s="2" t="s">
        <v>82</v>
      </c>
      <c r="I1059" s="2" t="n">
        <v>18</v>
      </c>
      <c r="J1059" s="11" t="n">
        <v>250</v>
      </c>
      <c r="K1059" s="12" t="n">
        <v>0.05</v>
      </c>
      <c r="L1059" s="11" t="n">
        <v>100</v>
      </c>
      <c r="M1059" s="11" t="n">
        <f aca="false">I1059*J1059*(1-K1059)</f>
        <v>4275</v>
      </c>
      <c r="N1059" s="11" t="n">
        <f aca="false">M1059-I1059*L1059</f>
        <v>2475</v>
      </c>
    </row>
    <row r="1060" customFormat="false" ht="15" hidden="false" customHeight="false" outlineLevel="0" collapsed="false">
      <c r="A1060" s="2" t="s">
        <v>1554</v>
      </c>
      <c r="B1060" s="2" t="s">
        <v>1553</v>
      </c>
      <c r="C1060" s="10" t="n">
        <v>45863</v>
      </c>
      <c r="D1060" s="2" t="n">
        <f aca="false">MONTH(C1060)</f>
        <v>7</v>
      </c>
      <c r="E1060" s="2" t="s">
        <v>91</v>
      </c>
      <c r="F1060" s="2" t="s">
        <v>92</v>
      </c>
      <c r="G1060" s="2" t="s">
        <v>73</v>
      </c>
      <c r="H1060" s="2" t="s">
        <v>104</v>
      </c>
      <c r="I1060" s="2" t="n">
        <v>5</v>
      </c>
      <c r="J1060" s="11" t="n">
        <v>5500</v>
      </c>
      <c r="K1060" s="12" t="n">
        <v>0.15</v>
      </c>
      <c r="L1060" s="11" t="n">
        <v>3600</v>
      </c>
      <c r="M1060" s="11" t="n">
        <f aca="false">I1060*J1060*(1-K1060)</f>
        <v>23375</v>
      </c>
      <c r="N1060" s="11" t="n">
        <f aca="false">M1060-I1060*L1060</f>
        <v>5375</v>
      </c>
    </row>
    <row r="1061" customFormat="false" ht="15" hidden="false" customHeight="false" outlineLevel="0" collapsed="false">
      <c r="A1061" s="2" t="s">
        <v>1953</v>
      </c>
      <c r="B1061" s="2" t="s">
        <v>1954</v>
      </c>
      <c r="C1061" s="10" t="n">
        <v>45863</v>
      </c>
      <c r="D1061" s="2" t="n">
        <f aca="false">MONTH(C1061)</f>
        <v>7</v>
      </c>
      <c r="E1061" s="2" t="s">
        <v>91</v>
      </c>
      <c r="F1061" s="2" t="s">
        <v>69</v>
      </c>
      <c r="G1061" s="2" t="s">
        <v>70</v>
      </c>
      <c r="H1061" s="2" t="s">
        <v>122</v>
      </c>
      <c r="I1061" s="2" t="n">
        <v>4</v>
      </c>
      <c r="J1061" s="11" t="n">
        <v>1500</v>
      </c>
      <c r="K1061" s="12" t="n">
        <v>0.1</v>
      </c>
      <c r="L1061" s="11" t="n">
        <v>900</v>
      </c>
      <c r="M1061" s="11" t="n">
        <f aca="false">I1061*J1061*(1-K1061)</f>
        <v>5400</v>
      </c>
      <c r="N1061" s="11" t="n">
        <f aca="false">M1061-I1061*L1061</f>
        <v>1800</v>
      </c>
    </row>
    <row r="1062" customFormat="false" ht="15" hidden="false" customHeight="false" outlineLevel="0" collapsed="false">
      <c r="A1062" s="2" t="s">
        <v>1052</v>
      </c>
      <c r="B1062" s="2" t="s">
        <v>1051</v>
      </c>
      <c r="C1062" s="10" t="n">
        <v>45864</v>
      </c>
      <c r="D1062" s="2" t="n">
        <f aca="false">MONTH(C1062)</f>
        <v>7</v>
      </c>
      <c r="E1062" s="2" t="s">
        <v>91</v>
      </c>
      <c r="F1062" s="2" t="s">
        <v>64</v>
      </c>
      <c r="G1062" s="2" t="s">
        <v>65</v>
      </c>
      <c r="H1062" s="2" t="s">
        <v>82</v>
      </c>
      <c r="I1062" s="2" t="n">
        <v>6</v>
      </c>
      <c r="J1062" s="11" t="n">
        <v>250</v>
      </c>
      <c r="K1062" s="12" t="n">
        <v>0</v>
      </c>
      <c r="L1062" s="11" t="n">
        <v>100</v>
      </c>
      <c r="M1062" s="11" t="n">
        <f aca="false">I1062*J1062*(1-K1062)</f>
        <v>1500</v>
      </c>
      <c r="N1062" s="11" t="n">
        <f aca="false">M1062-I1062*L1062</f>
        <v>900</v>
      </c>
    </row>
    <row r="1063" customFormat="false" ht="15" hidden="false" customHeight="false" outlineLevel="0" collapsed="false">
      <c r="A1063" s="2" t="s">
        <v>1738</v>
      </c>
      <c r="B1063" s="2" t="s">
        <v>1734</v>
      </c>
      <c r="C1063" s="10" t="n">
        <v>45864</v>
      </c>
      <c r="D1063" s="2" t="n">
        <f aca="false">MONTH(C1063)</f>
        <v>7</v>
      </c>
      <c r="E1063" s="2" t="s">
        <v>63</v>
      </c>
      <c r="F1063" s="2" t="s">
        <v>64</v>
      </c>
      <c r="G1063" s="2" t="s">
        <v>73</v>
      </c>
      <c r="H1063" s="2" t="s">
        <v>87</v>
      </c>
      <c r="I1063" s="2" t="n">
        <v>2</v>
      </c>
      <c r="J1063" s="11" t="n">
        <v>9000</v>
      </c>
      <c r="K1063" s="12" t="n">
        <v>0.1</v>
      </c>
      <c r="L1063" s="11" t="n">
        <v>6200</v>
      </c>
      <c r="M1063" s="11" t="n">
        <f aca="false">I1063*J1063*(1-K1063)</f>
        <v>16200</v>
      </c>
      <c r="N1063" s="11" t="n">
        <f aca="false">M1063-I1063*L1063</f>
        <v>3800</v>
      </c>
    </row>
    <row r="1064" customFormat="false" ht="15" hidden="false" customHeight="false" outlineLevel="0" collapsed="false">
      <c r="A1064" s="2" t="s">
        <v>1796</v>
      </c>
      <c r="B1064" s="2" t="s">
        <v>1797</v>
      </c>
      <c r="C1064" s="10" t="n">
        <v>45864</v>
      </c>
      <c r="D1064" s="2" t="n">
        <f aca="false">MONTH(C1064)</f>
        <v>7</v>
      </c>
      <c r="E1064" s="2" t="s">
        <v>77</v>
      </c>
      <c r="F1064" s="2" t="s">
        <v>92</v>
      </c>
      <c r="G1064" s="2" t="s">
        <v>73</v>
      </c>
      <c r="H1064" s="2" t="s">
        <v>87</v>
      </c>
      <c r="I1064" s="2" t="n">
        <v>5</v>
      </c>
      <c r="J1064" s="11" t="n">
        <v>9000</v>
      </c>
      <c r="K1064" s="12" t="n">
        <v>0.05</v>
      </c>
      <c r="L1064" s="11" t="n">
        <v>6200</v>
      </c>
      <c r="M1064" s="11" t="n">
        <f aca="false">I1064*J1064*(1-K1064)</f>
        <v>42750</v>
      </c>
      <c r="N1064" s="11" t="n">
        <f aca="false">M1064-I1064*L1064</f>
        <v>11750</v>
      </c>
    </row>
    <row r="1065" customFormat="false" ht="15" hidden="false" customHeight="false" outlineLevel="0" collapsed="false">
      <c r="A1065" s="2" t="s">
        <v>1955</v>
      </c>
      <c r="B1065" s="2" t="s">
        <v>1956</v>
      </c>
      <c r="C1065" s="10" t="n">
        <v>45864</v>
      </c>
      <c r="D1065" s="2" t="n">
        <f aca="false">MONTH(C1065)</f>
        <v>7</v>
      </c>
      <c r="E1065" s="2" t="s">
        <v>77</v>
      </c>
      <c r="F1065" s="2" t="s">
        <v>64</v>
      </c>
      <c r="G1065" s="2" t="s">
        <v>70</v>
      </c>
      <c r="H1065" s="2" t="s">
        <v>122</v>
      </c>
      <c r="I1065" s="2" t="n">
        <v>2</v>
      </c>
      <c r="J1065" s="11" t="n">
        <v>1500</v>
      </c>
      <c r="K1065" s="12" t="n">
        <v>0</v>
      </c>
      <c r="L1065" s="11" t="n">
        <v>900</v>
      </c>
      <c r="M1065" s="11" t="n">
        <f aca="false">I1065*J1065*(1-K1065)</f>
        <v>3000</v>
      </c>
      <c r="N1065" s="11" t="n">
        <f aca="false">M1065-I1065*L1065</f>
        <v>1200</v>
      </c>
    </row>
    <row r="1066" customFormat="false" ht="15" hidden="false" customHeight="false" outlineLevel="0" collapsed="false">
      <c r="A1066" s="2" t="s">
        <v>2632</v>
      </c>
      <c r="B1066" s="2" t="s">
        <v>2629</v>
      </c>
      <c r="C1066" s="10" t="n">
        <v>45864</v>
      </c>
      <c r="D1066" s="2" t="n">
        <f aca="false">MONTH(C1066)</f>
        <v>7</v>
      </c>
      <c r="E1066" s="2" t="s">
        <v>91</v>
      </c>
      <c r="F1066" s="2" t="s">
        <v>69</v>
      </c>
      <c r="G1066" s="2" t="s">
        <v>65</v>
      </c>
      <c r="H1066" s="2" t="s">
        <v>78</v>
      </c>
      <c r="I1066" s="2" t="n">
        <v>11</v>
      </c>
      <c r="J1066" s="11" t="n">
        <v>400</v>
      </c>
      <c r="K1066" s="12" t="n">
        <v>0.05</v>
      </c>
      <c r="L1066" s="11" t="n">
        <v>200</v>
      </c>
      <c r="M1066" s="11" t="n">
        <f aca="false">I1066*J1066*(1-K1066)</f>
        <v>4180</v>
      </c>
      <c r="N1066" s="11" t="n">
        <f aca="false">M1066-I1066*L1066</f>
        <v>1980</v>
      </c>
    </row>
    <row r="1067" customFormat="false" ht="15" hidden="false" customHeight="false" outlineLevel="0" collapsed="false">
      <c r="A1067" s="2" t="s">
        <v>1315</v>
      </c>
      <c r="B1067" s="2" t="s">
        <v>1314</v>
      </c>
      <c r="C1067" s="10" t="n">
        <v>45865</v>
      </c>
      <c r="D1067" s="2" t="n">
        <f aca="false">MONTH(C1067)</f>
        <v>7</v>
      </c>
      <c r="E1067" s="2" t="s">
        <v>63</v>
      </c>
      <c r="F1067" s="2" t="s">
        <v>64</v>
      </c>
      <c r="G1067" s="2" t="s">
        <v>65</v>
      </c>
      <c r="H1067" s="2" t="s">
        <v>82</v>
      </c>
      <c r="I1067" s="2" t="n">
        <v>8</v>
      </c>
      <c r="J1067" s="11" t="n">
        <v>250</v>
      </c>
      <c r="K1067" s="12" t="n">
        <v>0</v>
      </c>
      <c r="L1067" s="11" t="n">
        <v>100</v>
      </c>
      <c r="M1067" s="11" t="n">
        <f aca="false">I1067*J1067*(1-K1067)</f>
        <v>2000</v>
      </c>
      <c r="N1067" s="11" t="n">
        <f aca="false">M1067-I1067*L1067</f>
        <v>1200</v>
      </c>
    </row>
    <row r="1068" customFormat="false" ht="15" hidden="false" customHeight="false" outlineLevel="0" collapsed="false">
      <c r="A1068" s="2" t="s">
        <v>1939</v>
      </c>
      <c r="B1068" s="2" t="s">
        <v>1940</v>
      </c>
      <c r="C1068" s="10" t="n">
        <v>45865</v>
      </c>
      <c r="D1068" s="2" t="n">
        <f aca="false">MONTH(C1068)</f>
        <v>7</v>
      </c>
      <c r="E1068" s="2" t="s">
        <v>81</v>
      </c>
      <c r="F1068" s="2" t="s">
        <v>64</v>
      </c>
      <c r="G1068" s="2" t="s">
        <v>65</v>
      </c>
      <c r="H1068" s="2" t="s">
        <v>107</v>
      </c>
      <c r="I1068" s="2" t="n">
        <v>7</v>
      </c>
      <c r="J1068" s="11" t="n">
        <v>500</v>
      </c>
      <c r="K1068" s="12" t="n">
        <v>0</v>
      </c>
      <c r="L1068" s="11" t="n">
        <v>250</v>
      </c>
      <c r="M1068" s="11" t="n">
        <f aca="false">I1068*J1068*(1-K1068)</f>
        <v>3500</v>
      </c>
      <c r="N1068" s="11" t="n">
        <f aca="false">M1068-I1068*L1068</f>
        <v>1750</v>
      </c>
    </row>
    <row r="1069" customFormat="false" ht="15" hidden="false" customHeight="false" outlineLevel="0" collapsed="false">
      <c r="A1069" s="2" t="s">
        <v>464</v>
      </c>
      <c r="B1069" s="2" t="s">
        <v>463</v>
      </c>
      <c r="C1069" s="10" t="n">
        <v>45866</v>
      </c>
      <c r="D1069" s="2" t="n">
        <f aca="false">MONTH(C1069)</f>
        <v>7</v>
      </c>
      <c r="E1069" s="2" t="s">
        <v>81</v>
      </c>
      <c r="F1069" s="2" t="s">
        <v>64</v>
      </c>
      <c r="G1069" s="2" t="s">
        <v>70</v>
      </c>
      <c r="H1069" s="2" t="s">
        <v>122</v>
      </c>
      <c r="I1069" s="2" t="n">
        <v>2</v>
      </c>
      <c r="J1069" s="11" t="n">
        <v>1500</v>
      </c>
      <c r="K1069" s="12" t="n">
        <v>0.05</v>
      </c>
      <c r="L1069" s="11" t="n">
        <v>900</v>
      </c>
      <c r="M1069" s="11" t="n">
        <f aca="false">I1069*J1069*(1-K1069)</f>
        <v>2850</v>
      </c>
      <c r="N1069" s="11" t="n">
        <f aca="false">M1069-I1069*L1069</f>
        <v>1050</v>
      </c>
    </row>
    <row r="1070" customFormat="false" ht="15" hidden="false" customHeight="false" outlineLevel="0" collapsed="false">
      <c r="A1070" s="2" t="s">
        <v>623</v>
      </c>
      <c r="B1070" s="2" t="s">
        <v>622</v>
      </c>
      <c r="C1070" s="10" t="n">
        <v>45866</v>
      </c>
      <c r="D1070" s="2" t="n">
        <f aca="false">MONTH(C1070)</f>
        <v>7</v>
      </c>
      <c r="E1070" s="2" t="s">
        <v>77</v>
      </c>
      <c r="F1070" s="2" t="s">
        <v>64</v>
      </c>
      <c r="G1070" s="2" t="s">
        <v>73</v>
      </c>
      <c r="H1070" s="2" t="s">
        <v>87</v>
      </c>
      <c r="I1070" s="2" t="n">
        <v>1</v>
      </c>
      <c r="J1070" s="11" t="n">
        <v>9000</v>
      </c>
      <c r="K1070" s="12" t="n">
        <v>0</v>
      </c>
      <c r="L1070" s="11" t="n">
        <v>6200</v>
      </c>
      <c r="M1070" s="11" t="n">
        <f aca="false">I1070*J1070*(1-K1070)</f>
        <v>9000</v>
      </c>
      <c r="N1070" s="11" t="n">
        <f aca="false">M1070-I1070*L1070</f>
        <v>2800</v>
      </c>
    </row>
    <row r="1071" customFormat="false" ht="15" hidden="false" customHeight="false" outlineLevel="0" collapsed="false">
      <c r="A1071" s="2" t="s">
        <v>1345</v>
      </c>
      <c r="B1071" s="2" t="s">
        <v>1346</v>
      </c>
      <c r="C1071" s="10" t="n">
        <v>45866</v>
      </c>
      <c r="D1071" s="2" t="n">
        <f aca="false">MONTH(C1071)</f>
        <v>7</v>
      </c>
      <c r="E1071" s="2" t="s">
        <v>63</v>
      </c>
      <c r="F1071" s="2" t="s">
        <v>69</v>
      </c>
      <c r="G1071" s="2" t="s">
        <v>70</v>
      </c>
      <c r="H1071" s="2" t="s">
        <v>97</v>
      </c>
      <c r="I1071" s="2" t="n">
        <v>2</v>
      </c>
      <c r="J1071" s="11" t="n">
        <v>3000</v>
      </c>
      <c r="K1071" s="12" t="n">
        <v>0</v>
      </c>
      <c r="L1071" s="11" t="n">
        <v>2000</v>
      </c>
      <c r="M1071" s="11" t="n">
        <f aca="false">I1071*J1071*(1-K1071)</f>
        <v>6000</v>
      </c>
      <c r="N1071" s="11" t="n">
        <f aca="false">M1071-I1071*L1071</f>
        <v>2000</v>
      </c>
    </row>
    <row r="1072" customFormat="false" ht="15" hidden="false" customHeight="false" outlineLevel="0" collapsed="false">
      <c r="A1072" s="2" t="s">
        <v>1530</v>
      </c>
      <c r="B1072" s="2" t="s">
        <v>1531</v>
      </c>
      <c r="C1072" s="10" t="n">
        <v>45866</v>
      </c>
      <c r="D1072" s="2" t="n">
        <f aca="false">MONTH(C1072)</f>
        <v>7</v>
      </c>
      <c r="E1072" s="2" t="s">
        <v>81</v>
      </c>
      <c r="F1072" s="2" t="s">
        <v>69</v>
      </c>
      <c r="G1072" s="2" t="s">
        <v>73</v>
      </c>
      <c r="H1072" s="2" t="s">
        <v>74</v>
      </c>
      <c r="I1072" s="2" t="n">
        <v>5</v>
      </c>
      <c r="J1072" s="11" t="n">
        <v>7000</v>
      </c>
      <c r="K1072" s="12" t="n">
        <v>0</v>
      </c>
      <c r="L1072" s="11" t="n">
        <v>4800</v>
      </c>
      <c r="M1072" s="11" t="n">
        <f aca="false">I1072*J1072*(1-K1072)</f>
        <v>35000</v>
      </c>
      <c r="N1072" s="11" t="n">
        <f aca="false">M1072-I1072*L1072</f>
        <v>11000</v>
      </c>
    </row>
    <row r="1073" customFormat="false" ht="15" hidden="false" customHeight="false" outlineLevel="0" collapsed="false">
      <c r="A1073" s="2" t="s">
        <v>1777</v>
      </c>
      <c r="B1073" s="2" t="s">
        <v>1776</v>
      </c>
      <c r="C1073" s="10" t="n">
        <v>45866</v>
      </c>
      <c r="D1073" s="2" t="n">
        <f aca="false">MONTH(C1073)</f>
        <v>7</v>
      </c>
      <c r="E1073" s="2" t="s">
        <v>63</v>
      </c>
      <c r="F1073" s="2" t="s">
        <v>64</v>
      </c>
      <c r="G1073" s="2" t="s">
        <v>65</v>
      </c>
      <c r="H1073" s="2" t="s">
        <v>107</v>
      </c>
      <c r="I1073" s="2" t="n">
        <v>2</v>
      </c>
      <c r="J1073" s="11" t="n">
        <v>500</v>
      </c>
      <c r="K1073" s="12" t="n">
        <v>0</v>
      </c>
      <c r="L1073" s="11" t="n">
        <v>250</v>
      </c>
      <c r="M1073" s="11" t="n">
        <f aca="false">I1073*J1073*(1-K1073)</f>
        <v>1000</v>
      </c>
      <c r="N1073" s="11" t="n">
        <f aca="false">M1073-I1073*L1073</f>
        <v>500</v>
      </c>
    </row>
    <row r="1074" customFormat="false" ht="15" hidden="false" customHeight="false" outlineLevel="0" collapsed="false">
      <c r="A1074" s="2" t="s">
        <v>2242</v>
      </c>
      <c r="B1074" s="2" t="s">
        <v>2243</v>
      </c>
      <c r="C1074" s="10" t="n">
        <v>45866</v>
      </c>
      <c r="D1074" s="2" t="n">
        <f aca="false">MONTH(C1074)</f>
        <v>7</v>
      </c>
      <c r="E1074" s="2" t="s">
        <v>77</v>
      </c>
      <c r="F1074" s="2" t="s">
        <v>64</v>
      </c>
      <c r="G1074" s="2" t="s">
        <v>70</v>
      </c>
      <c r="H1074" s="2" t="s">
        <v>122</v>
      </c>
      <c r="I1074" s="2" t="n">
        <v>2</v>
      </c>
      <c r="J1074" s="11" t="n">
        <v>1500</v>
      </c>
      <c r="K1074" s="12" t="n">
        <v>0.1</v>
      </c>
      <c r="L1074" s="11" t="n">
        <v>900</v>
      </c>
      <c r="M1074" s="11" t="n">
        <f aca="false">I1074*J1074*(1-K1074)</f>
        <v>2700</v>
      </c>
      <c r="N1074" s="11" t="n">
        <f aca="false">M1074-I1074*L1074</f>
        <v>900</v>
      </c>
    </row>
    <row r="1075" customFormat="false" ht="15" hidden="false" customHeight="false" outlineLevel="0" collapsed="false">
      <c r="A1075" s="2" t="s">
        <v>2317</v>
      </c>
      <c r="B1075" s="2" t="s">
        <v>2318</v>
      </c>
      <c r="C1075" s="10" t="n">
        <v>45866</v>
      </c>
      <c r="D1075" s="2" t="n">
        <f aca="false">MONTH(C1075)</f>
        <v>7</v>
      </c>
      <c r="E1075" s="2" t="s">
        <v>77</v>
      </c>
      <c r="F1075" s="2" t="s">
        <v>64</v>
      </c>
      <c r="G1075" s="2" t="s">
        <v>70</v>
      </c>
      <c r="H1075" s="2" t="s">
        <v>126</v>
      </c>
      <c r="I1075" s="2" t="n">
        <v>1</v>
      </c>
      <c r="J1075" s="11" t="n">
        <v>4500</v>
      </c>
      <c r="K1075" s="12" t="n">
        <v>0</v>
      </c>
      <c r="L1075" s="11" t="n">
        <v>3300</v>
      </c>
      <c r="M1075" s="11" t="n">
        <f aca="false">I1075*J1075*(1-K1075)</f>
        <v>4500</v>
      </c>
      <c r="N1075" s="11" t="n">
        <f aca="false">M1075-I1075*L1075</f>
        <v>1200</v>
      </c>
    </row>
    <row r="1076" customFormat="false" ht="15" hidden="false" customHeight="false" outlineLevel="0" collapsed="false">
      <c r="A1076" s="2" t="s">
        <v>2328</v>
      </c>
      <c r="B1076" s="2" t="s">
        <v>2329</v>
      </c>
      <c r="C1076" s="10" t="n">
        <v>45866</v>
      </c>
      <c r="D1076" s="2" t="n">
        <f aca="false">MONTH(C1076)</f>
        <v>7</v>
      </c>
      <c r="E1076" s="2" t="s">
        <v>77</v>
      </c>
      <c r="F1076" s="2" t="s">
        <v>64</v>
      </c>
      <c r="G1076" s="2" t="s">
        <v>70</v>
      </c>
      <c r="H1076" s="2" t="s">
        <v>71</v>
      </c>
      <c r="I1076" s="2" t="n">
        <v>3</v>
      </c>
      <c r="J1076" s="11" t="n">
        <v>2500</v>
      </c>
      <c r="K1076" s="12" t="n">
        <v>0.1</v>
      </c>
      <c r="L1076" s="11" t="n">
        <v>1600</v>
      </c>
      <c r="M1076" s="11" t="n">
        <f aca="false">I1076*J1076*(1-K1076)</f>
        <v>6750</v>
      </c>
      <c r="N1076" s="11" t="n">
        <f aca="false">M1076-I1076*L1076</f>
        <v>1950</v>
      </c>
    </row>
    <row r="1077" customFormat="false" ht="15" hidden="false" customHeight="false" outlineLevel="0" collapsed="false">
      <c r="A1077" s="2" t="s">
        <v>298</v>
      </c>
      <c r="B1077" s="2" t="s">
        <v>299</v>
      </c>
      <c r="C1077" s="10" t="n">
        <v>45870</v>
      </c>
      <c r="D1077" s="2" t="n">
        <f aca="false">MONTH(C1077)</f>
        <v>8</v>
      </c>
      <c r="E1077" s="2" t="s">
        <v>63</v>
      </c>
      <c r="F1077" s="2" t="s">
        <v>64</v>
      </c>
      <c r="G1077" s="2" t="s">
        <v>65</v>
      </c>
      <c r="H1077" s="2" t="s">
        <v>82</v>
      </c>
      <c r="I1077" s="2" t="n">
        <v>5</v>
      </c>
      <c r="J1077" s="11" t="n">
        <v>250</v>
      </c>
      <c r="K1077" s="12" t="n">
        <v>0</v>
      </c>
      <c r="L1077" s="11" t="n">
        <v>100</v>
      </c>
      <c r="M1077" s="11" t="n">
        <f aca="false">I1077*J1077*(1-K1077)</f>
        <v>1250</v>
      </c>
      <c r="N1077" s="11" t="n">
        <f aca="false">M1077-I1077*L1077</f>
        <v>750</v>
      </c>
    </row>
    <row r="1078" customFormat="false" ht="15" hidden="false" customHeight="false" outlineLevel="0" collapsed="false">
      <c r="A1078" s="2" t="s">
        <v>555</v>
      </c>
      <c r="B1078" s="2" t="s">
        <v>553</v>
      </c>
      <c r="C1078" s="10" t="n">
        <v>45870</v>
      </c>
      <c r="D1078" s="2" t="n">
        <f aca="false">MONTH(C1078)</f>
        <v>8</v>
      </c>
      <c r="E1078" s="2" t="s">
        <v>77</v>
      </c>
      <c r="F1078" s="2" t="s">
        <v>64</v>
      </c>
      <c r="G1078" s="2" t="s">
        <v>65</v>
      </c>
      <c r="H1078" s="2" t="s">
        <v>78</v>
      </c>
      <c r="I1078" s="2" t="n">
        <v>3</v>
      </c>
      <c r="J1078" s="11" t="n">
        <v>400</v>
      </c>
      <c r="K1078" s="12" t="n">
        <v>0</v>
      </c>
      <c r="L1078" s="11" t="n">
        <v>200</v>
      </c>
      <c r="M1078" s="11" t="n">
        <f aca="false">I1078*J1078*(1-K1078)</f>
        <v>1200</v>
      </c>
      <c r="N1078" s="11" t="n">
        <f aca="false">M1078-I1078*L1078</f>
        <v>600</v>
      </c>
    </row>
    <row r="1079" customFormat="false" ht="15" hidden="false" customHeight="false" outlineLevel="0" collapsed="false">
      <c r="A1079" s="2" t="s">
        <v>972</v>
      </c>
      <c r="B1079" s="2" t="s">
        <v>969</v>
      </c>
      <c r="C1079" s="10" t="n">
        <v>45870</v>
      </c>
      <c r="D1079" s="2" t="n">
        <f aca="false">MONTH(C1079)</f>
        <v>8</v>
      </c>
      <c r="E1079" s="2" t="s">
        <v>77</v>
      </c>
      <c r="F1079" s="2" t="s">
        <v>64</v>
      </c>
      <c r="G1079" s="2" t="s">
        <v>73</v>
      </c>
      <c r="H1079" s="2" t="s">
        <v>85</v>
      </c>
      <c r="I1079" s="2" t="n">
        <v>2</v>
      </c>
      <c r="J1079" s="11" t="n">
        <v>1200</v>
      </c>
      <c r="K1079" s="12" t="n">
        <v>0</v>
      </c>
      <c r="L1079" s="11" t="n">
        <v>600</v>
      </c>
      <c r="M1079" s="11" t="n">
        <f aca="false">I1079*J1079*(1-K1079)</f>
        <v>2400</v>
      </c>
      <c r="N1079" s="11" t="n">
        <f aca="false">M1079-I1079*L1079</f>
        <v>1200</v>
      </c>
    </row>
    <row r="1080" customFormat="false" ht="15" hidden="false" customHeight="false" outlineLevel="0" collapsed="false">
      <c r="A1080" s="2" t="s">
        <v>1460</v>
      </c>
      <c r="B1080" s="2" t="s">
        <v>1461</v>
      </c>
      <c r="C1080" s="10" t="n">
        <v>45870</v>
      </c>
      <c r="D1080" s="2" t="n">
        <f aca="false">MONTH(C1080)</f>
        <v>8</v>
      </c>
      <c r="E1080" s="2" t="s">
        <v>77</v>
      </c>
      <c r="F1080" s="2" t="s">
        <v>69</v>
      </c>
      <c r="G1080" s="2" t="s">
        <v>70</v>
      </c>
      <c r="H1080" s="2" t="s">
        <v>97</v>
      </c>
      <c r="I1080" s="2" t="n">
        <v>5</v>
      </c>
      <c r="J1080" s="11" t="n">
        <v>3000</v>
      </c>
      <c r="K1080" s="12" t="n">
        <v>0</v>
      </c>
      <c r="L1080" s="11" t="n">
        <v>2000</v>
      </c>
      <c r="M1080" s="11" t="n">
        <f aca="false">I1080*J1080*(1-K1080)</f>
        <v>15000</v>
      </c>
      <c r="N1080" s="11" t="n">
        <f aca="false">M1080-I1080*L1080</f>
        <v>5000</v>
      </c>
    </row>
    <row r="1081" customFormat="false" ht="15" hidden="false" customHeight="false" outlineLevel="0" collapsed="false">
      <c r="A1081" s="2" t="s">
        <v>2156</v>
      </c>
      <c r="B1081" s="2" t="s">
        <v>2151</v>
      </c>
      <c r="C1081" s="10" t="n">
        <v>45870</v>
      </c>
      <c r="D1081" s="2" t="n">
        <f aca="false">MONTH(C1081)</f>
        <v>8</v>
      </c>
      <c r="E1081" s="2" t="s">
        <v>63</v>
      </c>
      <c r="F1081" s="2" t="s">
        <v>64</v>
      </c>
      <c r="G1081" s="2" t="s">
        <v>65</v>
      </c>
      <c r="H1081" s="2" t="s">
        <v>66</v>
      </c>
      <c r="I1081" s="2" t="n">
        <v>3</v>
      </c>
      <c r="J1081" s="11" t="n">
        <v>600</v>
      </c>
      <c r="K1081" s="12" t="n">
        <v>0</v>
      </c>
      <c r="L1081" s="11" t="n">
        <v>300</v>
      </c>
      <c r="M1081" s="11" t="n">
        <f aca="false">I1081*J1081*(1-K1081)</f>
        <v>1800</v>
      </c>
      <c r="N1081" s="11" t="n">
        <f aca="false">M1081-I1081*L1081</f>
        <v>900</v>
      </c>
    </row>
    <row r="1082" customFormat="false" ht="15" hidden="false" customHeight="false" outlineLevel="0" collapsed="false">
      <c r="A1082" s="2" t="s">
        <v>188</v>
      </c>
      <c r="B1082" s="2" t="s">
        <v>189</v>
      </c>
      <c r="C1082" s="10" t="n">
        <v>45871</v>
      </c>
      <c r="D1082" s="2" t="n">
        <f aca="false">MONTH(C1082)</f>
        <v>8</v>
      </c>
      <c r="E1082" s="2" t="s">
        <v>77</v>
      </c>
      <c r="F1082" s="2" t="s">
        <v>69</v>
      </c>
      <c r="G1082" s="2" t="s">
        <v>73</v>
      </c>
      <c r="H1082" s="2" t="s">
        <v>85</v>
      </c>
      <c r="I1082" s="2" t="n">
        <v>3</v>
      </c>
      <c r="J1082" s="11" t="n">
        <v>1200</v>
      </c>
      <c r="K1082" s="12" t="n">
        <v>0</v>
      </c>
      <c r="L1082" s="11" t="n">
        <v>600</v>
      </c>
      <c r="M1082" s="11" t="n">
        <f aca="false">I1082*J1082*(1-K1082)</f>
        <v>3600</v>
      </c>
      <c r="N1082" s="11" t="n">
        <f aca="false">M1082-I1082*L1082</f>
        <v>1800</v>
      </c>
    </row>
    <row r="1083" customFormat="false" ht="15" hidden="false" customHeight="false" outlineLevel="0" collapsed="false">
      <c r="A1083" s="2" t="s">
        <v>322</v>
      </c>
      <c r="B1083" s="2" t="s">
        <v>323</v>
      </c>
      <c r="C1083" s="10" t="n">
        <v>45871</v>
      </c>
      <c r="D1083" s="2" t="n">
        <f aca="false">MONTH(C1083)</f>
        <v>8</v>
      </c>
      <c r="E1083" s="2" t="s">
        <v>77</v>
      </c>
      <c r="F1083" s="2" t="s">
        <v>64</v>
      </c>
      <c r="G1083" s="2" t="s">
        <v>73</v>
      </c>
      <c r="H1083" s="2" t="s">
        <v>85</v>
      </c>
      <c r="I1083" s="2" t="n">
        <v>1</v>
      </c>
      <c r="J1083" s="11" t="n">
        <v>1200</v>
      </c>
      <c r="K1083" s="12" t="n">
        <v>0.05</v>
      </c>
      <c r="L1083" s="11" t="n">
        <v>600</v>
      </c>
      <c r="M1083" s="11" t="n">
        <f aca="false">I1083*J1083*(1-K1083)</f>
        <v>1140</v>
      </c>
      <c r="N1083" s="11" t="n">
        <f aca="false">M1083-I1083*L1083</f>
        <v>540</v>
      </c>
    </row>
    <row r="1084" customFormat="false" ht="15" hidden="false" customHeight="false" outlineLevel="0" collapsed="false">
      <c r="A1084" s="2" t="s">
        <v>842</v>
      </c>
      <c r="B1084" s="2" t="s">
        <v>843</v>
      </c>
      <c r="C1084" s="10" t="n">
        <v>45871</v>
      </c>
      <c r="D1084" s="2" t="n">
        <f aca="false">MONTH(C1084)</f>
        <v>8</v>
      </c>
      <c r="E1084" s="2" t="s">
        <v>81</v>
      </c>
      <c r="F1084" s="2" t="s">
        <v>92</v>
      </c>
      <c r="G1084" s="2" t="s">
        <v>70</v>
      </c>
      <c r="H1084" s="2" t="s">
        <v>122</v>
      </c>
      <c r="I1084" s="2" t="n">
        <v>8</v>
      </c>
      <c r="J1084" s="11" t="n">
        <v>1500</v>
      </c>
      <c r="K1084" s="12" t="n">
        <v>0.1</v>
      </c>
      <c r="L1084" s="11" t="n">
        <v>900</v>
      </c>
      <c r="M1084" s="11" t="n">
        <f aca="false">I1084*J1084*(1-K1084)</f>
        <v>10800</v>
      </c>
      <c r="N1084" s="11" t="n">
        <f aca="false">M1084-I1084*L1084</f>
        <v>3600</v>
      </c>
    </row>
    <row r="1085" customFormat="false" ht="15" hidden="false" customHeight="false" outlineLevel="0" collapsed="false">
      <c r="A1085" s="2" t="s">
        <v>1938</v>
      </c>
      <c r="B1085" s="2" t="s">
        <v>1937</v>
      </c>
      <c r="C1085" s="10" t="n">
        <v>45871</v>
      </c>
      <c r="D1085" s="2" t="n">
        <f aca="false">MONTH(C1085)</f>
        <v>8</v>
      </c>
      <c r="E1085" s="2" t="s">
        <v>81</v>
      </c>
      <c r="F1085" s="2" t="s">
        <v>92</v>
      </c>
      <c r="G1085" s="2" t="s">
        <v>73</v>
      </c>
      <c r="H1085" s="2" t="s">
        <v>74</v>
      </c>
      <c r="I1085" s="2" t="n">
        <v>5</v>
      </c>
      <c r="J1085" s="11" t="n">
        <v>7000</v>
      </c>
      <c r="K1085" s="12" t="n">
        <v>0.1</v>
      </c>
      <c r="L1085" s="11" t="n">
        <v>4800</v>
      </c>
      <c r="M1085" s="11" t="n">
        <f aca="false">I1085*J1085*(1-K1085)</f>
        <v>31500</v>
      </c>
      <c r="N1085" s="11" t="n">
        <f aca="false">M1085-I1085*L1085</f>
        <v>7500</v>
      </c>
    </row>
    <row r="1086" customFormat="false" ht="15" hidden="false" customHeight="false" outlineLevel="0" collapsed="false">
      <c r="A1086" s="2" t="s">
        <v>2184</v>
      </c>
      <c r="B1086" s="2" t="s">
        <v>2185</v>
      </c>
      <c r="C1086" s="10" t="n">
        <v>45871</v>
      </c>
      <c r="D1086" s="2" t="n">
        <f aca="false">MONTH(C1086)</f>
        <v>8</v>
      </c>
      <c r="E1086" s="2" t="s">
        <v>77</v>
      </c>
      <c r="F1086" s="2" t="s">
        <v>64</v>
      </c>
      <c r="G1086" s="2" t="s">
        <v>70</v>
      </c>
      <c r="H1086" s="2" t="s">
        <v>71</v>
      </c>
      <c r="I1086" s="2" t="n">
        <v>3</v>
      </c>
      <c r="J1086" s="11" t="n">
        <v>2500</v>
      </c>
      <c r="K1086" s="12" t="n">
        <v>0.05</v>
      </c>
      <c r="L1086" s="11" t="n">
        <v>1600</v>
      </c>
      <c r="M1086" s="11" t="n">
        <f aca="false">I1086*J1086*(1-K1086)</f>
        <v>7125</v>
      </c>
      <c r="N1086" s="11" t="n">
        <f aca="false">M1086-I1086*L1086</f>
        <v>2325</v>
      </c>
    </row>
    <row r="1087" customFormat="false" ht="15" hidden="false" customHeight="false" outlineLevel="0" collapsed="false">
      <c r="A1087" s="2" t="s">
        <v>2286</v>
      </c>
      <c r="B1087" s="2" t="s">
        <v>2282</v>
      </c>
      <c r="C1087" s="10" t="n">
        <v>45871</v>
      </c>
      <c r="D1087" s="2" t="n">
        <f aca="false">MONTH(C1087)</f>
        <v>8</v>
      </c>
      <c r="E1087" s="2" t="s">
        <v>63</v>
      </c>
      <c r="F1087" s="2" t="s">
        <v>64</v>
      </c>
      <c r="G1087" s="2" t="s">
        <v>65</v>
      </c>
      <c r="H1087" s="2" t="s">
        <v>78</v>
      </c>
      <c r="I1087" s="2" t="n">
        <v>7</v>
      </c>
      <c r="J1087" s="11" t="n">
        <v>400</v>
      </c>
      <c r="K1087" s="12" t="n">
        <v>0.1</v>
      </c>
      <c r="L1087" s="11" t="n">
        <v>200</v>
      </c>
      <c r="M1087" s="11" t="n">
        <f aca="false">I1087*J1087*(1-K1087)</f>
        <v>2520</v>
      </c>
      <c r="N1087" s="11" t="n">
        <f aca="false">M1087-I1087*L1087</f>
        <v>1120</v>
      </c>
    </row>
    <row r="1088" customFormat="false" ht="15" hidden="false" customHeight="false" outlineLevel="0" collapsed="false">
      <c r="A1088" s="2" t="s">
        <v>2698</v>
      </c>
      <c r="B1088" s="2" t="s">
        <v>2699</v>
      </c>
      <c r="C1088" s="10" t="n">
        <v>45871</v>
      </c>
      <c r="D1088" s="2" t="n">
        <f aca="false">MONTH(C1088)</f>
        <v>8</v>
      </c>
      <c r="E1088" s="2" t="s">
        <v>77</v>
      </c>
      <c r="F1088" s="2" t="s">
        <v>69</v>
      </c>
      <c r="G1088" s="2" t="s">
        <v>73</v>
      </c>
      <c r="H1088" s="2" t="s">
        <v>104</v>
      </c>
      <c r="I1088" s="2" t="n">
        <v>3</v>
      </c>
      <c r="J1088" s="11" t="n">
        <v>5500</v>
      </c>
      <c r="K1088" s="12" t="n">
        <v>0</v>
      </c>
      <c r="L1088" s="11" t="n">
        <v>3600</v>
      </c>
      <c r="M1088" s="11" t="n">
        <f aca="false">I1088*J1088*(1-K1088)</f>
        <v>16500</v>
      </c>
      <c r="N1088" s="11" t="n">
        <f aca="false">M1088-I1088*L1088</f>
        <v>5700</v>
      </c>
    </row>
    <row r="1089" customFormat="false" ht="15" hidden="false" customHeight="false" outlineLevel="0" collapsed="false">
      <c r="A1089" s="2" t="s">
        <v>2957</v>
      </c>
      <c r="B1089" s="2" t="s">
        <v>2958</v>
      </c>
      <c r="C1089" s="10" t="n">
        <v>45871</v>
      </c>
      <c r="D1089" s="2" t="n">
        <f aca="false">MONTH(C1089)</f>
        <v>8</v>
      </c>
      <c r="E1089" s="2" t="s">
        <v>63</v>
      </c>
      <c r="F1089" s="2" t="s">
        <v>64</v>
      </c>
      <c r="G1089" s="2" t="s">
        <v>65</v>
      </c>
      <c r="H1089" s="2" t="s">
        <v>78</v>
      </c>
      <c r="I1089" s="2" t="n">
        <v>8</v>
      </c>
      <c r="J1089" s="11" t="n">
        <v>400</v>
      </c>
      <c r="K1089" s="12" t="n">
        <v>0.1</v>
      </c>
      <c r="L1089" s="11" t="n">
        <v>200</v>
      </c>
      <c r="M1089" s="11" t="n">
        <f aca="false">I1089*J1089*(1-K1089)</f>
        <v>2880</v>
      </c>
      <c r="N1089" s="11" t="n">
        <f aca="false">M1089-I1089*L1089</f>
        <v>1280</v>
      </c>
    </row>
    <row r="1090" customFormat="false" ht="15" hidden="false" customHeight="false" outlineLevel="0" collapsed="false">
      <c r="A1090" s="2" t="s">
        <v>1335</v>
      </c>
      <c r="B1090" s="2" t="s">
        <v>1336</v>
      </c>
      <c r="C1090" s="10" t="n">
        <v>45872</v>
      </c>
      <c r="D1090" s="2" t="n">
        <f aca="false">MONTH(C1090)</f>
        <v>8</v>
      </c>
      <c r="E1090" s="2" t="s">
        <v>77</v>
      </c>
      <c r="F1090" s="2" t="s">
        <v>69</v>
      </c>
      <c r="G1090" s="2" t="s">
        <v>65</v>
      </c>
      <c r="H1090" s="2" t="s">
        <v>107</v>
      </c>
      <c r="I1090" s="2" t="n">
        <v>15</v>
      </c>
      <c r="J1090" s="11" t="n">
        <v>500</v>
      </c>
      <c r="K1090" s="12" t="n">
        <v>0</v>
      </c>
      <c r="L1090" s="11" t="n">
        <v>250</v>
      </c>
      <c r="M1090" s="11" t="n">
        <f aca="false">I1090*J1090*(1-K1090)</f>
        <v>7500</v>
      </c>
      <c r="N1090" s="11" t="n">
        <f aca="false">M1090-I1090*L1090</f>
        <v>3750</v>
      </c>
    </row>
    <row r="1091" customFormat="false" ht="15" hidden="false" customHeight="false" outlineLevel="0" collapsed="false">
      <c r="A1091" s="2" t="s">
        <v>1780</v>
      </c>
      <c r="B1091" s="2" t="s">
        <v>1781</v>
      </c>
      <c r="C1091" s="10" t="n">
        <v>45872</v>
      </c>
      <c r="D1091" s="2" t="n">
        <f aca="false">MONTH(C1091)</f>
        <v>8</v>
      </c>
      <c r="E1091" s="2" t="s">
        <v>81</v>
      </c>
      <c r="F1091" s="2" t="s">
        <v>64</v>
      </c>
      <c r="G1091" s="2" t="s">
        <v>65</v>
      </c>
      <c r="H1091" s="2" t="s">
        <v>78</v>
      </c>
      <c r="I1091" s="2" t="n">
        <v>3</v>
      </c>
      <c r="J1091" s="11" t="n">
        <v>400</v>
      </c>
      <c r="K1091" s="12" t="n">
        <v>0</v>
      </c>
      <c r="L1091" s="11" t="n">
        <v>200</v>
      </c>
      <c r="M1091" s="11" t="n">
        <f aca="false">I1091*J1091*(1-K1091)</f>
        <v>1200</v>
      </c>
      <c r="N1091" s="11" t="n">
        <f aca="false">M1091-I1091*L1091</f>
        <v>600</v>
      </c>
    </row>
    <row r="1092" customFormat="false" ht="15" hidden="false" customHeight="false" outlineLevel="0" collapsed="false">
      <c r="A1092" s="2" t="s">
        <v>2400</v>
      </c>
      <c r="B1092" s="2" t="s">
        <v>2401</v>
      </c>
      <c r="C1092" s="10" t="n">
        <v>45872</v>
      </c>
      <c r="D1092" s="2" t="n">
        <f aca="false">MONTH(C1092)</f>
        <v>8</v>
      </c>
      <c r="E1092" s="2" t="s">
        <v>81</v>
      </c>
      <c r="F1092" s="2" t="s">
        <v>69</v>
      </c>
      <c r="G1092" s="2" t="s">
        <v>65</v>
      </c>
      <c r="H1092" s="2" t="s">
        <v>78</v>
      </c>
      <c r="I1092" s="2" t="n">
        <v>12</v>
      </c>
      <c r="J1092" s="11" t="n">
        <v>400</v>
      </c>
      <c r="K1092" s="12" t="n">
        <v>0</v>
      </c>
      <c r="L1092" s="11" t="n">
        <v>200</v>
      </c>
      <c r="M1092" s="11" t="n">
        <f aca="false">I1092*J1092*(1-K1092)</f>
        <v>4800</v>
      </c>
      <c r="N1092" s="11" t="n">
        <f aca="false">M1092-I1092*L1092</f>
        <v>2400</v>
      </c>
    </row>
    <row r="1093" customFormat="false" ht="15" hidden="false" customHeight="false" outlineLevel="0" collapsed="false">
      <c r="A1093" s="2" t="s">
        <v>2756</v>
      </c>
      <c r="B1093" s="2" t="s">
        <v>2757</v>
      </c>
      <c r="C1093" s="10" t="n">
        <v>45872</v>
      </c>
      <c r="D1093" s="2" t="n">
        <f aca="false">MONTH(C1093)</f>
        <v>8</v>
      </c>
      <c r="E1093" s="2" t="s">
        <v>63</v>
      </c>
      <c r="F1093" s="2" t="s">
        <v>92</v>
      </c>
      <c r="G1093" s="2" t="s">
        <v>65</v>
      </c>
      <c r="H1093" s="2" t="s">
        <v>107</v>
      </c>
      <c r="I1093" s="2" t="n">
        <v>11</v>
      </c>
      <c r="J1093" s="11" t="n">
        <v>500</v>
      </c>
      <c r="K1093" s="12" t="n">
        <v>0.15</v>
      </c>
      <c r="L1093" s="11" t="n">
        <v>250</v>
      </c>
      <c r="M1093" s="11" t="n">
        <f aca="false">I1093*J1093*(1-K1093)</f>
        <v>4675</v>
      </c>
      <c r="N1093" s="11" t="n">
        <f aca="false">M1093-I1093*L1093</f>
        <v>1925</v>
      </c>
    </row>
    <row r="1094" customFormat="false" ht="15" hidden="false" customHeight="false" outlineLevel="0" collapsed="false">
      <c r="A1094" s="2" t="s">
        <v>253</v>
      </c>
      <c r="B1094" s="2" t="s">
        <v>254</v>
      </c>
      <c r="C1094" s="10" t="n">
        <v>45873</v>
      </c>
      <c r="D1094" s="2" t="n">
        <f aca="false">MONTH(C1094)</f>
        <v>8</v>
      </c>
      <c r="E1094" s="2" t="s">
        <v>77</v>
      </c>
      <c r="F1094" s="2" t="s">
        <v>64</v>
      </c>
      <c r="G1094" s="2" t="s">
        <v>65</v>
      </c>
      <c r="H1094" s="2" t="s">
        <v>66</v>
      </c>
      <c r="I1094" s="2" t="n">
        <v>8</v>
      </c>
      <c r="J1094" s="11" t="n">
        <v>600</v>
      </c>
      <c r="K1094" s="12" t="n">
        <v>0.05</v>
      </c>
      <c r="L1094" s="11" t="n">
        <v>300</v>
      </c>
      <c r="M1094" s="11" t="n">
        <f aca="false">I1094*J1094*(1-K1094)</f>
        <v>4560</v>
      </c>
      <c r="N1094" s="11" t="n">
        <f aca="false">M1094-I1094*L1094</f>
        <v>2160</v>
      </c>
    </row>
    <row r="1095" customFormat="false" ht="15" hidden="false" customHeight="false" outlineLevel="0" collapsed="false">
      <c r="A1095" s="2" t="s">
        <v>511</v>
      </c>
      <c r="B1095" s="2" t="s">
        <v>510</v>
      </c>
      <c r="C1095" s="10" t="n">
        <v>45873</v>
      </c>
      <c r="D1095" s="2" t="n">
        <f aca="false">MONTH(C1095)</f>
        <v>8</v>
      </c>
      <c r="E1095" s="2" t="s">
        <v>81</v>
      </c>
      <c r="F1095" s="2" t="s">
        <v>69</v>
      </c>
      <c r="G1095" s="2" t="s">
        <v>70</v>
      </c>
      <c r="H1095" s="2" t="s">
        <v>126</v>
      </c>
      <c r="I1095" s="2" t="n">
        <v>2</v>
      </c>
      <c r="J1095" s="11" t="n">
        <v>4500</v>
      </c>
      <c r="K1095" s="12" t="n">
        <v>0</v>
      </c>
      <c r="L1095" s="11" t="n">
        <v>3300</v>
      </c>
      <c r="M1095" s="11" t="n">
        <f aca="false">I1095*J1095*(1-K1095)</f>
        <v>9000</v>
      </c>
      <c r="N1095" s="11" t="n">
        <f aca="false">M1095-I1095*L1095</f>
        <v>2400</v>
      </c>
    </row>
    <row r="1096" customFormat="false" ht="15" hidden="false" customHeight="false" outlineLevel="0" collapsed="false">
      <c r="A1096" s="2" t="s">
        <v>1109</v>
      </c>
      <c r="B1096" s="2" t="s">
        <v>1108</v>
      </c>
      <c r="C1096" s="10" t="n">
        <v>45873</v>
      </c>
      <c r="D1096" s="2" t="n">
        <f aca="false">MONTH(C1096)</f>
        <v>8</v>
      </c>
      <c r="E1096" s="2" t="s">
        <v>77</v>
      </c>
      <c r="F1096" s="2" t="s">
        <v>64</v>
      </c>
      <c r="G1096" s="2" t="s">
        <v>70</v>
      </c>
      <c r="H1096" s="2" t="s">
        <v>126</v>
      </c>
      <c r="I1096" s="2" t="n">
        <v>2</v>
      </c>
      <c r="J1096" s="11" t="n">
        <v>4500</v>
      </c>
      <c r="K1096" s="12" t="n">
        <v>0.05</v>
      </c>
      <c r="L1096" s="11" t="n">
        <v>3300</v>
      </c>
      <c r="M1096" s="11" t="n">
        <f aca="false">I1096*J1096*(1-K1096)</f>
        <v>8550</v>
      </c>
      <c r="N1096" s="11" t="n">
        <f aca="false">M1096-I1096*L1096</f>
        <v>1950</v>
      </c>
    </row>
    <row r="1097" customFormat="false" ht="15" hidden="false" customHeight="false" outlineLevel="0" collapsed="false">
      <c r="A1097" s="2" t="s">
        <v>1658</v>
      </c>
      <c r="B1097" s="2" t="s">
        <v>1655</v>
      </c>
      <c r="C1097" s="10" t="n">
        <v>45873</v>
      </c>
      <c r="D1097" s="2" t="n">
        <f aca="false">MONTH(C1097)</f>
        <v>8</v>
      </c>
      <c r="E1097" s="2" t="s">
        <v>91</v>
      </c>
      <c r="F1097" s="2" t="s">
        <v>64</v>
      </c>
      <c r="G1097" s="2" t="s">
        <v>65</v>
      </c>
      <c r="H1097" s="2" t="s">
        <v>82</v>
      </c>
      <c r="I1097" s="2" t="n">
        <v>3</v>
      </c>
      <c r="J1097" s="11" t="n">
        <v>250</v>
      </c>
      <c r="K1097" s="12" t="n">
        <v>0</v>
      </c>
      <c r="L1097" s="11" t="n">
        <v>100</v>
      </c>
      <c r="M1097" s="11" t="n">
        <f aca="false">I1097*J1097*(1-K1097)</f>
        <v>750</v>
      </c>
      <c r="N1097" s="11" t="n">
        <f aca="false">M1097-I1097*L1097</f>
        <v>450</v>
      </c>
    </row>
    <row r="1098" customFormat="false" ht="15" hidden="false" customHeight="false" outlineLevel="0" collapsed="false">
      <c r="A1098" s="2" t="s">
        <v>1669</v>
      </c>
      <c r="B1098" s="2" t="s">
        <v>1664</v>
      </c>
      <c r="C1098" s="10" t="n">
        <v>45873</v>
      </c>
      <c r="D1098" s="2" t="n">
        <f aca="false">MONTH(C1098)</f>
        <v>8</v>
      </c>
      <c r="E1098" s="2" t="s">
        <v>81</v>
      </c>
      <c r="F1098" s="2" t="s">
        <v>92</v>
      </c>
      <c r="G1098" s="2" t="s">
        <v>65</v>
      </c>
      <c r="H1098" s="2" t="s">
        <v>82</v>
      </c>
      <c r="I1098" s="2" t="n">
        <v>23</v>
      </c>
      <c r="J1098" s="11" t="n">
        <v>250</v>
      </c>
      <c r="K1098" s="12" t="n">
        <v>0.1</v>
      </c>
      <c r="L1098" s="11" t="n">
        <v>100</v>
      </c>
      <c r="M1098" s="11" t="n">
        <f aca="false">I1098*J1098*(1-K1098)</f>
        <v>5175</v>
      </c>
      <c r="N1098" s="11" t="n">
        <f aca="false">M1098-I1098*L1098</f>
        <v>2875</v>
      </c>
    </row>
    <row r="1099" customFormat="false" ht="15" hidden="false" customHeight="false" outlineLevel="0" collapsed="false">
      <c r="A1099" s="2" t="s">
        <v>1727</v>
      </c>
      <c r="B1099" s="2" t="s">
        <v>1723</v>
      </c>
      <c r="C1099" s="10" t="n">
        <v>45873</v>
      </c>
      <c r="D1099" s="2" t="n">
        <f aca="false">MONTH(C1099)</f>
        <v>8</v>
      </c>
      <c r="E1099" s="2" t="s">
        <v>3019</v>
      </c>
      <c r="F1099" s="2" t="s">
        <v>92</v>
      </c>
      <c r="G1099" s="2" t="s">
        <v>73</v>
      </c>
      <c r="H1099" s="2" t="s">
        <v>87</v>
      </c>
      <c r="I1099" s="2" t="n">
        <v>7</v>
      </c>
      <c r="J1099" s="11" t="n">
        <v>9000</v>
      </c>
      <c r="K1099" s="12" t="n">
        <v>0.1</v>
      </c>
      <c r="L1099" s="11" t="n">
        <v>6200</v>
      </c>
      <c r="M1099" s="11" t="n">
        <f aca="false">I1099*J1099*(1-K1099)</f>
        <v>56700</v>
      </c>
      <c r="N1099" s="11" t="n">
        <f aca="false">M1099-I1099*L1099</f>
        <v>13300</v>
      </c>
    </row>
    <row r="1100" customFormat="false" ht="15" hidden="false" customHeight="false" outlineLevel="0" collapsed="false">
      <c r="A1100" s="2" t="s">
        <v>2173</v>
      </c>
      <c r="B1100" s="2" t="s">
        <v>2172</v>
      </c>
      <c r="C1100" s="10" t="n">
        <v>45873</v>
      </c>
      <c r="D1100" s="2" t="n">
        <f aca="false">MONTH(C1100)</f>
        <v>8</v>
      </c>
      <c r="E1100" s="2" t="s">
        <v>91</v>
      </c>
      <c r="F1100" s="2" t="s">
        <v>64</v>
      </c>
      <c r="G1100" s="2" t="s">
        <v>65</v>
      </c>
      <c r="H1100" s="2" t="s">
        <v>66</v>
      </c>
      <c r="I1100" s="2" t="n">
        <v>4</v>
      </c>
      <c r="J1100" s="11" t="n">
        <v>600</v>
      </c>
      <c r="K1100" s="12" t="n">
        <v>0.1</v>
      </c>
      <c r="L1100" s="11" t="n">
        <v>300</v>
      </c>
      <c r="M1100" s="11" t="n">
        <f aca="false">I1100*J1100*(1-K1100)</f>
        <v>2160</v>
      </c>
      <c r="N1100" s="11" t="n">
        <f aca="false">M1100-I1100*L1100</f>
        <v>960</v>
      </c>
    </row>
    <row r="1101" customFormat="false" ht="15" hidden="false" customHeight="false" outlineLevel="0" collapsed="false">
      <c r="A1101" s="2" t="s">
        <v>2744</v>
      </c>
      <c r="B1101" s="2" t="s">
        <v>2743</v>
      </c>
      <c r="C1101" s="10" t="n">
        <v>45873</v>
      </c>
      <c r="D1101" s="2" t="n">
        <f aca="false">MONTH(C1101)</f>
        <v>8</v>
      </c>
      <c r="E1101" s="2" t="s">
        <v>81</v>
      </c>
      <c r="F1101" s="2" t="s">
        <v>64</v>
      </c>
      <c r="G1101" s="2" t="s">
        <v>65</v>
      </c>
      <c r="H1101" s="2" t="s">
        <v>78</v>
      </c>
      <c r="I1101" s="2" t="n">
        <v>2</v>
      </c>
      <c r="J1101" s="11" t="n">
        <v>400</v>
      </c>
      <c r="K1101" s="12" t="n">
        <v>0</v>
      </c>
      <c r="L1101" s="11" t="n">
        <v>200</v>
      </c>
      <c r="M1101" s="11" t="n">
        <f aca="false">I1101*J1101*(1-K1101)</f>
        <v>800</v>
      </c>
      <c r="N1101" s="11" t="n">
        <f aca="false">M1101-I1101*L1101</f>
        <v>400</v>
      </c>
    </row>
    <row r="1102" customFormat="false" ht="15" hidden="false" customHeight="false" outlineLevel="0" collapsed="false">
      <c r="A1102" s="2" t="s">
        <v>962</v>
      </c>
      <c r="B1102" s="2" t="s">
        <v>956</v>
      </c>
      <c r="C1102" s="10" t="n">
        <v>45874</v>
      </c>
      <c r="D1102" s="2" t="n">
        <f aca="false">MONTH(C1102)</f>
        <v>8</v>
      </c>
      <c r="E1102" s="2" t="s">
        <v>91</v>
      </c>
      <c r="F1102" s="2" t="s">
        <v>69</v>
      </c>
      <c r="G1102" s="2" t="s">
        <v>70</v>
      </c>
      <c r="H1102" s="2" t="s">
        <v>71</v>
      </c>
      <c r="I1102" s="2" t="n">
        <v>2</v>
      </c>
      <c r="J1102" s="11" t="n">
        <v>2500</v>
      </c>
      <c r="K1102" s="12" t="n">
        <v>0</v>
      </c>
      <c r="L1102" s="11" t="n">
        <v>1600</v>
      </c>
      <c r="M1102" s="11" t="n">
        <f aca="false">I1102*J1102*(1-K1102)</f>
        <v>5000</v>
      </c>
      <c r="N1102" s="11" t="n">
        <f aca="false">M1102-I1102*L1102</f>
        <v>1800</v>
      </c>
    </row>
    <row r="1103" customFormat="false" ht="15" hidden="false" customHeight="false" outlineLevel="0" collapsed="false">
      <c r="A1103" s="2" t="s">
        <v>1476</v>
      </c>
      <c r="B1103" s="2" t="s">
        <v>1477</v>
      </c>
      <c r="C1103" s="10" t="n">
        <v>45874</v>
      </c>
      <c r="D1103" s="2" t="n">
        <f aca="false">MONTH(C1103)</f>
        <v>8</v>
      </c>
      <c r="E1103" s="2" t="s">
        <v>63</v>
      </c>
      <c r="F1103" s="2" t="s">
        <v>92</v>
      </c>
      <c r="G1103" s="2" t="s">
        <v>70</v>
      </c>
      <c r="H1103" s="2" t="s">
        <v>71</v>
      </c>
      <c r="I1103" s="2" t="n">
        <v>2</v>
      </c>
      <c r="J1103" s="11" t="n">
        <v>2500</v>
      </c>
      <c r="K1103" s="12" t="n">
        <v>0.1</v>
      </c>
      <c r="L1103" s="11" t="n">
        <v>1600</v>
      </c>
      <c r="M1103" s="11" t="n">
        <f aca="false">I1103*J1103*(1-K1103)</f>
        <v>4500</v>
      </c>
      <c r="N1103" s="11" t="n">
        <f aca="false">M1103-I1103*L1103</f>
        <v>1300</v>
      </c>
    </row>
    <row r="1104" customFormat="false" ht="15" hidden="false" customHeight="false" outlineLevel="0" collapsed="false">
      <c r="A1104" s="2" t="s">
        <v>1685</v>
      </c>
      <c r="B1104" s="2" t="s">
        <v>1686</v>
      </c>
      <c r="C1104" s="10" t="n">
        <v>45874</v>
      </c>
      <c r="D1104" s="2" t="n">
        <f aca="false">MONTH(C1104)</f>
        <v>8</v>
      </c>
      <c r="E1104" s="2" t="s">
        <v>91</v>
      </c>
      <c r="F1104" s="2" t="s">
        <v>92</v>
      </c>
      <c r="G1104" s="2" t="s">
        <v>70</v>
      </c>
      <c r="H1104" s="2" t="s">
        <v>97</v>
      </c>
      <c r="I1104" s="2" t="n">
        <v>6</v>
      </c>
      <c r="J1104" s="11" t="n">
        <v>3000</v>
      </c>
      <c r="K1104" s="12" t="n">
        <v>0.15</v>
      </c>
      <c r="L1104" s="11" t="n">
        <v>2000</v>
      </c>
      <c r="M1104" s="11" t="n">
        <f aca="false">I1104*J1104*(1-K1104)</f>
        <v>15300</v>
      </c>
      <c r="N1104" s="11" t="n">
        <f aca="false">M1104-I1104*L1104</f>
        <v>3300</v>
      </c>
    </row>
    <row r="1105" customFormat="false" ht="15" hidden="false" customHeight="false" outlineLevel="0" collapsed="false">
      <c r="A1105" s="2" t="s">
        <v>2164</v>
      </c>
      <c r="B1105" s="2" t="s">
        <v>2165</v>
      </c>
      <c r="C1105" s="10" t="n">
        <v>45874</v>
      </c>
      <c r="D1105" s="2" t="n">
        <f aca="false">MONTH(C1105)</f>
        <v>8</v>
      </c>
      <c r="E1105" s="2" t="s">
        <v>77</v>
      </c>
      <c r="F1105" s="2" t="s">
        <v>64</v>
      </c>
      <c r="G1105" s="2" t="s">
        <v>70</v>
      </c>
      <c r="H1105" s="2" t="s">
        <v>126</v>
      </c>
      <c r="I1105" s="2" t="n">
        <v>3</v>
      </c>
      <c r="J1105" s="11" t="n">
        <v>4500</v>
      </c>
      <c r="K1105" s="12" t="n">
        <v>0</v>
      </c>
      <c r="L1105" s="11" t="n">
        <v>3300</v>
      </c>
      <c r="M1105" s="11" t="n">
        <f aca="false">I1105*J1105*(1-K1105)</f>
        <v>13500</v>
      </c>
      <c r="N1105" s="11" t="n">
        <f aca="false">M1105-I1105*L1105</f>
        <v>3600</v>
      </c>
    </row>
    <row r="1106" customFormat="false" ht="15" hidden="false" customHeight="false" outlineLevel="0" collapsed="false">
      <c r="A1106" s="2" t="s">
        <v>771</v>
      </c>
      <c r="B1106" s="2" t="s">
        <v>772</v>
      </c>
      <c r="C1106" s="10" t="n">
        <v>45875</v>
      </c>
      <c r="D1106" s="2" t="n">
        <f aca="false">MONTH(C1106)</f>
        <v>8</v>
      </c>
      <c r="E1106" s="2" t="s">
        <v>81</v>
      </c>
      <c r="F1106" s="2" t="s">
        <v>64</v>
      </c>
      <c r="G1106" s="2" t="s">
        <v>73</v>
      </c>
      <c r="H1106" s="2" t="s">
        <v>104</v>
      </c>
      <c r="I1106" s="2" t="n">
        <v>3</v>
      </c>
      <c r="J1106" s="11" t="n">
        <v>5500</v>
      </c>
      <c r="K1106" s="12" t="n">
        <v>0</v>
      </c>
      <c r="L1106" s="11" t="n">
        <v>3600</v>
      </c>
      <c r="M1106" s="11" t="n">
        <f aca="false">I1106*J1106*(1-K1106)</f>
        <v>16500</v>
      </c>
      <c r="N1106" s="11" t="n">
        <f aca="false">M1106-I1106*L1106</f>
        <v>5700</v>
      </c>
    </row>
    <row r="1107" customFormat="false" ht="15" hidden="false" customHeight="false" outlineLevel="0" collapsed="false">
      <c r="A1107" s="2" t="s">
        <v>953</v>
      </c>
      <c r="B1107" s="2" t="s">
        <v>951</v>
      </c>
      <c r="C1107" s="10" t="n">
        <v>45875</v>
      </c>
      <c r="D1107" s="2" t="n">
        <f aca="false">MONTH(C1107)</f>
        <v>8</v>
      </c>
      <c r="E1107" s="2" t="s">
        <v>77</v>
      </c>
      <c r="F1107" s="2" t="s">
        <v>92</v>
      </c>
      <c r="G1107" s="2" t="s">
        <v>70</v>
      </c>
      <c r="H1107" s="2" t="s">
        <v>97</v>
      </c>
      <c r="I1107" s="2" t="n">
        <v>8</v>
      </c>
      <c r="J1107" s="11" t="n">
        <v>3000</v>
      </c>
      <c r="K1107" s="12" t="n">
        <v>0.1</v>
      </c>
      <c r="L1107" s="11" t="n">
        <v>2000</v>
      </c>
      <c r="M1107" s="11" t="n">
        <f aca="false">I1107*J1107*(1-K1107)</f>
        <v>21600</v>
      </c>
      <c r="N1107" s="11" t="n">
        <f aca="false">M1107-I1107*L1107</f>
        <v>5600</v>
      </c>
    </row>
    <row r="1108" customFormat="false" ht="15" hidden="false" customHeight="false" outlineLevel="0" collapsed="false">
      <c r="A1108" s="2" t="s">
        <v>1042</v>
      </c>
      <c r="B1108" s="2" t="s">
        <v>1043</v>
      </c>
      <c r="C1108" s="10" t="n">
        <v>45875</v>
      </c>
      <c r="D1108" s="2" t="n">
        <f aca="false">MONTH(C1108)</f>
        <v>8</v>
      </c>
      <c r="E1108" s="2" t="s">
        <v>77</v>
      </c>
      <c r="F1108" s="2" t="s">
        <v>64</v>
      </c>
      <c r="G1108" s="2" t="s">
        <v>73</v>
      </c>
      <c r="H1108" s="2" t="s">
        <v>104</v>
      </c>
      <c r="I1108" s="2" t="n">
        <v>1</v>
      </c>
      <c r="J1108" s="11" t="n">
        <v>5500</v>
      </c>
      <c r="K1108" s="12" t="n">
        <v>0.05</v>
      </c>
      <c r="L1108" s="11" t="n">
        <v>3600</v>
      </c>
      <c r="M1108" s="11" t="n">
        <f aca="false">I1108*J1108*(1-K1108)</f>
        <v>5225</v>
      </c>
      <c r="N1108" s="11" t="n">
        <f aca="false">M1108-I1108*L1108</f>
        <v>1625</v>
      </c>
    </row>
    <row r="1109" customFormat="false" ht="15" hidden="false" customHeight="false" outlineLevel="0" collapsed="false">
      <c r="A1109" s="2" t="s">
        <v>1589</v>
      </c>
      <c r="B1109" s="2" t="s">
        <v>1586</v>
      </c>
      <c r="C1109" s="10" t="n">
        <v>45875</v>
      </c>
      <c r="D1109" s="2" t="n">
        <f aca="false">MONTH(C1109)</f>
        <v>8</v>
      </c>
      <c r="E1109" s="2" t="s">
        <v>77</v>
      </c>
      <c r="F1109" s="2" t="s">
        <v>64</v>
      </c>
      <c r="G1109" s="2" t="s">
        <v>65</v>
      </c>
      <c r="H1109" s="2" t="s">
        <v>82</v>
      </c>
      <c r="I1109" s="2" t="n">
        <v>5</v>
      </c>
      <c r="J1109" s="11" t="n">
        <v>250</v>
      </c>
      <c r="K1109" s="12" t="n">
        <v>0</v>
      </c>
      <c r="L1109" s="11" t="n">
        <v>100</v>
      </c>
      <c r="M1109" s="11" t="n">
        <f aca="false">I1109*J1109*(1-K1109)</f>
        <v>1250</v>
      </c>
      <c r="N1109" s="11" t="n">
        <f aca="false">M1109-I1109*L1109</f>
        <v>750</v>
      </c>
    </row>
    <row r="1110" customFormat="false" ht="15" hidden="false" customHeight="false" outlineLevel="0" collapsed="false">
      <c r="A1110" s="2" t="s">
        <v>2692</v>
      </c>
      <c r="B1110" s="2" t="s">
        <v>2688</v>
      </c>
      <c r="C1110" s="10" t="n">
        <v>45875</v>
      </c>
      <c r="D1110" s="2" t="n">
        <f aca="false">MONTH(C1110)</f>
        <v>8</v>
      </c>
      <c r="E1110" s="2" t="s">
        <v>81</v>
      </c>
      <c r="F1110" s="2" t="s">
        <v>92</v>
      </c>
      <c r="G1110" s="2" t="s">
        <v>73</v>
      </c>
      <c r="H1110" s="2" t="s">
        <v>104</v>
      </c>
      <c r="I1110" s="2" t="n">
        <v>7</v>
      </c>
      <c r="J1110" s="11" t="n">
        <v>5500</v>
      </c>
      <c r="K1110" s="12" t="n">
        <v>0.1</v>
      </c>
      <c r="L1110" s="11" t="n">
        <v>3600</v>
      </c>
      <c r="M1110" s="11" t="n">
        <f aca="false">I1110*J1110*(1-K1110)</f>
        <v>34650</v>
      </c>
      <c r="N1110" s="11" t="n">
        <f aca="false">M1110-I1110*L1110</f>
        <v>9450</v>
      </c>
    </row>
    <row r="1111" customFormat="false" ht="15" hidden="false" customHeight="false" outlineLevel="0" collapsed="false">
      <c r="A1111" s="2" t="s">
        <v>2914</v>
      </c>
      <c r="B1111" s="2" t="s">
        <v>2912</v>
      </c>
      <c r="C1111" s="10" t="n">
        <v>45875</v>
      </c>
      <c r="D1111" s="2" t="n">
        <f aca="false">MONTH(C1111)</f>
        <v>8</v>
      </c>
      <c r="E1111" s="2" t="s">
        <v>81</v>
      </c>
      <c r="F1111" s="2" t="s">
        <v>69</v>
      </c>
      <c r="G1111" s="2" t="s">
        <v>65</v>
      </c>
      <c r="H1111" s="2" t="s">
        <v>82</v>
      </c>
      <c r="I1111" s="2" t="n">
        <v>11</v>
      </c>
      <c r="J1111" s="11" t="n">
        <v>250</v>
      </c>
      <c r="K1111" s="12" t="n">
        <v>0</v>
      </c>
      <c r="L1111" s="11" t="n">
        <v>100</v>
      </c>
      <c r="M1111" s="11" t="n">
        <f aca="false">I1111*J1111*(1-K1111)</f>
        <v>2750</v>
      </c>
      <c r="N1111" s="11" t="n">
        <f aca="false">M1111-I1111*L1111</f>
        <v>1650</v>
      </c>
    </row>
    <row r="1112" customFormat="false" ht="15" hidden="false" customHeight="false" outlineLevel="0" collapsed="false">
      <c r="A1112" s="2" t="s">
        <v>2924</v>
      </c>
      <c r="B1112" s="2" t="s">
        <v>2925</v>
      </c>
      <c r="C1112" s="10" t="n">
        <v>45875</v>
      </c>
      <c r="D1112" s="2" t="n">
        <f aca="false">MONTH(C1112)</f>
        <v>8</v>
      </c>
      <c r="E1112" s="2" t="s">
        <v>63</v>
      </c>
      <c r="F1112" s="2" t="s">
        <v>69</v>
      </c>
      <c r="G1112" s="2" t="s">
        <v>70</v>
      </c>
      <c r="H1112" s="2" t="s">
        <v>97</v>
      </c>
      <c r="I1112" s="2" t="n">
        <v>2</v>
      </c>
      <c r="J1112" s="11" t="n">
        <v>3000</v>
      </c>
      <c r="K1112" s="12" t="n">
        <v>0.1</v>
      </c>
      <c r="L1112" s="11" t="n">
        <v>2000</v>
      </c>
      <c r="M1112" s="11" t="n">
        <f aca="false">I1112*J1112*(1-K1112)</f>
        <v>5400</v>
      </c>
      <c r="N1112" s="11" t="n">
        <f aca="false">M1112-I1112*L1112</f>
        <v>1400</v>
      </c>
    </row>
    <row r="1113" customFormat="false" ht="15" hidden="false" customHeight="false" outlineLevel="0" collapsed="false">
      <c r="A1113" s="2" t="s">
        <v>870</v>
      </c>
      <c r="B1113" s="2" t="s">
        <v>871</v>
      </c>
      <c r="C1113" s="10" t="n">
        <v>45876</v>
      </c>
      <c r="D1113" s="2" t="n">
        <f aca="false">MONTH(C1113)</f>
        <v>8</v>
      </c>
      <c r="E1113" s="2" t="s">
        <v>91</v>
      </c>
      <c r="F1113" s="2" t="s">
        <v>64</v>
      </c>
      <c r="G1113" s="2" t="s">
        <v>70</v>
      </c>
      <c r="H1113" s="2" t="s">
        <v>71</v>
      </c>
      <c r="I1113" s="2" t="n">
        <v>3</v>
      </c>
      <c r="J1113" s="11" t="n">
        <v>2500</v>
      </c>
      <c r="K1113" s="12" t="n">
        <v>0.05</v>
      </c>
      <c r="L1113" s="11" t="n">
        <v>1600</v>
      </c>
      <c r="M1113" s="11" t="n">
        <f aca="false">I1113*J1113*(1-K1113)</f>
        <v>7125</v>
      </c>
      <c r="N1113" s="11" t="n">
        <f aca="false">M1113-I1113*L1113</f>
        <v>2325</v>
      </c>
    </row>
    <row r="1114" customFormat="false" ht="15" hidden="false" customHeight="false" outlineLevel="0" collapsed="false">
      <c r="A1114" s="2" t="s">
        <v>1141</v>
      </c>
      <c r="B1114" s="2" t="s">
        <v>1139</v>
      </c>
      <c r="C1114" s="10" t="n">
        <v>45876</v>
      </c>
      <c r="D1114" s="2" t="n">
        <f aca="false">MONTH(C1114)</f>
        <v>8</v>
      </c>
      <c r="E1114" s="2" t="s">
        <v>81</v>
      </c>
      <c r="F1114" s="2" t="s">
        <v>64</v>
      </c>
      <c r="G1114" s="2" t="s">
        <v>65</v>
      </c>
      <c r="H1114" s="2" t="s">
        <v>78</v>
      </c>
      <c r="I1114" s="2" t="n">
        <v>4</v>
      </c>
      <c r="J1114" s="11" t="n">
        <v>400</v>
      </c>
      <c r="K1114" s="12" t="n">
        <v>0.1</v>
      </c>
      <c r="L1114" s="11" t="n">
        <v>200</v>
      </c>
      <c r="M1114" s="11" t="n">
        <f aca="false">I1114*J1114*(1-K1114)</f>
        <v>1440</v>
      </c>
      <c r="N1114" s="11" t="n">
        <f aca="false">M1114-I1114*L1114</f>
        <v>640</v>
      </c>
    </row>
    <row r="1115" customFormat="false" ht="15" hidden="false" customHeight="false" outlineLevel="0" collapsed="false">
      <c r="A1115" s="2" t="s">
        <v>1327</v>
      </c>
      <c r="B1115" s="2" t="s">
        <v>1319</v>
      </c>
      <c r="C1115" s="10" t="n">
        <v>45876</v>
      </c>
      <c r="D1115" s="2" t="n">
        <f aca="false">MONTH(C1115)</f>
        <v>8</v>
      </c>
      <c r="E1115" s="2" t="s">
        <v>77</v>
      </c>
      <c r="F1115" s="2" t="s">
        <v>92</v>
      </c>
      <c r="G1115" s="2" t="s">
        <v>73</v>
      </c>
      <c r="H1115" s="2" t="s">
        <v>74</v>
      </c>
      <c r="I1115" s="2" t="n">
        <v>5</v>
      </c>
      <c r="J1115" s="11" t="n">
        <v>7000</v>
      </c>
      <c r="K1115" s="12" t="n">
        <v>0.05</v>
      </c>
      <c r="L1115" s="11" t="n">
        <v>4800</v>
      </c>
      <c r="M1115" s="11" t="n">
        <f aca="false">I1115*J1115*(1-K1115)</f>
        <v>33250</v>
      </c>
      <c r="N1115" s="11" t="n">
        <f aca="false">M1115-I1115*L1115</f>
        <v>9250</v>
      </c>
    </row>
    <row r="1116" customFormat="false" ht="15" hidden="false" customHeight="false" outlineLevel="0" collapsed="false">
      <c r="A1116" s="2" t="s">
        <v>1376</v>
      </c>
      <c r="B1116" s="2" t="s">
        <v>1375</v>
      </c>
      <c r="C1116" s="10" t="n">
        <v>45876</v>
      </c>
      <c r="D1116" s="2" t="n">
        <f aca="false">MONTH(C1116)</f>
        <v>8</v>
      </c>
      <c r="E1116" s="2" t="s">
        <v>77</v>
      </c>
      <c r="F1116" s="2" t="s">
        <v>69</v>
      </c>
      <c r="G1116" s="2" t="s">
        <v>65</v>
      </c>
      <c r="H1116" s="2" t="s">
        <v>82</v>
      </c>
      <c r="I1116" s="2" t="n">
        <v>10</v>
      </c>
      <c r="J1116" s="11" t="n">
        <v>250</v>
      </c>
      <c r="K1116" s="12" t="n">
        <v>0</v>
      </c>
      <c r="L1116" s="11" t="n">
        <v>100</v>
      </c>
      <c r="M1116" s="11" t="n">
        <f aca="false">I1116*J1116*(1-K1116)</f>
        <v>2500</v>
      </c>
      <c r="N1116" s="11" t="n">
        <f aca="false">M1116-I1116*L1116</f>
        <v>1500</v>
      </c>
    </row>
    <row r="1117" customFormat="false" ht="15" hidden="false" customHeight="false" outlineLevel="0" collapsed="false">
      <c r="A1117" s="2" t="s">
        <v>1468</v>
      </c>
      <c r="B1117" s="2" t="s">
        <v>1461</v>
      </c>
      <c r="C1117" s="10" t="n">
        <v>45876</v>
      </c>
      <c r="D1117" s="2" t="n">
        <f aca="false">MONTH(C1117)</f>
        <v>8</v>
      </c>
      <c r="E1117" s="2" t="s">
        <v>77</v>
      </c>
      <c r="F1117" s="2" t="s">
        <v>69</v>
      </c>
      <c r="G1117" s="2" t="s">
        <v>73</v>
      </c>
      <c r="H1117" s="2" t="s">
        <v>87</v>
      </c>
      <c r="I1117" s="2" t="n">
        <v>2</v>
      </c>
      <c r="J1117" s="11" t="n">
        <v>9000</v>
      </c>
      <c r="K1117" s="12" t="n">
        <v>0</v>
      </c>
      <c r="L1117" s="11" t="n">
        <v>6200</v>
      </c>
      <c r="M1117" s="11" t="n">
        <f aca="false">I1117*J1117*(1-K1117)</f>
        <v>18000</v>
      </c>
      <c r="N1117" s="11" t="n">
        <f aca="false">M1117-I1117*L1117</f>
        <v>5600</v>
      </c>
    </row>
    <row r="1118" customFormat="false" ht="15" hidden="false" customHeight="false" outlineLevel="0" collapsed="false">
      <c r="A1118" s="2" t="s">
        <v>1806</v>
      </c>
      <c r="B1118" s="2" t="s">
        <v>1805</v>
      </c>
      <c r="C1118" s="10" t="n">
        <v>45876</v>
      </c>
      <c r="D1118" s="2" t="n">
        <f aca="false">MONTH(C1118)</f>
        <v>8</v>
      </c>
      <c r="E1118" s="2" t="s">
        <v>91</v>
      </c>
      <c r="F1118" s="2" t="s">
        <v>64</v>
      </c>
      <c r="G1118" s="2" t="s">
        <v>73</v>
      </c>
      <c r="H1118" s="2" t="s">
        <v>85</v>
      </c>
      <c r="I1118" s="2" t="n">
        <v>2</v>
      </c>
      <c r="J1118" s="11" t="n">
        <v>1200</v>
      </c>
      <c r="K1118" s="12" t="n">
        <v>0.05</v>
      </c>
      <c r="L1118" s="11" t="n">
        <v>600</v>
      </c>
      <c r="M1118" s="11" t="n">
        <f aca="false">I1118*J1118*(1-K1118)</f>
        <v>2280</v>
      </c>
      <c r="N1118" s="11" t="n">
        <f aca="false">M1118-I1118*L1118</f>
        <v>1080</v>
      </c>
    </row>
    <row r="1119" customFormat="false" ht="15" hidden="false" customHeight="false" outlineLevel="0" collapsed="false">
      <c r="A1119" s="2" t="s">
        <v>1927</v>
      </c>
      <c r="B1119" s="2" t="s">
        <v>1928</v>
      </c>
      <c r="C1119" s="10" t="n">
        <v>45876</v>
      </c>
      <c r="D1119" s="2" t="n">
        <f aca="false">MONTH(C1119)</f>
        <v>8</v>
      </c>
      <c r="E1119" s="2" t="s">
        <v>77</v>
      </c>
      <c r="F1119" s="2" t="s">
        <v>64</v>
      </c>
      <c r="G1119" s="2" t="s">
        <v>65</v>
      </c>
      <c r="H1119" s="2" t="s">
        <v>78</v>
      </c>
      <c r="I1119" s="2" t="n">
        <v>4</v>
      </c>
      <c r="J1119" s="11" t="n">
        <v>400</v>
      </c>
      <c r="K1119" s="12" t="n">
        <v>0.05</v>
      </c>
      <c r="L1119" s="11" t="n">
        <v>200</v>
      </c>
      <c r="M1119" s="11" t="n">
        <f aca="false">I1119*J1119*(1-K1119)</f>
        <v>1520</v>
      </c>
      <c r="N1119" s="11" t="n">
        <f aca="false">M1119-I1119*L1119</f>
        <v>720</v>
      </c>
    </row>
    <row r="1120" customFormat="false" ht="15" hidden="false" customHeight="false" outlineLevel="0" collapsed="false">
      <c r="A1120" s="2" t="s">
        <v>1989</v>
      </c>
      <c r="B1120" s="2" t="s">
        <v>1990</v>
      </c>
      <c r="C1120" s="10" t="n">
        <v>45876</v>
      </c>
      <c r="D1120" s="2" t="n">
        <f aca="false">MONTH(C1120)</f>
        <v>8</v>
      </c>
      <c r="E1120" s="2" t="s">
        <v>77</v>
      </c>
      <c r="F1120" s="2" t="s">
        <v>92</v>
      </c>
      <c r="G1120" s="2" t="s">
        <v>70</v>
      </c>
      <c r="H1120" s="2" t="s">
        <v>126</v>
      </c>
      <c r="I1120" s="2" t="n">
        <v>6</v>
      </c>
      <c r="J1120" s="11" t="n">
        <v>4500</v>
      </c>
      <c r="K1120" s="12" t="n">
        <v>0.15</v>
      </c>
      <c r="L1120" s="11" t="n">
        <v>3300</v>
      </c>
      <c r="M1120" s="11" t="n">
        <f aca="false">I1120*J1120*(1-K1120)</f>
        <v>22950</v>
      </c>
      <c r="N1120" s="11" t="n">
        <f aca="false">M1120-I1120*L1120</f>
        <v>3150</v>
      </c>
    </row>
    <row r="1121" customFormat="false" ht="15" hidden="false" customHeight="false" outlineLevel="0" collapsed="false">
      <c r="A1121" s="2" t="s">
        <v>2279</v>
      </c>
      <c r="B1121" s="2" t="s">
        <v>2275</v>
      </c>
      <c r="C1121" s="10" t="n">
        <v>45876</v>
      </c>
      <c r="D1121" s="2" t="n">
        <f aca="false">MONTH(C1121)</f>
        <v>8</v>
      </c>
      <c r="E1121" s="2" t="s">
        <v>77</v>
      </c>
      <c r="F1121" s="2" t="s">
        <v>64</v>
      </c>
      <c r="G1121" s="2" t="s">
        <v>70</v>
      </c>
      <c r="H1121" s="2" t="s">
        <v>97</v>
      </c>
      <c r="I1121" s="2" t="n">
        <v>1</v>
      </c>
      <c r="J1121" s="11" t="n">
        <v>3000</v>
      </c>
      <c r="K1121" s="12" t="n">
        <v>0</v>
      </c>
      <c r="L1121" s="11" t="n">
        <v>2000</v>
      </c>
      <c r="M1121" s="11" t="n">
        <f aca="false">I1121*J1121*(1-K1121)</f>
        <v>3000</v>
      </c>
      <c r="N1121" s="11" t="n">
        <f aca="false">M1121-I1121*L1121</f>
        <v>1000</v>
      </c>
    </row>
    <row r="1122" customFormat="false" ht="15" hidden="false" customHeight="false" outlineLevel="0" collapsed="false">
      <c r="A1122" s="2" t="s">
        <v>307</v>
      </c>
      <c r="B1122" s="2" t="s">
        <v>305</v>
      </c>
      <c r="C1122" s="10" t="n">
        <v>45877</v>
      </c>
      <c r="D1122" s="2" t="n">
        <f aca="false">MONTH(C1122)</f>
        <v>8</v>
      </c>
      <c r="E1122" s="2" t="s">
        <v>81</v>
      </c>
      <c r="F1122" s="2" t="s">
        <v>92</v>
      </c>
      <c r="G1122" s="2" t="s">
        <v>73</v>
      </c>
      <c r="H1122" s="2" t="s">
        <v>87</v>
      </c>
      <c r="I1122" s="2" t="n">
        <v>3</v>
      </c>
      <c r="J1122" s="11" t="n">
        <v>9000</v>
      </c>
      <c r="K1122" s="12" t="n">
        <v>0.15</v>
      </c>
      <c r="L1122" s="11" t="n">
        <v>6200</v>
      </c>
      <c r="M1122" s="11" t="n">
        <f aca="false">I1122*J1122*(1-K1122)</f>
        <v>22950</v>
      </c>
      <c r="N1122" s="11" t="n">
        <f aca="false">M1122-I1122*L1122</f>
        <v>4350</v>
      </c>
    </row>
    <row r="1123" customFormat="false" ht="15" hidden="false" customHeight="false" outlineLevel="0" collapsed="false">
      <c r="A1123" s="2" t="s">
        <v>489</v>
      </c>
      <c r="B1123" s="2" t="s">
        <v>486</v>
      </c>
      <c r="C1123" s="10" t="n">
        <v>45877</v>
      </c>
      <c r="D1123" s="2" t="n">
        <f aca="false">MONTH(C1123)</f>
        <v>8</v>
      </c>
      <c r="E1123" s="2" t="s">
        <v>63</v>
      </c>
      <c r="F1123" s="2" t="s">
        <v>64</v>
      </c>
      <c r="G1123" s="2" t="s">
        <v>73</v>
      </c>
      <c r="H1123" s="2" t="s">
        <v>104</v>
      </c>
      <c r="I1123" s="2" t="n">
        <v>3</v>
      </c>
      <c r="J1123" s="11" t="n">
        <v>5500</v>
      </c>
      <c r="K1123" s="12" t="n">
        <v>0</v>
      </c>
      <c r="L1123" s="11" t="n">
        <v>3600</v>
      </c>
      <c r="M1123" s="11" t="n">
        <f aca="false">I1123*J1123*(1-K1123)</f>
        <v>16500</v>
      </c>
      <c r="N1123" s="11" t="n">
        <f aca="false">M1123-I1123*L1123</f>
        <v>5700</v>
      </c>
    </row>
    <row r="1124" customFormat="false" ht="15" hidden="false" customHeight="false" outlineLevel="0" collapsed="false">
      <c r="A1124" s="2" t="s">
        <v>831</v>
      </c>
      <c r="B1124" s="2" t="s">
        <v>829</v>
      </c>
      <c r="C1124" s="10" t="n">
        <v>45877</v>
      </c>
      <c r="D1124" s="2" t="n">
        <f aca="false">MONTH(C1124)</f>
        <v>8</v>
      </c>
      <c r="E1124" s="2" t="s">
        <v>81</v>
      </c>
      <c r="F1124" s="2" t="s">
        <v>92</v>
      </c>
      <c r="G1124" s="2" t="s">
        <v>73</v>
      </c>
      <c r="H1124" s="2" t="s">
        <v>104</v>
      </c>
      <c r="I1124" s="2" t="n">
        <v>7</v>
      </c>
      <c r="J1124" s="11" t="n">
        <v>5500</v>
      </c>
      <c r="K1124" s="12" t="n">
        <v>0.15</v>
      </c>
      <c r="L1124" s="11" t="n">
        <v>3600</v>
      </c>
      <c r="M1124" s="11" t="n">
        <f aca="false">I1124*J1124*(1-K1124)</f>
        <v>32725</v>
      </c>
      <c r="N1124" s="11" t="n">
        <f aca="false">M1124-I1124*L1124</f>
        <v>7525</v>
      </c>
    </row>
    <row r="1125" customFormat="false" ht="15" hidden="false" customHeight="false" outlineLevel="0" collapsed="false">
      <c r="A1125" s="2" t="s">
        <v>850</v>
      </c>
      <c r="B1125" s="2" t="s">
        <v>843</v>
      </c>
      <c r="C1125" s="10" t="n">
        <v>45877</v>
      </c>
      <c r="D1125" s="2" t="n">
        <f aca="false">MONTH(C1125)</f>
        <v>8</v>
      </c>
      <c r="E1125" s="2" t="s">
        <v>81</v>
      </c>
      <c r="F1125" s="2" t="s">
        <v>92</v>
      </c>
      <c r="G1125" s="2" t="s">
        <v>73</v>
      </c>
      <c r="H1125" s="2" t="s">
        <v>87</v>
      </c>
      <c r="I1125" s="2" t="n">
        <v>6</v>
      </c>
      <c r="J1125" s="11" t="n">
        <v>9000</v>
      </c>
      <c r="K1125" s="12" t="n">
        <v>0.1</v>
      </c>
      <c r="L1125" s="11" t="n">
        <v>6200</v>
      </c>
      <c r="M1125" s="11" t="n">
        <f aca="false">I1125*J1125*(1-K1125)</f>
        <v>48600</v>
      </c>
      <c r="N1125" s="11" t="n">
        <f aca="false">M1125-I1125*L1125</f>
        <v>11400</v>
      </c>
    </row>
    <row r="1126" customFormat="false" ht="15" hidden="false" customHeight="false" outlineLevel="0" collapsed="false">
      <c r="A1126" s="2" t="s">
        <v>1159</v>
      </c>
      <c r="B1126" s="2" t="s">
        <v>1160</v>
      </c>
      <c r="C1126" s="10" t="n">
        <v>45877</v>
      </c>
      <c r="D1126" s="2" t="n">
        <f aca="false">MONTH(C1126)</f>
        <v>8</v>
      </c>
      <c r="E1126" s="2" t="s">
        <v>77</v>
      </c>
      <c r="F1126" s="2" t="s">
        <v>92</v>
      </c>
      <c r="G1126" s="2" t="s">
        <v>73</v>
      </c>
      <c r="H1126" s="2" t="s">
        <v>74</v>
      </c>
      <c r="I1126" s="2" t="n">
        <v>8</v>
      </c>
      <c r="J1126" s="11" t="n">
        <v>7000</v>
      </c>
      <c r="K1126" s="12" t="n">
        <v>0.05</v>
      </c>
      <c r="L1126" s="11" t="n">
        <v>4800</v>
      </c>
      <c r="M1126" s="11" t="n">
        <f aca="false">I1126*J1126*(1-K1126)</f>
        <v>53200</v>
      </c>
      <c r="N1126" s="11" t="n">
        <f aca="false">M1126-I1126*L1126</f>
        <v>14800</v>
      </c>
    </row>
    <row r="1127" customFormat="false" ht="15" hidden="false" customHeight="false" outlineLevel="0" collapsed="false">
      <c r="A1127" s="2" t="s">
        <v>407</v>
      </c>
      <c r="B1127" s="2" t="s">
        <v>408</v>
      </c>
      <c r="C1127" s="10" t="n">
        <v>45878</v>
      </c>
      <c r="D1127" s="2" t="n">
        <f aca="false">MONTH(C1127)</f>
        <v>8</v>
      </c>
      <c r="E1127" s="2" t="s">
        <v>91</v>
      </c>
      <c r="F1127" s="2" t="s">
        <v>64</v>
      </c>
      <c r="G1127" s="2" t="s">
        <v>65</v>
      </c>
      <c r="H1127" s="2" t="s">
        <v>78</v>
      </c>
      <c r="I1127" s="2" t="n">
        <v>4</v>
      </c>
      <c r="J1127" s="11" t="n">
        <v>400</v>
      </c>
      <c r="K1127" s="12" t="n">
        <v>0</v>
      </c>
      <c r="L1127" s="11" t="n">
        <v>200</v>
      </c>
      <c r="M1127" s="11" t="n">
        <f aca="false">I1127*J1127*(1-K1127)</f>
        <v>1600</v>
      </c>
      <c r="N1127" s="11" t="n">
        <f aca="false">M1127-I1127*L1127</f>
        <v>800</v>
      </c>
    </row>
    <row r="1128" customFormat="false" ht="15" hidden="false" customHeight="false" outlineLevel="0" collapsed="false">
      <c r="A1128" s="2" t="s">
        <v>799</v>
      </c>
      <c r="B1128" s="2" t="s">
        <v>797</v>
      </c>
      <c r="C1128" s="10" t="n">
        <v>45878</v>
      </c>
      <c r="D1128" s="2" t="n">
        <f aca="false">MONTH(C1128)</f>
        <v>8</v>
      </c>
      <c r="E1128" s="2" t="s">
        <v>77</v>
      </c>
      <c r="F1128" s="2" t="s">
        <v>69</v>
      </c>
      <c r="G1128" s="2" t="s">
        <v>70</v>
      </c>
      <c r="H1128" s="2" t="s">
        <v>71</v>
      </c>
      <c r="I1128" s="2" t="n">
        <v>3</v>
      </c>
      <c r="J1128" s="11" t="n">
        <v>2500</v>
      </c>
      <c r="K1128" s="12" t="n">
        <v>0.1</v>
      </c>
      <c r="L1128" s="11" t="n">
        <v>1600</v>
      </c>
      <c r="M1128" s="11" t="n">
        <f aca="false">I1128*J1128*(1-K1128)</f>
        <v>6750</v>
      </c>
      <c r="N1128" s="11" t="n">
        <f aca="false">M1128-I1128*L1128</f>
        <v>1950</v>
      </c>
    </row>
    <row r="1129" customFormat="false" ht="15" hidden="false" customHeight="false" outlineLevel="0" collapsed="false">
      <c r="A1129" s="2" t="s">
        <v>2152</v>
      </c>
      <c r="B1129" s="2" t="s">
        <v>2151</v>
      </c>
      <c r="C1129" s="10" t="n">
        <v>45878</v>
      </c>
      <c r="D1129" s="2" t="n">
        <f aca="false">MONTH(C1129)</f>
        <v>8</v>
      </c>
      <c r="E1129" s="2" t="s">
        <v>63</v>
      </c>
      <c r="F1129" s="2" t="s">
        <v>64</v>
      </c>
      <c r="G1129" s="2" t="s">
        <v>70</v>
      </c>
      <c r="H1129" s="2" t="s">
        <v>126</v>
      </c>
      <c r="I1129" s="2" t="n">
        <v>3</v>
      </c>
      <c r="J1129" s="11" t="n">
        <v>4500</v>
      </c>
      <c r="K1129" s="12" t="n">
        <v>0</v>
      </c>
      <c r="L1129" s="11" t="n">
        <v>3300</v>
      </c>
      <c r="M1129" s="11" t="n">
        <f aca="false">I1129*J1129*(1-K1129)</f>
        <v>13500</v>
      </c>
      <c r="N1129" s="11" t="n">
        <f aca="false">M1129-I1129*L1129</f>
        <v>3600</v>
      </c>
    </row>
    <row r="1130" customFormat="false" ht="15" hidden="false" customHeight="false" outlineLevel="0" collapsed="false">
      <c r="A1130" s="2" t="s">
        <v>2331</v>
      </c>
      <c r="B1130" s="2" t="s">
        <v>2332</v>
      </c>
      <c r="C1130" s="10" t="n">
        <v>45878</v>
      </c>
      <c r="D1130" s="2" t="n">
        <f aca="false">MONTH(C1130)</f>
        <v>8</v>
      </c>
      <c r="E1130" s="2" t="s">
        <v>63</v>
      </c>
      <c r="F1130" s="2" t="s">
        <v>64</v>
      </c>
      <c r="G1130" s="2" t="s">
        <v>65</v>
      </c>
      <c r="H1130" s="2" t="s">
        <v>78</v>
      </c>
      <c r="I1130" s="2" t="n">
        <v>3</v>
      </c>
      <c r="J1130" s="11" t="n">
        <v>400</v>
      </c>
      <c r="K1130" s="12" t="n">
        <v>0</v>
      </c>
      <c r="L1130" s="11" t="n">
        <v>200</v>
      </c>
      <c r="M1130" s="11" t="n">
        <f aca="false">I1130*J1130*(1-K1130)</f>
        <v>1200</v>
      </c>
      <c r="N1130" s="11" t="n">
        <f aca="false">M1130-I1130*L1130</f>
        <v>600</v>
      </c>
    </row>
    <row r="1131" customFormat="false" ht="15" hidden="false" customHeight="false" outlineLevel="0" collapsed="false">
      <c r="A1131" s="2" t="s">
        <v>2618</v>
      </c>
      <c r="B1131" s="2" t="s">
        <v>2619</v>
      </c>
      <c r="C1131" s="10" t="n">
        <v>45878</v>
      </c>
      <c r="D1131" s="2" t="n">
        <f aca="false">MONTH(C1131)</f>
        <v>8</v>
      </c>
      <c r="E1131" s="2" t="s">
        <v>77</v>
      </c>
      <c r="F1131" s="2" t="s">
        <v>64</v>
      </c>
      <c r="G1131" s="2" t="s">
        <v>65</v>
      </c>
      <c r="H1131" s="2" t="s">
        <v>66</v>
      </c>
      <c r="I1131" s="2" t="n">
        <v>8</v>
      </c>
      <c r="J1131" s="11" t="n">
        <v>600</v>
      </c>
      <c r="K1131" s="12" t="n">
        <v>0.1</v>
      </c>
      <c r="L1131" s="11" t="n">
        <v>300</v>
      </c>
      <c r="M1131" s="11" t="n">
        <f aca="false">I1131*J1131*(1-K1131)</f>
        <v>4320</v>
      </c>
      <c r="N1131" s="11" t="n">
        <f aca="false">M1131-I1131*L1131</f>
        <v>1920</v>
      </c>
    </row>
    <row r="1132" customFormat="false" ht="15" hidden="false" customHeight="false" outlineLevel="0" collapsed="false">
      <c r="A1132" s="2" t="s">
        <v>882</v>
      </c>
      <c r="B1132" s="2" t="s">
        <v>878</v>
      </c>
      <c r="C1132" s="10" t="n">
        <v>45879</v>
      </c>
      <c r="D1132" s="2" t="n">
        <f aca="false">MONTH(C1132)</f>
        <v>8</v>
      </c>
      <c r="E1132" s="2" t="s">
        <v>63</v>
      </c>
      <c r="F1132" s="2" t="s">
        <v>92</v>
      </c>
      <c r="G1132" s="2" t="s">
        <v>73</v>
      </c>
      <c r="H1132" s="2" t="s">
        <v>87</v>
      </c>
      <c r="I1132" s="2" t="n">
        <v>5</v>
      </c>
      <c r="J1132" s="11" t="n">
        <v>9000</v>
      </c>
      <c r="K1132" s="12" t="n">
        <v>0.05</v>
      </c>
      <c r="L1132" s="11" t="n">
        <v>6200</v>
      </c>
      <c r="M1132" s="11" t="n">
        <f aca="false">I1132*J1132*(1-K1132)</f>
        <v>42750</v>
      </c>
      <c r="N1132" s="11" t="n">
        <f aca="false">M1132-I1132*L1132</f>
        <v>11750</v>
      </c>
    </row>
    <row r="1133" customFormat="false" ht="15" hidden="false" customHeight="false" outlineLevel="0" collapsed="false">
      <c r="A1133" s="2" t="s">
        <v>1636</v>
      </c>
      <c r="B1133" s="2" t="s">
        <v>1633</v>
      </c>
      <c r="C1133" s="10" t="n">
        <v>45879</v>
      </c>
      <c r="D1133" s="2" t="n">
        <f aca="false">MONTH(C1133)</f>
        <v>8</v>
      </c>
      <c r="E1133" s="2" t="s">
        <v>63</v>
      </c>
      <c r="F1133" s="2" t="s">
        <v>92</v>
      </c>
      <c r="G1133" s="2" t="s">
        <v>73</v>
      </c>
      <c r="H1133" s="2" t="s">
        <v>74</v>
      </c>
      <c r="I1133" s="2" t="n">
        <v>5</v>
      </c>
      <c r="J1133" s="11" t="n">
        <v>7000</v>
      </c>
      <c r="K1133" s="12" t="n">
        <v>0</v>
      </c>
      <c r="L1133" s="11" t="n">
        <v>4800</v>
      </c>
      <c r="M1133" s="11" t="n">
        <f aca="false">I1133*J1133*(1-K1133)</f>
        <v>35000</v>
      </c>
      <c r="N1133" s="11" t="n">
        <f aca="false">M1133-I1133*L1133</f>
        <v>11000</v>
      </c>
    </row>
    <row r="1134" customFormat="false" ht="15" hidden="false" customHeight="false" outlineLevel="0" collapsed="false">
      <c r="A1134" s="2" t="s">
        <v>2214</v>
      </c>
      <c r="B1134" s="2" t="s">
        <v>2215</v>
      </c>
      <c r="C1134" s="10" t="n">
        <v>45879</v>
      </c>
      <c r="D1134" s="2" t="n">
        <f aca="false">MONTH(C1134)</f>
        <v>8</v>
      </c>
      <c r="E1134" s="2" t="s">
        <v>77</v>
      </c>
      <c r="F1134" s="2" t="s">
        <v>64</v>
      </c>
      <c r="G1134" s="2" t="s">
        <v>70</v>
      </c>
      <c r="H1134" s="2" t="s">
        <v>122</v>
      </c>
      <c r="I1134" s="2" t="n">
        <v>1</v>
      </c>
      <c r="J1134" s="11" t="n">
        <v>1500</v>
      </c>
      <c r="K1134" s="12" t="n">
        <v>0.05</v>
      </c>
      <c r="L1134" s="11" t="n">
        <v>900</v>
      </c>
      <c r="M1134" s="11" t="n">
        <f aca="false">I1134*J1134*(1-K1134)</f>
        <v>1425</v>
      </c>
      <c r="N1134" s="11" t="n">
        <f aca="false">M1134-I1134*L1134</f>
        <v>525</v>
      </c>
    </row>
    <row r="1135" customFormat="false" ht="15" hidden="false" customHeight="false" outlineLevel="0" collapsed="false">
      <c r="A1135" s="2" t="s">
        <v>2831</v>
      </c>
      <c r="B1135" s="2" t="s">
        <v>2827</v>
      </c>
      <c r="C1135" s="10" t="n">
        <v>45879</v>
      </c>
      <c r="D1135" s="2" t="n">
        <f aca="false">MONTH(C1135)</f>
        <v>8</v>
      </c>
      <c r="E1135" s="2" t="s">
        <v>77</v>
      </c>
      <c r="F1135" s="2" t="s">
        <v>64</v>
      </c>
      <c r="G1135" s="2" t="s">
        <v>65</v>
      </c>
      <c r="H1135" s="2" t="s">
        <v>107</v>
      </c>
      <c r="I1135" s="2" t="n">
        <v>7</v>
      </c>
      <c r="J1135" s="11" t="n">
        <v>500</v>
      </c>
      <c r="K1135" s="12" t="n">
        <v>0.1</v>
      </c>
      <c r="L1135" s="11" t="n">
        <v>250</v>
      </c>
      <c r="M1135" s="11" t="n">
        <f aca="false">I1135*J1135*(1-K1135)</f>
        <v>3150</v>
      </c>
      <c r="N1135" s="11" t="n">
        <f aca="false">M1135-I1135*L1135</f>
        <v>1400</v>
      </c>
    </row>
    <row r="1136" customFormat="false" ht="15" hidden="false" customHeight="false" outlineLevel="0" collapsed="false">
      <c r="A1136" s="2" t="s">
        <v>501</v>
      </c>
      <c r="B1136" s="2" t="s">
        <v>492</v>
      </c>
      <c r="C1136" s="10" t="n">
        <v>45880</v>
      </c>
      <c r="D1136" s="2" t="n">
        <f aca="false">MONTH(C1136)</f>
        <v>8</v>
      </c>
      <c r="E1136" s="2" t="s">
        <v>77</v>
      </c>
      <c r="F1136" s="2" t="s">
        <v>64</v>
      </c>
      <c r="G1136" s="2" t="s">
        <v>73</v>
      </c>
      <c r="H1136" s="2" t="s">
        <v>87</v>
      </c>
      <c r="I1136" s="2" t="n">
        <v>3</v>
      </c>
      <c r="J1136" s="11" t="n">
        <v>9000</v>
      </c>
      <c r="K1136" s="12" t="n">
        <v>0.05</v>
      </c>
      <c r="L1136" s="11" t="n">
        <v>6200</v>
      </c>
      <c r="M1136" s="11" t="n">
        <f aca="false">I1136*J1136*(1-K1136)</f>
        <v>25650</v>
      </c>
      <c r="N1136" s="11" t="n">
        <f aca="false">M1136-I1136*L1136</f>
        <v>7050</v>
      </c>
    </row>
    <row r="1137" customFormat="false" ht="15" hidden="false" customHeight="false" outlineLevel="0" collapsed="false">
      <c r="A1137" s="2" t="s">
        <v>1597</v>
      </c>
      <c r="B1137" s="2" t="s">
        <v>1598</v>
      </c>
      <c r="C1137" s="10" t="n">
        <v>45880</v>
      </c>
      <c r="D1137" s="2" t="n">
        <f aca="false">MONTH(C1137)</f>
        <v>8</v>
      </c>
      <c r="E1137" s="2" t="s">
        <v>77</v>
      </c>
      <c r="F1137" s="2" t="s">
        <v>64</v>
      </c>
      <c r="G1137" s="2" t="s">
        <v>65</v>
      </c>
      <c r="H1137" s="2" t="s">
        <v>82</v>
      </c>
      <c r="I1137" s="2" t="n">
        <v>6</v>
      </c>
      <c r="J1137" s="11" t="n">
        <v>250</v>
      </c>
      <c r="K1137" s="12" t="n">
        <v>0.05</v>
      </c>
      <c r="L1137" s="11" t="n">
        <v>100</v>
      </c>
      <c r="M1137" s="11" t="n">
        <f aca="false">I1137*J1137*(1-K1137)</f>
        <v>1425</v>
      </c>
      <c r="N1137" s="11" t="n">
        <f aca="false">M1137-I1137*L1137</f>
        <v>825</v>
      </c>
    </row>
    <row r="1138" customFormat="false" ht="15" hidden="false" customHeight="false" outlineLevel="0" collapsed="false">
      <c r="A1138" s="2" t="s">
        <v>2814</v>
      </c>
      <c r="B1138" s="2" t="s">
        <v>2815</v>
      </c>
      <c r="C1138" s="10" t="n">
        <v>45880</v>
      </c>
      <c r="D1138" s="2" t="n">
        <f aca="false">MONTH(C1138)</f>
        <v>8</v>
      </c>
      <c r="E1138" s="2" t="s">
        <v>63</v>
      </c>
      <c r="F1138" s="2" t="s">
        <v>69</v>
      </c>
      <c r="G1138" s="2" t="s">
        <v>70</v>
      </c>
      <c r="H1138" s="2" t="s">
        <v>97</v>
      </c>
      <c r="I1138" s="2" t="n">
        <v>3</v>
      </c>
      <c r="J1138" s="11" t="n">
        <v>3000</v>
      </c>
      <c r="K1138" s="12" t="n">
        <v>0</v>
      </c>
      <c r="L1138" s="11" t="n">
        <v>2000</v>
      </c>
      <c r="M1138" s="11" t="n">
        <f aca="false">I1138*J1138*(1-K1138)</f>
        <v>9000</v>
      </c>
      <c r="N1138" s="11" t="n">
        <f aca="false">M1138-I1138*L1138</f>
        <v>3000</v>
      </c>
    </row>
    <row r="1139" customFormat="false" ht="15" hidden="false" customHeight="false" outlineLevel="0" collapsed="false">
      <c r="A1139" s="2" t="s">
        <v>2842</v>
      </c>
      <c r="B1139" s="2" t="s">
        <v>2843</v>
      </c>
      <c r="C1139" s="10" t="n">
        <v>45880</v>
      </c>
      <c r="D1139" s="2" t="n">
        <f aca="false">MONTH(C1139)</f>
        <v>8</v>
      </c>
      <c r="E1139" s="2" t="s">
        <v>77</v>
      </c>
      <c r="F1139" s="2" t="s">
        <v>64</v>
      </c>
      <c r="G1139" s="2" t="s">
        <v>70</v>
      </c>
      <c r="H1139" s="2" t="s">
        <v>97</v>
      </c>
      <c r="I1139" s="2" t="n">
        <v>1</v>
      </c>
      <c r="J1139" s="11" t="n">
        <v>3000</v>
      </c>
      <c r="K1139" s="12" t="n">
        <v>0</v>
      </c>
      <c r="L1139" s="11" t="n">
        <v>2000</v>
      </c>
      <c r="M1139" s="11" t="n">
        <f aca="false">I1139*J1139*(1-K1139)</f>
        <v>3000</v>
      </c>
      <c r="N1139" s="11" t="n">
        <f aca="false">M1139-I1139*L1139</f>
        <v>1000</v>
      </c>
    </row>
    <row r="1140" customFormat="false" ht="15" hidden="false" customHeight="false" outlineLevel="0" collapsed="false">
      <c r="A1140" s="2" t="s">
        <v>86</v>
      </c>
      <c r="B1140" s="2" t="s">
        <v>80</v>
      </c>
      <c r="C1140" s="10" t="n">
        <v>45881</v>
      </c>
      <c r="D1140" s="2" t="n">
        <f aca="false">MONTH(C1140)</f>
        <v>8</v>
      </c>
      <c r="E1140" s="2" t="s">
        <v>81</v>
      </c>
      <c r="F1140" s="2" t="s">
        <v>69</v>
      </c>
      <c r="G1140" s="2" t="s">
        <v>73</v>
      </c>
      <c r="H1140" s="2" t="s">
        <v>87</v>
      </c>
      <c r="I1140" s="2" t="n">
        <v>5</v>
      </c>
      <c r="J1140" s="11" t="n">
        <v>9000</v>
      </c>
      <c r="K1140" s="12" t="n">
        <v>0</v>
      </c>
      <c r="L1140" s="11" t="n">
        <v>6200</v>
      </c>
      <c r="M1140" s="11" t="n">
        <f aca="false">I1140*J1140*(1-K1140)</f>
        <v>45000</v>
      </c>
      <c r="N1140" s="11" t="n">
        <f aca="false">M1140-I1140*L1140</f>
        <v>14000</v>
      </c>
    </row>
    <row r="1141" customFormat="false" ht="15" hidden="false" customHeight="false" outlineLevel="0" collapsed="false">
      <c r="A1141" s="2" t="s">
        <v>419</v>
      </c>
      <c r="B1141" s="2" t="s">
        <v>420</v>
      </c>
      <c r="C1141" s="10" t="n">
        <v>45881</v>
      </c>
      <c r="D1141" s="2" t="n">
        <f aca="false">MONTH(C1141)</f>
        <v>8</v>
      </c>
      <c r="E1141" s="2" t="s">
        <v>63</v>
      </c>
      <c r="F1141" s="2" t="s">
        <v>69</v>
      </c>
      <c r="G1141" s="2" t="s">
        <v>73</v>
      </c>
      <c r="H1141" s="2" t="s">
        <v>74</v>
      </c>
      <c r="I1141" s="2" t="n">
        <v>1</v>
      </c>
      <c r="J1141" s="11" t="n">
        <v>7000</v>
      </c>
      <c r="K1141" s="12" t="n">
        <v>0.1</v>
      </c>
      <c r="L1141" s="11" t="n">
        <v>4800</v>
      </c>
      <c r="M1141" s="11" t="n">
        <f aca="false">I1141*J1141*(1-K1141)</f>
        <v>6300</v>
      </c>
      <c r="N1141" s="11" t="n">
        <f aca="false">M1141-I1141*L1141</f>
        <v>1500</v>
      </c>
    </row>
    <row r="1142" customFormat="false" ht="15" hidden="false" customHeight="false" outlineLevel="0" collapsed="false">
      <c r="A1142" s="2" t="s">
        <v>1930</v>
      </c>
      <c r="B1142" s="2" t="s">
        <v>1931</v>
      </c>
      <c r="C1142" s="10" t="n">
        <v>45881</v>
      </c>
      <c r="D1142" s="2" t="n">
        <f aca="false">MONTH(C1142)</f>
        <v>8</v>
      </c>
      <c r="E1142" s="2" t="s">
        <v>77</v>
      </c>
      <c r="F1142" s="2" t="s">
        <v>69</v>
      </c>
      <c r="G1142" s="2" t="s">
        <v>73</v>
      </c>
      <c r="H1142" s="2" t="s">
        <v>74</v>
      </c>
      <c r="I1142" s="2" t="n">
        <v>4</v>
      </c>
      <c r="J1142" s="11" t="n">
        <v>7000</v>
      </c>
      <c r="K1142" s="12" t="n">
        <v>0.05</v>
      </c>
      <c r="L1142" s="11" t="n">
        <v>4800</v>
      </c>
      <c r="M1142" s="11" t="n">
        <f aca="false">I1142*J1142*(1-K1142)</f>
        <v>26600</v>
      </c>
      <c r="N1142" s="11" t="n">
        <f aca="false">M1142-I1142*L1142</f>
        <v>7400</v>
      </c>
    </row>
    <row r="1143" customFormat="false" ht="15" hidden="false" customHeight="false" outlineLevel="0" collapsed="false">
      <c r="A1143" s="2" t="s">
        <v>2233</v>
      </c>
      <c r="B1143" s="2" t="s">
        <v>2232</v>
      </c>
      <c r="C1143" s="10" t="n">
        <v>45881</v>
      </c>
      <c r="D1143" s="2" t="n">
        <f aca="false">MONTH(C1143)</f>
        <v>8</v>
      </c>
      <c r="E1143" s="2" t="s">
        <v>77</v>
      </c>
      <c r="F1143" s="2" t="s">
        <v>69</v>
      </c>
      <c r="G1143" s="2" t="s">
        <v>70</v>
      </c>
      <c r="H1143" s="2" t="s">
        <v>97</v>
      </c>
      <c r="I1143" s="2" t="n">
        <v>3</v>
      </c>
      <c r="J1143" s="11" t="n">
        <v>3000</v>
      </c>
      <c r="K1143" s="12" t="n">
        <v>0</v>
      </c>
      <c r="L1143" s="11" t="n">
        <v>2000</v>
      </c>
      <c r="M1143" s="11" t="n">
        <f aca="false">I1143*J1143*(1-K1143)</f>
        <v>9000</v>
      </c>
      <c r="N1143" s="11" t="n">
        <f aca="false">M1143-I1143*L1143</f>
        <v>3000</v>
      </c>
    </row>
    <row r="1144" customFormat="false" ht="15" hidden="false" customHeight="false" outlineLevel="0" collapsed="false">
      <c r="A1144" s="2" t="s">
        <v>2493</v>
      </c>
      <c r="B1144" s="2" t="s">
        <v>2486</v>
      </c>
      <c r="C1144" s="10" t="n">
        <v>45881</v>
      </c>
      <c r="D1144" s="2" t="n">
        <f aca="false">MONTH(C1144)</f>
        <v>8</v>
      </c>
      <c r="E1144" s="2" t="s">
        <v>63</v>
      </c>
      <c r="F1144" s="2" t="s">
        <v>64</v>
      </c>
      <c r="G1144" s="2" t="s">
        <v>73</v>
      </c>
      <c r="H1144" s="2" t="s">
        <v>87</v>
      </c>
      <c r="I1144" s="2" t="n">
        <v>2</v>
      </c>
      <c r="J1144" s="11" t="n">
        <v>9000</v>
      </c>
      <c r="K1144" s="12" t="n">
        <v>0.1</v>
      </c>
      <c r="L1144" s="11" t="n">
        <v>6200</v>
      </c>
      <c r="M1144" s="11" t="n">
        <f aca="false">I1144*J1144*(1-K1144)</f>
        <v>16200</v>
      </c>
      <c r="N1144" s="11" t="n">
        <f aca="false">M1144-I1144*L1144</f>
        <v>3800</v>
      </c>
    </row>
    <row r="1145" customFormat="false" ht="15" hidden="false" customHeight="false" outlineLevel="0" collapsed="false">
      <c r="A1145" s="2" t="s">
        <v>2508</v>
      </c>
      <c r="B1145" s="2" t="s">
        <v>2507</v>
      </c>
      <c r="C1145" s="10" t="n">
        <v>45881</v>
      </c>
      <c r="D1145" s="2" t="n">
        <f aca="false">MONTH(C1145)</f>
        <v>8</v>
      </c>
      <c r="E1145" s="2" t="s">
        <v>77</v>
      </c>
      <c r="F1145" s="2" t="s">
        <v>64</v>
      </c>
      <c r="G1145" s="2" t="s">
        <v>65</v>
      </c>
      <c r="H1145" s="2" t="s">
        <v>78</v>
      </c>
      <c r="I1145" s="2" t="n">
        <v>6</v>
      </c>
      <c r="J1145" s="11" t="n">
        <v>400</v>
      </c>
      <c r="K1145" s="12" t="n">
        <v>0.05</v>
      </c>
      <c r="L1145" s="11" t="n">
        <v>200</v>
      </c>
      <c r="M1145" s="11" t="n">
        <f aca="false">I1145*J1145*(1-K1145)</f>
        <v>2280</v>
      </c>
      <c r="N1145" s="11" t="n">
        <f aca="false">M1145-I1145*L1145</f>
        <v>1080</v>
      </c>
    </row>
    <row r="1146" customFormat="false" ht="15" hidden="false" customHeight="false" outlineLevel="0" collapsed="false">
      <c r="A1146" s="2" t="s">
        <v>877</v>
      </c>
      <c r="B1146" s="2" t="s">
        <v>878</v>
      </c>
      <c r="C1146" s="10" t="n">
        <v>45882</v>
      </c>
      <c r="D1146" s="2" t="n">
        <f aca="false">MONTH(C1146)</f>
        <v>8</v>
      </c>
      <c r="E1146" s="2" t="s">
        <v>63</v>
      </c>
      <c r="F1146" s="2" t="s">
        <v>92</v>
      </c>
      <c r="G1146" s="2" t="s">
        <v>73</v>
      </c>
      <c r="H1146" s="2" t="s">
        <v>87</v>
      </c>
      <c r="I1146" s="2" t="n">
        <v>7</v>
      </c>
      <c r="J1146" s="11" t="n">
        <v>9000</v>
      </c>
      <c r="K1146" s="12" t="n">
        <v>0.1</v>
      </c>
      <c r="L1146" s="11" t="n">
        <v>6200</v>
      </c>
      <c r="M1146" s="11" t="n">
        <f aca="false">I1146*J1146*(1-K1146)</f>
        <v>56700</v>
      </c>
      <c r="N1146" s="11" t="n">
        <f aca="false">M1146-I1146*L1146</f>
        <v>13300</v>
      </c>
    </row>
    <row r="1147" customFormat="false" ht="15" hidden="false" customHeight="false" outlineLevel="0" collapsed="false">
      <c r="A1147" s="2" t="s">
        <v>1279</v>
      </c>
      <c r="B1147" s="2" t="s">
        <v>1280</v>
      </c>
      <c r="C1147" s="10" t="n">
        <v>45882</v>
      </c>
      <c r="D1147" s="2" t="n">
        <f aca="false">MONTH(C1147)</f>
        <v>8</v>
      </c>
      <c r="E1147" s="2" t="s">
        <v>77</v>
      </c>
      <c r="F1147" s="2" t="s">
        <v>69</v>
      </c>
      <c r="G1147" s="2" t="s">
        <v>65</v>
      </c>
      <c r="H1147" s="2" t="s">
        <v>82</v>
      </c>
      <c r="I1147" s="2" t="n">
        <v>12</v>
      </c>
      <c r="J1147" s="11" t="n">
        <v>250</v>
      </c>
      <c r="K1147" s="12" t="n">
        <v>0</v>
      </c>
      <c r="L1147" s="11" t="n">
        <v>100</v>
      </c>
      <c r="M1147" s="11" t="n">
        <f aca="false">I1147*J1147*(1-K1147)</f>
        <v>3000</v>
      </c>
      <c r="N1147" s="11" t="n">
        <f aca="false">M1147-I1147*L1147</f>
        <v>1800</v>
      </c>
    </row>
    <row r="1148" customFormat="false" ht="15" hidden="false" customHeight="false" outlineLevel="0" collapsed="false">
      <c r="A1148" s="2" t="s">
        <v>1465</v>
      </c>
      <c r="B1148" s="2" t="s">
        <v>1461</v>
      </c>
      <c r="C1148" s="10" t="n">
        <v>45882</v>
      </c>
      <c r="D1148" s="2" t="n">
        <f aca="false">MONTH(C1148)</f>
        <v>8</v>
      </c>
      <c r="E1148" s="2" t="s">
        <v>77</v>
      </c>
      <c r="F1148" s="2" t="s">
        <v>69</v>
      </c>
      <c r="G1148" s="2" t="s">
        <v>73</v>
      </c>
      <c r="H1148" s="2" t="s">
        <v>87</v>
      </c>
      <c r="I1148" s="2" t="n">
        <v>3</v>
      </c>
      <c r="J1148" s="11" t="n">
        <v>9000</v>
      </c>
      <c r="K1148" s="12" t="n">
        <v>0</v>
      </c>
      <c r="L1148" s="11" t="n">
        <v>6200</v>
      </c>
      <c r="M1148" s="11" t="n">
        <f aca="false">I1148*J1148*(1-K1148)</f>
        <v>27000</v>
      </c>
      <c r="N1148" s="11" t="n">
        <f aca="false">M1148-I1148*L1148</f>
        <v>8400</v>
      </c>
    </row>
    <row r="1149" customFormat="false" ht="15" hidden="false" customHeight="false" outlineLevel="0" collapsed="false">
      <c r="A1149" s="2" t="s">
        <v>2148</v>
      </c>
      <c r="B1149" s="2" t="s">
        <v>2149</v>
      </c>
      <c r="C1149" s="10" t="n">
        <v>45882</v>
      </c>
      <c r="D1149" s="2" t="n">
        <f aca="false">MONTH(C1149)</f>
        <v>8</v>
      </c>
      <c r="E1149" s="2" t="s">
        <v>77</v>
      </c>
      <c r="F1149" s="2" t="s">
        <v>64</v>
      </c>
      <c r="G1149" s="2" t="s">
        <v>70</v>
      </c>
      <c r="H1149" s="2" t="s">
        <v>71</v>
      </c>
      <c r="I1149" s="2" t="n">
        <v>2</v>
      </c>
      <c r="J1149" s="11" t="n">
        <v>2500</v>
      </c>
      <c r="K1149" s="12" t="n">
        <v>0</v>
      </c>
      <c r="L1149" s="11" t="n">
        <v>1600</v>
      </c>
      <c r="M1149" s="11" t="n">
        <f aca="false">I1149*J1149*(1-K1149)</f>
        <v>5000</v>
      </c>
      <c r="N1149" s="11" t="n">
        <f aca="false">M1149-I1149*L1149</f>
        <v>1800</v>
      </c>
    </row>
    <row r="1150" customFormat="false" ht="15" hidden="false" customHeight="false" outlineLevel="0" collapsed="false">
      <c r="A1150" s="2" t="s">
        <v>2906</v>
      </c>
      <c r="B1150" s="2" t="s">
        <v>2907</v>
      </c>
      <c r="C1150" s="10" t="n">
        <v>45882</v>
      </c>
      <c r="D1150" s="2" t="n">
        <f aca="false">MONTH(C1150)</f>
        <v>8</v>
      </c>
      <c r="E1150" s="2" t="s">
        <v>81</v>
      </c>
      <c r="F1150" s="2" t="s">
        <v>64</v>
      </c>
      <c r="G1150" s="2" t="s">
        <v>70</v>
      </c>
      <c r="H1150" s="2" t="s">
        <v>126</v>
      </c>
      <c r="I1150" s="2" t="n">
        <v>3</v>
      </c>
      <c r="J1150" s="11" t="n">
        <v>4500</v>
      </c>
      <c r="K1150" s="12" t="n">
        <v>0</v>
      </c>
      <c r="L1150" s="11" t="n">
        <v>3300</v>
      </c>
      <c r="M1150" s="11" t="n">
        <f aca="false">I1150*J1150*(1-K1150)</f>
        <v>13500</v>
      </c>
      <c r="N1150" s="11" t="n">
        <f aca="false">M1150-I1150*L1150</f>
        <v>3600</v>
      </c>
    </row>
    <row r="1151" customFormat="false" ht="15" hidden="false" customHeight="false" outlineLevel="0" collapsed="false">
      <c r="A1151" s="2" t="s">
        <v>846</v>
      </c>
      <c r="B1151" s="2" t="s">
        <v>843</v>
      </c>
      <c r="C1151" s="10" t="n">
        <v>45883</v>
      </c>
      <c r="D1151" s="2" t="n">
        <f aca="false">MONTH(C1151)</f>
        <v>8</v>
      </c>
      <c r="E1151" s="2" t="s">
        <v>81</v>
      </c>
      <c r="F1151" s="2" t="s">
        <v>92</v>
      </c>
      <c r="G1151" s="2" t="s">
        <v>73</v>
      </c>
      <c r="H1151" s="2" t="s">
        <v>87</v>
      </c>
      <c r="I1151" s="2" t="n">
        <v>2</v>
      </c>
      <c r="J1151" s="11" t="n">
        <v>9000</v>
      </c>
      <c r="K1151" s="12" t="n">
        <v>0.1</v>
      </c>
      <c r="L1151" s="11" t="n">
        <v>6200</v>
      </c>
      <c r="M1151" s="11" t="n">
        <f aca="false">I1151*J1151*(1-K1151)</f>
        <v>16200</v>
      </c>
      <c r="N1151" s="11" t="n">
        <f aca="false">M1151-I1151*L1151</f>
        <v>3800</v>
      </c>
    </row>
    <row r="1152" customFormat="false" ht="15" hidden="false" customHeight="false" outlineLevel="0" collapsed="false">
      <c r="A1152" s="2" t="s">
        <v>1077</v>
      </c>
      <c r="B1152" s="2" t="s">
        <v>1071</v>
      </c>
      <c r="C1152" s="10" t="n">
        <v>45883</v>
      </c>
      <c r="D1152" s="2" t="n">
        <f aca="false">MONTH(C1152)</f>
        <v>8</v>
      </c>
      <c r="E1152" s="2" t="s">
        <v>77</v>
      </c>
      <c r="F1152" s="2" t="s">
        <v>92</v>
      </c>
      <c r="G1152" s="2" t="s">
        <v>73</v>
      </c>
      <c r="H1152" s="2" t="s">
        <v>74</v>
      </c>
      <c r="I1152" s="2" t="n">
        <v>8</v>
      </c>
      <c r="J1152" s="11" t="n">
        <v>7000</v>
      </c>
      <c r="K1152" s="12" t="n">
        <v>0.05</v>
      </c>
      <c r="L1152" s="11" t="n">
        <v>4800</v>
      </c>
      <c r="M1152" s="11" t="n">
        <f aca="false">I1152*J1152*(1-K1152)</f>
        <v>53200</v>
      </c>
      <c r="N1152" s="11" t="n">
        <f aca="false">M1152-I1152*L1152</f>
        <v>14800</v>
      </c>
    </row>
    <row r="1153" customFormat="false" ht="15" hidden="false" customHeight="false" outlineLevel="0" collapsed="false">
      <c r="A1153" s="2" t="s">
        <v>1838</v>
      </c>
      <c r="B1153" s="2" t="s">
        <v>1839</v>
      </c>
      <c r="C1153" s="10" t="n">
        <v>45883</v>
      </c>
      <c r="D1153" s="2" t="n">
        <f aca="false">MONTH(C1153)</f>
        <v>8</v>
      </c>
      <c r="E1153" s="2" t="s">
        <v>63</v>
      </c>
      <c r="F1153" s="2" t="s">
        <v>64</v>
      </c>
      <c r="G1153" s="2" t="s">
        <v>65</v>
      </c>
      <c r="H1153" s="2" t="s">
        <v>82</v>
      </c>
      <c r="I1153" s="2" t="n">
        <v>6</v>
      </c>
      <c r="J1153" s="11" t="n">
        <v>250</v>
      </c>
      <c r="K1153" s="12" t="n">
        <v>0</v>
      </c>
      <c r="L1153" s="11" t="n">
        <v>100</v>
      </c>
      <c r="M1153" s="11" t="n">
        <f aca="false">I1153*J1153*(1-K1153)</f>
        <v>1500</v>
      </c>
      <c r="N1153" s="11" t="n">
        <f aca="false">M1153-I1153*L1153</f>
        <v>900</v>
      </c>
    </row>
    <row r="1154" customFormat="false" ht="15" hidden="false" customHeight="false" outlineLevel="0" collapsed="false">
      <c r="A1154" s="2" t="s">
        <v>2067</v>
      </c>
      <c r="B1154" s="2" t="s">
        <v>2065</v>
      </c>
      <c r="C1154" s="10" t="n">
        <v>45883</v>
      </c>
      <c r="D1154" s="2" t="n">
        <f aca="false">MONTH(C1154)</f>
        <v>8</v>
      </c>
      <c r="E1154" s="2" t="s">
        <v>77</v>
      </c>
      <c r="F1154" s="2" t="s">
        <v>64</v>
      </c>
      <c r="G1154" s="2" t="s">
        <v>70</v>
      </c>
      <c r="H1154" s="2" t="s">
        <v>126</v>
      </c>
      <c r="I1154" s="2" t="n">
        <v>3</v>
      </c>
      <c r="J1154" s="11" t="n">
        <v>4500</v>
      </c>
      <c r="K1154" s="12" t="n">
        <v>0</v>
      </c>
      <c r="L1154" s="11" t="n">
        <v>3300</v>
      </c>
      <c r="M1154" s="11" t="n">
        <f aca="false">I1154*J1154*(1-K1154)</f>
        <v>13500</v>
      </c>
      <c r="N1154" s="11" t="n">
        <f aca="false">M1154-I1154*L1154</f>
        <v>3600</v>
      </c>
    </row>
    <row r="1155" customFormat="false" ht="15" hidden="false" customHeight="false" outlineLevel="0" collapsed="false">
      <c r="A1155" s="2" t="s">
        <v>2679</v>
      </c>
      <c r="B1155" s="2" t="s">
        <v>2678</v>
      </c>
      <c r="C1155" s="10" t="n">
        <v>45883</v>
      </c>
      <c r="D1155" s="2" t="n">
        <f aca="false">MONTH(C1155)</f>
        <v>8</v>
      </c>
      <c r="E1155" s="2" t="s">
        <v>77</v>
      </c>
      <c r="F1155" s="2" t="s">
        <v>64</v>
      </c>
      <c r="G1155" s="2" t="s">
        <v>65</v>
      </c>
      <c r="H1155" s="2" t="s">
        <v>82</v>
      </c>
      <c r="I1155" s="2" t="n">
        <v>8</v>
      </c>
      <c r="J1155" s="11" t="n">
        <v>250</v>
      </c>
      <c r="K1155" s="12" t="n">
        <v>0</v>
      </c>
      <c r="L1155" s="11" t="n">
        <v>100</v>
      </c>
      <c r="M1155" s="11" t="n">
        <f aca="false">I1155*J1155*(1-K1155)</f>
        <v>2000</v>
      </c>
      <c r="N1155" s="11" t="n">
        <f aca="false">M1155-I1155*L1155</f>
        <v>1200</v>
      </c>
    </row>
    <row r="1156" customFormat="false" ht="15" hidden="false" customHeight="false" outlineLevel="0" collapsed="false">
      <c r="A1156" s="2" t="s">
        <v>2810</v>
      </c>
      <c r="B1156" s="2" t="s">
        <v>2811</v>
      </c>
      <c r="C1156" s="10" t="n">
        <v>45883</v>
      </c>
      <c r="D1156" s="2" t="n">
        <f aca="false">MONTH(C1156)</f>
        <v>8</v>
      </c>
      <c r="E1156" s="2" t="s">
        <v>91</v>
      </c>
      <c r="F1156" s="2" t="s">
        <v>64</v>
      </c>
      <c r="G1156" s="2" t="s">
        <v>70</v>
      </c>
      <c r="H1156" s="2" t="s">
        <v>97</v>
      </c>
      <c r="I1156" s="2" t="n">
        <v>1</v>
      </c>
      <c r="J1156" s="11" t="n">
        <v>3000</v>
      </c>
      <c r="K1156" s="12" t="n">
        <v>0</v>
      </c>
      <c r="L1156" s="11" t="n">
        <v>2000</v>
      </c>
      <c r="M1156" s="11" t="n">
        <f aca="false">I1156*J1156*(1-K1156)</f>
        <v>3000</v>
      </c>
      <c r="N1156" s="11" t="n">
        <f aca="false">M1156-I1156*L1156</f>
        <v>1000</v>
      </c>
    </row>
    <row r="1157" customFormat="false" ht="15" hidden="false" customHeight="false" outlineLevel="0" collapsed="false">
      <c r="A1157" s="2" t="s">
        <v>2849</v>
      </c>
      <c r="B1157" s="2" t="s">
        <v>2846</v>
      </c>
      <c r="C1157" s="10" t="n">
        <v>45883</v>
      </c>
      <c r="D1157" s="2" t="n">
        <f aca="false">MONTH(C1157)</f>
        <v>8</v>
      </c>
      <c r="E1157" s="2" t="s">
        <v>63</v>
      </c>
      <c r="F1157" s="2" t="s">
        <v>69</v>
      </c>
      <c r="G1157" s="2" t="s">
        <v>73</v>
      </c>
      <c r="H1157" s="2" t="s">
        <v>104</v>
      </c>
      <c r="I1157" s="2" t="n">
        <v>5</v>
      </c>
      <c r="J1157" s="11" t="n">
        <v>5500</v>
      </c>
      <c r="K1157" s="12" t="n">
        <v>0</v>
      </c>
      <c r="L1157" s="11" t="n">
        <v>3600</v>
      </c>
      <c r="M1157" s="11" t="n">
        <f aca="false">I1157*J1157*(1-K1157)</f>
        <v>27500</v>
      </c>
      <c r="N1157" s="11" t="n">
        <f aca="false">M1157-I1157*L1157</f>
        <v>9500</v>
      </c>
    </row>
    <row r="1158" customFormat="false" ht="15" hidden="false" customHeight="false" outlineLevel="0" collapsed="false">
      <c r="A1158" s="2" t="s">
        <v>112</v>
      </c>
      <c r="B1158" s="2" t="s">
        <v>113</v>
      </c>
      <c r="C1158" s="10" t="n">
        <v>45884</v>
      </c>
      <c r="D1158" s="2" t="n">
        <f aca="false">MONTH(C1158)</f>
        <v>8</v>
      </c>
      <c r="E1158" s="2" t="s">
        <v>63</v>
      </c>
      <c r="F1158" s="2" t="s">
        <v>69</v>
      </c>
      <c r="G1158" s="2" t="s">
        <v>65</v>
      </c>
      <c r="H1158" s="2" t="s">
        <v>107</v>
      </c>
      <c r="I1158" s="2" t="n">
        <v>20</v>
      </c>
      <c r="J1158" s="11" t="n">
        <v>500</v>
      </c>
      <c r="K1158" s="12" t="n">
        <v>0</v>
      </c>
      <c r="L1158" s="11" t="n">
        <v>250</v>
      </c>
      <c r="M1158" s="11" t="n">
        <f aca="false">I1158*J1158*(1-K1158)</f>
        <v>10000</v>
      </c>
      <c r="N1158" s="11" t="n">
        <f aca="false">M1158-I1158*L1158</f>
        <v>5000</v>
      </c>
    </row>
    <row r="1159" customFormat="false" ht="15" hidden="false" customHeight="false" outlineLevel="0" collapsed="false">
      <c r="A1159" s="2" t="s">
        <v>652</v>
      </c>
      <c r="B1159" s="2" t="s">
        <v>649</v>
      </c>
      <c r="C1159" s="10" t="n">
        <v>45884</v>
      </c>
      <c r="D1159" s="2" t="n">
        <f aca="false">MONTH(C1159)</f>
        <v>8</v>
      </c>
      <c r="E1159" s="2" t="s">
        <v>91</v>
      </c>
      <c r="F1159" s="2" t="s">
        <v>92</v>
      </c>
      <c r="G1159" s="2" t="s">
        <v>70</v>
      </c>
      <c r="H1159" s="2" t="s">
        <v>71</v>
      </c>
      <c r="I1159" s="2" t="n">
        <v>5</v>
      </c>
      <c r="J1159" s="11" t="n">
        <v>2500</v>
      </c>
      <c r="K1159" s="12" t="n">
        <v>0.05</v>
      </c>
      <c r="L1159" s="11" t="n">
        <v>1600</v>
      </c>
      <c r="M1159" s="11" t="n">
        <f aca="false">I1159*J1159*(1-K1159)</f>
        <v>11875</v>
      </c>
      <c r="N1159" s="11" t="n">
        <f aca="false">M1159-I1159*L1159</f>
        <v>3875</v>
      </c>
    </row>
    <row r="1160" customFormat="false" ht="15" hidden="false" customHeight="false" outlineLevel="0" collapsed="false">
      <c r="A1160" s="2" t="s">
        <v>1068</v>
      </c>
      <c r="B1160" s="2" t="s">
        <v>1069</v>
      </c>
      <c r="C1160" s="10" t="n">
        <v>45884</v>
      </c>
      <c r="D1160" s="2" t="n">
        <f aca="false">MONTH(C1160)</f>
        <v>8</v>
      </c>
      <c r="E1160" s="2" t="s">
        <v>81</v>
      </c>
      <c r="F1160" s="2" t="s">
        <v>64</v>
      </c>
      <c r="G1160" s="2" t="s">
        <v>70</v>
      </c>
      <c r="H1160" s="2" t="s">
        <v>97</v>
      </c>
      <c r="I1160" s="2" t="n">
        <v>2</v>
      </c>
      <c r="J1160" s="11" t="n">
        <v>3000</v>
      </c>
      <c r="K1160" s="12" t="n">
        <v>0</v>
      </c>
      <c r="L1160" s="11" t="n">
        <v>2000</v>
      </c>
      <c r="M1160" s="11" t="n">
        <f aca="false">I1160*J1160*(1-K1160)</f>
        <v>6000</v>
      </c>
      <c r="N1160" s="11" t="n">
        <f aca="false">M1160-I1160*L1160</f>
        <v>2000</v>
      </c>
    </row>
    <row r="1161" customFormat="false" ht="15" hidden="false" customHeight="false" outlineLevel="0" collapsed="false">
      <c r="A1161" s="2" t="s">
        <v>1250</v>
      </c>
      <c r="B1161" s="2" t="s">
        <v>1249</v>
      </c>
      <c r="C1161" s="10" t="n">
        <v>45884</v>
      </c>
      <c r="D1161" s="2" t="n">
        <f aca="false">MONTH(C1161)</f>
        <v>8</v>
      </c>
      <c r="E1161" s="2" t="s">
        <v>81</v>
      </c>
      <c r="F1161" s="2" t="s">
        <v>69</v>
      </c>
      <c r="G1161" s="2" t="s">
        <v>65</v>
      </c>
      <c r="H1161" s="2" t="s">
        <v>82</v>
      </c>
      <c r="I1161" s="2" t="n">
        <v>19</v>
      </c>
      <c r="J1161" s="11" t="n">
        <v>250</v>
      </c>
      <c r="K1161" s="12" t="n">
        <v>0.1</v>
      </c>
      <c r="L1161" s="11" t="n">
        <v>100</v>
      </c>
      <c r="M1161" s="11" t="n">
        <f aca="false">I1161*J1161*(1-K1161)</f>
        <v>4275</v>
      </c>
      <c r="N1161" s="11" t="n">
        <f aca="false">M1161-I1161*L1161</f>
        <v>2375</v>
      </c>
    </row>
    <row r="1162" customFormat="false" ht="15" hidden="false" customHeight="false" outlineLevel="0" collapsed="false">
      <c r="A1162" s="2" t="s">
        <v>1547</v>
      </c>
      <c r="B1162" s="2" t="s">
        <v>1546</v>
      </c>
      <c r="C1162" s="10" t="n">
        <v>45884</v>
      </c>
      <c r="D1162" s="2" t="n">
        <f aca="false">MONTH(C1162)</f>
        <v>8</v>
      </c>
      <c r="E1162" s="2" t="s">
        <v>77</v>
      </c>
      <c r="F1162" s="2" t="s">
        <v>92</v>
      </c>
      <c r="G1162" s="2" t="s">
        <v>73</v>
      </c>
      <c r="H1162" s="2" t="s">
        <v>74</v>
      </c>
      <c r="I1162" s="2" t="n">
        <v>3</v>
      </c>
      <c r="J1162" s="11" t="n">
        <v>7000</v>
      </c>
      <c r="K1162" s="12" t="n">
        <v>0.1</v>
      </c>
      <c r="L1162" s="11" t="n">
        <v>4800</v>
      </c>
      <c r="M1162" s="11" t="n">
        <f aca="false">I1162*J1162*(1-K1162)</f>
        <v>18900</v>
      </c>
      <c r="N1162" s="11" t="n">
        <f aca="false">M1162-I1162*L1162</f>
        <v>4500</v>
      </c>
    </row>
    <row r="1163" customFormat="false" ht="15" hidden="false" customHeight="false" outlineLevel="0" collapsed="false">
      <c r="A1163" s="2" t="s">
        <v>1697</v>
      </c>
      <c r="B1163" s="2" t="s">
        <v>1698</v>
      </c>
      <c r="C1163" s="10" t="n">
        <v>45884</v>
      </c>
      <c r="D1163" s="2" t="n">
        <f aca="false">MONTH(C1163)</f>
        <v>8</v>
      </c>
      <c r="E1163" s="2" t="s">
        <v>63</v>
      </c>
      <c r="F1163" s="2" t="s">
        <v>64</v>
      </c>
      <c r="G1163" s="2" t="s">
        <v>73</v>
      </c>
      <c r="H1163" s="2" t="s">
        <v>104</v>
      </c>
      <c r="I1163" s="2" t="n">
        <v>3</v>
      </c>
      <c r="J1163" s="11" t="n">
        <v>5500</v>
      </c>
      <c r="K1163" s="12" t="n">
        <v>0.1</v>
      </c>
      <c r="L1163" s="11" t="n">
        <v>3600</v>
      </c>
      <c r="M1163" s="11" t="n">
        <f aca="false">I1163*J1163*(1-K1163)</f>
        <v>14850</v>
      </c>
      <c r="N1163" s="11" t="n">
        <f aca="false">M1163-I1163*L1163</f>
        <v>4050</v>
      </c>
    </row>
    <row r="1164" customFormat="false" ht="15" hidden="false" customHeight="false" outlineLevel="0" collapsed="false">
      <c r="A1164" s="2" t="s">
        <v>1812</v>
      </c>
      <c r="B1164" s="2" t="s">
        <v>1813</v>
      </c>
      <c r="C1164" s="10" t="n">
        <v>45884</v>
      </c>
      <c r="D1164" s="2" t="n">
        <f aca="false">MONTH(C1164)</f>
        <v>8</v>
      </c>
      <c r="E1164" s="2" t="s">
        <v>63</v>
      </c>
      <c r="F1164" s="2" t="s">
        <v>64</v>
      </c>
      <c r="G1164" s="2" t="s">
        <v>70</v>
      </c>
      <c r="H1164" s="2" t="s">
        <v>97</v>
      </c>
      <c r="I1164" s="2" t="n">
        <v>1</v>
      </c>
      <c r="J1164" s="11" t="n">
        <v>3000</v>
      </c>
      <c r="K1164" s="12" t="n">
        <v>0</v>
      </c>
      <c r="L1164" s="11" t="n">
        <v>2000</v>
      </c>
      <c r="M1164" s="11" t="n">
        <f aca="false">I1164*J1164*(1-K1164)</f>
        <v>3000</v>
      </c>
      <c r="N1164" s="11" t="n">
        <f aca="false">M1164-I1164*L1164</f>
        <v>1000</v>
      </c>
    </row>
    <row r="1165" customFormat="false" ht="15" hidden="false" customHeight="false" outlineLevel="0" collapsed="false">
      <c r="A1165" s="2" t="s">
        <v>1113</v>
      </c>
      <c r="B1165" s="2" t="s">
        <v>1108</v>
      </c>
      <c r="C1165" s="10" t="n">
        <v>45885</v>
      </c>
      <c r="D1165" s="2" t="n">
        <f aca="false">MONTH(C1165)</f>
        <v>8</v>
      </c>
      <c r="E1165" s="2" t="s">
        <v>77</v>
      </c>
      <c r="F1165" s="2" t="s">
        <v>64</v>
      </c>
      <c r="G1165" s="2" t="s">
        <v>65</v>
      </c>
      <c r="H1165" s="2" t="s">
        <v>66</v>
      </c>
      <c r="I1165" s="2" t="n">
        <v>6</v>
      </c>
      <c r="J1165" s="11" t="n">
        <v>600</v>
      </c>
      <c r="K1165" s="12" t="n">
        <v>0</v>
      </c>
      <c r="L1165" s="11" t="n">
        <v>300</v>
      </c>
      <c r="M1165" s="11" t="n">
        <f aca="false">I1165*J1165*(1-K1165)</f>
        <v>3600</v>
      </c>
      <c r="N1165" s="11" t="n">
        <f aca="false">M1165-I1165*L1165</f>
        <v>1800</v>
      </c>
    </row>
    <row r="1166" customFormat="false" ht="15" hidden="false" customHeight="false" outlineLevel="0" collapsed="false">
      <c r="A1166" s="2" t="s">
        <v>1136</v>
      </c>
      <c r="B1166" s="2" t="s">
        <v>1137</v>
      </c>
      <c r="C1166" s="10" t="n">
        <v>45885</v>
      </c>
      <c r="D1166" s="2" t="n">
        <f aca="false">MONTH(C1166)</f>
        <v>8</v>
      </c>
      <c r="E1166" s="2" t="s">
        <v>77</v>
      </c>
      <c r="F1166" s="2" t="s">
        <v>64</v>
      </c>
      <c r="G1166" s="2" t="s">
        <v>70</v>
      </c>
      <c r="H1166" s="2" t="s">
        <v>126</v>
      </c>
      <c r="I1166" s="2" t="n">
        <v>1</v>
      </c>
      <c r="J1166" s="11" t="n">
        <v>4500</v>
      </c>
      <c r="K1166" s="12" t="n">
        <v>0</v>
      </c>
      <c r="L1166" s="11" t="n">
        <v>3300</v>
      </c>
      <c r="M1166" s="11" t="n">
        <f aca="false">I1166*J1166*(1-K1166)</f>
        <v>4500</v>
      </c>
      <c r="N1166" s="11" t="n">
        <f aca="false">M1166-I1166*L1166</f>
        <v>1200</v>
      </c>
    </row>
    <row r="1167" customFormat="false" ht="15" hidden="false" customHeight="false" outlineLevel="0" collapsed="false">
      <c r="A1167" s="2" t="s">
        <v>1717</v>
      </c>
      <c r="B1167" s="2" t="s">
        <v>1712</v>
      </c>
      <c r="C1167" s="10" t="n">
        <v>45885</v>
      </c>
      <c r="D1167" s="2" t="n">
        <f aca="false">MONTH(C1167)</f>
        <v>8</v>
      </c>
      <c r="E1167" s="2" t="s">
        <v>81</v>
      </c>
      <c r="F1167" s="2" t="s">
        <v>64</v>
      </c>
      <c r="G1167" s="2" t="s">
        <v>65</v>
      </c>
      <c r="H1167" s="2" t="s">
        <v>66</v>
      </c>
      <c r="I1167" s="2" t="n">
        <v>8</v>
      </c>
      <c r="J1167" s="11" t="n">
        <v>600</v>
      </c>
      <c r="K1167" s="12" t="n">
        <v>0</v>
      </c>
      <c r="L1167" s="11" t="n">
        <v>300</v>
      </c>
      <c r="M1167" s="11" t="n">
        <f aca="false">I1167*J1167*(1-K1167)</f>
        <v>4800</v>
      </c>
      <c r="N1167" s="11" t="n">
        <f aca="false">M1167-I1167*L1167</f>
        <v>2400</v>
      </c>
    </row>
    <row r="1168" customFormat="false" ht="15" hidden="false" customHeight="false" outlineLevel="0" collapsed="false">
      <c r="A1168" s="2" t="s">
        <v>2269</v>
      </c>
      <c r="B1168" s="2" t="s">
        <v>2268</v>
      </c>
      <c r="C1168" s="10" t="n">
        <v>45885</v>
      </c>
      <c r="D1168" s="2" t="n">
        <f aca="false">MONTH(C1168)</f>
        <v>8</v>
      </c>
      <c r="E1168" s="2" t="s">
        <v>81</v>
      </c>
      <c r="F1168" s="2" t="s">
        <v>92</v>
      </c>
      <c r="G1168" s="2" t="s">
        <v>70</v>
      </c>
      <c r="H1168" s="2" t="s">
        <v>97</v>
      </c>
      <c r="I1168" s="2" t="n">
        <v>6</v>
      </c>
      <c r="J1168" s="11" t="n">
        <v>3000</v>
      </c>
      <c r="K1168" s="12" t="n">
        <v>0.15</v>
      </c>
      <c r="L1168" s="11" t="n">
        <v>2000</v>
      </c>
      <c r="M1168" s="11" t="n">
        <f aca="false">I1168*J1168*(1-K1168)</f>
        <v>15300</v>
      </c>
      <c r="N1168" s="11" t="n">
        <f aca="false">M1168-I1168*L1168</f>
        <v>3300</v>
      </c>
    </row>
    <row r="1169" customFormat="false" ht="15" hidden="false" customHeight="false" outlineLevel="0" collapsed="false">
      <c r="A1169" s="2" t="s">
        <v>2895</v>
      </c>
      <c r="B1169" s="2" t="s">
        <v>2893</v>
      </c>
      <c r="C1169" s="10" t="n">
        <v>45885</v>
      </c>
      <c r="D1169" s="2" t="n">
        <f aca="false">MONTH(C1169)</f>
        <v>8</v>
      </c>
      <c r="E1169" s="2" t="s">
        <v>81</v>
      </c>
      <c r="F1169" s="2" t="s">
        <v>64</v>
      </c>
      <c r="G1169" s="2" t="s">
        <v>70</v>
      </c>
      <c r="H1169" s="2" t="s">
        <v>97</v>
      </c>
      <c r="I1169" s="2" t="n">
        <v>2</v>
      </c>
      <c r="J1169" s="11" t="n">
        <v>3000</v>
      </c>
      <c r="K1169" s="12" t="n">
        <v>0.1</v>
      </c>
      <c r="L1169" s="11" t="n">
        <v>2000</v>
      </c>
      <c r="M1169" s="11" t="n">
        <f aca="false">I1169*J1169*(1-K1169)</f>
        <v>5400</v>
      </c>
      <c r="N1169" s="11" t="n">
        <f aca="false">M1169-I1169*L1169</f>
        <v>1400</v>
      </c>
    </row>
    <row r="1170" customFormat="false" ht="15" hidden="false" customHeight="false" outlineLevel="0" collapsed="false">
      <c r="A1170" s="2" t="s">
        <v>280</v>
      </c>
      <c r="B1170" s="2" t="s">
        <v>281</v>
      </c>
      <c r="C1170" s="10" t="n">
        <v>45886</v>
      </c>
      <c r="D1170" s="2" t="n">
        <f aca="false">MONTH(C1170)</f>
        <v>8</v>
      </c>
      <c r="E1170" s="2" t="s">
        <v>77</v>
      </c>
      <c r="F1170" s="2" t="s">
        <v>69</v>
      </c>
      <c r="G1170" s="2" t="s">
        <v>73</v>
      </c>
      <c r="H1170" s="2" t="s">
        <v>104</v>
      </c>
      <c r="I1170" s="2" t="n">
        <v>3</v>
      </c>
      <c r="J1170" s="11" t="n">
        <v>5500</v>
      </c>
      <c r="K1170" s="12" t="n">
        <v>0.1</v>
      </c>
      <c r="L1170" s="11" t="n">
        <v>3600</v>
      </c>
      <c r="M1170" s="11" t="n">
        <f aca="false">I1170*J1170*(1-K1170)</f>
        <v>14850</v>
      </c>
      <c r="N1170" s="11" t="n">
        <f aca="false">M1170-I1170*L1170</f>
        <v>4050</v>
      </c>
    </row>
    <row r="1171" customFormat="false" ht="15" hidden="false" customHeight="false" outlineLevel="0" collapsed="false">
      <c r="A1171" s="2" t="s">
        <v>480</v>
      </c>
      <c r="B1171" s="2" t="s">
        <v>479</v>
      </c>
      <c r="C1171" s="10" t="n">
        <v>45886</v>
      </c>
      <c r="D1171" s="2" t="n">
        <f aca="false">MONTH(C1171)</f>
        <v>8</v>
      </c>
      <c r="E1171" s="2" t="s">
        <v>77</v>
      </c>
      <c r="F1171" s="2" t="s">
        <v>69</v>
      </c>
      <c r="G1171" s="2" t="s">
        <v>65</v>
      </c>
      <c r="H1171" s="2" t="s">
        <v>82</v>
      </c>
      <c r="I1171" s="2" t="n">
        <v>13</v>
      </c>
      <c r="J1171" s="11" t="n">
        <v>250</v>
      </c>
      <c r="K1171" s="12" t="n">
        <v>0.1</v>
      </c>
      <c r="L1171" s="11" t="n">
        <v>100</v>
      </c>
      <c r="M1171" s="11" t="n">
        <f aca="false">I1171*J1171*(1-K1171)</f>
        <v>2925</v>
      </c>
      <c r="N1171" s="11" t="n">
        <f aca="false">M1171-I1171*L1171</f>
        <v>1625</v>
      </c>
    </row>
    <row r="1172" customFormat="false" ht="15" hidden="false" customHeight="false" outlineLevel="0" collapsed="false">
      <c r="A1172" s="2" t="s">
        <v>506</v>
      </c>
      <c r="B1172" s="2" t="s">
        <v>507</v>
      </c>
      <c r="C1172" s="10" t="n">
        <v>45886</v>
      </c>
      <c r="D1172" s="2" t="n">
        <f aca="false">MONTH(C1172)</f>
        <v>8</v>
      </c>
      <c r="E1172" s="2" t="s">
        <v>91</v>
      </c>
      <c r="F1172" s="2" t="s">
        <v>64</v>
      </c>
      <c r="G1172" s="2" t="s">
        <v>70</v>
      </c>
      <c r="H1172" s="2" t="s">
        <v>97</v>
      </c>
      <c r="I1172" s="2" t="n">
        <v>1</v>
      </c>
      <c r="J1172" s="11" t="n">
        <v>3000</v>
      </c>
      <c r="K1172" s="12" t="n">
        <v>0.05</v>
      </c>
      <c r="L1172" s="11" t="n">
        <v>2000</v>
      </c>
      <c r="M1172" s="11" t="n">
        <f aca="false">I1172*J1172*(1-K1172)</f>
        <v>2850</v>
      </c>
      <c r="N1172" s="11" t="n">
        <f aca="false">M1172-I1172*L1172</f>
        <v>850</v>
      </c>
    </row>
    <row r="1173" customFormat="false" ht="15" hidden="false" customHeight="false" outlineLevel="0" collapsed="false">
      <c r="A1173" s="2" t="s">
        <v>2101</v>
      </c>
      <c r="B1173" s="2" t="s">
        <v>2098</v>
      </c>
      <c r="C1173" s="10" t="n">
        <v>45886</v>
      </c>
      <c r="D1173" s="2" t="n">
        <f aca="false">MONTH(C1173)</f>
        <v>8</v>
      </c>
      <c r="E1173" s="2" t="s">
        <v>91</v>
      </c>
      <c r="F1173" s="2" t="s">
        <v>92</v>
      </c>
      <c r="G1173" s="2" t="s">
        <v>73</v>
      </c>
      <c r="H1173" s="2" t="s">
        <v>85</v>
      </c>
      <c r="I1173" s="2" t="n">
        <v>3</v>
      </c>
      <c r="J1173" s="11" t="n">
        <v>1200</v>
      </c>
      <c r="K1173" s="12" t="n">
        <v>0.1</v>
      </c>
      <c r="L1173" s="11" t="n">
        <v>600</v>
      </c>
      <c r="M1173" s="11" t="n">
        <f aca="false">I1173*J1173*(1-K1173)</f>
        <v>3240</v>
      </c>
      <c r="N1173" s="11" t="n">
        <f aca="false">M1173-I1173*L1173</f>
        <v>1440</v>
      </c>
    </row>
    <row r="1174" customFormat="false" ht="15" hidden="false" customHeight="false" outlineLevel="0" collapsed="false">
      <c r="A1174" s="2" t="s">
        <v>2300</v>
      </c>
      <c r="B1174" s="2" t="s">
        <v>2299</v>
      </c>
      <c r="C1174" s="10" t="n">
        <v>45886</v>
      </c>
      <c r="D1174" s="2" t="n">
        <f aca="false">MONTH(C1174)</f>
        <v>8</v>
      </c>
      <c r="E1174" s="2" t="s">
        <v>63</v>
      </c>
      <c r="F1174" s="2" t="s">
        <v>64</v>
      </c>
      <c r="G1174" s="2" t="s">
        <v>65</v>
      </c>
      <c r="H1174" s="2" t="s">
        <v>78</v>
      </c>
      <c r="I1174" s="2" t="n">
        <v>4</v>
      </c>
      <c r="J1174" s="11" t="n">
        <v>400</v>
      </c>
      <c r="K1174" s="12" t="n">
        <v>0</v>
      </c>
      <c r="L1174" s="11" t="n">
        <v>200</v>
      </c>
      <c r="M1174" s="11" t="n">
        <f aca="false">I1174*J1174*(1-K1174)</f>
        <v>1600</v>
      </c>
      <c r="N1174" s="11" t="n">
        <f aca="false">M1174-I1174*L1174</f>
        <v>800</v>
      </c>
    </row>
    <row r="1175" customFormat="false" ht="15" hidden="false" customHeight="false" outlineLevel="0" collapsed="false">
      <c r="A1175" s="2" t="s">
        <v>2448</v>
      </c>
      <c r="B1175" s="2" t="s">
        <v>2449</v>
      </c>
      <c r="C1175" s="10" t="n">
        <v>45886</v>
      </c>
      <c r="D1175" s="2" t="n">
        <f aca="false">MONTH(C1175)</f>
        <v>8</v>
      </c>
      <c r="E1175" s="2" t="s">
        <v>63</v>
      </c>
      <c r="F1175" s="2" t="s">
        <v>69</v>
      </c>
      <c r="G1175" s="2" t="s">
        <v>73</v>
      </c>
      <c r="H1175" s="2" t="s">
        <v>85</v>
      </c>
      <c r="I1175" s="2" t="n">
        <v>1</v>
      </c>
      <c r="J1175" s="11" t="n">
        <v>1200</v>
      </c>
      <c r="K1175" s="12" t="n">
        <v>0.1</v>
      </c>
      <c r="L1175" s="11" t="n">
        <v>600</v>
      </c>
      <c r="M1175" s="11" t="n">
        <f aca="false">I1175*J1175*(1-K1175)</f>
        <v>1080</v>
      </c>
      <c r="N1175" s="11" t="n">
        <f aca="false">M1175-I1175*L1175</f>
        <v>480</v>
      </c>
    </row>
    <row r="1176" customFormat="false" ht="15" hidden="false" customHeight="false" outlineLevel="0" collapsed="false">
      <c r="A1176" s="2" t="s">
        <v>2696</v>
      </c>
      <c r="B1176" s="2" t="s">
        <v>2697</v>
      </c>
      <c r="C1176" s="10" t="n">
        <v>45886</v>
      </c>
      <c r="D1176" s="2" t="n">
        <f aca="false">MONTH(C1176)</f>
        <v>8</v>
      </c>
      <c r="E1176" s="2" t="s">
        <v>77</v>
      </c>
      <c r="F1176" s="2" t="s">
        <v>64</v>
      </c>
      <c r="G1176" s="2" t="s">
        <v>65</v>
      </c>
      <c r="H1176" s="2" t="s">
        <v>66</v>
      </c>
      <c r="I1176" s="2" t="n">
        <v>5</v>
      </c>
      <c r="J1176" s="11" t="n">
        <v>600</v>
      </c>
      <c r="K1176" s="12" t="n">
        <v>0.05</v>
      </c>
      <c r="L1176" s="11" t="n">
        <v>300</v>
      </c>
      <c r="M1176" s="11" t="n">
        <f aca="false">I1176*J1176*(1-K1176)</f>
        <v>2850</v>
      </c>
      <c r="N1176" s="11" t="n">
        <f aca="false">M1176-I1176*L1176</f>
        <v>1350</v>
      </c>
    </row>
    <row r="1177" customFormat="false" ht="15" hidden="false" customHeight="false" outlineLevel="0" collapsed="false">
      <c r="A1177" s="2" t="s">
        <v>119</v>
      </c>
      <c r="B1177" s="2" t="s">
        <v>120</v>
      </c>
      <c r="C1177" s="10" t="n">
        <v>45887</v>
      </c>
      <c r="D1177" s="2" t="n">
        <f aca="false">MONTH(C1177)</f>
        <v>8</v>
      </c>
      <c r="E1177" s="2" t="s">
        <v>81</v>
      </c>
      <c r="F1177" s="2" t="s">
        <v>64</v>
      </c>
      <c r="G1177" s="2" t="s">
        <v>73</v>
      </c>
      <c r="H1177" s="2" t="s">
        <v>104</v>
      </c>
      <c r="I1177" s="2" t="n">
        <v>2</v>
      </c>
      <c r="J1177" s="11" t="n">
        <v>5500</v>
      </c>
      <c r="K1177" s="12" t="n">
        <v>0.05</v>
      </c>
      <c r="L1177" s="11" t="n">
        <v>3600</v>
      </c>
      <c r="M1177" s="11" t="n">
        <f aca="false">I1177*J1177*(1-K1177)</f>
        <v>10450</v>
      </c>
      <c r="N1177" s="11" t="n">
        <f aca="false">M1177-I1177*L1177</f>
        <v>3250</v>
      </c>
    </row>
    <row r="1178" customFormat="false" ht="15" hidden="false" customHeight="false" outlineLevel="0" collapsed="false">
      <c r="A1178" s="2" t="s">
        <v>269</v>
      </c>
      <c r="B1178" s="2" t="s">
        <v>267</v>
      </c>
      <c r="C1178" s="10" t="n">
        <v>45887</v>
      </c>
      <c r="D1178" s="2" t="n">
        <f aca="false">MONTH(C1178)</f>
        <v>8</v>
      </c>
      <c r="E1178" s="2" t="s">
        <v>63</v>
      </c>
      <c r="F1178" s="2" t="s">
        <v>92</v>
      </c>
      <c r="G1178" s="2" t="s">
        <v>73</v>
      </c>
      <c r="H1178" s="2" t="s">
        <v>87</v>
      </c>
      <c r="I1178" s="2" t="n">
        <v>6</v>
      </c>
      <c r="J1178" s="11" t="n">
        <v>9000</v>
      </c>
      <c r="K1178" s="12" t="n">
        <v>0.15</v>
      </c>
      <c r="L1178" s="11" t="n">
        <v>6200</v>
      </c>
      <c r="M1178" s="11" t="n">
        <f aca="false">I1178*J1178*(1-K1178)</f>
        <v>45900</v>
      </c>
      <c r="N1178" s="11" t="n">
        <f aca="false">M1178-I1178*L1178</f>
        <v>8700</v>
      </c>
    </row>
    <row r="1179" customFormat="false" ht="15" hidden="false" customHeight="false" outlineLevel="0" collapsed="false">
      <c r="A1179" s="2" t="s">
        <v>1299</v>
      </c>
      <c r="B1179" s="2" t="s">
        <v>1300</v>
      </c>
      <c r="C1179" s="10" t="n">
        <v>45887</v>
      </c>
      <c r="D1179" s="2" t="n">
        <f aca="false">MONTH(C1179)</f>
        <v>8</v>
      </c>
      <c r="E1179" s="2" t="s">
        <v>77</v>
      </c>
      <c r="F1179" s="2" t="s">
        <v>92</v>
      </c>
      <c r="G1179" s="2" t="s">
        <v>73</v>
      </c>
      <c r="H1179" s="2" t="s">
        <v>85</v>
      </c>
      <c r="I1179" s="2" t="n">
        <v>8</v>
      </c>
      <c r="J1179" s="11" t="n">
        <v>1200</v>
      </c>
      <c r="K1179" s="12" t="n">
        <v>0</v>
      </c>
      <c r="L1179" s="11" t="n">
        <v>600</v>
      </c>
      <c r="M1179" s="11" t="n">
        <f aca="false">I1179*J1179*(1-K1179)</f>
        <v>9600</v>
      </c>
      <c r="N1179" s="11" t="n">
        <f aca="false">M1179-I1179*L1179</f>
        <v>4800</v>
      </c>
    </row>
    <row r="1180" customFormat="false" ht="15" hidden="false" customHeight="false" outlineLevel="0" collapsed="false">
      <c r="A1180" s="2" t="s">
        <v>2210</v>
      </c>
      <c r="B1180" s="2" t="s">
        <v>2209</v>
      </c>
      <c r="C1180" s="10" t="n">
        <v>45887</v>
      </c>
      <c r="D1180" s="2" t="n">
        <f aca="false">MONTH(C1180)</f>
        <v>8</v>
      </c>
      <c r="E1180" s="2" t="s">
        <v>77</v>
      </c>
      <c r="F1180" s="2" t="s">
        <v>92</v>
      </c>
      <c r="G1180" s="2" t="s">
        <v>73</v>
      </c>
      <c r="H1180" s="2" t="s">
        <v>85</v>
      </c>
      <c r="I1180" s="2" t="n">
        <v>4</v>
      </c>
      <c r="J1180" s="11" t="n">
        <v>1200</v>
      </c>
      <c r="K1180" s="12" t="n">
        <v>0.05</v>
      </c>
      <c r="L1180" s="11" t="n">
        <v>600</v>
      </c>
      <c r="M1180" s="11" t="n">
        <f aca="false">I1180*J1180*(1-K1180)</f>
        <v>4560</v>
      </c>
      <c r="N1180" s="11" t="n">
        <f aca="false">M1180-I1180*L1180</f>
        <v>2160</v>
      </c>
    </row>
    <row r="1181" customFormat="false" ht="15" hidden="false" customHeight="false" outlineLevel="0" collapsed="false">
      <c r="A1181" s="2" t="s">
        <v>2579</v>
      </c>
      <c r="B1181" s="2" t="s">
        <v>2580</v>
      </c>
      <c r="C1181" s="10" t="n">
        <v>45887</v>
      </c>
      <c r="D1181" s="2" t="n">
        <f aca="false">MONTH(C1181)</f>
        <v>8</v>
      </c>
      <c r="E1181" s="2" t="s">
        <v>63</v>
      </c>
      <c r="F1181" s="2" t="s">
        <v>64</v>
      </c>
      <c r="G1181" s="2" t="s">
        <v>65</v>
      </c>
      <c r="H1181" s="2" t="s">
        <v>78</v>
      </c>
      <c r="I1181" s="2" t="n">
        <v>8</v>
      </c>
      <c r="J1181" s="11" t="n">
        <v>400</v>
      </c>
      <c r="K1181" s="12" t="n">
        <v>0</v>
      </c>
      <c r="L1181" s="11" t="n">
        <v>200</v>
      </c>
      <c r="M1181" s="11" t="n">
        <f aca="false">I1181*J1181*(1-K1181)</f>
        <v>3200</v>
      </c>
      <c r="N1181" s="11" t="n">
        <f aca="false">M1181-I1181*L1181</f>
        <v>1600</v>
      </c>
    </row>
    <row r="1182" customFormat="false" ht="15" hidden="false" customHeight="false" outlineLevel="0" collapsed="false">
      <c r="A1182" s="2" t="s">
        <v>760</v>
      </c>
      <c r="B1182" s="2" t="s">
        <v>761</v>
      </c>
      <c r="C1182" s="10" t="n">
        <v>45888</v>
      </c>
      <c r="D1182" s="2" t="n">
        <f aca="false">MONTH(C1182)</f>
        <v>8</v>
      </c>
      <c r="E1182" s="2" t="s">
        <v>77</v>
      </c>
      <c r="F1182" s="2" t="s">
        <v>64</v>
      </c>
      <c r="G1182" s="2" t="s">
        <v>70</v>
      </c>
      <c r="H1182" s="2" t="s">
        <v>97</v>
      </c>
      <c r="I1182" s="2" t="n">
        <v>1</v>
      </c>
      <c r="J1182" s="11" t="n">
        <v>3000</v>
      </c>
      <c r="K1182" s="12" t="n">
        <v>0</v>
      </c>
      <c r="L1182" s="11" t="n">
        <v>2000</v>
      </c>
      <c r="M1182" s="11" t="n">
        <f aca="false">I1182*J1182*(1-K1182)</f>
        <v>3000</v>
      </c>
      <c r="N1182" s="11" t="n">
        <f aca="false">M1182-I1182*L1182</f>
        <v>1000</v>
      </c>
    </row>
    <row r="1183" customFormat="false" ht="15" hidden="false" customHeight="false" outlineLevel="0" collapsed="false">
      <c r="A1183" s="2" t="s">
        <v>794</v>
      </c>
      <c r="B1183" s="2" t="s">
        <v>795</v>
      </c>
      <c r="C1183" s="10" t="n">
        <v>45888</v>
      </c>
      <c r="D1183" s="2" t="n">
        <f aca="false">MONTH(C1183)</f>
        <v>8</v>
      </c>
      <c r="E1183" s="2" t="s">
        <v>77</v>
      </c>
      <c r="F1183" s="2" t="s">
        <v>64</v>
      </c>
      <c r="G1183" s="2" t="s">
        <v>65</v>
      </c>
      <c r="H1183" s="2" t="s">
        <v>107</v>
      </c>
      <c r="I1183" s="2" t="n">
        <v>2</v>
      </c>
      <c r="J1183" s="11" t="n">
        <v>500</v>
      </c>
      <c r="K1183" s="12" t="n">
        <v>0.05</v>
      </c>
      <c r="L1183" s="11" t="n">
        <v>250</v>
      </c>
      <c r="M1183" s="11" t="n">
        <f aca="false">I1183*J1183*(1-K1183)</f>
        <v>950</v>
      </c>
      <c r="N1183" s="11" t="n">
        <f aca="false">M1183-I1183*L1183</f>
        <v>450</v>
      </c>
    </row>
    <row r="1184" customFormat="false" ht="15" hidden="false" customHeight="false" outlineLevel="0" collapsed="false">
      <c r="A1184" s="2" t="s">
        <v>1012</v>
      </c>
      <c r="B1184" s="2" t="s">
        <v>1009</v>
      </c>
      <c r="C1184" s="10" t="n">
        <v>45888</v>
      </c>
      <c r="D1184" s="2" t="n">
        <f aca="false">MONTH(C1184)</f>
        <v>8</v>
      </c>
      <c r="E1184" s="2" t="s">
        <v>63</v>
      </c>
      <c r="F1184" s="2" t="s">
        <v>92</v>
      </c>
      <c r="G1184" s="2" t="s">
        <v>73</v>
      </c>
      <c r="H1184" s="2" t="s">
        <v>74</v>
      </c>
      <c r="I1184" s="2" t="n">
        <v>6</v>
      </c>
      <c r="J1184" s="11" t="n">
        <v>7000</v>
      </c>
      <c r="K1184" s="12" t="n">
        <v>0.05</v>
      </c>
      <c r="L1184" s="11" t="n">
        <v>4800</v>
      </c>
      <c r="M1184" s="11" t="n">
        <f aca="false">I1184*J1184*(1-K1184)</f>
        <v>39900</v>
      </c>
      <c r="N1184" s="11" t="n">
        <f aca="false">M1184-I1184*L1184</f>
        <v>11100</v>
      </c>
    </row>
    <row r="1185" customFormat="false" ht="15" hidden="false" customHeight="false" outlineLevel="0" collapsed="false">
      <c r="A1185" s="2" t="s">
        <v>2731</v>
      </c>
      <c r="B1185" s="2" t="s">
        <v>2732</v>
      </c>
      <c r="C1185" s="10" t="n">
        <v>45888</v>
      </c>
      <c r="D1185" s="2" t="n">
        <f aca="false">MONTH(C1185)</f>
        <v>8</v>
      </c>
      <c r="E1185" s="2" t="s">
        <v>81</v>
      </c>
      <c r="F1185" s="2" t="s">
        <v>64</v>
      </c>
      <c r="G1185" s="2" t="s">
        <v>73</v>
      </c>
      <c r="H1185" s="2" t="s">
        <v>85</v>
      </c>
      <c r="I1185" s="2" t="n">
        <v>2</v>
      </c>
      <c r="J1185" s="11" t="n">
        <v>1200</v>
      </c>
      <c r="K1185" s="12" t="n">
        <v>0.1</v>
      </c>
      <c r="L1185" s="11" t="n">
        <v>600</v>
      </c>
      <c r="M1185" s="11" t="n">
        <f aca="false">I1185*J1185*(1-K1185)</f>
        <v>2160</v>
      </c>
      <c r="N1185" s="11" t="n">
        <f aca="false">M1185-I1185*L1185</f>
        <v>960</v>
      </c>
    </row>
    <row r="1186" customFormat="false" ht="15" hidden="false" customHeight="false" outlineLevel="0" collapsed="false">
      <c r="A1186" s="2" t="s">
        <v>2760</v>
      </c>
      <c r="B1186" s="2" t="s">
        <v>2757</v>
      </c>
      <c r="C1186" s="10" t="n">
        <v>45888</v>
      </c>
      <c r="D1186" s="2" t="n">
        <f aca="false">MONTH(C1186)</f>
        <v>8</v>
      </c>
      <c r="E1186" s="2" t="s">
        <v>63</v>
      </c>
      <c r="F1186" s="2" t="s">
        <v>92</v>
      </c>
      <c r="G1186" s="2" t="s">
        <v>73</v>
      </c>
      <c r="H1186" s="2" t="s">
        <v>87</v>
      </c>
      <c r="I1186" s="2" t="n">
        <v>3</v>
      </c>
      <c r="J1186" s="11" t="n">
        <v>9000</v>
      </c>
      <c r="K1186" s="12" t="n">
        <v>0</v>
      </c>
      <c r="L1186" s="11" t="n">
        <v>6200</v>
      </c>
      <c r="M1186" s="11" t="n">
        <f aca="false">I1186*J1186*(1-K1186)</f>
        <v>27000</v>
      </c>
      <c r="N1186" s="11" t="n">
        <f aca="false">M1186-I1186*L1186</f>
        <v>8400</v>
      </c>
    </row>
    <row r="1187" customFormat="false" ht="15" hidden="false" customHeight="false" outlineLevel="0" collapsed="false">
      <c r="A1187" s="2" t="s">
        <v>973</v>
      </c>
      <c r="B1187" s="2" t="s">
        <v>969</v>
      </c>
      <c r="C1187" s="10" t="n">
        <v>45889</v>
      </c>
      <c r="D1187" s="2" t="n">
        <f aca="false">MONTH(C1187)</f>
        <v>8</v>
      </c>
      <c r="E1187" s="2" t="s">
        <v>77</v>
      </c>
      <c r="F1187" s="2" t="s">
        <v>64</v>
      </c>
      <c r="G1187" s="2" t="s">
        <v>70</v>
      </c>
      <c r="H1187" s="2" t="s">
        <v>122</v>
      </c>
      <c r="I1187" s="2" t="n">
        <v>3</v>
      </c>
      <c r="J1187" s="11" t="n">
        <v>1500</v>
      </c>
      <c r="K1187" s="12" t="n">
        <v>0.05</v>
      </c>
      <c r="L1187" s="11" t="n">
        <v>900</v>
      </c>
      <c r="M1187" s="11" t="n">
        <f aca="false">I1187*J1187*(1-K1187)</f>
        <v>4275</v>
      </c>
      <c r="N1187" s="11" t="n">
        <f aca="false">M1187-I1187*L1187</f>
        <v>1575</v>
      </c>
    </row>
    <row r="1188" customFormat="false" ht="15" hidden="false" customHeight="false" outlineLevel="0" collapsed="false">
      <c r="A1188" s="2" t="s">
        <v>1002</v>
      </c>
      <c r="B1188" s="2" t="s">
        <v>1001</v>
      </c>
      <c r="C1188" s="10" t="n">
        <v>45889</v>
      </c>
      <c r="D1188" s="2" t="n">
        <f aca="false">MONTH(C1188)</f>
        <v>8</v>
      </c>
      <c r="E1188" s="2" t="s">
        <v>77</v>
      </c>
      <c r="F1188" s="2" t="s">
        <v>64</v>
      </c>
      <c r="G1188" s="2" t="s">
        <v>70</v>
      </c>
      <c r="H1188" s="2" t="s">
        <v>126</v>
      </c>
      <c r="I1188" s="2" t="n">
        <v>1</v>
      </c>
      <c r="J1188" s="11" t="n">
        <v>4500</v>
      </c>
      <c r="K1188" s="12" t="n">
        <v>0.1</v>
      </c>
      <c r="L1188" s="11" t="n">
        <v>3300</v>
      </c>
      <c r="M1188" s="11" t="n">
        <f aca="false">I1188*J1188*(1-K1188)</f>
        <v>4050</v>
      </c>
      <c r="N1188" s="11" t="n">
        <f aca="false">M1188-I1188*L1188</f>
        <v>750</v>
      </c>
    </row>
    <row r="1189" customFormat="false" ht="15" hidden="false" customHeight="false" outlineLevel="0" collapsed="false">
      <c r="A1189" s="2" t="s">
        <v>1778</v>
      </c>
      <c r="B1189" s="2" t="s">
        <v>1779</v>
      </c>
      <c r="C1189" s="10" t="n">
        <v>45889</v>
      </c>
      <c r="D1189" s="2" t="n">
        <f aca="false">MONTH(C1189)</f>
        <v>8</v>
      </c>
      <c r="E1189" s="2" t="s">
        <v>77</v>
      </c>
      <c r="F1189" s="2" t="s">
        <v>69</v>
      </c>
      <c r="G1189" s="2" t="s">
        <v>70</v>
      </c>
      <c r="H1189" s="2" t="s">
        <v>126</v>
      </c>
      <c r="I1189" s="2" t="n">
        <v>3</v>
      </c>
      <c r="J1189" s="11" t="n">
        <v>4500</v>
      </c>
      <c r="K1189" s="12" t="n">
        <v>0</v>
      </c>
      <c r="L1189" s="11" t="n">
        <v>3300</v>
      </c>
      <c r="M1189" s="11" t="n">
        <f aca="false">I1189*J1189*(1-K1189)</f>
        <v>13500</v>
      </c>
      <c r="N1189" s="11" t="n">
        <f aca="false">M1189-I1189*L1189</f>
        <v>3600</v>
      </c>
    </row>
    <row r="1190" customFormat="false" ht="15" hidden="false" customHeight="false" outlineLevel="0" collapsed="false">
      <c r="A1190" s="2" t="s">
        <v>2670</v>
      </c>
      <c r="B1190" s="2" t="s">
        <v>2667</v>
      </c>
      <c r="C1190" s="10" t="n">
        <v>45889</v>
      </c>
      <c r="D1190" s="2" t="n">
        <f aca="false">MONTH(C1190)</f>
        <v>8</v>
      </c>
      <c r="E1190" s="2" t="s">
        <v>77</v>
      </c>
      <c r="F1190" s="2" t="s">
        <v>64</v>
      </c>
      <c r="G1190" s="2" t="s">
        <v>70</v>
      </c>
      <c r="H1190" s="2" t="s">
        <v>71</v>
      </c>
      <c r="I1190" s="2" t="n">
        <v>1</v>
      </c>
      <c r="J1190" s="11" t="n">
        <v>2500</v>
      </c>
      <c r="K1190" s="12" t="n">
        <v>0</v>
      </c>
      <c r="L1190" s="11" t="n">
        <v>1600</v>
      </c>
      <c r="M1190" s="11" t="n">
        <f aca="false">I1190*J1190*(1-K1190)</f>
        <v>2500</v>
      </c>
      <c r="N1190" s="11" t="n">
        <f aca="false">M1190-I1190*L1190</f>
        <v>900</v>
      </c>
    </row>
    <row r="1191" customFormat="false" ht="15" hidden="false" customHeight="false" outlineLevel="0" collapsed="false">
      <c r="A1191" s="2" t="s">
        <v>190</v>
      </c>
      <c r="B1191" s="2" t="s">
        <v>191</v>
      </c>
      <c r="C1191" s="10" t="n">
        <v>45890</v>
      </c>
      <c r="D1191" s="2" t="n">
        <f aca="false">MONTH(C1191)</f>
        <v>8</v>
      </c>
      <c r="E1191" s="2" t="s">
        <v>91</v>
      </c>
      <c r="F1191" s="2" t="s">
        <v>69</v>
      </c>
      <c r="G1191" s="2" t="s">
        <v>65</v>
      </c>
      <c r="H1191" s="2" t="s">
        <v>82</v>
      </c>
      <c r="I1191" s="2" t="n">
        <v>7</v>
      </c>
      <c r="J1191" s="11" t="n">
        <v>250</v>
      </c>
      <c r="K1191" s="12" t="n">
        <v>0</v>
      </c>
      <c r="L1191" s="11" t="n">
        <v>100</v>
      </c>
      <c r="M1191" s="11" t="n">
        <f aca="false">I1191*J1191*(1-K1191)</f>
        <v>1750</v>
      </c>
      <c r="N1191" s="11" t="n">
        <f aca="false">M1191-I1191*L1191</f>
        <v>1050</v>
      </c>
    </row>
    <row r="1192" customFormat="false" ht="15" hidden="false" customHeight="false" outlineLevel="0" collapsed="false">
      <c r="A1192" s="2" t="s">
        <v>857</v>
      </c>
      <c r="B1192" s="2" t="s">
        <v>858</v>
      </c>
      <c r="C1192" s="10" t="n">
        <v>45890</v>
      </c>
      <c r="D1192" s="2" t="n">
        <f aca="false">MONTH(C1192)</f>
        <v>8</v>
      </c>
      <c r="E1192" s="2" t="s">
        <v>63</v>
      </c>
      <c r="F1192" s="2" t="s">
        <v>69</v>
      </c>
      <c r="G1192" s="2" t="s">
        <v>73</v>
      </c>
      <c r="H1192" s="2" t="s">
        <v>87</v>
      </c>
      <c r="I1192" s="2" t="n">
        <v>5</v>
      </c>
      <c r="J1192" s="11" t="n">
        <v>9000</v>
      </c>
      <c r="K1192" s="12" t="n">
        <v>0</v>
      </c>
      <c r="L1192" s="11" t="n">
        <v>6200</v>
      </c>
      <c r="M1192" s="11" t="n">
        <f aca="false">I1192*J1192*(1-K1192)</f>
        <v>45000</v>
      </c>
      <c r="N1192" s="11" t="n">
        <f aca="false">M1192-I1192*L1192</f>
        <v>14000</v>
      </c>
    </row>
    <row r="1193" customFormat="false" ht="15" hidden="false" customHeight="false" outlineLevel="0" collapsed="false">
      <c r="A1193" s="2" t="s">
        <v>2970</v>
      </c>
      <c r="B1193" s="2" t="s">
        <v>2968</v>
      </c>
      <c r="C1193" s="10" t="n">
        <v>45890</v>
      </c>
      <c r="D1193" s="2" t="n">
        <f aca="false">MONTH(C1193)</f>
        <v>8</v>
      </c>
      <c r="E1193" s="2" t="s">
        <v>63</v>
      </c>
      <c r="F1193" s="2" t="s">
        <v>64</v>
      </c>
      <c r="G1193" s="2" t="s">
        <v>70</v>
      </c>
      <c r="H1193" s="2" t="s">
        <v>122</v>
      </c>
      <c r="I1193" s="2" t="n">
        <v>3</v>
      </c>
      <c r="J1193" s="11" t="n">
        <v>1500</v>
      </c>
      <c r="K1193" s="12" t="n">
        <v>0</v>
      </c>
      <c r="L1193" s="11" t="n">
        <v>900</v>
      </c>
      <c r="M1193" s="11" t="n">
        <f aca="false">I1193*J1193*(1-K1193)</f>
        <v>4500</v>
      </c>
      <c r="N1193" s="11" t="n">
        <f aca="false">M1193-I1193*L1193</f>
        <v>1800</v>
      </c>
    </row>
    <row r="1194" customFormat="false" ht="15" hidden="false" customHeight="false" outlineLevel="0" collapsed="false">
      <c r="A1194" s="2" t="s">
        <v>1626</v>
      </c>
      <c r="B1194" s="2" t="s">
        <v>1627</v>
      </c>
      <c r="C1194" s="10" t="n">
        <v>45891</v>
      </c>
      <c r="D1194" s="2" t="n">
        <f aca="false">MONTH(C1194)</f>
        <v>8</v>
      </c>
      <c r="E1194" s="2" t="s">
        <v>91</v>
      </c>
      <c r="F1194" s="2" t="s">
        <v>92</v>
      </c>
      <c r="G1194" s="2" t="s">
        <v>65</v>
      </c>
      <c r="H1194" s="2" t="s">
        <v>78</v>
      </c>
      <c r="I1194" s="2" t="n">
        <v>35</v>
      </c>
      <c r="J1194" s="11" t="n">
        <v>400</v>
      </c>
      <c r="K1194" s="12" t="n">
        <v>0.1</v>
      </c>
      <c r="L1194" s="11" t="n">
        <v>200</v>
      </c>
      <c r="M1194" s="11" t="n">
        <f aca="false">I1194*J1194*(1-K1194)</f>
        <v>12600</v>
      </c>
      <c r="N1194" s="11" t="n">
        <f aca="false">M1194-I1194*L1194</f>
        <v>5600</v>
      </c>
    </row>
    <row r="1195" customFormat="false" ht="15" hidden="false" customHeight="false" outlineLevel="0" collapsed="false">
      <c r="A1195" s="2" t="s">
        <v>1917</v>
      </c>
      <c r="B1195" s="2" t="s">
        <v>1918</v>
      </c>
      <c r="C1195" s="10" t="n">
        <v>45891</v>
      </c>
      <c r="D1195" s="2" t="n">
        <f aca="false">MONTH(C1195)</f>
        <v>8</v>
      </c>
      <c r="E1195" s="2" t="s">
        <v>63</v>
      </c>
      <c r="F1195" s="2" t="s">
        <v>69</v>
      </c>
      <c r="G1195" s="2" t="s">
        <v>65</v>
      </c>
      <c r="H1195" s="2" t="s">
        <v>82</v>
      </c>
      <c r="I1195" s="2" t="n">
        <v>9</v>
      </c>
      <c r="J1195" s="11" t="n">
        <v>250</v>
      </c>
      <c r="K1195" s="12" t="n">
        <v>0.05</v>
      </c>
      <c r="L1195" s="11" t="n">
        <v>100</v>
      </c>
      <c r="M1195" s="11" t="n">
        <f aca="false">I1195*J1195*(1-K1195)</f>
        <v>2137.5</v>
      </c>
      <c r="N1195" s="11" t="n">
        <f aca="false">M1195-I1195*L1195</f>
        <v>1237.5</v>
      </c>
    </row>
    <row r="1196" customFormat="false" ht="15" hidden="false" customHeight="false" outlineLevel="0" collapsed="false">
      <c r="A1196" s="2" t="s">
        <v>2043</v>
      </c>
      <c r="B1196" s="2" t="s">
        <v>2040</v>
      </c>
      <c r="C1196" s="10" t="n">
        <v>45891</v>
      </c>
      <c r="D1196" s="2" t="n">
        <f aca="false">MONTH(C1196)</f>
        <v>8</v>
      </c>
      <c r="E1196" s="2" t="s">
        <v>63</v>
      </c>
      <c r="F1196" s="2" t="s">
        <v>92</v>
      </c>
      <c r="G1196" s="2" t="s">
        <v>70</v>
      </c>
      <c r="H1196" s="2" t="s">
        <v>97</v>
      </c>
      <c r="I1196" s="2" t="n">
        <v>4</v>
      </c>
      <c r="J1196" s="11" t="n">
        <v>3000</v>
      </c>
      <c r="K1196" s="12" t="n">
        <v>0.1</v>
      </c>
      <c r="L1196" s="11" t="n">
        <v>2000</v>
      </c>
      <c r="M1196" s="11" t="n">
        <f aca="false">I1196*J1196*(1-K1196)</f>
        <v>10800</v>
      </c>
      <c r="N1196" s="11" t="n">
        <f aca="false">M1196-I1196*L1196</f>
        <v>2800</v>
      </c>
    </row>
    <row r="1197" customFormat="false" ht="15" hidden="false" customHeight="false" outlineLevel="0" collapsed="false">
      <c r="A1197" s="2" t="s">
        <v>2072</v>
      </c>
      <c r="B1197" s="2" t="s">
        <v>2069</v>
      </c>
      <c r="C1197" s="10" t="n">
        <v>45891</v>
      </c>
      <c r="D1197" s="2" t="n">
        <f aca="false">MONTH(C1197)</f>
        <v>8</v>
      </c>
      <c r="E1197" s="2" t="s">
        <v>63</v>
      </c>
      <c r="F1197" s="2" t="s">
        <v>64</v>
      </c>
      <c r="G1197" s="2" t="s">
        <v>65</v>
      </c>
      <c r="H1197" s="2" t="s">
        <v>66</v>
      </c>
      <c r="I1197" s="2" t="n">
        <v>7</v>
      </c>
      <c r="J1197" s="11" t="n">
        <v>600</v>
      </c>
      <c r="K1197" s="12" t="n">
        <v>0</v>
      </c>
      <c r="L1197" s="11" t="n">
        <v>300</v>
      </c>
      <c r="M1197" s="11" t="n">
        <f aca="false">I1197*J1197*(1-K1197)</f>
        <v>4200</v>
      </c>
      <c r="N1197" s="11" t="n">
        <f aca="false">M1197-I1197*L1197</f>
        <v>2100</v>
      </c>
    </row>
    <row r="1198" customFormat="false" ht="15" hidden="false" customHeight="false" outlineLevel="0" collapsed="false">
      <c r="A1198" s="2" t="s">
        <v>2938</v>
      </c>
      <c r="B1198" s="2" t="s">
        <v>2934</v>
      </c>
      <c r="C1198" s="10" t="n">
        <v>45891</v>
      </c>
      <c r="D1198" s="2" t="n">
        <f aca="false">MONTH(C1198)</f>
        <v>8</v>
      </c>
      <c r="E1198" s="2" t="s">
        <v>63</v>
      </c>
      <c r="F1198" s="2" t="s">
        <v>69</v>
      </c>
      <c r="G1198" s="2" t="s">
        <v>70</v>
      </c>
      <c r="H1198" s="2" t="s">
        <v>97</v>
      </c>
      <c r="I1198" s="2" t="n">
        <v>3</v>
      </c>
      <c r="J1198" s="11" t="n">
        <v>3000</v>
      </c>
      <c r="K1198" s="12" t="n">
        <v>0.1</v>
      </c>
      <c r="L1198" s="11" t="n">
        <v>2000</v>
      </c>
      <c r="M1198" s="11" t="n">
        <f aca="false">I1198*J1198*(1-K1198)</f>
        <v>8100</v>
      </c>
      <c r="N1198" s="11" t="n">
        <f aca="false">M1198-I1198*L1198</f>
        <v>2100</v>
      </c>
    </row>
    <row r="1199" customFormat="false" ht="15" hidden="false" customHeight="false" outlineLevel="0" collapsed="false">
      <c r="A1199" s="2" t="s">
        <v>292</v>
      </c>
      <c r="B1199" s="2" t="s">
        <v>293</v>
      </c>
      <c r="C1199" s="10" t="n">
        <v>45892</v>
      </c>
      <c r="D1199" s="2" t="n">
        <f aca="false">MONTH(C1199)</f>
        <v>8</v>
      </c>
      <c r="E1199" s="2" t="s">
        <v>77</v>
      </c>
      <c r="F1199" s="2" t="s">
        <v>64</v>
      </c>
      <c r="G1199" s="2" t="s">
        <v>65</v>
      </c>
      <c r="H1199" s="2" t="s">
        <v>66</v>
      </c>
      <c r="I1199" s="2" t="n">
        <v>3</v>
      </c>
      <c r="J1199" s="11" t="n">
        <v>600</v>
      </c>
      <c r="K1199" s="12" t="n">
        <v>0.05</v>
      </c>
      <c r="L1199" s="11" t="n">
        <v>300</v>
      </c>
      <c r="M1199" s="11" t="n">
        <f aca="false">I1199*J1199*(1-K1199)</f>
        <v>1710</v>
      </c>
      <c r="N1199" s="11" t="n">
        <f aca="false">M1199-I1199*L1199</f>
        <v>810</v>
      </c>
    </row>
    <row r="1200" customFormat="false" ht="15" hidden="false" customHeight="false" outlineLevel="0" collapsed="false">
      <c r="A1200" s="2" t="s">
        <v>732</v>
      </c>
      <c r="B1200" s="2" t="s">
        <v>730</v>
      </c>
      <c r="C1200" s="10" t="n">
        <v>45892</v>
      </c>
      <c r="D1200" s="2" t="n">
        <f aca="false">MONTH(C1200)</f>
        <v>8</v>
      </c>
      <c r="E1200" s="2" t="s">
        <v>91</v>
      </c>
      <c r="F1200" s="2" t="s">
        <v>69</v>
      </c>
      <c r="G1200" s="2" t="s">
        <v>73</v>
      </c>
      <c r="H1200" s="2" t="s">
        <v>87</v>
      </c>
      <c r="I1200" s="2" t="n">
        <v>4</v>
      </c>
      <c r="J1200" s="11" t="n">
        <v>9000</v>
      </c>
      <c r="K1200" s="12" t="n">
        <v>0.1</v>
      </c>
      <c r="L1200" s="11" t="n">
        <v>6200</v>
      </c>
      <c r="M1200" s="11" t="n">
        <f aca="false">I1200*J1200*(1-K1200)</f>
        <v>32400</v>
      </c>
      <c r="N1200" s="11" t="n">
        <f aca="false">M1200-I1200*L1200</f>
        <v>7600</v>
      </c>
    </row>
    <row r="1201" customFormat="false" ht="15" hidden="false" customHeight="false" outlineLevel="0" collapsed="false">
      <c r="A1201" s="2" t="s">
        <v>1048</v>
      </c>
      <c r="B1201" s="2" t="s">
        <v>1045</v>
      </c>
      <c r="C1201" s="10" t="n">
        <v>45892</v>
      </c>
      <c r="D1201" s="2" t="n">
        <f aca="false">MONTH(C1201)</f>
        <v>8</v>
      </c>
      <c r="E1201" s="2" t="s">
        <v>63</v>
      </c>
      <c r="F1201" s="2" t="s">
        <v>69</v>
      </c>
      <c r="G1201" s="2" t="s">
        <v>73</v>
      </c>
      <c r="H1201" s="2" t="s">
        <v>74</v>
      </c>
      <c r="I1201" s="2" t="n">
        <v>4</v>
      </c>
      <c r="J1201" s="11" t="n">
        <v>7000</v>
      </c>
      <c r="K1201" s="12" t="n">
        <v>0.05</v>
      </c>
      <c r="L1201" s="11" t="n">
        <v>4800</v>
      </c>
      <c r="M1201" s="11" t="n">
        <f aca="false">I1201*J1201*(1-K1201)</f>
        <v>26600</v>
      </c>
      <c r="N1201" s="11" t="n">
        <f aca="false">M1201-I1201*L1201</f>
        <v>7400</v>
      </c>
    </row>
    <row r="1202" customFormat="false" ht="15" hidden="false" customHeight="false" outlineLevel="0" collapsed="false">
      <c r="A1202" s="2" t="s">
        <v>1135</v>
      </c>
      <c r="B1202" s="2" t="s">
        <v>1134</v>
      </c>
      <c r="C1202" s="10" t="n">
        <v>45893</v>
      </c>
      <c r="D1202" s="2" t="n">
        <f aca="false">MONTH(C1202)</f>
        <v>8</v>
      </c>
      <c r="E1202" s="2" t="s">
        <v>77</v>
      </c>
      <c r="F1202" s="2" t="s">
        <v>64</v>
      </c>
      <c r="G1202" s="2" t="s">
        <v>65</v>
      </c>
      <c r="H1202" s="2" t="s">
        <v>107</v>
      </c>
      <c r="I1202" s="2" t="n">
        <v>6</v>
      </c>
      <c r="J1202" s="11" t="n">
        <v>500</v>
      </c>
      <c r="K1202" s="12" t="n">
        <v>0</v>
      </c>
      <c r="L1202" s="11" t="n">
        <v>250</v>
      </c>
      <c r="M1202" s="11" t="n">
        <f aca="false">I1202*J1202*(1-K1202)</f>
        <v>3000</v>
      </c>
      <c r="N1202" s="11" t="n">
        <f aca="false">M1202-I1202*L1202</f>
        <v>1500</v>
      </c>
    </row>
    <row r="1203" customFormat="false" ht="15" hidden="false" customHeight="false" outlineLevel="0" collapsed="false">
      <c r="A1203" s="2" t="s">
        <v>1256</v>
      </c>
      <c r="B1203" s="2" t="s">
        <v>1257</v>
      </c>
      <c r="C1203" s="10" t="n">
        <v>45893</v>
      </c>
      <c r="D1203" s="2" t="n">
        <f aca="false">MONTH(C1203)</f>
        <v>8</v>
      </c>
      <c r="E1203" s="2" t="s">
        <v>81</v>
      </c>
      <c r="F1203" s="2" t="s">
        <v>64</v>
      </c>
      <c r="G1203" s="2" t="s">
        <v>70</v>
      </c>
      <c r="H1203" s="2" t="s">
        <v>122</v>
      </c>
      <c r="I1203" s="2" t="n">
        <v>3</v>
      </c>
      <c r="J1203" s="11" t="n">
        <v>1500</v>
      </c>
      <c r="K1203" s="12" t="n">
        <v>0.1</v>
      </c>
      <c r="L1203" s="11" t="n">
        <v>900</v>
      </c>
      <c r="M1203" s="11" t="n">
        <f aca="false">I1203*J1203*(1-K1203)</f>
        <v>4050</v>
      </c>
      <c r="N1203" s="11" t="n">
        <f aca="false">M1203-I1203*L1203</f>
        <v>1350</v>
      </c>
    </row>
    <row r="1204" customFormat="false" ht="15" hidden="false" customHeight="false" outlineLevel="0" collapsed="false">
      <c r="A1204" s="2" t="s">
        <v>1825</v>
      </c>
      <c r="B1204" s="2" t="s">
        <v>1826</v>
      </c>
      <c r="C1204" s="10" t="n">
        <v>45893</v>
      </c>
      <c r="D1204" s="2" t="n">
        <f aca="false">MONTH(C1204)</f>
        <v>8</v>
      </c>
      <c r="E1204" s="2" t="s">
        <v>63</v>
      </c>
      <c r="F1204" s="2" t="s">
        <v>64</v>
      </c>
      <c r="G1204" s="2" t="s">
        <v>65</v>
      </c>
      <c r="H1204" s="2" t="s">
        <v>82</v>
      </c>
      <c r="I1204" s="2" t="n">
        <v>8</v>
      </c>
      <c r="J1204" s="11" t="n">
        <v>250</v>
      </c>
      <c r="K1204" s="12" t="n">
        <v>0</v>
      </c>
      <c r="L1204" s="11" t="n">
        <v>100</v>
      </c>
      <c r="M1204" s="11" t="n">
        <f aca="false">I1204*J1204*(1-K1204)</f>
        <v>2000</v>
      </c>
      <c r="N1204" s="11" t="n">
        <f aca="false">M1204-I1204*L1204</f>
        <v>1200</v>
      </c>
    </row>
    <row r="1205" customFormat="false" ht="15" hidden="false" customHeight="false" outlineLevel="0" collapsed="false">
      <c r="A1205" s="2" t="s">
        <v>1848</v>
      </c>
      <c r="B1205" s="2" t="s">
        <v>1843</v>
      </c>
      <c r="C1205" s="10" t="n">
        <v>45893</v>
      </c>
      <c r="D1205" s="2" t="n">
        <f aca="false">MONTH(C1205)</f>
        <v>8</v>
      </c>
      <c r="E1205" s="2" t="s">
        <v>63</v>
      </c>
      <c r="F1205" s="2" t="s">
        <v>64</v>
      </c>
      <c r="G1205" s="2" t="s">
        <v>65</v>
      </c>
      <c r="H1205" s="2" t="s">
        <v>66</v>
      </c>
      <c r="I1205" s="2" t="n">
        <v>4</v>
      </c>
      <c r="J1205" s="11" t="n">
        <v>600</v>
      </c>
      <c r="K1205" s="12" t="n">
        <v>0</v>
      </c>
      <c r="L1205" s="11" t="n">
        <v>300</v>
      </c>
      <c r="M1205" s="11" t="n">
        <f aca="false">I1205*J1205*(1-K1205)</f>
        <v>2400</v>
      </c>
      <c r="N1205" s="11" t="n">
        <f aca="false">M1205-I1205*L1205</f>
        <v>1200</v>
      </c>
    </row>
    <row r="1206" customFormat="false" ht="15" hidden="false" customHeight="false" outlineLevel="0" collapsed="false">
      <c r="A1206" s="2" t="s">
        <v>2960</v>
      </c>
      <c r="B1206" s="2" t="s">
        <v>2958</v>
      </c>
      <c r="C1206" s="10" t="n">
        <v>45893</v>
      </c>
      <c r="D1206" s="2" t="n">
        <f aca="false">MONTH(C1206)</f>
        <v>8</v>
      </c>
      <c r="E1206" s="2" t="s">
        <v>63</v>
      </c>
      <c r="F1206" s="2" t="s">
        <v>64</v>
      </c>
      <c r="G1206" s="2" t="s">
        <v>70</v>
      </c>
      <c r="H1206" s="2" t="s">
        <v>71</v>
      </c>
      <c r="I1206" s="2" t="n">
        <v>3</v>
      </c>
      <c r="J1206" s="11" t="n">
        <v>2500</v>
      </c>
      <c r="K1206" s="12" t="n">
        <v>0</v>
      </c>
      <c r="L1206" s="11" t="n">
        <v>1600</v>
      </c>
      <c r="M1206" s="11" t="n">
        <f aca="false">I1206*J1206*(1-K1206)</f>
        <v>7500</v>
      </c>
      <c r="N1206" s="11" t="n">
        <f aca="false">M1206-I1206*L1206</f>
        <v>2700</v>
      </c>
    </row>
    <row r="1207" customFormat="false" ht="15" hidden="false" customHeight="false" outlineLevel="0" collapsed="false">
      <c r="A1207" s="2" t="s">
        <v>2702</v>
      </c>
      <c r="B1207" s="2" t="s">
        <v>2699</v>
      </c>
      <c r="C1207" s="10" t="n">
        <v>45894</v>
      </c>
      <c r="D1207" s="2" t="n">
        <f aca="false">MONTH(C1207)</f>
        <v>8</v>
      </c>
      <c r="E1207" s="2" t="s">
        <v>77</v>
      </c>
      <c r="F1207" s="2" t="s">
        <v>69</v>
      </c>
      <c r="G1207" s="2" t="s">
        <v>65</v>
      </c>
      <c r="H1207" s="2" t="s">
        <v>78</v>
      </c>
      <c r="I1207" s="2" t="n">
        <v>13</v>
      </c>
      <c r="J1207" s="11" t="n">
        <v>400</v>
      </c>
      <c r="K1207" s="12" t="n">
        <v>0</v>
      </c>
      <c r="L1207" s="11" t="n">
        <v>200</v>
      </c>
      <c r="M1207" s="11" t="n">
        <f aca="false">I1207*J1207*(1-K1207)</f>
        <v>5200</v>
      </c>
      <c r="N1207" s="11" t="n">
        <f aca="false">M1207-I1207*L1207</f>
        <v>2600</v>
      </c>
    </row>
    <row r="1208" customFormat="false" ht="15" hidden="false" customHeight="false" outlineLevel="0" collapsed="false">
      <c r="A1208" s="2" t="s">
        <v>287</v>
      </c>
      <c r="B1208" s="2" t="s">
        <v>286</v>
      </c>
      <c r="C1208" s="10" t="n">
        <v>45895</v>
      </c>
      <c r="D1208" s="2" t="n">
        <f aca="false">MONTH(C1208)</f>
        <v>8</v>
      </c>
      <c r="E1208" s="2" t="s">
        <v>77</v>
      </c>
      <c r="F1208" s="2" t="s">
        <v>64</v>
      </c>
      <c r="G1208" s="2" t="s">
        <v>65</v>
      </c>
      <c r="H1208" s="2" t="s">
        <v>78</v>
      </c>
      <c r="I1208" s="2" t="n">
        <v>5</v>
      </c>
      <c r="J1208" s="11" t="n">
        <v>400</v>
      </c>
      <c r="K1208" s="12" t="n">
        <v>0</v>
      </c>
      <c r="L1208" s="11" t="n">
        <v>200</v>
      </c>
      <c r="M1208" s="11" t="n">
        <f aca="false">I1208*J1208*(1-K1208)</f>
        <v>2000</v>
      </c>
      <c r="N1208" s="11" t="n">
        <f aca="false">M1208-I1208*L1208</f>
        <v>1000</v>
      </c>
    </row>
    <row r="1209" customFormat="false" ht="15" hidden="false" customHeight="false" outlineLevel="0" collapsed="false">
      <c r="A1209" s="2" t="s">
        <v>569</v>
      </c>
      <c r="B1209" s="2" t="s">
        <v>570</v>
      </c>
      <c r="C1209" s="10" t="n">
        <v>45895</v>
      </c>
      <c r="D1209" s="2" t="n">
        <f aca="false">MONTH(C1209)</f>
        <v>8</v>
      </c>
      <c r="E1209" s="2" t="s">
        <v>63</v>
      </c>
      <c r="F1209" s="2" t="s">
        <v>92</v>
      </c>
      <c r="G1209" s="2" t="s">
        <v>73</v>
      </c>
      <c r="H1209" s="2" t="s">
        <v>87</v>
      </c>
      <c r="I1209" s="2" t="n">
        <v>3</v>
      </c>
      <c r="J1209" s="11" t="n">
        <v>9000</v>
      </c>
      <c r="K1209" s="12" t="n">
        <v>0</v>
      </c>
      <c r="L1209" s="11" t="n">
        <v>6200</v>
      </c>
      <c r="M1209" s="11" t="n">
        <f aca="false">I1209*J1209*(1-K1209)</f>
        <v>27000</v>
      </c>
      <c r="N1209" s="11" t="n">
        <f aca="false">M1209-I1209*L1209</f>
        <v>8400</v>
      </c>
    </row>
    <row r="1210" customFormat="false" ht="15" hidden="false" customHeight="false" outlineLevel="0" collapsed="false">
      <c r="A1210" s="2" t="s">
        <v>1688</v>
      </c>
      <c r="B1210" s="2" t="s">
        <v>1686</v>
      </c>
      <c r="C1210" s="10" t="n">
        <v>45895</v>
      </c>
      <c r="D1210" s="2" t="n">
        <f aca="false">MONTH(C1210)</f>
        <v>8</v>
      </c>
      <c r="E1210" s="2" t="s">
        <v>91</v>
      </c>
      <c r="F1210" s="2" t="s">
        <v>92</v>
      </c>
      <c r="G1210" s="2" t="s">
        <v>70</v>
      </c>
      <c r="H1210" s="2" t="s">
        <v>71</v>
      </c>
      <c r="I1210" s="2" t="n">
        <v>6</v>
      </c>
      <c r="J1210" s="11" t="n">
        <v>2500</v>
      </c>
      <c r="K1210" s="12" t="n">
        <v>0</v>
      </c>
      <c r="L1210" s="11" t="n">
        <v>1600</v>
      </c>
      <c r="M1210" s="11" t="n">
        <f aca="false">I1210*J1210*(1-K1210)</f>
        <v>15000</v>
      </c>
      <c r="N1210" s="11" t="n">
        <f aca="false">M1210-I1210*L1210</f>
        <v>5400</v>
      </c>
    </row>
    <row r="1211" customFormat="false" ht="15" hidden="false" customHeight="false" outlineLevel="0" collapsed="false">
      <c r="A1211" s="2" t="s">
        <v>2193</v>
      </c>
      <c r="B1211" s="2" t="s">
        <v>2194</v>
      </c>
      <c r="C1211" s="10" t="n">
        <v>45895</v>
      </c>
      <c r="D1211" s="2" t="n">
        <f aca="false">MONTH(C1211)</f>
        <v>8</v>
      </c>
      <c r="E1211" s="2" t="s">
        <v>77</v>
      </c>
      <c r="F1211" s="2" t="s">
        <v>64</v>
      </c>
      <c r="G1211" s="2" t="s">
        <v>73</v>
      </c>
      <c r="H1211" s="2" t="s">
        <v>104</v>
      </c>
      <c r="I1211" s="2" t="n">
        <v>2</v>
      </c>
      <c r="J1211" s="11" t="n">
        <v>5500</v>
      </c>
      <c r="K1211" s="12" t="n">
        <v>0.05</v>
      </c>
      <c r="L1211" s="11" t="n">
        <v>3600</v>
      </c>
      <c r="M1211" s="11" t="n">
        <f aca="false">I1211*J1211*(1-K1211)</f>
        <v>10450</v>
      </c>
      <c r="N1211" s="11" t="n">
        <f aca="false">M1211-I1211*L1211</f>
        <v>3250</v>
      </c>
    </row>
    <row r="1212" customFormat="false" ht="15" hidden="false" customHeight="false" outlineLevel="0" collapsed="false">
      <c r="A1212" s="2" t="s">
        <v>2240</v>
      </c>
      <c r="B1212" s="2" t="s">
        <v>2237</v>
      </c>
      <c r="C1212" s="10" t="n">
        <v>45895</v>
      </c>
      <c r="D1212" s="2" t="n">
        <f aca="false">MONTH(C1212)</f>
        <v>8</v>
      </c>
      <c r="E1212" s="2" t="s">
        <v>77</v>
      </c>
      <c r="F1212" s="2" t="s">
        <v>64</v>
      </c>
      <c r="G1212" s="2" t="s">
        <v>65</v>
      </c>
      <c r="H1212" s="2" t="s">
        <v>107</v>
      </c>
      <c r="I1212" s="2" t="n">
        <v>5</v>
      </c>
      <c r="J1212" s="11" t="n">
        <v>500</v>
      </c>
      <c r="K1212" s="12" t="n">
        <v>0.1</v>
      </c>
      <c r="L1212" s="11" t="n">
        <v>250</v>
      </c>
      <c r="M1212" s="11" t="n">
        <f aca="false">I1212*J1212*(1-K1212)</f>
        <v>2250</v>
      </c>
      <c r="N1212" s="11" t="n">
        <f aca="false">M1212-I1212*L1212</f>
        <v>1000</v>
      </c>
    </row>
    <row r="1213" customFormat="false" ht="15" hidden="false" customHeight="false" outlineLevel="0" collapsed="false">
      <c r="A1213" s="2" t="s">
        <v>2261</v>
      </c>
      <c r="B1213" s="2" t="s">
        <v>2262</v>
      </c>
      <c r="C1213" s="10" t="n">
        <v>45895</v>
      </c>
      <c r="D1213" s="2" t="n">
        <f aca="false">MONTH(C1213)</f>
        <v>8</v>
      </c>
      <c r="E1213" s="2" t="s">
        <v>77</v>
      </c>
      <c r="F1213" s="2" t="s">
        <v>64</v>
      </c>
      <c r="G1213" s="2" t="s">
        <v>65</v>
      </c>
      <c r="H1213" s="2" t="s">
        <v>107</v>
      </c>
      <c r="I1213" s="2" t="n">
        <v>5</v>
      </c>
      <c r="J1213" s="11" t="n">
        <v>500</v>
      </c>
      <c r="K1213" s="12" t="n">
        <v>0.05</v>
      </c>
      <c r="L1213" s="11" t="n">
        <v>250</v>
      </c>
      <c r="M1213" s="11" t="n">
        <f aca="false">I1213*J1213*(1-K1213)</f>
        <v>2375</v>
      </c>
      <c r="N1213" s="11" t="n">
        <f aca="false">M1213-I1213*L1213</f>
        <v>1125</v>
      </c>
    </row>
    <row r="1214" customFormat="false" ht="15" hidden="false" customHeight="false" outlineLevel="0" collapsed="false">
      <c r="A1214" s="2" t="s">
        <v>2494</v>
      </c>
      <c r="B1214" s="2" t="s">
        <v>2495</v>
      </c>
      <c r="C1214" s="10" t="n">
        <v>45895</v>
      </c>
      <c r="D1214" s="2" t="n">
        <f aca="false">MONTH(C1214)</f>
        <v>8</v>
      </c>
      <c r="E1214" s="2" t="s">
        <v>91</v>
      </c>
      <c r="F1214" s="2" t="s">
        <v>64</v>
      </c>
      <c r="G1214" s="2" t="s">
        <v>70</v>
      </c>
      <c r="H1214" s="2" t="s">
        <v>122</v>
      </c>
      <c r="I1214" s="2" t="n">
        <v>3</v>
      </c>
      <c r="J1214" s="11" t="n">
        <v>1500</v>
      </c>
      <c r="K1214" s="12" t="n">
        <v>0</v>
      </c>
      <c r="L1214" s="11" t="n">
        <v>900</v>
      </c>
      <c r="M1214" s="11" t="n">
        <f aca="false">I1214*J1214*(1-K1214)</f>
        <v>4500</v>
      </c>
      <c r="N1214" s="11" t="n">
        <f aca="false">M1214-I1214*L1214</f>
        <v>1800</v>
      </c>
    </row>
    <row r="1215" customFormat="false" ht="15" hidden="false" customHeight="false" outlineLevel="0" collapsed="false">
      <c r="A1215" s="2" t="s">
        <v>2557</v>
      </c>
      <c r="B1215" s="2" t="s">
        <v>2549</v>
      </c>
      <c r="C1215" s="10" t="n">
        <v>45895</v>
      </c>
      <c r="D1215" s="2" t="n">
        <f aca="false">MONTH(C1215)</f>
        <v>8</v>
      </c>
      <c r="E1215" s="2" t="s">
        <v>91</v>
      </c>
      <c r="F1215" s="2" t="s">
        <v>64</v>
      </c>
      <c r="G1215" s="2" t="s">
        <v>70</v>
      </c>
      <c r="H1215" s="2" t="s">
        <v>97</v>
      </c>
      <c r="I1215" s="2" t="n">
        <v>3</v>
      </c>
      <c r="J1215" s="11" t="n">
        <v>3000</v>
      </c>
      <c r="K1215" s="12" t="n">
        <v>0.05</v>
      </c>
      <c r="L1215" s="11" t="n">
        <v>2000</v>
      </c>
      <c r="M1215" s="11" t="n">
        <f aca="false">I1215*J1215*(1-K1215)</f>
        <v>8550</v>
      </c>
      <c r="N1215" s="11" t="n">
        <f aca="false">M1215-I1215*L1215</f>
        <v>2550</v>
      </c>
    </row>
    <row r="1216" customFormat="false" ht="15" hidden="false" customHeight="false" outlineLevel="0" collapsed="false">
      <c r="A1216" s="2" t="s">
        <v>2714</v>
      </c>
      <c r="B1216" s="2" t="s">
        <v>2710</v>
      </c>
      <c r="C1216" s="10" t="n">
        <v>45895</v>
      </c>
      <c r="D1216" s="2" t="n">
        <f aca="false">MONTH(C1216)</f>
        <v>8</v>
      </c>
      <c r="E1216" s="2" t="s">
        <v>81</v>
      </c>
      <c r="F1216" s="2" t="s">
        <v>64</v>
      </c>
      <c r="G1216" s="2" t="s">
        <v>70</v>
      </c>
      <c r="H1216" s="2" t="s">
        <v>126</v>
      </c>
      <c r="I1216" s="2" t="n">
        <v>2</v>
      </c>
      <c r="J1216" s="11" t="n">
        <v>4500</v>
      </c>
      <c r="K1216" s="12" t="n">
        <v>0</v>
      </c>
      <c r="L1216" s="11" t="n">
        <v>3300</v>
      </c>
      <c r="M1216" s="11" t="n">
        <f aca="false">I1216*J1216*(1-K1216)</f>
        <v>9000</v>
      </c>
      <c r="N1216" s="11" t="n">
        <f aca="false">M1216-I1216*L1216</f>
        <v>2400</v>
      </c>
    </row>
    <row r="1217" customFormat="false" ht="15" hidden="false" customHeight="false" outlineLevel="0" collapsed="false">
      <c r="A1217" s="2" t="s">
        <v>315</v>
      </c>
      <c r="B1217" s="2" t="s">
        <v>310</v>
      </c>
      <c r="C1217" s="10" t="n">
        <v>45896</v>
      </c>
      <c r="D1217" s="2" t="n">
        <f aca="false">MONTH(C1217)</f>
        <v>8</v>
      </c>
      <c r="E1217" s="2" t="s">
        <v>91</v>
      </c>
      <c r="F1217" s="2" t="s">
        <v>69</v>
      </c>
      <c r="G1217" s="2" t="s">
        <v>73</v>
      </c>
      <c r="H1217" s="2" t="s">
        <v>85</v>
      </c>
      <c r="I1217" s="2" t="n">
        <v>3</v>
      </c>
      <c r="J1217" s="11" t="n">
        <v>1200</v>
      </c>
      <c r="K1217" s="12" t="n">
        <v>0.05</v>
      </c>
      <c r="L1217" s="11" t="n">
        <v>600</v>
      </c>
      <c r="M1217" s="11" t="n">
        <f aca="false">I1217*J1217*(1-K1217)</f>
        <v>3420</v>
      </c>
      <c r="N1217" s="11" t="n">
        <f aca="false">M1217-I1217*L1217</f>
        <v>1620</v>
      </c>
    </row>
    <row r="1218" customFormat="false" ht="15" hidden="false" customHeight="false" outlineLevel="0" collapsed="false">
      <c r="A1218" s="2" t="s">
        <v>1040</v>
      </c>
      <c r="B1218" s="2" t="s">
        <v>1041</v>
      </c>
      <c r="C1218" s="10" t="n">
        <v>45896</v>
      </c>
      <c r="D1218" s="2" t="n">
        <f aca="false">MONTH(C1218)</f>
        <v>8</v>
      </c>
      <c r="E1218" s="2" t="s">
        <v>81</v>
      </c>
      <c r="F1218" s="2" t="s">
        <v>64</v>
      </c>
      <c r="G1218" s="2" t="s">
        <v>65</v>
      </c>
      <c r="H1218" s="2" t="s">
        <v>66</v>
      </c>
      <c r="I1218" s="2" t="n">
        <v>6</v>
      </c>
      <c r="J1218" s="11" t="n">
        <v>600</v>
      </c>
      <c r="K1218" s="12" t="n">
        <v>0</v>
      </c>
      <c r="L1218" s="11" t="n">
        <v>300</v>
      </c>
      <c r="M1218" s="11" t="n">
        <f aca="false">I1218*J1218*(1-K1218)</f>
        <v>3600</v>
      </c>
      <c r="N1218" s="11" t="n">
        <f aca="false">M1218-I1218*L1218</f>
        <v>1800</v>
      </c>
    </row>
    <row r="1219" customFormat="false" ht="15" hidden="false" customHeight="false" outlineLevel="0" collapsed="false">
      <c r="A1219" s="2" t="s">
        <v>1450</v>
      </c>
      <c r="B1219" s="2" t="s">
        <v>1442</v>
      </c>
      <c r="C1219" s="10" t="n">
        <v>45896</v>
      </c>
      <c r="D1219" s="2" t="n">
        <f aca="false">MONTH(C1219)</f>
        <v>8</v>
      </c>
      <c r="E1219" s="2" t="s">
        <v>91</v>
      </c>
      <c r="F1219" s="2" t="s">
        <v>64</v>
      </c>
      <c r="G1219" s="2" t="s">
        <v>65</v>
      </c>
      <c r="H1219" s="2" t="s">
        <v>82</v>
      </c>
      <c r="I1219" s="2" t="n">
        <v>3</v>
      </c>
      <c r="J1219" s="11" t="n">
        <v>250</v>
      </c>
      <c r="K1219" s="12" t="n">
        <v>0</v>
      </c>
      <c r="L1219" s="11" t="n">
        <v>100</v>
      </c>
      <c r="M1219" s="11" t="n">
        <f aca="false">I1219*J1219*(1-K1219)</f>
        <v>750</v>
      </c>
      <c r="N1219" s="11" t="n">
        <f aca="false">M1219-I1219*L1219</f>
        <v>450</v>
      </c>
    </row>
    <row r="1220" customFormat="false" ht="15" hidden="false" customHeight="false" outlineLevel="0" collapsed="false">
      <c r="A1220" s="2" t="s">
        <v>1832</v>
      </c>
      <c r="B1220" s="2" t="s">
        <v>1833</v>
      </c>
      <c r="C1220" s="10" t="n">
        <v>45896</v>
      </c>
      <c r="D1220" s="2" t="n">
        <f aca="false">MONTH(C1220)</f>
        <v>8</v>
      </c>
      <c r="E1220" s="2" t="s">
        <v>77</v>
      </c>
      <c r="F1220" s="2" t="s">
        <v>69</v>
      </c>
      <c r="G1220" s="2" t="s">
        <v>65</v>
      </c>
      <c r="H1220" s="2" t="s">
        <v>107</v>
      </c>
      <c r="I1220" s="2" t="n">
        <v>18</v>
      </c>
      <c r="J1220" s="11" t="n">
        <v>500</v>
      </c>
      <c r="K1220" s="12" t="n">
        <v>0.1</v>
      </c>
      <c r="L1220" s="11" t="n">
        <v>250</v>
      </c>
      <c r="M1220" s="11" t="n">
        <f aca="false">I1220*J1220*(1-K1220)</f>
        <v>8100</v>
      </c>
      <c r="N1220" s="11" t="n">
        <f aca="false">M1220-I1220*L1220</f>
        <v>3600</v>
      </c>
    </row>
    <row r="1221" customFormat="false" ht="15" hidden="false" customHeight="false" outlineLevel="0" collapsed="false">
      <c r="A1221" s="2" t="s">
        <v>1949</v>
      </c>
      <c r="B1221" s="2" t="s">
        <v>1945</v>
      </c>
      <c r="C1221" s="10" t="n">
        <v>45896</v>
      </c>
      <c r="D1221" s="2" t="n">
        <f aca="false">MONTH(C1221)</f>
        <v>8</v>
      </c>
      <c r="E1221" s="2" t="s">
        <v>77</v>
      </c>
      <c r="F1221" s="2" t="s">
        <v>92</v>
      </c>
      <c r="G1221" s="2" t="s">
        <v>73</v>
      </c>
      <c r="H1221" s="2" t="s">
        <v>87</v>
      </c>
      <c r="I1221" s="2" t="n">
        <v>7</v>
      </c>
      <c r="J1221" s="11" t="n">
        <v>9000</v>
      </c>
      <c r="K1221" s="12" t="n">
        <v>0.15</v>
      </c>
      <c r="L1221" s="11" t="n">
        <v>6200</v>
      </c>
      <c r="M1221" s="11" t="n">
        <f aca="false">I1221*J1221*(1-K1221)</f>
        <v>53550</v>
      </c>
      <c r="N1221" s="11" t="n">
        <f aca="false">M1221-I1221*L1221</f>
        <v>10150</v>
      </c>
    </row>
    <row r="1222" customFormat="false" ht="15" hidden="false" customHeight="false" outlineLevel="0" collapsed="false">
      <c r="A1222" s="2" t="s">
        <v>2223</v>
      </c>
      <c r="B1222" s="2" t="s">
        <v>2224</v>
      </c>
      <c r="C1222" s="10" t="n">
        <v>45896</v>
      </c>
      <c r="D1222" s="2" t="n">
        <f aca="false">MONTH(C1222)</f>
        <v>8</v>
      </c>
      <c r="E1222" s="2" t="s">
        <v>63</v>
      </c>
      <c r="F1222" s="2" t="s">
        <v>69</v>
      </c>
      <c r="G1222" s="2" t="s">
        <v>65</v>
      </c>
      <c r="H1222" s="2" t="s">
        <v>78</v>
      </c>
      <c r="I1222" s="2" t="n">
        <v>15</v>
      </c>
      <c r="J1222" s="11" t="n">
        <v>400</v>
      </c>
      <c r="K1222" s="12" t="n">
        <v>0</v>
      </c>
      <c r="L1222" s="11" t="n">
        <v>200</v>
      </c>
      <c r="M1222" s="11" t="n">
        <f aca="false">I1222*J1222*(1-K1222)</f>
        <v>6000</v>
      </c>
      <c r="N1222" s="11" t="n">
        <f aca="false">M1222-I1222*L1222</f>
        <v>3000</v>
      </c>
    </row>
    <row r="1223" customFormat="false" ht="15" hidden="false" customHeight="false" outlineLevel="0" collapsed="false">
      <c r="A1223" s="2" t="s">
        <v>2555</v>
      </c>
      <c r="B1223" s="2" t="s">
        <v>2549</v>
      </c>
      <c r="C1223" s="10" t="n">
        <v>45896</v>
      </c>
      <c r="D1223" s="2" t="n">
        <f aca="false">MONTH(C1223)</f>
        <v>8</v>
      </c>
      <c r="E1223" s="2" t="s">
        <v>91</v>
      </c>
      <c r="F1223" s="2" t="s">
        <v>64</v>
      </c>
      <c r="G1223" s="2" t="s">
        <v>65</v>
      </c>
      <c r="H1223" s="2" t="s">
        <v>82</v>
      </c>
      <c r="I1223" s="2" t="n">
        <v>6</v>
      </c>
      <c r="J1223" s="11" t="n">
        <v>250</v>
      </c>
      <c r="K1223" s="12" t="n">
        <v>0</v>
      </c>
      <c r="L1223" s="11" t="n">
        <v>100</v>
      </c>
      <c r="M1223" s="11" t="n">
        <f aca="false">I1223*J1223*(1-K1223)</f>
        <v>1500</v>
      </c>
      <c r="N1223" s="11" t="n">
        <f aca="false">M1223-I1223*L1223</f>
        <v>900</v>
      </c>
    </row>
    <row r="1224" customFormat="false" ht="15" hidden="false" customHeight="false" outlineLevel="0" collapsed="false">
      <c r="A1224" s="2" t="s">
        <v>185</v>
      </c>
      <c r="B1224" s="2" t="s">
        <v>186</v>
      </c>
      <c r="C1224" s="10" t="n">
        <v>45897</v>
      </c>
      <c r="D1224" s="2" t="n">
        <f aca="false">MONTH(C1224)</f>
        <v>8</v>
      </c>
      <c r="E1224" s="2" t="s">
        <v>91</v>
      </c>
      <c r="F1224" s="2" t="s">
        <v>64</v>
      </c>
      <c r="G1224" s="2" t="s">
        <v>70</v>
      </c>
      <c r="H1224" s="2" t="s">
        <v>126</v>
      </c>
      <c r="I1224" s="2" t="n">
        <v>2</v>
      </c>
      <c r="J1224" s="11" t="n">
        <v>4500</v>
      </c>
      <c r="K1224" s="12" t="n">
        <v>0.05</v>
      </c>
      <c r="L1224" s="11" t="n">
        <v>3300</v>
      </c>
      <c r="M1224" s="11" t="n">
        <f aca="false">I1224*J1224*(1-K1224)</f>
        <v>8550</v>
      </c>
      <c r="N1224" s="11" t="n">
        <f aca="false">M1224-I1224*L1224</f>
        <v>1950</v>
      </c>
    </row>
    <row r="1225" customFormat="false" ht="15" hidden="false" customHeight="false" outlineLevel="0" collapsed="false">
      <c r="A1225" s="2" t="s">
        <v>1545</v>
      </c>
      <c r="B1225" s="2" t="s">
        <v>1546</v>
      </c>
      <c r="C1225" s="10" t="n">
        <v>45897</v>
      </c>
      <c r="D1225" s="2" t="n">
        <f aca="false">MONTH(C1225)</f>
        <v>8</v>
      </c>
      <c r="E1225" s="2" t="s">
        <v>77</v>
      </c>
      <c r="F1225" s="2" t="s">
        <v>92</v>
      </c>
      <c r="G1225" s="2" t="s">
        <v>73</v>
      </c>
      <c r="H1225" s="2" t="s">
        <v>74</v>
      </c>
      <c r="I1225" s="2" t="n">
        <v>5</v>
      </c>
      <c r="J1225" s="11" t="n">
        <v>7000</v>
      </c>
      <c r="K1225" s="12" t="n">
        <v>0</v>
      </c>
      <c r="L1225" s="11" t="n">
        <v>4800</v>
      </c>
      <c r="M1225" s="11" t="n">
        <f aca="false">I1225*J1225*(1-K1225)</f>
        <v>35000</v>
      </c>
      <c r="N1225" s="11" t="n">
        <f aca="false">M1225-I1225*L1225</f>
        <v>11000</v>
      </c>
    </row>
    <row r="1226" customFormat="false" ht="15" hidden="false" customHeight="false" outlineLevel="0" collapsed="false">
      <c r="A1226" s="2" t="s">
        <v>1892</v>
      </c>
      <c r="B1226" s="2" t="s">
        <v>1883</v>
      </c>
      <c r="C1226" s="10" t="n">
        <v>45897</v>
      </c>
      <c r="D1226" s="2" t="n">
        <f aca="false">MONTH(C1226)</f>
        <v>8</v>
      </c>
      <c r="E1226" s="2" t="s">
        <v>63</v>
      </c>
      <c r="F1226" s="2" t="s">
        <v>64</v>
      </c>
      <c r="G1226" s="2" t="s">
        <v>65</v>
      </c>
      <c r="H1226" s="2" t="s">
        <v>78</v>
      </c>
      <c r="I1226" s="2" t="n">
        <v>3</v>
      </c>
      <c r="J1226" s="11" t="n">
        <v>400</v>
      </c>
      <c r="K1226" s="12" t="n">
        <v>0</v>
      </c>
      <c r="L1226" s="11" t="n">
        <v>200</v>
      </c>
      <c r="M1226" s="11" t="n">
        <f aca="false">I1226*J1226*(1-K1226)</f>
        <v>1200</v>
      </c>
      <c r="N1226" s="11" t="n">
        <f aca="false">M1226-I1226*L1226</f>
        <v>600</v>
      </c>
    </row>
    <row r="1227" customFormat="false" ht="15" hidden="false" customHeight="false" outlineLevel="0" collapsed="false">
      <c r="A1227" s="2" t="s">
        <v>2144</v>
      </c>
      <c r="B1227" s="2" t="s">
        <v>2142</v>
      </c>
      <c r="C1227" s="10" t="n">
        <v>45897</v>
      </c>
      <c r="D1227" s="2" t="n">
        <f aca="false">MONTH(C1227)</f>
        <v>8</v>
      </c>
      <c r="E1227" s="2" t="s">
        <v>63</v>
      </c>
      <c r="F1227" s="2" t="s">
        <v>92</v>
      </c>
      <c r="G1227" s="2" t="s">
        <v>73</v>
      </c>
      <c r="H1227" s="2" t="s">
        <v>74</v>
      </c>
      <c r="I1227" s="2" t="n">
        <v>6</v>
      </c>
      <c r="J1227" s="11" t="n">
        <v>7000</v>
      </c>
      <c r="K1227" s="12" t="n">
        <v>0.1</v>
      </c>
      <c r="L1227" s="11" t="n">
        <v>4800</v>
      </c>
      <c r="M1227" s="11" t="n">
        <f aca="false">I1227*J1227*(1-K1227)</f>
        <v>37800</v>
      </c>
      <c r="N1227" s="11" t="n">
        <f aca="false">M1227-I1227*L1227</f>
        <v>9000</v>
      </c>
    </row>
    <row r="1228" customFormat="false" ht="15" hidden="false" customHeight="false" outlineLevel="0" collapsed="false">
      <c r="A1228" s="2" t="s">
        <v>2379</v>
      </c>
      <c r="B1228" s="2" t="s">
        <v>2380</v>
      </c>
      <c r="C1228" s="10" t="n">
        <v>45897</v>
      </c>
      <c r="D1228" s="2" t="n">
        <f aca="false">MONTH(C1228)</f>
        <v>8</v>
      </c>
      <c r="E1228" s="2" t="s">
        <v>81</v>
      </c>
      <c r="F1228" s="2" t="s">
        <v>64</v>
      </c>
      <c r="G1228" s="2" t="s">
        <v>73</v>
      </c>
      <c r="H1228" s="2" t="s">
        <v>87</v>
      </c>
      <c r="I1228" s="2" t="n">
        <v>3</v>
      </c>
      <c r="J1228" s="11" t="n">
        <v>9000</v>
      </c>
      <c r="K1228" s="12" t="n">
        <v>0.05</v>
      </c>
      <c r="L1228" s="11" t="n">
        <v>6200</v>
      </c>
      <c r="M1228" s="11" t="n">
        <f aca="false">I1228*J1228*(1-K1228)</f>
        <v>25650</v>
      </c>
      <c r="N1228" s="11" t="n">
        <f aca="false">M1228-I1228*L1228</f>
        <v>7050</v>
      </c>
    </row>
    <row r="1229" customFormat="false" ht="15" hidden="false" customHeight="false" outlineLevel="0" collapsed="false">
      <c r="A1229" s="2" t="s">
        <v>2516</v>
      </c>
      <c r="B1229" s="2" t="s">
        <v>2514</v>
      </c>
      <c r="C1229" s="10" t="n">
        <v>45897</v>
      </c>
      <c r="D1229" s="2" t="n">
        <f aca="false">MONTH(C1229)</f>
        <v>8</v>
      </c>
      <c r="E1229" s="2" t="s">
        <v>91</v>
      </c>
      <c r="F1229" s="2" t="s">
        <v>64</v>
      </c>
      <c r="G1229" s="2" t="s">
        <v>70</v>
      </c>
      <c r="H1229" s="2" t="s">
        <v>97</v>
      </c>
      <c r="I1229" s="2" t="n">
        <v>2</v>
      </c>
      <c r="J1229" s="11" t="n">
        <v>3000</v>
      </c>
      <c r="K1229" s="12" t="n">
        <v>0.1</v>
      </c>
      <c r="L1229" s="11" t="n">
        <v>2000</v>
      </c>
      <c r="M1229" s="11" t="n">
        <f aca="false">I1229*J1229*(1-K1229)</f>
        <v>5400</v>
      </c>
      <c r="N1229" s="11" t="n">
        <f aca="false">M1229-I1229*L1229</f>
        <v>1400</v>
      </c>
    </row>
    <row r="1230" customFormat="false" ht="15" hidden="false" customHeight="false" outlineLevel="0" collapsed="false">
      <c r="A1230" s="2" t="s">
        <v>2635</v>
      </c>
      <c r="B1230" s="2" t="s">
        <v>2629</v>
      </c>
      <c r="C1230" s="10" t="n">
        <v>45897</v>
      </c>
      <c r="D1230" s="2" t="n">
        <f aca="false">MONTH(C1230)</f>
        <v>8</v>
      </c>
      <c r="E1230" s="2" t="s">
        <v>91</v>
      </c>
      <c r="F1230" s="2" t="s">
        <v>69</v>
      </c>
      <c r="G1230" s="2" t="s">
        <v>73</v>
      </c>
      <c r="H1230" s="2" t="s">
        <v>87</v>
      </c>
      <c r="I1230" s="2" t="n">
        <v>4</v>
      </c>
      <c r="J1230" s="11" t="n">
        <v>9000</v>
      </c>
      <c r="K1230" s="12" t="n">
        <v>0</v>
      </c>
      <c r="L1230" s="11" t="n">
        <v>6200</v>
      </c>
      <c r="M1230" s="11" t="n">
        <f aca="false">I1230*J1230*(1-K1230)</f>
        <v>36000</v>
      </c>
      <c r="N1230" s="11" t="n">
        <f aca="false">M1230-I1230*L1230</f>
        <v>11200</v>
      </c>
    </row>
    <row r="1231" customFormat="false" ht="15" hidden="false" customHeight="false" outlineLevel="0" collapsed="false">
      <c r="A1231" s="2" t="s">
        <v>296</v>
      </c>
      <c r="B1231" s="2" t="s">
        <v>295</v>
      </c>
      <c r="C1231" s="10" t="n">
        <v>45901</v>
      </c>
      <c r="D1231" s="2" t="n">
        <f aca="false">MONTH(C1231)</f>
        <v>9</v>
      </c>
      <c r="E1231" s="2" t="s">
        <v>81</v>
      </c>
      <c r="F1231" s="2" t="s">
        <v>69</v>
      </c>
      <c r="G1231" s="2" t="s">
        <v>73</v>
      </c>
      <c r="H1231" s="2" t="s">
        <v>87</v>
      </c>
      <c r="I1231" s="2" t="n">
        <v>3</v>
      </c>
      <c r="J1231" s="11" t="n">
        <v>9000</v>
      </c>
      <c r="K1231" s="12" t="n">
        <v>0.1</v>
      </c>
      <c r="L1231" s="11" t="n">
        <v>6200</v>
      </c>
      <c r="M1231" s="11" t="n">
        <f aca="false">I1231*J1231*(1-K1231)</f>
        <v>24300</v>
      </c>
      <c r="N1231" s="11" t="n">
        <f aca="false">M1231-I1231*L1231</f>
        <v>5700</v>
      </c>
    </row>
    <row r="1232" customFormat="false" ht="15" hidden="false" customHeight="false" outlineLevel="0" collapsed="false">
      <c r="A1232" s="2" t="s">
        <v>465</v>
      </c>
      <c r="B1232" s="2" t="s">
        <v>466</v>
      </c>
      <c r="C1232" s="10" t="n">
        <v>45901</v>
      </c>
      <c r="D1232" s="2" t="n">
        <f aca="false">MONTH(C1232)</f>
        <v>9</v>
      </c>
      <c r="E1232" s="2" t="s">
        <v>63</v>
      </c>
      <c r="F1232" s="2" t="s">
        <v>64</v>
      </c>
      <c r="G1232" s="2" t="s">
        <v>70</v>
      </c>
      <c r="H1232" s="2" t="s">
        <v>122</v>
      </c>
      <c r="I1232" s="2" t="n">
        <v>3</v>
      </c>
      <c r="J1232" s="11" t="n">
        <v>1500</v>
      </c>
      <c r="K1232" s="12" t="n">
        <v>0.05</v>
      </c>
      <c r="L1232" s="11" t="n">
        <v>900</v>
      </c>
      <c r="M1232" s="11" t="n">
        <f aca="false">I1232*J1232*(1-K1232)</f>
        <v>4275</v>
      </c>
      <c r="N1232" s="11" t="n">
        <f aca="false">M1232-I1232*L1232</f>
        <v>1575</v>
      </c>
    </row>
    <row r="1233" customFormat="false" ht="15" hidden="false" customHeight="false" outlineLevel="0" collapsed="false">
      <c r="A1233" s="2" t="s">
        <v>2761</v>
      </c>
      <c r="B1233" s="2" t="s">
        <v>2762</v>
      </c>
      <c r="C1233" s="10" t="n">
        <v>45901</v>
      </c>
      <c r="D1233" s="2" t="n">
        <f aca="false">MONTH(C1233)</f>
        <v>9</v>
      </c>
      <c r="E1233" s="2" t="s">
        <v>63</v>
      </c>
      <c r="F1233" s="2" t="s">
        <v>64</v>
      </c>
      <c r="G1233" s="2" t="s">
        <v>70</v>
      </c>
      <c r="H1233" s="2" t="s">
        <v>126</v>
      </c>
      <c r="I1233" s="2" t="n">
        <v>1</v>
      </c>
      <c r="J1233" s="11" t="n">
        <v>4500</v>
      </c>
      <c r="K1233" s="12" t="n">
        <v>0</v>
      </c>
      <c r="L1233" s="11" t="n">
        <v>3300</v>
      </c>
      <c r="M1233" s="11" t="n">
        <f aca="false">I1233*J1233*(1-K1233)</f>
        <v>4500</v>
      </c>
      <c r="N1233" s="11" t="n">
        <f aca="false">M1233-I1233*L1233</f>
        <v>1200</v>
      </c>
    </row>
    <row r="1234" customFormat="false" ht="15" hidden="false" customHeight="false" outlineLevel="0" collapsed="false">
      <c r="A1234" s="2" t="s">
        <v>1013</v>
      </c>
      <c r="B1234" s="2" t="s">
        <v>1014</v>
      </c>
      <c r="C1234" s="10" t="n">
        <v>45902</v>
      </c>
      <c r="D1234" s="2" t="n">
        <f aca="false">MONTH(C1234)</f>
        <v>9</v>
      </c>
      <c r="E1234" s="2" t="s">
        <v>63</v>
      </c>
      <c r="F1234" s="2" t="s">
        <v>64</v>
      </c>
      <c r="G1234" s="2" t="s">
        <v>65</v>
      </c>
      <c r="H1234" s="2" t="s">
        <v>107</v>
      </c>
      <c r="I1234" s="2" t="n">
        <v>7</v>
      </c>
      <c r="J1234" s="11" t="n">
        <v>500</v>
      </c>
      <c r="K1234" s="12" t="n">
        <v>0</v>
      </c>
      <c r="L1234" s="11" t="n">
        <v>250</v>
      </c>
      <c r="M1234" s="11" t="n">
        <f aca="false">I1234*J1234*(1-K1234)</f>
        <v>3500</v>
      </c>
      <c r="N1234" s="11" t="n">
        <f aca="false">M1234-I1234*L1234</f>
        <v>1750</v>
      </c>
    </row>
    <row r="1235" customFormat="false" ht="15" hidden="false" customHeight="false" outlineLevel="0" collapsed="false">
      <c r="A1235" s="2" t="s">
        <v>1448</v>
      </c>
      <c r="B1235" s="2" t="s">
        <v>1442</v>
      </c>
      <c r="C1235" s="10" t="n">
        <v>45902</v>
      </c>
      <c r="D1235" s="2" t="n">
        <f aca="false">MONTH(C1235)</f>
        <v>9</v>
      </c>
      <c r="E1235" s="2" t="s">
        <v>91</v>
      </c>
      <c r="F1235" s="2" t="s">
        <v>64</v>
      </c>
      <c r="G1235" s="2" t="s">
        <v>65</v>
      </c>
      <c r="H1235" s="2" t="s">
        <v>82</v>
      </c>
      <c r="I1235" s="2" t="n">
        <v>4</v>
      </c>
      <c r="J1235" s="11" t="n">
        <v>250</v>
      </c>
      <c r="K1235" s="12" t="n">
        <v>0.1</v>
      </c>
      <c r="L1235" s="11" t="n">
        <v>100</v>
      </c>
      <c r="M1235" s="11" t="n">
        <f aca="false">I1235*J1235*(1-K1235)</f>
        <v>900</v>
      </c>
      <c r="N1235" s="11" t="n">
        <f aca="false">M1235-I1235*L1235</f>
        <v>500</v>
      </c>
    </row>
    <row r="1236" customFormat="false" ht="15" hidden="false" customHeight="false" outlineLevel="0" collapsed="false">
      <c r="A1236" s="2" t="s">
        <v>1654</v>
      </c>
      <c r="B1236" s="2" t="s">
        <v>1655</v>
      </c>
      <c r="C1236" s="10" t="n">
        <v>45902</v>
      </c>
      <c r="D1236" s="2" t="n">
        <f aca="false">MONTH(C1236)</f>
        <v>9</v>
      </c>
      <c r="E1236" s="2" t="s">
        <v>91</v>
      </c>
      <c r="F1236" s="2" t="s">
        <v>64</v>
      </c>
      <c r="G1236" s="2" t="s">
        <v>65</v>
      </c>
      <c r="H1236" s="2" t="s">
        <v>66</v>
      </c>
      <c r="I1236" s="2" t="n">
        <v>8</v>
      </c>
      <c r="J1236" s="11" t="n">
        <v>600</v>
      </c>
      <c r="K1236" s="12" t="n">
        <v>0</v>
      </c>
      <c r="L1236" s="11" t="n">
        <v>300</v>
      </c>
      <c r="M1236" s="11" t="n">
        <f aca="false">I1236*J1236*(1-K1236)</f>
        <v>4800</v>
      </c>
      <c r="N1236" s="11" t="n">
        <f aca="false">M1236-I1236*L1236</f>
        <v>2400</v>
      </c>
    </row>
    <row r="1237" customFormat="false" ht="15" hidden="false" customHeight="false" outlineLevel="0" collapsed="false">
      <c r="A1237" s="2" t="s">
        <v>1732</v>
      </c>
      <c r="B1237" s="2" t="s">
        <v>1729</v>
      </c>
      <c r="C1237" s="10" t="n">
        <v>45902</v>
      </c>
      <c r="D1237" s="2" t="n">
        <f aca="false">MONTH(C1237)</f>
        <v>9</v>
      </c>
      <c r="E1237" s="2" t="s">
        <v>91</v>
      </c>
      <c r="F1237" s="2" t="s">
        <v>69</v>
      </c>
      <c r="G1237" s="2" t="s">
        <v>70</v>
      </c>
      <c r="H1237" s="2" t="s">
        <v>97</v>
      </c>
      <c r="I1237" s="2" t="n">
        <v>5</v>
      </c>
      <c r="J1237" s="11" t="n">
        <v>3000</v>
      </c>
      <c r="K1237" s="12" t="n">
        <v>0</v>
      </c>
      <c r="L1237" s="11" t="n">
        <v>2000</v>
      </c>
      <c r="M1237" s="11" t="n">
        <f aca="false">I1237*J1237*(1-K1237)</f>
        <v>15000</v>
      </c>
      <c r="N1237" s="11" t="n">
        <f aca="false">M1237-I1237*L1237</f>
        <v>5000</v>
      </c>
    </row>
    <row r="1238" customFormat="false" ht="15" hidden="false" customHeight="false" outlineLevel="0" collapsed="false">
      <c r="A1238" s="2" t="s">
        <v>2978</v>
      </c>
      <c r="B1238" s="2" t="s">
        <v>2977</v>
      </c>
      <c r="C1238" s="10" t="n">
        <v>45902</v>
      </c>
      <c r="D1238" s="2" t="n">
        <f aca="false">MONTH(C1238)</f>
        <v>9</v>
      </c>
      <c r="E1238" s="2" t="s">
        <v>81</v>
      </c>
      <c r="F1238" s="2" t="s">
        <v>69</v>
      </c>
      <c r="G1238" s="2" t="s">
        <v>73</v>
      </c>
      <c r="H1238" s="2" t="s">
        <v>87</v>
      </c>
      <c r="I1238" s="2" t="n">
        <v>5</v>
      </c>
      <c r="J1238" s="11" t="n">
        <v>9000</v>
      </c>
      <c r="K1238" s="12" t="n">
        <v>0.1</v>
      </c>
      <c r="L1238" s="11" t="n">
        <v>6200</v>
      </c>
      <c r="M1238" s="11" t="n">
        <f aca="false">I1238*J1238*(1-K1238)</f>
        <v>40500</v>
      </c>
      <c r="N1238" s="11" t="n">
        <f aca="false">M1238-I1238*L1238</f>
        <v>9500</v>
      </c>
    </row>
    <row r="1239" customFormat="false" ht="15" hidden="false" customHeight="false" outlineLevel="0" collapsed="false">
      <c r="A1239" s="2" t="s">
        <v>313</v>
      </c>
      <c r="B1239" s="2" t="s">
        <v>310</v>
      </c>
      <c r="C1239" s="10" t="n">
        <v>45903</v>
      </c>
      <c r="D1239" s="2" t="n">
        <f aca="false">MONTH(C1239)</f>
        <v>9</v>
      </c>
      <c r="E1239" s="2" t="s">
        <v>91</v>
      </c>
      <c r="F1239" s="2" t="s">
        <v>69</v>
      </c>
      <c r="G1239" s="2" t="s">
        <v>70</v>
      </c>
      <c r="H1239" s="2" t="s">
        <v>97</v>
      </c>
      <c r="I1239" s="2" t="n">
        <v>3</v>
      </c>
      <c r="J1239" s="11" t="n">
        <v>3000</v>
      </c>
      <c r="K1239" s="12" t="n">
        <v>0</v>
      </c>
      <c r="L1239" s="11" t="n">
        <v>2000</v>
      </c>
      <c r="M1239" s="11" t="n">
        <f aca="false">I1239*J1239*(1-K1239)</f>
        <v>9000</v>
      </c>
      <c r="N1239" s="11" t="n">
        <f aca="false">M1239-I1239*L1239</f>
        <v>3000</v>
      </c>
    </row>
    <row r="1240" customFormat="false" ht="15" hidden="false" customHeight="false" outlineLevel="0" collapsed="false">
      <c r="A1240" s="2" t="s">
        <v>452</v>
      </c>
      <c r="B1240" s="2" t="s">
        <v>450</v>
      </c>
      <c r="C1240" s="10" t="n">
        <v>45903</v>
      </c>
      <c r="D1240" s="2" t="n">
        <f aca="false">MONTH(C1240)</f>
        <v>9</v>
      </c>
      <c r="E1240" s="2" t="s">
        <v>77</v>
      </c>
      <c r="F1240" s="2" t="s">
        <v>64</v>
      </c>
      <c r="G1240" s="2" t="s">
        <v>70</v>
      </c>
      <c r="H1240" s="2" t="s">
        <v>122</v>
      </c>
      <c r="I1240" s="2" t="n">
        <v>1</v>
      </c>
      <c r="J1240" s="11" t="n">
        <v>1500</v>
      </c>
      <c r="K1240" s="12" t="n">
        <v>0.1</v>
      </c>
      <c r="L1240" s="11" t="n">
        <v>900</v>
      </c>
      <c r="M1240" s="11" t="n">
        <f aca="false">I1240*J1240*(1-K1240)</f>
        <v>1350</v>
      </c>
      <c r="N1240" s="11" t="n">
        <f aca="false">M1240-I1240*L1240</f>
        <v>450</v>
      </c>
    </row>
    <row r="1241" customFormat="false" ht="15" hidden="false" customHeight="false" outlineLevel="0" collapsed="false">
      <c r="A1241" s="2" t="s">
        <v>1618</v>
      </c>
      <c r="B1241" s="2" t="s">
        <v>1609</v>
      </c>
      <c r="C1241" s="10" t="n">
        <v>45903</v>
      </c>
      <c r="D1241" s="2" t="n">
        <f aca="false">MONTH(C1241)</f>
        <v>9</v>
      </c>
      <c r="E1241" s="2" t="s">
        <v>81</v>
      </c>
      <c r="F1241" s="2" t="s">
        <v>92</v>
      </c>
      <c r="G1241" s="2" t="s">
        <v>70</v>
      </c>
      <c r="H1241" s="2" t="s">
        <v>71</v>
      </c>
      <c r="I1241" s="2" t="n">
        <v>2</v>
      </c>
      <c r="J1241" s="11" t="n">
        <v>2500</v>
      </c>
      <c r="K1241" s="12" t="n">
        <v>0</v>
      </c>
      <c r="L1241" s="11" t="n">
        <v>1600</v>
      </c>
      <c r="M1241" s="11" t="n">
        <f aca="false">I1241*J1241*(1-K1241)</f>
        <v>5000</v>
      </c>
      <c r="N1241" s="11" t="n">
        <f aca="false">M1241-I1241*L1241</f>
        <v>1800</v>
      </c>
    </row>
    <row r="1242" customFormat="false" ht="15" hidden="false" customHeight="false" outlineLevel="0" collapsed="false">
      <c r="A1242" s="2" t="s">
        <v>1711</v>
      </c>
      <c r="B1242" s="2" t="s">
        <v>1712</v>
      </c>
      <c r="C1242" s="10" t="n">
        <v>45903</v>
      </c>
      <c r="D1242" s="2" t="n">
        <f aca="false">MONTH(C1242)</f>
        <v>9</v>
      </c>
      <c r="E1242" s="2" t="s">
        <v>81</v>
      </c>
      <c r="F1242" s="2" t="s">
        <v>64</v>
      </c>
      <c r="G1242" s="2" t="s">
        <v>70</v>
      </c>
      <c r="H1242" s="2" t="s">
        <v>97</v>
      </c>
      <c r="I1242" s="2" t="n">
        <v>2</v>
      </c>
      <c r="J1242" s="11" t="n">
        <v>3000</v>
      </c>
      <c r="K1242" s="12" t="n">
        <v>0</v>
      </c>
      <c r="L1242" s="11" t="n">
        <v>2000</v>
      </c>
      <c r="M1242" s="11" t="n">
        <f aca="false">I1242*J1242*(1-K1242)</f>
        <v>6000</v>
      </c>
      <c r="N1242" s="11" t="n">
        <f aca="false">M1242-I1242*L1242</f>
        <v>2000</v>
      </c>
    </row>
    <row r="1243" customFormat="false" ht="15" hidden="false" customHeight="false" outlineLevel="0" collapsed="false">
      <c r="A1243" s="2" t="s">
        <v>1933</v>
      </c>
      <c r="B1243" s="2" t="s">
        <v>1931</v>
      </c>
      <c r="C1243" s="10" t="n">
        <v>45903</v>
      </c>
      <c r="D1243" s="2" t="n">
        <f aca="false">MONTH(C1243)</f>
        <v>9</v>
      </c>
      <c r="E1243" s="2" t="s">
        <v>77</v>
      </c>
      <c r="F1243" s="2" t="s">
        <v>69</v>
      </c>
      <c r="G1243" s="2" t="s">
        <v>70</v>
      </c>
      <c r="H1243" s="2" t="s">
        <v>97</v>
      </c>
      <c r="I1243" s="2" t="n">
        <v>3</v>
      </c>
      <c r="J1243" s="11" t="n">
        <v>3000</v>
      </c>
      <c r="K1243" s="12" t="n">
        <v>0.1</v>
      </c>
      <c r="L1243" s="11" t="n">
        <v>2000</v>
      </c>
      <c r="M1243" s="11" t="n">
        <f aca="false">I1243*J1243*(1-K1243)</f>
        <v>8100</v>
      </c>
      <c r="N1243" s="11" t="n">
        <f aca="false">M1243-I1243*L1243</f>
        <v>2100</v>
      </c>
    </row>
    <row r="1244" customFormat="false" ht="15" hidden="false" customHeight="false" outlineLevel="0" collapsed="false">
      <c r="A1244" s="2" t="s">
        <v>2229</v>
      </c>
      <c r="B1244" s="2" t="s">
        <v>2230</v>
      </c>
      <c r="C1244" s="10" t="n">
        <v>45903</v>
      </c>
      <c r="D1244" s="2" t="n">
        <f aca="false">MONTH(C1244)</f>
        <v>9</v>
      </c>
      <c r="E1244" s="2" t="s">
        <v>77</v>
      </c>
      <c r="F1244" s="2" t="s">
        <v>64</v>
      </c>
      <c r="G1244" s="2" t="s">
        <v>70</v>
      </c>
      <c r="H1244" s="2" t="s">
        <v>122</v>
      </c>
      <c r="I1244" s="2" t="n">
        <v>2</v>
      </c>
      <c r="J1244" s="11" t="n">
        <v>1500</v>
      </c>
      <c r="K1244" s="12" t="n">
        <v>0</v>
      </c>
      <c r="L1244" s="11" t="n">
        <v>900</v>
      </c>
      <c r="M1244" s="11" t="n">
        <f aca="false">I1244*J1244*(1-K1244)</f>
        <v>3000</v>
      </c>
      <c r="N1244" s="11" t="n">
        <f aca="false">M1244-I1244*L1244</f>
        <v>1200</v>
      </c>
    </row>
    <row r="1245" customFormat="false" ht="15" hidden="false" customHeight="false" outlineLevel="0" collapsed="false">
      <c r="A1245" s="2" t="s">
        <v>2339</v>
      </c>
      <c r="B1245" s="2" t="s">
        <v>2337</v>
      </c>
      <c r="C1245" s="10" t="n">
        <v>45903</v>
      </c>
      <c r="D1245" s="2" t="n">
        <f aca="false">MONTH(C1245)</f>
        <v>9</v>
      </c>
      <c r="E1245" s="2" t="s">
        <v>63</v>
      </c>
      <c r="F1245" s="2" t="s">
        <v>69</v>
      </c>
      <c r="G1245" s="2" t="s">
        <v>73</v>
      </c>
      <c r="H1245" s="2" t="s">
        <v>87</v>
      </c>
      <c r="I1245" s="2" t="n">
        <v>2</v>
      </c>
      <c r="J1245" s="11" t="n">
        <v>9000</v>
      </c>
      <c r="K1245" s="12" t="n">
        <v>0.05</v>
      </c>
      <c r="L1245" s="11" t="n">
        <v>6200</v>
      </c>
      <c r="M1245" s="11" t="n">
        <f aca="false">I1245*J1245*(1-K1245)</f>
        <v>17100</v>
      </c>
      <c r="N1245" s="11" t="n">
        <f aca="false">M1245-I1245*L1245</f>
        <v>4700</v>
      </c>
    </row>
    <row r="1246" customFormat="false" ht="15" hidden="false" customHeight="false" outlineLevel="0" collapsed="false">
      <c r="A1246" s="2" t="s">
        <v>378</v>
      </c>
      <c r="B1246" s="2" t="s">
        <v>376</v>
      </c>
      <c r="C1246" s="10" t="n">
        <v>45904</v>
      </c>
      <c r="D1246" s="2" t="n">
        <f aca="false">MONTH(C1246)</f>
        <v>9</v>
      </c>
      <c r="E1246" s="2" t="s">
        <v>77</v>
      </c>
      <c r="F1246" s="2" t="s">
        <v>64</v>
      </c>
      <c r="G1246" s="2" t="s">
        <v>65</v>
      </c>
      <c r="H1246" s="2" t="s">
        <v>107</v>
      </c>
      <c r="I1246" s="2" t="n">
        <v>6</v>
      </c>
      <c r="J1246" s="11" t="n">
        <v>500</v>
      </c>
      <c r="K1246" s="12" t="n">
        <v>0</v>
      </c>
      <c r="L1246" s="11" t="n">
        <v>250</v>
      </c>
      <c r="M1246" s="11" t="n">
        <f aca="false">I1246*J1246*(1-K1246)</f>
        <v>3000</v>
      </c>
      <c r="N1246" s="11" t="n">
        <f aca="false">M1246-I1246*L1246</f>
        <v>1500</v>
      </c>
    </row>
    <row r="1247" customFormat="false" ht="15" hidden="false" customHeight="false" outlineLevel="0" collapsed="false">
      <c r="A1247" s="2" t="s">
        <v>726</v>
      </c>
      <c r="B1247" s="2" t="s">
        <v>725</v>
      </c>
      <c r="C1247" s="10" t="n">
        <v>45904</v>
      </c>
      <c r="D1247" s="2" t="n">
        <f aca="false">MONTH(C1247)</f>
        <v>9</v>
      </c>
      <c r="E1247" s="2" t="s">
        <v>77</v>
      </c>
      <c r="F1247" s="2" t="s">
        <v>64</v>
      </c>
      <c r="G1247" s="2" t="s">
        <v>65</v>
      </c>
      <c r="H1247" s="2" t="s">
        <v>66</v>
      </c>
      <c r="I1247" s="2" t="n">
        <v>2</v>
      </c>
      <c r="J1247" s="11" t="n">
        <v>600</v>
      </c>
      <c r="K1247" s="12" t="n">
        <v>0</v>
      </c>
      <c r="L1247" s="11" t="n">
        <v>300</v>
      </c>
      <c r="M1247" s="11" t="n">
        <f aca="false">I1247*J1247*(1-K1247)</f>
        <v>1200</v>
      </c>
      <c r="N1247" s="11" t="n">
        <f aca="false">M1247-I1247*L1247</f>
        <v>600</v>
      </c>
    </row>
    <row r="1248" customFormat="false" ht="15" hidden="false" customHeight="false" outlineLevel="0" collapsed="false">
      <c r="A1248" s="2" t="s">
        <v>1444</v>
      </c>
      <c r="B1248" s="2" t="s">
        <v>1442</v>
      </c>
      <c r="C1248" s="10" t="n">
        <v>45904</v>
      </c>
      <c r="D1248" s="2" t="n">
        <f aca="false">MONTH(C1248)</f>
        <v>9</v>
      </c>
      <c r="E1248" s="2" t="s">
        <v>91</v>
      </c>
      <c r="F1248" s="2" t="s">
        <v>64</v>
      </c>
      <c r="G1248" s="2" t="s">
        <v>65</v>
      </c>
      <c r="H1248" s="2" t="s">
        <v>82</v>
      </c>
      <c r="I1248" s="2" t="n">
        <v>4</v>
      </c>
      <c r="J1248" s="11" t="n">
        <v>250</v>
      </c>
      <c r="K1248" s="12" t="n">
        <v>0</v>
      </c>
      <c r="L1248" s="11" t="n">
        <v>100</v>
      </c>
      <c r="M1248" s="11" t="n">
        <f aca="false">I1248*J1248*(1-K1248)</f>
        <v>1000</v>
      </c>
      <c r="N1248" s="11" t="n">
        <f aca="false">M1248-I1248*L1248</f>
        <v>600</v>
      </c>
    </row>
    <row r="1249" customFormat="false" ht="15" hidden="false" customHeight="false" outlineLevel="0" collapsed="false">
      <c r="A1249" s="2" t="s">
        <v>1552</v>
      </c>
      <c r="B1249" s="2" t="s">
        <v>1553</v>
      </c>
      <c r="C1249" s="10" t="n">
        <v>45904</v>
      </c>
      <c r="D1249" s="2" t="n">
        <f aca="false">MONTH(C1249)</f>
        <v>9</v>
      </c>
      <c r="E1249" s="2" t="s">
        <v>91</v>
      </c>
      <c r="F1249" s="2" t="s">
        <v>92</v>
      </c>
      <c r="G1249" s="2" t="s">
        <v>70</v>
      </c>
      <c r="H1249" s="2" t="s">
        <v>71</v>
      </c>
      <c r="I1249" s="2" t="n">
        <v>6</v>
      </c>
      <c r="J1249" s="11" t="n">
        <v>2500</v>
      </c>
      <c r="K1249" s="12" t="n">
        <v>0.1</v>
      </c>
      <c r="L1249" s="11" t="n">
        <v>1600</v>
      </c>
      <c r="M1249" s="11" t="n">
        <f aca="false">I1249*J1249*(1-K1249)</f>
        <v>13500</v>
      </c>
      <c r="N1249" s="11" t="n">
        <f aca="false">M1249-I1249*L1249</f>
        <v>3900</v>
      </c>
    </row>
    <row r="1250" customFormat="false" ht="15" hidden="false" customHeight="false" outlineLevel="0" collapsed="false">
      <c r="A1250" s="2" t="s">
        <v>1670</v>
      </c>
      <c r="B1250" s="2" t="s">
        <v>1664</v>
      </c>
      <c r="C1250" s="10" t="n">
        <v>45904</v>
      </c>
      <c r="D1250" s="2" t="n">
        <f aca="false">MONTH(C1250)</f>
        <v>9</v>
      </c>
      <c r="E1250" s="2" t="s">
        <v>81</v>
      </c>
      <c r="F1250" s="2" t="s">
        <v>92</v>
      </c>
      <c r="G1250" s="2" t="s">
        <v>73</v>
      </c>
      <c r="H1250" s="2" t="s">
        <v>85</v>
      </c>
      <c r="I1250" s="2" t="n">
        <v>2</v>
      </c>
      <c r="J1250" s="11" t="n">
        <v>1200</v>
      </c>
      <c r="K1250" s="12" t="n">
        <v>0.15</v>
      </c>
      <c r="L1250" s="11" t="n">
        <v>600</v>
      </c>
      <c r="M1250" s="11" t="n">
        <f aca="false">I1250*J1250*(1-K1250)</f>
        <v>2040</v>
      </c>
      <c r="N1250" s="11" t="n">
        <f aca="false">M1250-I1250*L1250</f>
        <v>840</v>
      </c>
    </row>
    <row r="1251" customFormat="false" ht="15" hidden="false" customHeight="false" outlineLevel="0" collapsed="false">
      <c r="A1251" s="2" t="s">
        <v>1675</v>
      </c>
      <c r="B1251" s="2" t="s">
        <v>1664</v>
      </c>
      <c r="C1251" s="10" t="n">
        <v>45904</v>
      </c>
      <c r="D1251" s="2" t="n">
        <f aca="false">MONTH(C1251)</f>
        <v>9</v>
      </c>
      <c r="E1251" s="2" t="s">
        <v>81</v>
      </c>
      <c r="F1251" s="2" t="s">
        <v>92</v>
      </c>
      <c r="G1251" s="2" t="s">
        <v>73</v>
      </c>
      <c r="H1251" s="2" t="s">
        <v>74</v>
      </c>
      <c r="I1251" s="2" t="n">
        <v>7</v>
      </c>
      <c r="J1251" s="11" t="n">
        <v>7000</v>
      </c>
      <c r="K1251" s="12" t="n">
        <v>0.15</v>
      </c>
      <c r="L1251" s="11" t="n">
        <v>4800</v>
      </c>
      <c r="M1251" s="11" t="n">
        <f aca="false">I1251*J1251*(1-K1251)</f>
        <v>41650</v>
      </c>
      <c r="N1251" s="11" t="n">
        <f aca="false">M1251-I1251*L1251</f>
        <v>8050</v>
      </c>
    </row>
    <row r="1252" customFormat="false" ht="15" hidden="false" customHeight="false" outlineLevel="0" collapsed="false">
      <c r="A1252" s="2" t="s">
        <v>1748</v>
      </c>
      <c r="B1252" s="2" t="s">
        <v>1745</v>
      </c>
      <c r="C1252" s="10" t="n">
        <v>45904</v>
      </c>
      <c r="D1252" s="2" t="n">
        <f aca="false">MONTH(C1252)</f>
        <v>9</v>
      </c>
      <c r="E1252" s="2" t="s">
        <v>81</v>
      </c>
      <c r="F1252" s="2" t="s">
        <v>64</v>
      </c>
      <c r="G1252" s="2" t="s">
        <v>73</v>
      </c>
      <c r="H1252" s="2" t="s">
        <v>87</v>
      </c>
      <c r="I1252" s="2" t="n">
        <v>1</v>
      </c>
      <c r="J1252" s="11" t="n">
        <v>9000</v>
      </c>
      <c r="K1252" s="12" t="n">
        <v>0.05</v>
      </c>
      <c r="L1252" s="11" t="n">
        <v>6200</v>
      </c>
      <c r="M1252" s="11" t="n">
        <f aca="false">I1252*J1252*(1-K1252)</f>
        <v>8550</v>
      </c>
      <c r="N1252" s="11" t="n">
        <f aca="false">M1252-I1252*L1252</f>
        <v>2350</v>
      </c>
    </row>
    <row r="1253" customFormat="false" ht="15" hidden="false" customHeight="false" outlineLevel="0" collapsed="false">
      <c r="A1253" s="2" t="s">
        <v>2038</v>
      </c>
      <c r="B1253" s="2" t="s">
        <v>2034</v>
      </c>
      <c r="C1253" s="10" t="n">
        <v>45904</v>
      </c>
      <c r="D1253" s="2" t="n">
        <f aca="false">MONTH(C1253)</f>
        <v>9</v>
      </c>
      <c r="E1253" s="2" t="s">
        <v>63</v>
      </c>
      <c r="F1253" s="2" t="s">
        <v>69</v>
      </c>
      <c r="G1253" s="2" t="s">
        <v>65</v>
      </c>
      <c r="H1253" s="2" t="s">
        <v>82</v>
      </c>
      <c r="I1253" s="2" t="n">
        <v>17</v>
      </c>
      <c r="J1253" s="11" t="n">
        <v>250</v>
      </c>
      <c r="K1253" s="12" t="n">
        <v>0</v>
      </c>
      <c r="L1253" s="11" t="n">
        <v>100</v>
      </c>
      <c r="M1253" s="11" t="n">
        <f aca="false">I1253*J1253*(1-K1253)</f>
        <v>4250</v>
      </c>
      <c r="N1253" s="11" t="n">
        <f aca="false">M1253-I1253*L1253</f>
        <v>2550</v>
      </c>
    </row>
    <row r="1254" customFormat="false" ht="15" hidden="false" customHeight="false" outlineLevel="0" collapsed="false">
      <c r="A1254" s="2" t="s">
        <v>2256</v>
      </c>
      <c r="B1254" s="2" t="s">
        <v>2257</v>
      </c>
      <c r="C1254" s="10" t="n">
        <v>45904</v>
      </c>
      <c r="D1254" s="2" t="n">
        <f aca="false">MONTH(C1254)</f>
        <v>9</v>
      </c>
      <c r="E1254" s="2" t="s">
        <v>91</v>
      </c>
      <c r="F1254" s="2" t="s">
        <v>64</v>
      </c>
      <c r="G1254" s="2" t="s">
        <v>65</v>
      </c>
      <c r="H1254" s="2" t="s">
        <v>107</v>
      </c>
      <c r="I1254" s="2" t="n">
        <v>3</v>
      </c>
      <c r="J1254" s="11" t="n">
        <v>500</v>
      </c>
      <c r="K1254" s="12" t="n">
        <v>0</v>
      </c>
      <c r="L1254" s="11" t="n">
        <v>250</v>
      </c>
      <c r="M1254" s="11" t="n">
        <f aca="false">I1254*J1254*(1-K1254)</f>
        <v>1500</v>
      </c>
      <c r="N1254" s="11" t="n">
        <f aca="false">M1254-I1254*L1254</f>
        <v>750</v>
      </c>
    </row>
    <row r="1255" customFormat="false" ht="15" hidden="false" customHeight="false" outlineLevel="0" collapsed="false">
      <c r="A1255" s="2" t="s">
        <v>2451</v>
      </c>
      <c r="B1255" s="2" t="s">
        <v>2449</v>
      </c>
      <c r="C1255" s="10" t="n">
        <v>45904</v>
      </c>
      <c r="D1255" s="2" t="n">
        <f aca="false">MONTH(C1255)</f>
        <v>9</v>
      </c>
      <c r="E1255" s="2" t="s">
        <v>63</v>
      </c>
      <c r="F1255" s="2" t="s">
        <v>69</v>
      </c>
      <c r="G1255" s="2" t="s">
        <v>70</v>
      </c>
      <c r="H1255" s="2" t="s">
        <v>71</v>
      </c>
      <c r="I1255" s="2" t="n">
        <v>2</v>
      </c>
      <c r="J1255" s="11" t="n">
        <v>2500</v>
      </c>
      <c r="K1255" s="12" t="n">
        <v>0</v>
      </c>
      <c r="L1255" s="11" t="n">
        <v>1600</v>
      </c>
      <c r="M1255" s="11" t="n">
        <f aca="false">I1255*J1255*(1-K1255)</f>
        <v>5000</v>
      </c>
      <c r="N1255" s="11" t="n">
        <f aca="false">M1255-I1255*L1255</f>
        <v>1800</v>
      </c>
    </row>
    <row r="1256" customFormat="false" ht="15" hidden="false" customHeight="false" outlineLevel="0" collapsed="false">
      <c r="A1256" s="2" t="s">
        <v>2711</v>
      </c>
      <c r="B1256" s="2" t="s">
        <v>2710</v>
      </c>
      <c r="C1256" s="10" t="n">
        <v>45904</v>
      </c>
      <c r="D1256" s="2" t="n">
        <f aca="false">MONTH(C1256)</f>
        <v>9</v>
      </c>
      <c r="E1256" s="2" t="s">
        <v>81</v>
      </c>
      <c r="F1256" s="2" t="s">
        <v>64</v>
      </c>
      <c r="G1256" s="2" t="s">
        <v>65</v>
      </c>
      <c r="H1256" s="2" t="s">
        <v>82</v>
      </c>
      <c r="I1256" s="2" t="n">
        <v>2</v>
      </c>
      <c r="J1256" s="11" t="n">
        <v>250</v>
      </c>
      <c r="K1256" s="12" t="n">
        <v>0</v>
      </c>
      <c r="L1256" s="11" t="n">
        <v>100</v>
      </c>
      <c r="M1256" s="11" t="n">
        <f aca="false">I1256*J1256*(1-K1256)</f>
        <v>500</v>
      </c>
      <c r="N1256" s="11" t="n">
        <f aca="false">M1256-I1256*L1256</f>
        <v>300</v>
      </c>
    </row>
    <row r="1257" customFormat="false" ht="15" hidden="false" customHeight="false" outlineLevel="0" collapsed="false">
      <c r="A1257" s="2" t="s">
        <v>2995</v>
      </c>
      <c r="B1257" s="2" t="s">
        <v>2993</v>
      </c>
      <c r="C1257" s="10" t="n">
        <v>45904</v>
      </c>
      <c r="D1257" s="2" t="n">
        <f aca="false">MONTH(C1257)</f>
        <v>9</v>
      </c>
      <c r="E1257" s="2" t="s">
        <v>91</v>
      </c>
      <c r="F1257" s="2" t="s">
        <v>92</v>
      </c>
      <c r="G1257" s="2" t="s">
        <v>65</v>
      </c>
      <c r="H1257" s="2" t="s">
        <v>78</v>
      </c>
      <c r="I1257" s="2" t="n">
        <v>30</v>
      </c>
      <c r="J1257" s="11" t="n">
        <v>400</v>
      </c>
      <c r="K1257" s="12" t="n">
        <v>0.15</v>
      </c>
      <c r="L1257" s="11" t="n">
        <v>200</v>
      </c>
      <c r="M1257" s="11" t="n">
        <f aca="false">I1257*J1257*(1-K1257)</f>
        <v>10200</v>
      </c>
      <c r="N1257" s="11" t="n">
        <f aca="false">M1257-I1257*L1257</f>
        <v>4200</v>
      </c>
    </row>
    <row r="1258" customFormat="false" ht="15" hidden="false" customHeight="false" outlineLevel="0" collapsed="false">
      <c r="A1258" s="2" t="s">
        <v>624</v>
      </c>
      <c r="B1258" s="2" t="s">
        <v>625</v>
      </c>
      <c r="C1258" s="10" t="n">
        <v>45905</v>
      </c>
      <c r="D1258" s="2" t="n">
        <f aca="false">MONTH(C1258)</f>
        <v>9</v>
      </c>
      <c r="E1258" s="2" t="s">
        <v>77</v>
      </c>
      <c r="F1258" s="2" t="s">
        <v>64</v>
      </c>
      <c r="G1258" s="2" t="s">
        <v>73</v>
      </c>
      <c r="H1258" s="2" t="s">
        <v>74</v>
      </c>
      <c r="I1258" s="2" t="n">
        <v>2</v>
      </c>
      <c r="J1258" s="11" t="n">
        <v>7000</v>
      </c>
      <c r="K1258" s="12" t="n">
        <v>0</v>
      </c>
      <c r="L1258" s="11" t="n">
        <v>4800</v>
      </c>
      <c r="M1258" s="11" t="n">
        <f aca="false">I1258*J1258*(1-K1258)</f>
        <v>14000</v>
      </c>
      <c r="N1258" s="11" t="n">
        <f aca="false">M1258-I1258*L1258</f>
        <v>4400</v>
      </c>
    </row>
    <row r="1259" customFormat="false" ht="15" hidden="false" customHeight="false" outlineLevel="0" collapsed="false">
      <c r="A1259" s="2" t="s">
        <v>661</v>
      </c>
      <c r="B1259" s="2" t="s">
        <v>660</v>
      </c>
      <c r="C1259" s="10" t="n">
        <v>45905</v>
      </c>
      <c r="D1259" s="2" t="n">
        <f aca="false">MONTH(C1259)</f>
        <v>9</v>
      </c>
      <c r="E1259" s="2" t="s">
        <v>81</v>
      </c>
      <c r="F1259" s="2" t="s">
        <v>92</v>
      </c>
      <c r="G1259" s="2" t="s">
        <v>73</v>
      </c>
      <c r="H1259" s="2" t="s">
        <v>87</v>
      </c>
      <c r="I1259" s="2" t="n">
        <v>7</v>
      </c>
      <c r="J1259" s="11" t="n">
        <v>9000</v>
      </c>
      <c r="K1259" s="12" t="n">
        <v>0.1</v>
      </c>
      <c r="L1259" s="11" t="n">
        <v>6200</v>
      </c>
      <c r="M1259" s="11" t="n">
        <f aca="false">I1259*J1259*(1-K1259)</f>
        <v>56700</v>
      </c>
      <c r="N1259" s="11" t="n">
        <f aca="false">M1259-I1259*L1259</f>
        <v>13300</v>
      </c>
    </row>
    <row r="1260" customFormat="false" ht="15" hidden="false" customHeight="false" outlineLevel="0" collapsed="false">
      <c r="A1260" s="2" t="s">
        <v>1181</v>
      </c>
      <c r="B1260" s="2" t="s">
        <v>1179</v>
      </c>
      <c r="C1260" s="10" t="n">
        <v>45905</v>
      </c>
      <c r="D1260" s="2" t="n">
        <f aca="false">MONTH(C1260)</f>
        <v>9</v>
      </c>
      <c r="E1260" s="2" t="s">
        <v>91</v>
      </c>
      <c r="F1260" s="2" t="s">
        <v>92</v>
      </c>
      <c r="G1260" s="2" t="s">
        <v>70</v>
      </c>
      <c r="H1260" s="2" t="s">
        <v>122</v>
      </c>
      <c r="I1260" s="2" t="n">
        <v>6</v>
      </c>
      <c r="J1260" s="11" t="n">
        <v>1500</v>
      </c>
      <c r="K1260" s="12" t="n">
        <v>0.15</v>
      </c>
      <c r="L1260" s="11" t="n">
        <v>900</v>
      </c>
      <c r="M1260" s="11" t="n">
        <f aca="false">I1260*J1260*(1-K1260)</f>
        <v>7650</v>
      </c>
      <c r="N1260" s="11" t="n">
        <f aca="false">M1260-I1260*L1260</f>
        <v>2250</v>
      </c>
    </row>
    <row r="1261" customFormat="false" ht="15" hidden="false" customHeight="false" outlineLevel="0" collapsed="false">
      <c r="A1261" s="2" t="s">
        <v>1863</v>
      </c>
      <c r="B1261" s="2" t="s">
        <v>1861</v>
      </c>
      <c r="C1261" s="10" t="n">
        <v>45905</v>
      </c>
      <c r="D1261" s="2" t="n">
        <f aca="false">MONTH(C1261)</f>
        <v>9</v>
      </c>
      <c r="E1261" s="2" t="s">
        <v>81</v>
      </c>
      <c r="F1261" s="2" t="s">
        <v>92</v>
      </c>
      <c r="G1261" s="2" t="s">
        <v>70</v>
      </c>
      <c r="H1261" s="2" t="s">
        <v>126</v>
      </c>
      <c r="I1261" s="2" t="n">
        <v>2</v>
      </c>
      <c r="J1261" s="11" t="n">
        <v>4500</v>
      </c>
      <c r="K1261" s="12" t="n">
        <v>0</v>
      </c>
      <c r="L1261" s="11" t="n">
        <v>3300</v>
      </c>
      <c r="M1261" s="11" t="n">
        <f aca="false">I1261*J1261*(1-K1261)</f>
        <v>9000</v>
      </c>
      <c r="N1261" s="11" t="n">
        <f aca="false">M1261-I1261*L1261</f>
        <v>2400</v>
      </c>
    </row>
    <row r="1262" customFormat="false" ht="15" hidden="false" customHeight="false" outlineLevel="0" collapsed="false">
      <c r="A1262" s="2" t="s">
        <v>2166</v>
      </c>
      <c r="B1262" s="2" t="s">
        <v>2165</v>
      </c>
      <c r="C1262" s="10" t="n">
        <v>45905</v>
      </c>
      <c r="D1262" s="2" t="n">
        <f aca="false">MONTH(C1262)</f>
        <v>9</v>
      </c>
      <c r="E1262" s="2" t="s">
        <v>77</v>
      </c>
      <c r="F1262" s="2" t="s">
        <v>64</v>
      </c>
      <c r="G1262" s="2" t="s">
        <v>65</v>
      </c>
      <c r="H1262" s="2" t="s">
        <v>107</v>
      </c>
      <c r="I1262" s="2" t="n">
        <v>3</v>
      </c>
      <c r="J1262" s="11" t="n">
        <v>500</v>
      </c>
      <c r="K1262" s="12" t="n">
        <v>0</v>
      </c>
      <c r="L1262" s="11" t="n">
        <v>250</v>
      </c>
      <c r="M1262" s="11" t="n">
        <f aca="false">I1262*J1262*(1-K1262)</f>
        <v>1500</v>
      </c>
      <c r="N1262" s="11" t="n">
        <f aca="false">M1262-I1262*L1262</f>
        <v>750</v>
      </c>
    </row>
    <row r="1263" customFormat="false" ht="15" hidden="false" customHeight="false" outlineLevel="0" collapsed="false">
      <c r="A1263" s="2" t="s">
        <v>2359</v>
      </c>
      <c r="B1263" s="2" t="s">
        <v>2360</v>
      </c>
      <c r="C1263" s="10" t="n">
        <v>45905</v>
      </c>
      <c r="D1263" s="2" t="n">
        <f aca="false">MONTH(C1263)</f>
        <v>9</v>
      </c>
      <c r="E1263" s="2" t="s">
        <v>81</v>
      </c>
      <c r="F1263" s="2" t="s">
        <v>69</v>
      </c>
      <c r="G1263" s="2" t="s">
        <v>73</v>
      </c>
      <c r="H1263" s="2" t="s">
        <v>104</v>
      </c>
      <c r="I1263" s="2" t="n">
        <v>3</v>
      </c>
      <c r="J1263" s="11" t="n">
        <v>5500</v>
      </c>
      <c r="K1263" s="12" t="n">
        <v>0.1</v>
      </c>
      <c r="L1263" s="11" t="n">
        <v>3600</v>
      </c>
      <c r="M1263" s="11" t="n">
        <f aca="false">I1263*J1263*(1-K1263)</f>
        <v>14850</v>
      </c>
      <c r="N1263" s="11" t="n">
        <f aca="false">M1263-I1263*L1263</f>
        <v>4050</v>
      </c>
    </row>
    <row r="1264" customFormat="false" ht="15" hidden="false" customHeight="false" outlineLevel="0" collapsed="false">
      <c r="A1264" s="2" t="s">
        <v>138</v>
      </c>
      <c r="B1264" s="2" t="s">
        <v>136</v>
      </c>
      <c r="C1264" s="10" t="n">
        <v>45906</v>
      </c>
      <c r="D1264" s="2" t="n">
        <f aca="false">MONTH(C1264)</f>
        <v>9</v>
      </c>
      <c r="E1264" s="2" t="s">
        <v>63</v>
      </c>
      <c r="F1264" s="2" t="s">
        <v>92</v>
      </c>
      <c r="G1264" s="2" t="s">
        <v>70</v>
      </c>
      <c r="H1264" s="2" t="s">
        <v>71</v>
      </c>
      <c r="I1264" s="2" t="n">
        <v>6</v>
      </c>
      <c r="J1264" s="11" t="n">
        <v>2500</v>
      </c>
      <c r="K1264" s="12" t="n">
        <v>0.1</v>
      </c>
      <c r="L1264" s="11" t="n">
        <v>1600</v>
      </c>
      <c r="M1264" s="11" t="n">
        <f aca="false">I1264*J1264*(1-K1264)</f>
        <v>13500</v>
      </c>
      <c r="N1264" s="11" t="n">
        <f aca="false">M1264-I1264*L1264</f>
        <v>3900</v>
      </c>
    </row>
    <row r="1265" customFormat="false" ht="15" hidden="false" customHeight="false" outlineLevel="0" collapsed="false">
      <c r="A1265" s="2" t="s">
        <v>1156</v>
      </c>
      <c r="B1265" s="2" t="s">
        <v>1157</v>
      </c>
      <c r="C1265" s="10" t="n">
        <v>45906</v>
      </c>
      <c r="D1265" s="2" t="n">
        <f aca="false">MONTH(C1265)</f>
        <v>9</v>
      </c>
      <c r="E1265" s="2" t="s">
        <v>77</v>
      </c>
      <c r="F1265" s="2" t="s">
        <v>64</v>
      </c>
      <c r="G1265" s="2" t="s">
        <v>73</v>
      </c>
      <c r="H1265" s="2" t="s">
        <v>104</v>
      </c>
      <c r="I1265" s="2" t="n">
        <v>1</v>
      </c>
      <c r="J1265" s="11" t="n">
        <v>5500</v>
      </c>
      <c r="K1265" s="12" t="n">
        <v>0.1</v>
      </c>
      <c r="L1265" s="11" t="n">
        <v>3600</v>
      </c>
      <c r="M1265" s="11" t="n">
        <f aca="false">I1265*J1265*(1-K1265)</f>
        <v>4950</v>
      </c>
      <c r="N1265" s="11" t="n">
        <f aca="false">M1265-I1265*L1265</f>
        <v>1350</v>
      </c>
    </row>
    <row r="1266" customFormat="false" ht="15" hidden="false" customHeight="false" outlineLevel="0" collapsed="false">
      <c r="A1266" s="2" t="s">
        <v>1197</v>
      </c>
      <c r="B1266" s="2" t="s">
        <v>1195</v>
      </c>
      <c r="C1266" s="10" t="n">
        <v>45906</v>
      </c>
      <c r="D1266" s="2" t="n">
        <f aca="false">MONTH(C1266)</f>
        <v>9</v>
      </c>
      <c r="E1266" s="2" t="s">
        <v>77</v>
      </c>
      <c r="F1266" s="2" t="s">
        <v>92</v>
      </c>
      <c r="G1266" s="2" t="s">
        <v>70</v>
      </c>
      <c r="H1266" s="2" t="s">
        <v>122</v>
      </c>
      <c r="I1266" s="2" t="n">
        <v>6</v>
      </c>
      <c r="J1266" s="11" t="n">
        <v>1500</v>
      </c>
      <c r="K1266" s="12" t="n">
        <v>0</v>
      </c>
      <c r="L1266" s="11" t="n">
        <v>900</v>
      </c>
      <c r="M1266" s="11" t="n">
        <f aca="false">I1266*J1266*(1-K1266)</f>
        <v>9000</v>
      </c>
      <c r="N1266" s="11" t="n">
        <f aca="false">M1266-I1266*L1266</f>
        <v>3600</v>
      </c>
    </row>
    <row r="1267" customFormat="false" ht="15" hidden="false" customHeight="false" outlineLevel="0" collapsed="false">
      <c r="A1267" s="2" t="s">
        <v>1332</v>
      </c>
      <c r="B1267" s="2" t="s">
        <v>1331</v>
      </c>
      <c r="C1267" s="10" t="n">
        <v>45906</v>
      </c>
      <c r="D1267" s="2" t="n">
        <f aca="false">MONTH(C1267)</f>
        <v>9</v>
      </c>
      <c r="E1267" s="2" t="s">
        <v>81</v>
      </c>
      <c r="F1267" s="2" t="s">
        <v>64</v>
      </c>
      <c r="G1267" s="2" t="s">
        <v>70</v>
      </c>
      <c r="H1267" s="2" t="s">
        <v>71</v>
      </c>
      <c r="I1267" s="2" t="n">
        <v>3</v>
      </c>
      <c r="J1267" s="11" t="n">
        <v>2500</v>
      </c>
      <c r="K1267" s="12" t="n">
        <v>0</v>
      </c>
      <c r="L1267" s="11" t="n">
        <v>1600</v>
      </c>
      <c r="M1267" s="11" t="n">
        <f aca="false">I1267*J1267*(1-K1267)</f>
        <v>7500</v>
      </c>
      <c r="N1267" s="11" t="n">
        <f aca="false">M1267-I1267*L1267</f>
        <v>2700</v>
      </c>
    </row>
    <row r="1268" customFormat="false" ht="15" hidden="false" customHeight="false" outlineLevel="0" collapsed="false">
      <c r="A1268" s="2" t="s">
        <v>2126</v>
      </c>
      <c r="B1268" s="2" t="s">
        <v>2125</v>
      </c>
      <c r="C1268" s="10" t="n">
        <v>45906</v>
      </c>
      <c r="D1268" s="2" t="n">
        <f aca="false">MONTH(C1268)</f>
        <v>9</v>
      </c>
      <c r="E1268" s="2" t="s">
        <v>63</v>
      </c>
      <c r="F1268" s="2" t="s">
        <v>69</v>
      </c>
      <c r="G1268" s="2" t="s">
        <v>70</v>
      </c>
      <c r="H1268" s="2" t="s">
        <v>122</v>
      </c>
      <c r="I1268" s="2" t="n">
        <v>4</v>
      </c>
      <c r="J1268" s="11" t="n">
        <v>1500</v>
      </c>
      <c r="K1268" s="12" t="n">
        <v>0.1</v>
      </c>
      <c r="L1268" s="11" t="n">
        <v>900</v>
      </c>
      <c r="M1268" s="11" t="n">
        <f aca="false">I1268*J1268*(1-K1268)</f>
        <v>5400</v>
      </c>
      <c r="N1268" s="11" t="n">
        <f aca="false">M1268-I1268*L1268</f>
        <v>1800</v>
      </c>
    </row>
    <row r="1269" customFormat="false" ht="15" hidden="false" customHeight="false" outlineLevel="0" collapsed="false">
      <c r="A1269" s="2" t="s">
        <v>2467</v>
      </c>
      <c r="B1269" s="2" t="s">
        <v>2465</v>
      </c>
      <c r="C1269" s="10" t="n">
        <v>45906</v>
      </c>
      <c r="D1269" s="2" t="n">
        <f aca="false">MONTH(C1269)</f>
        <v>9</v>
      </c>
      <c r="E1269" s="2" t="s">
        <v>91</v>
      </c>
      <c r="F1269" s="2" t="s">
        <v>92</v>
      </c>
      <c r="G1269" s="2" t="s">
        <v>73</v>
      </c>
      <c r="H1269" s="2" t="s">
        <v>104</v>
      </c>
      <c r="I1269" s="2" t="n">
        <v>3</v>
      </c>
      <c r="J1269" s="11" t="n">
        <v>5500</v>
      </c>
      <c r="K1269" s="12" t="n">
        <v>0.05</v>
      </c>
      <c r="L1269" s="11" t="n">
        <v>3600</v>
      </c>
      <c r="M1269" s="11" t="n">
        <f aca="false">I1269*J1269*(1-K1269)</f>
        <v>15675</v>
      </c>
      <c r="N1269" s="11" t="n">
        <f aca="false">M1269-I1269*L1269</f>
        <v>4875</v>
      </c>
    </row>
    <row r="1270" customFormat="false" ht="15" hidden="false" customHeight="false" outlineLevel="0" collapsed="false">
      <c r="A1270" s="2" t="s">
        <v>2472</v>
      </c>
      <c r="B1270" s="2" t="s">
        <v>2469</v>
      </c>
      <c r="C1270" s="10" t="n">
        <v>45906</v>
      </c>
      <c r="D1270" s="2" t="n">
        <f aca="false">MONTH(C1270)</f>
        <v>9</v>
      </c>
      <c r="E1270" s="2" t="s">
        <v>81</v>
      </c>
      <c r="F1270" s="2" t="s">
        <v>64</v>
      </c>
      <c r="G1270" s="2" t="s">
        <v>65</v>
      </c>
      <c r="H1270" s="2" t="s">
        <v>107</v>
      </c>
      <c r="I1270" s="2" t="n">
        <v>5</v>
      </c>
      <c r="J1270" s="11" t="n">
        <v>500</v>
      </c>
      <c r="K1270" s="12" t="n">
        <v>0.1</v>
      </c>
      <c r="L1270" s="11" t="n">
        <v>250</v>
      </c>
      <c r="M1270" s="11" t="n">
        <f aca="false">I1270*J1270*(1-K1270)</f>
        <v>2250</v>
      </c>
      <c r="N1270" s="11" t="n">
        <f aca="false">M1270-I1270*L1270</f>
        <v>1000</v>
      </c>
    </row>
    <row r="1271" customFormat="false" ht="15" hidden="false" customHeight="false" outlineLevel="0" collapsed="false">
      <c r="A1271" s="2" t="s">
        <v>2681</v>
      </c>
      <c r="B1271" s="2" t="s">
        <v>2678</v>
      </c>
      <c r="C1271" s="10" t="n">
        <v>45906</v>
      </c>
      <c r="D1271" s="2" t="n">
        <f aca="false">MONTH(C1271)</f>
        <v>9</v>
      </c>
      <c r="E1271" s="2" t="s">
        <v>77</v>
      </c>
      <c r="F1271" s="2" t="s">
        <v>64</v>
      </c>
      <c r="G1271" s="2" t="s">
        <v>65</v>
      </c>
      <c r="H1271" s="2" t="s">
        <v>107</v>
      </c>
      <c r="I1271" s="2" t="n">
        <v>5</v>
      </c>
      <c r="J1271" s="11" t="n">
        <v>500</v>
      </c>
      <c r="K1271" s="12" t="n">
        <v>0.1</v>
      </c>
      <c r="L1271" s="11" t="n">
        <v>250</v>
      </c>
      <c r="M1271" s="11" t="n">
        <f aca="false">I1271*J1271*(1-K1271)</f>
        <v>2250</v>
      </c>
      <c r="N1271" s="11" t="n">
        <f aca="false">M1271-I1271*L1271</f>
        <v>1000</v>
      </c>
    </row>
    <row r="1272" customFormat="false" ht="15" hidden="false" customHeight="false" outlineLevel="0" collapsed="false">
      <c r="A1272" s="2" t="s">
        <v>304</v>
      </c>
      <c r="B1272" s="2" t="s">
        <v>305</v>
      </c>
      <c r="C1272" s="10" t="n">
        <v>45907</v>
      </c>
      <c r="D1272" s="2" t="n">
        <f aca="false">MONTH(C1272)</f>
        <v>9</v>
      </c>
      <c r="E1272" s="2" t="s">
        <v>81</v>
      </c>
      <c r="F1272" s="2" t="s">
        <v>92</v>
      </c>
      <c r="G1272" s="2" t="s">
        <v>73</v>
      </c>
      <c r="H1272" s="2" t="s">
        <v>104</v>
      </c>
      <c r="I1272" s="2" t="n">
        <v>4</v>
      </c>
      <c r="J1272" s="11" t="n">
        <v>5500</v>
      </c>
      <c r="K1272" s="12" t="n">
        <v>0.15</v>
      </c>
      <c r="L1272" s="11" t="n">
        <v>3600</v>
      </c>
      <c r="M1272" s="11" t="n">
        <f aca="false">I1272*J1272*(1-K1272)</f>
        <v>18700</v>
      </c>
      <c r="N1272" s="11" t="n">
        <f aca="false">M1272-I1272*L1272</f>
        <v>4300</v>
      </c>
    </row>
    <row r="1273" customFormat="false" ht="15" hidden="false" customHeight="false" outlineLevel="0" collapsed="false">
      <c r="A1273" s="2" t="s">
        <v>574</v>
      </c>
      <c r="B1273" s="2" t="s">
        <v>570</v>
      </c>
      <c r="C1273" s="10" t="n">
        <v>45907</v>
      </c>
      <c r="D1273" s="2" t="n">
        <f aca="false">MONTH(C1273)</f>
        <v>9</v>
      </c>
      <c r="E1273" s="2" t="s">
        <v>63</v>
      </c>
      <c r="F1273" s="2" t="s">
        <v>92</v>
      </c>
      <c r="G1273" s="2" t="s">
        <v>70</v>
      </c>
      <c r="H1273" s="2" t="s">
        <v>126</v>
      </c>
      <c r="I1273" s="2" t="n">
        <v>7</v>
      </c>
      <c r="J1273" s="11" t="n">
        <v>4500</v>
      </c>
      <c r="K1273" s="12" t="n">
        <v>0</v>
      </c>
      <c r="L1273" s="11" t="n">
        <v>3300</v>
      </c>
      <c r="M1273" s="11" t="n">
        <f aca="false">I1273*J1273*(1-K1273)</f>
        <v>31500</v>
      </c>
      <c r="N1273" s="11" t="n">
        <f aca="false">M1273-I1273*L1273</f>
        <v>8400</v>
      </c>
    </row>
    <row r="1274" customFormat="false" ht="15" hidden="false" customHeight="false" outlineLevel="0" collapsed="false">
      <c r="A1274" s="2" t="s">
        <v>923</v>
      </c>
      <c r="B1274" s="2" t="s">
        <v>924</v>
      </c>
      <c r="C1274" s="10" t="n">
        <v>45907</v>
      </c>
      <c r="D1274" s="2" t="n">
        <f aca="false">MONTH(C1274)</f>
        <v>9</v>
      </c>
      <c r="E1274" s="2" t="s">
        <v>81</v>
      </c>
      <c r="F1274" s="2" t="s">
        <v>64</v>
      </c>
      <c r="G1274" s="2" t="s">
        <v>73</v>
      </c>
      <c r="H1274" s="2" t="s">
        <v>74</v>
      </c>
      <c r="I1274" s="2" t="n">
        <v>3</v>
      </c>
      <c r="J1274" s="11" t="n">
        <v>7000</v>
      </c>
      <c r="K1274" s="12" t="n">
        <v>0</v>
      </c>
      <c r="L1274" s="11" t="n">
        <v>4800</v>
      </c>
      <c r="M1274" s="11" t="n">
        <f aca="false">I1274*J1274*(1-K1274)</f>
        <v>21000</v>
      </c>
      <c r="N1274" s="11" t="n">
        <f aca="false">M1274-I1274*L1274</f>
        <v>6600</v>
      </c>
    </row>
    <row r="1275" customFormat="false" ht="15" hidden="false" customHeight="false" outlineLevel="0" collapsed="false">
      <c r="A1275" s="2" t="s">
        <v>2812</v>
      </c>
      <c r="B1275" s="2" t="s">
        <v>2813</v>
      </c>
      <c r="C1275" s="10" t="n">
        <v>45907</v>
      </c>
      <c r="D1275" s="2" t="n">
        <f aca="false">MONTH(C1275)</f>
        <v>9</v>
      </c>
      <c r="E1275" s="2" t="s">
        <v>81</v>
      </c>
      <c r="F1275" s="2" t="s">
        <v>64</v>
      </c>
      <c r="G1275" s="2" t="s">
        <v>65</v>
      </c>
      <c r="H1275" s="2" t="s">
        <v>78</v>
      </c>
      <c r="I1275" s="2" t="n">
        <v>8</v>
      </c>
      <c r="J1275" s="11" t="n">
        <v>400</v>
      </c>
      <c r="K1275" s="12" t="n">
        <v>0</v>
      </c>
      <c r="L1275" s="11" t="n">
        <v>200</v>
      </c>
      <c r="M1275" s="11" t="n">
        <f aca="false">I1275*J1275*(1-K1275)</f>
        <v>3200</v>
      </c>
      <c r="N1275" s="11" t="n">
        <f aca="false">M1275-I1275*L1275</f>
        <v>1600</v>
      </c>
    </row>
    <row r="1276" customFormat="false" ht="15" hidden="false" customHeight="false" outlineLevel="0" collapsed="false">
      <c r="A1276" s="2" t="s">
        <v>1089</v>
      </c>
      <c r="B1276" s="2" t="s">
        <v>1084</v>
      </c>
      <c r="C1276" s="10" t="n">
        <v>45908</v>
      </c>
      <c r="D1276" s="2" t="n">
        <f aca="false">MONTH(C1276)</f>
        <v>9</v>
      </c>
      <c r="E1276" s="2" t="s">
        <v>77</v>
      </c>
      <c r="F1276" s="2" t="s">
        <v>64</v>
      </c>
      <c r="G1276" s="2" t="s">
        <v>65</v>
      </c>
      <c r="H1276" s="2" t="s">
        <v>107</v>
      </c>
      <c r="I1276" s="2" t="n">
        <v>6</v>
      </c>
      <c r="J1276" s="11" t="n">
        <v>500</v>
      </c>
      <c r="K1276" s="12" t="n">
        <v>0</v>
      </c>
      <c r="L1276" s="11" t="n">
        <v>250</v>
      </c>
      <c r="M1276" s="11" t="n">
        <f aca="false">I1276*J1276*(1-K1276)</f>
        <v>3000</v>
      </c>
      <c r="N1276" s="11" t="n">
        <f aca="false">M1276-I1276*L1276</f>
        <v>1500</v>
      </c>
    </row>
    <row r="1277" customFormat="false" ht="15" hidden="false" customHeight="false" outlineLevel="0" collapsed="false">
      <c r="A1277" s="2" t="s">
        <v>1467</v>
      </c>
      <c r="B1277" s="2" t="s">
        <v>1461</v>
      </c>
      <c r="C1277" s="10" t="n">
        <v>45908</v>
      </c>
      <c r="D1277" s="2" t="n">
        <f aca="false">MONTH(C1277)</f>
        <v>9</v>
      </c>
      <c r="E1277" s="2" t="s">
        <v>77</v>
      </c>
      <c r="F1277" s="2" t="s">
        <v>69</v>
      </c>
      <c r="G1277" s="2" t="s">
        <v>70</v>
      </c>
      <c r="H1277" s="2" t="s">
        <v>71</v>
      </c>
      <c r="I1277" s="2" t="n">
        <v>1</v>
      </c>
      <c r="J1277" s="11" t="n">
        <v>2500</v>
      </c>
      <c r="K1277" s="12" t="n">
        <v>0.1</v>
      </c>
      <c r="L1277" s="11" t="n">
        <v>1600</v>
      </c>
      <c r="M1277" s="11" t="n">
        <f aca="false">I1277*J1277*(1-K1277)</f>
        <v>2250</v>
      </c>
      <c r="N1277" s="11" t="n">
        <f aca="false">M1277-I1277*L1277</f>
        <v>650</v>
      </c>
    </row>
    <row r="1278" customFormat="false" ht="15" hidden="false" customHeight="false" outlineLevel="0" collapsed="false">
      <c r="A1278" s="2" t="s">
        <v>1677</v>
      </c>
      <c r="B1278" s="2" t="s">
        <v>1678</v>
      </c>
      <c r="C1278" s="10" t="n">
        <v>45908</v>
      </c>
      <c r="D1278" s="2" t="n">
        <f aca="false">MONTH(C1278)</f>
        <v>9</v>
      </c>
      <c r="E1278" s="2" t="s">
        <v>63</v>
      </c>
      <c r="F1278" s="2" t="s">
        <v>69</v>
      </c>
      <c r="G1278" s="2" t="s">
        <v>70</v>
      </c>
      <c r="H1278" s="2" t="s">
        <v>122</v>
      </c>
      <c r="I1278" s="2" t="n">
        <v>3</v>
      </c>
      <c r="J1278" s="11" t="n">
        <v>1500</v>
      </c>
      <c r="K1278" s="12" t="n">
        <v>0</v>
      </c>
      <c r="L1278" s="11" t="n">
        <v>900</v>
      </c>
      <c r="M1278" s="11" t="n">
        <f aca="false">I1278*J1278*(1-K1278)</f>
        <v>4500</v>
      </c>
      <c r="N1278" s="11" t="n">
        <f aca="false">M1278-I1278*L1278</f>
        <v>1800</v>
      </c>
    </row>
    <row r="1279" customFormat="false" ht="15" hidden="false" customHeight="false" outlineLevel="0" collapsed="false">
      <c r="A1279" s="2" t="s">
        <v>2053</v>
      </c>
      <c r="B1279" s="2" t="s">
        <v>2054</v>
      </c>
      <c r="C1279" s="10" t="n">
        <v>45908</v>
      </c>
      <c r="D1279" s="2" t="n">
        <f aca="false">MONTH(C1279)</f>
        <v>9</v>
      </c>
      <c r="E1279" s="2" t="s">
        <v>91</v>
      </c>
      <c r="F1279" s="2" t="s">
        <v>64</v>
      </c>
      <c r="G1279" s="2" t="s">
        <v>70</v>
      </c>
      <c r="H1279" s="2" t="s">
        <v>122</v>
      </c>
      <c r="I1279" s="2" t="n">
        <v>3</v>
      </c>
      <c r="J1279" s="11" t="n">
        <v>1500</v>
      </c>
      <c r="K1279" s="12" t="n">
        <v>0</v>
      </c>
      <c r="L1279" s="11" t="n">
        <v>900</v>
      </c>
      <c r="M1279" s="11" t="n">
        <f aca="false">I1279*J1279*(1-K1279)</f>
        <v>4500</v>
      </c>
      <c r="N1279" s="11" t="n">
        <f aca="false">M1279-I1279*L1279</f>
        <v>1800</v>
      </c>
    </row>
    <row r="1280" customFormat="false" ht="15" hidden="false" customHeight="false" outlineLevel="0" collapsed="false">
      <c r="A1280" s="2" t="s">
        <v>2187</v>
      </c>
      <c r="B1280" s="2" t="s">
        <v>2185</v>
      </c>
      <c r="C1280" s="10" t="n">
        <v>45908</v>
      </c>
      <c r="D1280" s="2" t="n">
        <f aca="false">MONTH(C1280)</f>
        <v>9</v>
      </c>
      <c r="E1280" s="2" t="s">
        <v>77</v>
      </c>
      <c r="F1280" s="2" t="s">
        <v>64</v>
      </c>
      <c r="G1280" s="2" t="s">
        <v>73</v>
      </c>
      <c r="H1280" s="2" t="s">
        <v>85</v>
      </c>
      <c r="I1280" s="2" t="n">
        <v>3</v>
      </c>
      <c r="J1280" s="11" t="n">
        <v>1200</v>
      </c>
      <c r="K1280" s="12" t="n">
        <v>0</v>
      </c>
      <c r="L1280" s="11" t="n">
        <v>600</v>
      </c>
      <c r="M1280" s="11" t="n">
        <f aca="false">I1280*J1280*(1-K1280)</f>
        <v>3600</v>
      </c>
      <c r="N1280" s="11" t="n">
        <f aca="false">M1280-I1280*L1280</f>
        <v>1800</v>
      </c>
    </row>
    <row r="1281" customFormat="false" ht="15" hidden="false" customHeight="false" outlineLevel="0" collapsed="false">
      <c r="A1281" s="2" t="s">
        <v>2281</v>
      </c>
      <c r="B1281" s="2" t="s">
        <v>2282</v>
      </c>
      <c r="C1281" s="10" t="n">
        <v>45908</v>
      </c>
      <c r="D1281" s="2" t="n">
        <f aca="false">MONTH(C1281)</f>
        <v>9</v>
      </c>
      <c r="E1281" s="2" t="s">
        <v>63</v>
      </c>
      <c r="F1281" s="2" t="s">
        <v>64</v>
      </c>
      <c r="G1281" s="2" t="s">
        <v>65</v>
      </c>
      <c r="H1281" s="2" t="s">
        <v>82</v>
      </c>
      <c r="I1281" s="2" t="n">
        <v>6</v>
      </c>
      <c r="J1281" s="11" t="n">
        <v>250</v>
      </c>
      <c r="K1281" s="12" t="n">
        <v>0</v>
      </c>
      <c r="L1281" s="11" t="n">
        <v>100</v>
      </c>
      <c r="M1281" s="11" t="n">
        <f aca="false">I1281*J1281*(1-K1281)</f>
        <v>1500</v>
      </c>
      <c r="N1281" s="11" t="n">
        <f aca="false">M1281-I1281*L1281</f>
        <v>900</v>
      </c>
    </row>
    <row r="1282" customFormat="false" ht="15" hidden="false" customHeight="false" outlineLevel="0" collapsed="false">
      <c r="A1282" s="2" t="s">
        <v>2365</v>
      </c>
      <c r="B1282" s="2" t="s">
        <v>2366</v>
      </c>
      <c r="C1282" s="10" t="n">
        <v>45908</v>
      </c>
      <c r="D1282" s="2" t="n">
        <f aca="false">MONTH(C1282)</f>
        <v>9</v>
      </c>
      <c r="E1282" s="2" t="s">
        <v>81</v>
      </c>
      <c r="F1282" s="2" t="s">
        <v>64</v>
      </c>
      <c r="G1282" s="2" t="s">
        <v>70</v>
      </c>
      <c r="H1282" s="2" t="s">
        <v>71</v>
      </c>
      <c r="I1282" s="2" t="n">
        <v>1</v>
      </c>
      <c r="J1282" s="11" t="n">
        <v>2500</v>
      </c>
      <c r="K1282" s="12" t="n">
        <v>0</v>
      </c>
      <c r="L1282" s="11" t="n">
        <v>1600</v>
      </c>
      <c r="M1282" s="11" t="n">
        <f aca="false">I1282*J1282*(1-K1282)</f>
        <v>2500</v>
      </c>
      <c r="N1282" s="11" t="n">
        <f aca="false">M1282-I1282*L1282</f>
        <v>900</v>
      </c>
    </row>
    <row r="1283" customFormat="false" ht="15" hidden="false" customHeight="false" outlineLevel="0" collapsed="false">
      <c r="A1283" s="2" t="s">
        <v>2631</v>
      </c>
      <c r="B1283" s="2" t="s">
        <v>2629</v>
      </c>
      <c r="C1283" s="10" t="n">
        <v>45908</v>
      </c>
      <c r="D1283" s="2" t="n">
        <f aca="false">MONTH(C1283)</f>
        <v>9</v>
      </c>
      <c r="E1283" s="2" t="s">
        <v>91</v>
      </c>
      <c r="F1283" s="2" t="s">
        <v>69</v>
      </c>
      <c r="G1283" s="2" t="s">
        <v>70</v>
      </c>
      <c r="H1283" s="2" t="s">
        <v>71</v>
      </c>
      <c r="I1283" s="2" t="n">
        <v>1</v>
      </c>
      <c r="J1283" s="11" t="n">
        <v>2500</v>
      </c>
      <c r="K1283" s="12" t="n">
        <v>0</v>
      </c>
      <c r="L1283" s="11" t="n">
        <v>1600</v>
      </c>
      <c r="M1283" s="11" t="n">
        <f aca="false">I1283*J1283*(1-K1283)</f>
        <v>2500</v>
      </c>
      <c r="N1283" s="11" t="n">
        <f aca="false">M1283-I1283*L1283</f>
        <v>900</v>
      </c>
    </row>
    <row r="1284" customFormat="false" ht="15" hidden="false" customHeight="false" outlineLevel="0" collapsed="false">
      <c r="A1284" s="2" t="s">
        <v>2677</v>
      </c>
      <c r="B1284" s="2" t="s">
        <v>2678</v>
      </c>
      <c r="C1284" s="10" t="n">
        <v>45908</v>
      </c>
      <c r="D1284" s="2" t="n">
        <f aca="false">MONTH(C1284)</f>
        <v>9</v>
      </c>
      <c r="E1284" s="2" t="s">
        <v>77</v>
      </c>
      <c r="F1284" s="2" t="s">
        <v>64</v>
      </c>
      <c r="G1284" s="2" t="s">
        <v>65</v>
      </c>
      <c r="H1284" s="2" t="s">
        <v>107</v>
      </c>
      <c r="I1284" s="2" t="n">
        <v>2</v>
      </c>
      <c r="J1284" s="11" t="n">
        <v>500</v>
      </c>
      <c r="K1284" s="12" t="n">
        <v>0</v>
      </c>
      <c r="L1284" s="11" t="n">
        <v>250</v>
      </c>
      <c r="M1284" s="11" t="n">
        <f aca="false">I1284*J1284*(1-K1284)</f>
        <v>1000</v>
      </c>
      <c r="N1284" s="11" t="n">
        <f aca="false">M1284-I1284*L1284</f>
        <v>500</v>
      </c>
    </row>
    <row r="1285" customFormat="false" ht="15" hidden="false" customHeight="false" outlineLevel="0" collapsed="false">
      <c r="A1285" s="2" t="s">
        <v>2940</v>
      </c>
      <c r="B1285" s="2" t="s">
        <v>2934</v>
      </c>
      <c r="C1285" s="10" t="n">
        <v>45908</v>
      </c>
      <c r="D1285" s="2" t="n">
        <f aca="false">MONTH(C1285)</f>
        <v>9</v>
      </c>
      <c r="E1285" s="2" t="s">
        <v>63</v>
      </c>
      <c r="F1285" s="2" t="s">
        <v>69</v>
      </c>
      <c r="G1285" s="2" t="s">
        <v>65</v>
      </c>
      <c r="H1285" s="2" t="s">
        <v>78</v>
      </c>
      <c r="I1285" s="2" t="n">
        <v>11</v>
      </c>
      <c r="J1285" s="11" t="n">
        <v>400</v>
      </c>
      <c r="K1285" s="12" t="n">
        <v>0.05</v>
      </c>
      <c r="L1285" s="11" t="n">
        <v>200</v>
      </c>
      <c r="M1285" s="11" t="n">
        <f aca="false">I1285*J1285*(1-K1285)</f>
        <v>4180</v>
      </c>
      <c r="N1285" s="11" t="n">
        <f aca="false">M1285-I1285*L1285</f>
        <v>1980</v>
      </c>
    </row>
    <row r="1286" customFormat="false" ht="15" hidden="false" customHeight="false" outlineLevel="0" collapsed="false">
      <c r="A1286" s="2" t="s">
        <v>460</v>
      </c>
      <c r="B1286" s="2" t="s">
        <v>461</v>
      </c>
      <c r="C1286" s="10" t="n">
        <v>45909</v>
      </c>
      <c r="D1286" s="2" t="n">
        <f aca="false">MONTH(C1286)</f>
        <v>9</v>
      </c>
      <c r="E1286" s="2" t="s">
        <v>77</v>
      </c>
      <c r="F1286" s="2" t="s">
        <v>69</v>
      </c>
      <c r="G1286" s="2" t="s">
        <v>73</v>
      </c>
      <c r="H1286" s="2" t="s">
        <v>87</v>
      </c>
      <c r="I1286" s="2" t="n">
        <v>3</v>
      </c>
      <c r="J1286" s="11" t="n">
        <v>9000</v>
      </c>
      <c r="K1286" s="12" t="n">
        <v>0.05</v>
      </c>
      <c r="L1286" s="11" t="n">
        <v>6200</v>
      </c>
      <c r="M1286" s="11" t="n">
        <f aca="false">I1286*J1286*(1-K1286)</f>
        <v>25650</v>
      </c>
      <c r="N1286" s="11" t="n">
        <f aca="false">M1286-I1286*L1286</f>
        <v>7050</v>
      </c>
    </row>
    <row r="1287" customFormat="false" ht="15" hidden="false" customHeight="false" outlineLevel="0" collapsed="false">
      <c r="A1287" s="2" t="s">
        <v>1209</v>
      </c>
      <c r="B1287" s="2" t="s">
        <v>1210</v>
      </c>
      <c r="C1287" s="10" t="n">
        <v>45909</v>
      </c>
      <c r="D1287" s="2" t="n">
        <f aca="false">MONTH(C1287)</f>
        <v>9</v>
      </c>
      <c r="E1287" s="2" t="s">
        <v>63</v>
      </c>
      <c r="F1287" s="2" t="s">
        <v>92</v>
      </c>
      <c r="G1287" s="2" t="s">
        <v>73</v>
      </c>
      <c r="H1287" s="2" t="s">
        <v>85</v>
      </c>
      <c r="I1287" s="2" t="n">
        <v>8</v>
      </c>
      <c r="J1287" s="11" t="n">
        <v>1200</v>
      </c>
      <c r="K1287" s="12" t="n">
        <v>0</v>
      </c>
      <c r="L1287" s="11" t="n">
        <v>600</v>
      </c>
      <c r="M1287" s="11" t="n">
        <f aca="false">I1287*J1287*(1-K1287)</f>
        <v>9600</v>
      </c>
      <c r="N1287" s="11" t="n">
        <f aca="false">M1287-I1287*L1287</f>
        <v>4800</v>
      </c>
    </row>
    <row r="1288" customFormat="false" ht="15" hidden="false" customHeight="false" outlineLevel="0" collapsed="false">
      <c r="A1288" s="2" t="s">
        <v>1798</v>
      </c>
      <c r="B1288" s="2" t="s">
        <v>1797</v>
      </c>
      <c r="C1288" s="10" t="n">
        <v>45909</v>
      </c>
      <c r="D1288" s="2" t="n">
        <f aca="false">MONTH(C1288)</f>
        <v>9</v>
      </c>
      <c r="E1288" s="2" t="s">
        <v>77</v>
      </c>
      <c r="F1288" s="2" t="s">
        <v>92</v>
      </c>
      <c r="G1288" s="2" t="s">
        <v>73</v>
      </c>
      <c r="H1288" s="2" t="s">
        <v>87</v>
      </c>
      <c r="I1288" s="2" t="n">
        <v>4</v>
      </c>
      <c r="J1288" s="11" t="n">
        <v>9000</v>
      </c>
      <c r="K1288" s="12" t="n">
        <v>0</v>
      </c>
      <c r="L1288" s="11" t="n">
        <v>6200</v>
      </c>
      <c r="M1288" s="11" t="n">
        <f aca="false">I1288*J1288*(1-K1288)</f>
        <v>36000</v>
      </c>
      <c r="N1288" s="11" t="n">
        <f aca="false">M1288-I1288*L1288</f>
        <v>11200</v>
      </c>
    </row>
    <row r="1289" customFormat="false" ht="15" hidden="false" customHeight="false" outlineLevel="0" collapsed="false">
      <c r="A1289" s="2" t="s">
        <v>1910</v>
      </c>
      <c r="B1289" s="2" t="s">
        <v>1909</v>
      </c>
      <c r="C1289" s="10" t="n">
        <v>45909</v>
      </c>
      <c r="D1289" s="2" t="n">
        <f aca="false">MONTH(C1289)</f>
        <v>9</v>
      </c>
      <c r="E1289" s="2" t="s">
        <v>63</v>
      </c>
      <c r="F1289" s="2" t="s">
        <v>69</v>
      </c>
      <c r="G1289" s="2" t="s">
        <v>65</v>
      </c>
      <c r="H1289" s="2" t="s">
        <v>66</v>
      </c>
      <c r="I1289" s="2" t="n">
        <v>8</v>
      </c>
      <c r="J1289" s="11" t="n">
        <v>600</v>
      </c>
      <c r="K1289" s="12" t="n">
        <v>0</v>
      </c>
      <c r="L1289" s="11" t="n">
        <v>300</v>
      </c>
      <c r="M1289" s="11" t="n">
        <f aca="false">I1289*J1289*(1-K1289)</f>
        <v>4800</v>
      </c>
      <c r="N1289" s="11" t="n">
        <f aca="false">M1289-I1289*L1289</f>
        <v>2400</v>
      </c>
    </row>
    <row r="1290" customFormat="false" ht="15" hidden="false" customHeight="false" outlineLevel="0" collapsed="false">
      <c r="A1290" s="2" t="s">
        <v>2287</v>
      </c>
      <c r="B1290" s="2" t="s">
        <v>2288</v>
      </c>
      <c r="C1290" s="10" t="n">
        <v>45909</v>
      </c>
      <c r="D1290" s="2" t="n">
        <f aca="false">MONTH(C1290)</f>
        <v>9</v>
      </c>
      <c r="E1290" s="2" t="s">
        <v>63</v>
      </c>
      <c r="F1290" s="2" t="s">
        <v>64</v>
      </c>
      <c r="G1290" s="2" t="s">
        <v>65</v>
      </c>
      <c r="H1290" s="2" t="s">
        <v>82</v>
      </c>
      <c r="I1290" s="2" t="n">
        <v>8</v>
      </c>
      <c r="J1290" s="11" t="n">
        <v>250</v>
      </c>
      <c r="K1290" s="12" t="n">
        <v>0.1</v>
      </c>
      <c r="L1290" s="11" t="n">
        <v>100</v>
      </c>
      <c r="M1290" s="11" t="n">
        <f aca="false">I1290*J1290*(1-K1290)</f>
        <v>1800</v>
      </c>
      <c r="N1290" s="11" t="n">
        <f aca="false">M1290-I1290*L1290</f>
        <v>1000</v>
      </c>
    </row>
    <row r="1291" customFormat="false" ht="15" hidden="false" customHeight="false" outlineLevel="0" collapsed="false">
      <c r="A1291" s="2" t="s">
        <v>2435</v>
      </c>
      <c r="B1291" s="2" t="s">
        <v>2436</v>
      </c>
      <c r="C1291" s="10" t="n">
        <v>45909</v>
      </c>
      <c r="D1291" s="2" t="n">
        <f aca="false">MONTH(C1291)</f>
        <v>9</v>
      </c>
      <c r="E1291" s="2" t="s">
        <v>77</v>
      </c>
      <c r="F1291" s="2" t="s">
        <v>92</v>
      </c>
      <c r="G1291" s="2" t="s">
        <v>73</v>
      </c>
      <c r="H1291" s="2" t="s">
        <v>74</v>
      </c>
      <c r="I1291" s="2" t="n">
        <v>4</v>
      </c>
      <c r="J1291" s="11" t="n">
        <v>7000</v>
      </c>
      <c r="K1291" s="12" t="n">
        <v>0.15</v>
      </c>
      <c r="L1291" s="11" t="n">
        <v>4800</v>
      </c>
      <c r="M1291" s="11" t="n">
        <f aca="false">I1291*J1291*(1-K1291)</f>
        <v>23800</v>
      </c>
      <c r="N1291" s="11" t="n">
        <f aca="false">M1291-I1291*L1291</f>
        <v>4600</v>
      </c>
    </row>
    <row r="1292" customFormat="false" ht="15" hidden="false" customHeight="false" outlineLevel="0" collapsed="false">
      <c r="A1292" s="2" t="s">
        <v>2754</v>
      </c>
      <c r="B1292" s="2" t="s">
        <v>2755</v>
      </c>
      <c r="C1292" s="10" t="n">
        <v>45909</v>
      </c>
      <c r="D1292" s="2" t="n">
        <f aca="false">MONTH(C1292)</f>
        <v>9</v>
      </c>
      <c r="E1292" s="2" t="s">
        <v>77</v>
      </c>
      <c r="F1292" s="2" t="s">
        <v>64</v>
      </c>
      <c r="G1292" s="2" t="s">
        <v>70</v>
      </c>
      <c r="H1292" s="2" t="s">
        <v>122</v>
      </c>
      <c r="I1292" s="2" t="n">
        <v>2</v>
      </c>
      <c r="J1292" s="11" t="n">
        <v>1500</v>
      </c>
      <c r="K1292" s="12" t="n">
        <v>0.05</v>
      </c>
      <c r="L1292" s="11" t="n">
        <v>900</v>
      </c>
      <c r="M1292" s="11" t="n">
        <f aca="false">I1292*J1292*(1-K1292)</f>
        <v>2850</v>
      </c>
      <c r="N1292" s="11" t="n">
        <f aca="false">M1292-I1292*L1292</f>
        <v>1050</v>
      </c>
    </row>
    <row r="1293" customFormat="false" ht="15" hidden="false" customHeight="false" outlineLevel="0" collapsed="false">
      <c r="A1293" s="2" t="s">
        <v>2821</v>
      </c>
      <c r="B1293" s="2" t="s">
        <v>2822</v>
      </c>
      <c r="C1293" s="10" t="n">
        <v>45909</v>
      </c>
      <c r="D1293" s="2" t="n">
        <f aca="false">MONTH(C1293)</f>
        <v>9</v>
      </c>
      <c r="E1293" s="2" t="s">
        <v>63</v>
      </c>
      <c r="F1293" s="2" t="s">
        <v>64</v>
      </c>
      <c r="G1293" s="2" t="s">
        <v>73</v>
      </c>
      <c r="H1293" s="2" t="s">
        <v>85</v>
      </c>
      <c r="I1293" s="2" t="n">
        <v>1</v>
      </c>
      <c r="J1293" s="11" t="n">
        <v>1200</v>
      </c>
      <c r="K1293" s="12" t="n">
        <v>0</v>
      </c>
      <c r="L1293" s="11" t="n">
        <v>600</v>
      </c>
      <c r="M1293" s="11" t="n">
        <f aca="false">I1293*J1293*(1-K1293)</f>
        <v>1200</v>
      </c>
      <c r="N1293" s="11" t="n">
        <f aca="false">M1293-I1293*L1293</f>
        <v>600</v>
      </c>
    </row>
    <row r="1294" customFormat="false" ht="15" hidden="false" customHeight="false" outlineLevel="0" collapsed="false">
      <c r="A1294" s="2" t="s">
        <v>2928</v>
      </c>
      <c r="B1294" s="2" t="s">
        <v>2929</v>
      </c>
      <c r="C1294" s="10" t="n">
        <v>45909</v>
      </c>
      <c r="D1294" s="2" t="n">
        <f aca="false">MONTH(C1294)</f>
        <v>9</v>
      </c>
      <c r="E1294" s="2" t="s">
        <v>91</v>
      </c>
      <c r="F1294" s="2" t="s">
        <v>64</v>
      </c>
      <c r="G1294" s="2" t="s">
        <v>73</v>
      </c>
      <c r="H1294" s="2" t="s">
        <v>87</v>
      </c>
      <c r="I1294" s="2" t="n">
        <v>2</v>
      </c>
      <c r="J1294" s="11" t="n">
        <v>9000</v>
      </c>
      <c r="K1294" s="12" t="n">
        <v>0</v>
      </c>
      <c r="L1294" s="11" t="n">
        <v>6200</v>
      </c>
      <c r="M1294" s="11" t="n">
        <f aca="false">I1294*J1294*(1-K1294)</f>
        <v>18000</v>
      </c>
      <c r="N1294" s="11" t="n">
        <f aca="false">M1294-I1294*L1294</f>
        <v>5600</v>
      </c>
    </row>
    <row r="1295" customFormat="false" ht="15" hidden="false" customHeight="false" outlineLevel="0" collapsed="false">
      <c r="A1295" s="2" t="s">
        <v>83</v>
      </c>
      <c r="B1295" s="2" t="s">
        <v>80</v>
      </c>
      <c r="C1295" s="10" t="n">
        <v>45910</v>
      </c>
      <c r="D1295" s="2" t="n">
        <f aca="false">MONTH(C1295)</f>
        <v>9</v>
      </c>
      <c r="E1295" s="2" t="s">
        <v>81</v>
      </c>
      <c r="F1295" s="2" t="s">
        <v>69</v>
      </c>
      <c r="G1295" s="2" t="s">
        <v>73</v>
      </c>
      <c r="H1295" s="2" t="s">
        <v>74</v>
      </c>
      <c r="I1295" s="2" t="n">
        <v>1</v>
      </c>
      <c r="J1295" s="11" t="n">
        <v>7000</v>
      </c>
      <c r="K1295" s="12" t="n">
        <v>0</v>
      </c>
      <c r="L1295" s="11" t="n">
        <v>4800</v>
      </c>
      <c r="M1295" s="11" t="n">
        <f aca="false">I1295*J1295*(1-K1295)</f>
        <v>7000</v>
      </c>
      <c r="N1295" s="11" t="n">
        <f aca="false">M1295-I1295*L1295</f>
        <v>2200</v>
      </c>
    </row>
    <row r="1296" customFormat="false" ht="15" hidden="false" customHeight="false" outlineLevel="0" collapsed="false">
      <c r="A1296" s="2" t="s">
        <v>133</v>
      </c>
      <c r="B1296" s="2" t="s">
        <v>132</v>
      </c>
      <c r="C1296" s="10" t="n">
        <v>45910</v>
      </c>
      <c r="D1296" s="2" t="n">
        <f aca="false">MONTH(C1296)</f>
        <v>9</v>
      </c>
      <c r="E1296" s="2" t="s">
        <v>77</v>
      </c>
      <c r="F1296" s="2" t="s">
        <v>64</v>
      </c>
      <c r="G1296" s="2" t="s">
        <v>70</v>
      </c>
      <c r="H1296" s="2" t="s">
        <v>71</v>
      </c>
      <c r="I1296" s="2" t="n">
        <v>2</v>
      </c>
      <c r="J1296" s="11" t="n">
        <v>2500</v>
      </c>
      <c r="K1296" s="12" t="n">
        <v>0.05</v>
      </c>
      <c r="L1296" s="11" t="n">
        <v>1600</v>
      </c>
      <c r="M1296" s="11" t="n">
        <f aca="false">I1296*J1296*(1-K1296)</f>
        <v>4750</v>
      </c>
      <c r="N1296" s="11" t="n">
        <f aca="false">M1296-I1296*L1296</f>
        <v>1550</v>
      </c>
    </row>
    <row r="1297" customFormat="false" ht="15" hidden="false" customHeight="false" outlineLevel="0" collapsed="false">
      <c r="A1297" s="2" t="s">
        <v>239</v>
      </c>
      <c r="B1297" s="2" t="s">
        <v>240</v>
      </c>
      <c r="C1297" s="10" t="n">
        <v>45910</v>
      </c>
      <c r="D1297" s="2" t="n">
        <f aca="false">MONTH(C1297)</f>
        <v>9</v>
      </c>
      <c r="E1297" s="2" t="s">
        <v>91</v>
      </c>
      <c r="F1297" s="2" t="s">
        <v>64</v>
      </c>
      <c r="G1297" s="2" t="s">
        <v>70</v>
      </c>
      <c r="H1297" s="2" t="s">
        <v>71</v>
      </c>
      <c r="I1297" s="2" t="n">
        <v>3</v>
      </c>
      <c r="J1297" s="11" t="n">
        <v>2500</v>
      </c>
      <c r="K1297" s="12" t="n">
        <v>0.05</v>
      </c>
      <c r="L1297" s="11" t="n">
        <v>1600</v>
      </c>
      <c r="M1297" s="11" t="n">
        <f aca="false">I1297*J1297*(1-K1297)</f>
        <v>7125</v>
      </c>
      <c r="N1297" s="11" t="n">
        <f aca="false">M1297-I1297*L1297</f>
        <v>2325</v>
      </c>
    </row>
    <row r="1298" customFormat="false" ht="15" hidden="false" customHeight="false" outlineLevel="0" collapsed="false">
      <c r="A1298" s="2" t="s">
        <v>242</v>
      </c>
      <c r="B1298" s="2" t="s">
        <v>240</v>
      </c>
      <c r="C1298" s="10" t="n">
        <v>45910</v>
      </c>
      <c r="D1298" s="2" t="n">
        <f aca="false">MONTH(C1298)</f>
        <v>9</v>
      </c>
      <c r="E1298" s="2" t="s">
        <v>91</v>
      </c>
      <c r="F1298" s="2" t="s">
        <v>64</v>
      </c>
      <c r="G1298" s="2" t="s">
        <v>70</v>
      </c>
      <c r="H1298" s="2" t="s">
        <v>126</v>
      </c>
      <c r="I1298" s="2" t="n">
        <v>2</v>
      </c>
      <c r="J1298" s="11" t="n">
        <v>4500</v>
      </c>
      <c r="K1298" s="12" t="n">
        <v>0</v>
      </c>
      <c r="L1298" s="11" t="n">
        <v>3300</v>
      </c>
      <c r="M1298" s="11" t="n">
        <f aca="false">I1298*J1298*(1-K1298)</f>
        <v>9000</v>
      </c>
      <c r="N1298" s="11" t="n">
        <f aca="false">M1298-I1298*L1298</f>
        <v>2400</v>
      </c>
    </row>
    <row r="1299" customFormat="false" ht="15" hidden="false" customHeight="false" outlineLevel="0" collapsed="false">
      <c r="A1299" s="2" t="s">
        <v>780</v>
      </c>
      <c r="B1299" s="2" t="s">
        <v>778</v>
      </c>
      <c r="C1299" s="10" t="n">
        <v>45910</v>
      </c>
      <c r="D1299" s="2" t="n">
        <f aca="false">MONTH(C1299)</f>
        <v>9</v>
      </c>
      <c r="E1299" s="2" t="s">
        <v>91</v>
      </c>
      <c r="F1299" s="2" t="s">
        <v>92</v>
      </c>
      <c r="G1299" s="2" t="s">
        <v>65</v>
      </c>
      <c r="H1299" s="2" t="s">
        <v>107</v>
      </c>
      <c r="I1299" s="2" t="n">
        <v>19</v>
      </c>
      <c r="J1299" s="11" t="n">
        <v>500</v>
      </c>
      <c r="K1299" s="12" t="n">
        <v>0</v>
      </c>
      <c r="L1299" s="11" t="n">
        <v>250</v>
      </c>
      <c r="M1299" s="11" t="n">
        <f aca="false">I1299*J1299*(1-K1299)</f>
        <v>9500</v>
      </c>
      <c r="N1299" s="11" t="n">
        <f aca="false">M1299-I1299*L1299</f>
        <v>4750</v>
      </c>
    </row>
    <row r="1300" customFormat="false" ht="15" hidden="false" customHeight="false" outlineLevel="0" collapsed="false">
      <c r="A1300" s="2" t="s">
        <v>1984</v>
      </c>
      <c r="B1300" s="2" t="s">
        <v>1981</v>
      </c>
      <c r="C1300" s="10" t="n">
        <v>45910</v>
      </c>
      <c r="D1300" s="2" t="n">
        <f aca="false">MONTH(C1300)</f>
        <v>9</v>
      </c>
      <c r="E1300" s="2" t="s">
        <v>91</v>
      </c>
      <c r="F1300" s="2" t="s">
        <v>92</v>
      </c>
      <c r="G1300" s="2" t="s">
        <v>70</v>
      </c>
      <c r="H1300" s="2" t="s">
        <v>71</v>
      </c>
      <c r="I1300" s="2" t="n">
        <v>4</v>
      </c>
      <c r="J1300" s="11" t="n">
        <v>2500</v>
      </c>
      <c r="K1300" s="12" t="n">
        <v>0.15</v>
      </c>
      <c r="L1300" s="11" t="n">
        <v>1600</v>
      </c>
      <c r="M1300" s="11" t="n">
        <f aca="false">I1300*J1300*(1-K1300)</f>
        <v>8500</v>
      </c>
      <c r="N1300" s="11" t="n">
        <f aca="false">M1300-I1300*L1300</f>
        <v>2100</v>
      </c>
    </row>
    <row r="1301" customFormat="false" ht="15" hidden="false" customHeight="false" outlineLevel="0" collapsed="false">
      <c r="A1301" s="2" t="s">
        <v>2439</v>
      </c>
      <c r="B1301" s="2" t="s">
        <v>2440</v>
      </c>
      <c r="C1301" s="10" t="n">
        <v>45910</v>
      </c>
      <c r="D1301" s="2" t="n">
        <f aca="false">MONTH(C1301)</f>
        <v>9</v>
      </c>
      <c r="E1301" s="2" t="s">
        <v>91</v>
      </c>
      <c r="F1301" s="2" t="s">
        <v>69</v>
      </c>
      <c r="G1301" s="2" t="s">
        <v>70</v>
      </c>
      <c r="H1301" s="2" t="s">
        <v>126</v>
      </c>
      <c r="I1301" s="2" t="n">
        <v>3</v>
      </c>
      <c r="J1301" s="11" t="n">
        <v>4500</v>
      </c>
      <c r="K1301" s="12" t="n">
        <v>0</v>
      </c>
      <c r="L1301" s="11" t="n">
        <v>3300</v>
      </c>
      <c r="M1301" s="11" t="n">
        <f aca="false">I1301*J1301*(1-K1301)</f>
        <v>13500</v>
      </c>
      <c r="N1301" s="11" t="n">
        <f aca="false">M1301-I1301*L1301</f>
        <v>3600</v>
      </c>
    </row>
    <row r="1302" customFormat="false" ht="15" hidden="false" customHeight="false" outlineLevel="0" collapsed="false">
      <c r="A1302" s="2" t="s">
        <v>2477</v>
      </c>
      <c r="B1302" s="2" t="s">
        <v>2478</v>
      </c>
      <c r="C1302" s="10" t="n">
        <v>45910</v>
      </c>
      <c r="D1302" s="2" t="n">
        <f aca="false">MONTH(C1302)</f>
        <v>9</v>
      </c>
      <c r="E1302" s="2" t="s">
        <v>81</v>
      </c>
      <c r="F1302" s="2" t="s">
        <v>64</v>
      </c>
      <c r="G1302" s="2" t="s">
        <v>73</v>
      </c>
      <c r="H1302" s="2" t="s">
        <v>104</v>
      </c>
      <c r="I1302" s="2" t="n">
        <v>1</v>
      </c>
      <c r="J1302" s="11" t="n">
        <v>5500</v>
      </c>
      <c r="K1302" s="12" t="n">
        <v>0</v>
      </c>
      <c r="L1302" s="11" t="n">
        <v>3600</v>
      </c>
      <c r="M1302" s="11" t="n">
        <f aca="false">I1302*J1302*(1-K1302)</f>
        <v>5500</v>
      </c>
      <c r="N1302" s="11" t="n">
        <f aca="false">M1302-I1302*L1302</f>
        <v>1900</v>
      </c>
    </row>
    <row r="1303" customFormat="false" ht="15" hidden="false" customHeight="false" outlineLevel="0" collapsed="false">
      <c r="A1303" s="2" t="s">
        <v>2826</v>
      </c>
      <c r="B1303" s="2" t="s">
        <v>2827</v>
      </c>
      <c r="C1303" s="10" t="n">
        <v>45910</v>
      </c>
      <c r="D1303" s="2" t="n">
        <f aca="false">MONTH(C1303)</f>
        <v>9</v>
      </c>
      <c r="E1303" s="2" t="s">
        <v>77</v>
      </c>
      <c r="F1303" s="2" t="s">
        <v>64</v>
      </c>
      <c r="G1303" s="2" t="s">
        <v>65</v>
      </c>
      <c r="H1303" s="2" t="s">
        <v>66</v>
      </c>
      <c r="I1303" s="2" t="n">
        <v>4</v>
      </c>
      <c r="J1303" s="11" t="n">
        <v>600</v>
      </c>
      <c r="K1303" s="12" t="n">
        <v>0.05</v>
      </c>
      <c r="L1303" s="11" t="n">
        <v>300</v>
      </c>
      <c r="M1303" s="11" t="n">
        <f aca="false">I1303*J1303*(1-K1303)</f>
        <v>2280</v>
      </c>
      <c r="N1303" s="11" t="n">
        <f aca="false">M1303-I1303*L1303</f>
        <v>1080</v>
      </c>
    </row>
    <row r="1304" customFormat="false" ht="15" hidden="false" customHeight="false" outlineLevel="0" collapsed="false">
      <c r="A1304" s="2" t="s">
        <v>534</v>
      </c>
      <c r="B1304" s="2" t="s">
        <v>535</v>
      </c>
      <c r="C1304" s="10" t="n">
        <v>45911</v>
      </c>
      <c r="D1304" s="2" t="n">
        <f aca="false">MONTH(C1304)</f>
        <v>9</v>
      </c>
      <c r="E1304" s="2" t="s">
        <v>91</v>
      </c>
      <c r="F1304" s="2" t="s">
        <v>64</v>
      </c>
      <c r="G1304" s="2" t="s">
        <v>65</v>
      </c>
      <c r="H1304" s="2" t="s">
        <v>107</v>
      </c>
      <c r="I1304" s="2" t="n">
        <v>2</v>
      </c>
      <c r="J1304" s="11" t="n">
        <v>500</v>
      </c>
      <c r="K1304" s="12" t="n">
        <v>0.1</v>
      </c>
      <c r="L1304" s="11" t="n">
        <v>250</v>
      </c>
      <c r="M1304" s="11" t="n">
        <f aca="false">I1304*J1304*(1-K1304)</f>
        <v>900</v>
      </c>
      <c r="N1304" s="11" t="n">
        <f aca="false">M1304-I1304*L1304</f>
        <v>400</v>
      </c>
    </row>
    <row r="1305" customFormat="false" ht="15" hidden="false" customHeight="false" outlineLevel="0" collapsed="false">
      <c r="A1305" s="2" t="s">
        <v>607</v>
      </c>
      <c r="B1305" s="2" t="s">
        <v>608</v>
      </c>
      <c r="C1305" s="10" t="n">
        <v>45911</v>
      </c>
      <c r="D1305" s="2" t="n">
        <f aca="false">MONTH(C1305)</f>
        <v>9</v>
      </c>
      <c r="E1305" s="2" t="s">
        <v>77</v>
      </c>
      <c r="F1305" s="2" t="s">
        <v>64</v>
      </c>
      <c r="G1305" s="2" t="s">
        <v>73</v>
      </c>
      <c r="H1305" s="2" t="s">
        <v>87</v>
      </c>
      <c r="I1305" s="2" t="n">
        <v>2</v>
      </c>
      <c r="J1305" s="11" t="n">
        <v>9000</v>
      </c>
      <c r="K1305" s="12" t="n">
        <v>0</v>
      </c>
      <c r="L1305" s="11" t="n">
        <v>6200</v>
      </c>
      <c r="M1305" s="11" t="n">
        <f aca="false">I1305*J1305*(1-K1305)</f>
        <v>18000</v>
      </c>
      <c r="N1305" s="11" t="n">
        <f aca="false">M1305-I1305*L1305</f>
        <v>5600</v>
      </c>
    </row>
    <row r="1306" customFormat="false" ht="15" hidden="false" customHeight="false" outlineLevel="0" collapsed="false">
      <c r="A1306" s="2" t="s">
        <v>734</v>
      </c>
      <c r="B1306" s="2" t="s">
        <v>735</v>
      </c>
      <c r="C1306" s="10" t="n">
        <v>45911</v>
      </c>
      <c r="D1306" s="2" t="n">
        <f aca="false">MONTH(C1306)</f>
        <v>9</v>
      </c>
      <c r="E1306" s="2" t="s">
        <v>91</v>
      </c>
      <c r="F1306" s="2" t="s">
        <v>64</v>
      </c>
      <c r="G1306" s="2" t="s">
        <v>65</v>
      </c>
      <c r="H1306" s="2" t="s">
        <v>107</v>
      </c>
      <c r="I1306" s="2" t="n">
        <v>8</v>
      </c>
      <c r="J1306" s="11" t="n">
        <v>500</v>
      </c>
      <c r="K1306" s="12" t="n">
        <v>0</v>
      </c>
      <c r="L1306" s="11" t="n">
        <v>250</v>
      </c>
      <c r="M1306" s="11" t="n">
        <f aca="false">I1306*J1306*(1-K1306)</f>
        <v>4000</v>
      </c>
      <c r="N1306" s="11" t="n">
        <f aca="false">M1306-I1306*L1306</f>
        <v>2000</v>
      </c>
    </row>
    <row r="1307" customFormat="false" ht="15" hidden="false" customHeight="false" outlineLevel="0" collapsed="false">
      <c r="A1307" s="2" t="s">
        <v>798</v>
      </c>
      <c r="B1307" s="2" t="s">
        <v>797</v>
      </c>
      <c r="C1307" s="10" t="n">
        <v>45911</v>
      </c>
      <c r="D1307" s="2" t="n">
        <f aca="false">MONTH(C1307)</f>
        <v>9</v>
      </c>
      <c r="E1307" s="2" t="s">
        <v>77</v>
      </c>
      <c r="F1307" s="2" t="s">
        <v>69</v>
      </c>
      <c r="G1307" s="2" t="s">
        <v>73</v>
      </c>
      <c r="H1307" s="2" t="s">
        <v>87</v>
      </c>
      <c r="I1307" s="2" t="n">
        <v>2</v>
      </c>
      <c r="J1307" s="11" t="n">
        <v>9000</v>
      </c>
      <c r="K1307" s="12" t="n">
        <v>0</v>
      </c>
      <c r="L1307" s="11" t="n">
        <v>6200</v>
      </c>
      <c r="M1307" s="11" t="n">
        <f aca="false">I1307*J1307*(1-K1307)</f>
        <v>18000</v>
      </c>
      <c r="N1307" s="11" t="n">
        <f aca="false">M1307-I1307*L1307</f>
        <v>5600</v>
      </c>
    </row>
    <row r="1308" customFormat="false" ht="15" hidden="false" customHeight="false" outlineLevel="0" collapsed="false">
      <c r="A1308" s="2" t="s">
        <v>996</v>
      </c>
      <c r="B1308" s="2" t="s">
        <v>995</v>
      </c>
      <c r="C1308" s="10" t="n">
        <v>45911</v>
      </c>
      <c r="D1308" s="2" t="n">
        <f aca="false">MONTH(C1308)</f>
        <v>9</v>
      </c>
      <c r="E1308" s="2" t="s">
        <v>77</v>
      </c>
      <c r="F1308" s="2" t="s">
        <v>64</v>
      </c>
      <c r="G1308" s="2" t="s">
        <v>65</v>
      </c>
      <c r="H1308" s="2" t="s">
        <v>107</v>
      </c>
      <c r="I1308" s="2" t="n">
        <v>3</v>
      </c>
      <c r="J1308" s="11" t="n">
        <v>500</v>
      </c>
      <c r="K1308" s="12" t="n">
        <v>0</v>
      </c>
      <c r="L1308" s="11" t="n">
        <v>250</v>
      </c>
      <c r="M1308" s="11" t="n">
        <f aca="false">I1308*J1308*(1-K1308)</f>
        <v>1500</v>
      </c>
      <c r="N1308" s="11" t="n">
        <f aca="false">M1308-I1308*L1308</f>
        <v>750</v>
      </c>
    </row>
    <row r="1309" customFormat="false" ht="15" hidden="false" customHeight="false" outlineLevel="0" collapsed="false">
      <c r="A1309" s="2" t="s">
        <v>1010</v>
      </c>
      <c r="B1309" s="2" t="s">
        <v>1009</v>
      </c>
      <c r="C1309" s="10" t="n">
        <v>45911</v>
      </c>
      <c r="D1309" s="2" t="n">
        <f aca="false">MONTH(C1309)</f>
        <v>9</v>
      </c>
      <c r="E1309" s="2" t="s">
        <v>63</v>
      </c>
      <c r="F1309" s="2" t="s">
        <v>92</v>
      </c>
      <c r="G1309" s="2" t="s">
        <v>73</v>
      </c>
      <c r="H1309" s="2" t="s">
        <v>87</v>
      </c>
      <c r="I1309" s="2" t="n">
        <v>2</v>
      </c>
      <c r="J1309" s="11" t="n">
        <v>9000</v>
      </c>
      <c r="K1309" s="12" t="n">
        <v>0.15</v>
      </c>
      <c r="L1309" s="11" t="n">
        <v>6200</v>
      </c>
      <c r="M1309" s="11" t="n">
        <f aca="false">I1309*J1309*(1-K1309)</f>
        <v>15300</v>
      </c>
      <c r="N1309" s="11" t="n">
        <f aca="false">M1309-I1309*L1309</f>
        <v>2900</v>
      </c>
    </row>
    <row r="1310" customFormat="false" ht="15" hidden="false" customHeight="false" outlineLevel="0" collapsed="false">
      <c r="A1310" s="2" t="s">
        <v>1622</v>
      </c>
      <c r="B1310" s="2" t="s">
        <v>1621</v>
      </c>
      <c r="C1310" s="10" t="n">
        <v>45911</v>
      </c>
      <c r="D1310" s="2" t="n">
        <f aca="false">MONTH(C1310)</f>
        <v>9</v>
      </c>
      <c r="E1310" s="2" t="s">
        <v>77</v>
      </c>
      <c r="F1310" s="2" t="s">
        <v>92</v>
      </c>
      <c r="G1310" s="2" t="s">
        <v>73</v>
      </c>
      <c r="H1310" s="2" t="s">
        <v>74</v>
      </c>
      <c r="I1310" s="2" t="n">
        <v>8</v>
      </c>
      <c r="J1310" s="11" t="n">
        <v>7000</v>
      </c>
      <c r="K1310" s="12" t="n">
        <v>0.1</v>
      </c>
      <c r="L1310" s="11" t="n">
        <v>4800</v>
      </c>
      <c r="M1310" s="11" t="n">
        <f aca="false">I1310*J1310*(1-K1310)</f>
        <v>50400</v>
      </c>
      <c r="N1310" s="11" t="n">
        <f aca="false">M1310-I1310*L1310</f>
        <v>12000</v>
      </c>
    </row>
    <row r="1311" customFormat="false" ht="15" hidden="false" customHeight="false" outlineLevel="0" collapsed="false">
      <c r="A1311" s="2" t="s">
        <v>1635</v>
      </c>
      <c r="B1311" s="2" t="s">
        <v>1633</v>
      </c>
      <c r="C1311" s="10" t="n">
        <v>45911</v>
      </c>
      <c r="D1311" s="2" t="n">
        <f aca="false">MONTH(C1311)</f>
        <v>9</v>
      </c>
      <c r="E1311" s="2" t="s">
        <v>63</v>
      </c>
      <c r="F1311" s="2" t="s">
        <v>92</v>
      </c>
      <c r="G1311" s="2" t="s">
        <v>73</v>
      </c>
      <c r="H1311" s="2" t="s">
        <v>104</v>
      </c>
      <c r="I1311" s="2" t="n">
        <v>6</v>
      </c>
      <c r="J1311" s="11" t="n">
        <v>5500</v>
      </c>
      <c r="K1311" s="12" t="n">
        <v>0.05</v>
      </c>
      <c r="L1311" s="11" t="n">
        <v>3600</v>
      </c>
      <c r="M1311" s="11" t="n">
        <f aca="false">I1311*J1311*(1-K1311)</f>
        <v>31350</v>
      </c>
      <c r="N1311" s="11" t="n">
        <f aca="false">M1311-I1311*L1311</f>
        <v>9750</v>
      </c>
    </row>
    <row r="1312" customFormat="false" ht="15" hidden="false" customHeight="false" outlineLevel="0" collapsed="false">
      <c r="A1312" s="2" t="s">
        <v>1667</v>
      </c>
      <c r="B1312" s="2" t="s">
        <v>1664</v>
      </c>
      <c r="C1312" s="10" t="n">
        <v>45911</v>
      </c>
      <c r="D1312" s="2" t="n">
        <f aca="false">MONTH(C1312)</f>
        <v>9</v>
      </c>
      <c r="E1312" s="2" t="s">
        <v>81</v>
      </c>
      <c r="F1312" s="2" t="s">
        <v>92</v>
      </c>
      <c r="G1312" s="2" t="s">
        <v>73</v>
      </c>
      <c r="H1312" s="2" t="s">
        <v>104</v>
      </c>
      <c r="I1312" s="2" t="n">
        <v>8</v>
      </c>
      <c r="J1312" s="11" t="n">
        <v>5500</v>
      </c>
      <c r="K1312" s="12" t="n">
        <v>0</v>
      </c>
      <c r="L1312" s="11" t="n">
        <v>3600</v>
      </c>
      <c r="M1312" s="11" t="n">
        <f aca="false">I1312*J1312*(1-K1312)</f>
        <v>44000</v>
      </c>
      <c r="N1312" s="11" t="n">
        <f aca="false">M1312-I1312*L1312</f>
        <v>15200</v>
      </c>
    </row>
    <row r="1313" customFormat="false" ht="15" hidden="false" customHeight="false" outlineLevel="0" collapsed="false">
      <c r="A1313" s="2" t="s">
        <v>2368</v>
      </c>
      <c r="B1313" s="2" t="s">
        <v>2369</v>
      </c>
      <c r="C1313" s="10" t="n">
        <v>45911</v>
      </c>
      <c r="D1313" s="2" t="n">
        <f aca="false">MONTH(C1313)</f>
        <v>9</v>
      </c>
      <c r="E1313" s="2" t="s">
        <v>91</v>
      </c>
      <c r="F1313" s="2" t="s">
        <v>92</v>
      </c>
      <c r="G1313" s="2" t="s">
        <v>73</v>
      </c>
      <c r="H1313" s="2" t="s">
        <v>74</v>
      </c>
      <c r="I1313" s="2" t="n">
        <v>6</v>
      </c>
      <c r="J1313" s="11" t="n">
        <v>7000</v>
      </c>
      <c r="K1313" s="12" t="n">
        <v>0.05</v>
      </c>
      <c r="L1313" s="11" t="n">
        <v>4800</v>
      </c>
      <c r="M1313" s="11" t="n">
        <f aca="false">I1313*J1313*(1-K1313)</f>
        <v>39900</v>
      </c>
      <c r="N1313" s="11" t="n">
        <f aca="false">M1313-I1313*L1313</f>
        <v>11100</v>
      </c>
    </row>
    <row r="1314" customFormat="false" ht="15" hidden="false" customHeight="false" outlineLevel="0" collapsed="false">
      <c r="A1314" s="2" t="s">
        <v>2701</v>
      </c>
      <c r="B1314" s="2" t="s">
        <v>2699</v>
      </c>
      <c r="C1314" s="10" t="n">
        <v>45911</v>
      </c>
      <c r="D1314" s="2" t="n">
        <f aca="false">MONTH(C1314)</f>
        <v>9</v>
      </c>
      <c r="E1314" s="2" t="s">
        <v>77</v>
      </c>
      <c r="F1314" s="2" t="s">
        <v>69</v>
      </c>
      <c r="G1314" s="2" t="s">
        <v>65</v>
      </c>
      <c r="H1314" s="2" t="s">
        <v>82</v>
      </c>
      <c r="I1314" s="2" t="n">
        <v>18</v>
      </c>
      <c r="J1314" s="11" t="n">
        <v>250</v>
      </c>
      <c r="K1314" s="12" t="n">
        <v>0</v>
      </c>
      <c r="L1314" s="11" t="n">
        <v>100</v>
      </c>
      <c r="M1314" s="11" t="n">
        <f aca="false">I1314*J1314*(1-K1314)</f>
        <v>4500</v>
      </c>
      <c r="N1314" s="11" t="n">
        <f aca="false">M1314-I1314*L1314</f>
        <v>2700</v>
      </c>
    </row>
    <row r="1315" customFormat="false" ht="15" hidden="false" customHeight="false" outlineLevel="0" collapsed="false">
      <c r="A1315" s="2" t="s">
        <v>2955</v>
      </c>
      <c r="B1315" s="2" t="s">
        <v>2954</v>
      </c>
      <c r="C1315" s="10" t="n">
        <v>45911</v>
      </c>
      <c r="D1315" s="2" t="n">
        <f aca="false">MONTH(C1315)</f>
        <v>9</v>
      </c>
      <c r="E1315" s="2" t="s">
        <v>77</v>
      </c>
      <c r="F1315" s="2" t="s">
        <v>64</v>
      </c>
      <c r="G1315" s="2" t="s">
        <v>73</v>
      </c>
      <c r="H1315" s="2" t="s">
        <v>85</v>
      </c>
      <c r="I1315" s="2" t="n">
        <v>2</v>
      </c>
      <c r="J1315" s="11" t="n">
        <v>1200</v>
      </c>
      <c r="K1315" s="12" t="n">
        <v>0.1</v>
      </c>
      <c r="L1315" s="11" t="n">
        <v>600</v>
      </c>
      <c r="M1315" s="11" t="n">
        <f aca="false">I1315*J1315*(1-K1315)</f>
        <v>2160</v>
      </c>
      <c r="N1315" s="11" t="n">
        <f aca="false">M1315-I1315*L1315</f>
        <v>960</v>
      </c>
    </row>
    <row r="1316" customFormat="false" ht="15" hidden="false" customHeight="false" outlineLevel="0" collapsed="false">
      <c r="A1316" s="2" t="s">
        <v>1215</v>
      </c>
      <c r="B1316" s="2" t="s">
        <v>1216</v>
      </c>
      <c r="C1316" s="10" t="n">
        <v>45912</v>
      </c>
      <c r="D1316" s="2" t="n">
        <f aca="false">MONTH(C1316)</f>
        <v>9</v>
      </c>
      <c r="E1316" s="2" t="s">
        <v>63</v>
      </c>
      <c r="F1316" s="2" t="s">
        <v>69</v>
      </c>
      <c r="G1316" s="2" t="s">
        <v>73</v>
      </c>
      <c r="H1316" s="2" t="s">
        <v>104</v>
      </c>
      <c r="I1316" s="2" t="n">
        <v>4</v>
      </c>
      <c r="J1316" s="11" t="n">
        <v>5500</v>
      </c>
      <c r="K1316" s="12" t="n">
        <v>0</v>
      </c>
      <c r="L1316" s="11" t="n">
        <v>3600</v>
      </c>
      <c r="M1316" s="11" t="n">
        <f aca="false">I1316*J1316*(1-K1316)</f>
        <v>22000</v>
      </c>
      <c r="N1316" s="11" t="n">
        <f aca="false">M1316-I1316*L1316</f>
        <v>7600</v>
      </c>
    </row>
    <row r="1317" customFormat="false" ht="15" hidden="false" customHeight="false" outlineLevel="0" collapsed="false">
      <c r="A1317" s="2" t="s">
        <v>1232</v>
      </c>
      <c r="B1317" s="2" t="s">
        <v>1233</v>
      </c>
      <c r="C1317" s="10" t="n">
        <v>45912</v>
      </c>
      <c r="D1317" s="2" t="n">
        <f aca="false">MONTH(C1317)</f>
        <v>9</v>
      </c>
      <c r="E1317" s="2" t="s">
        <v>77</v>
      </c>
      <c r="F1317" s="2" t="s">
        <v>64</v>
      </c>
      <c r="G1317" s="2" t="s">
        <v>70</v>
      </c>
      <c r="H1317" s="2" t="s">
        <v>122</v>
      </c>
      <c r="I1317" s="2" t="n">
        <v>3</v>
      </c>
      <c r="J1317" s="11" t="n">
        <v>1500</v>
      </c>
      <c r="K1317" s="12" t="n">
        <v>0</v>
      </c>
      <c r="L1317" s="11" t="n">
        <v>900</v>
      </c>
      <c r="M1317" s="11" t="n">
        <f aca="false">I1317*J1317*(1-K1317)</f>
        <v>4500</v>
      </c>
      <c r="N1317" s="11" t="n">
        <f aca="false">M1317-I1317*L1317</f>
        <v>1800</v>
      </c>
    </row>
    <row r="1318" customFormat="false" ht="15" hidden="false" customHeight="false" outlineLevel="0" collapsed="false">
      <c r="A1318" s="2" t="s">
        <v>1391</v>
      </c>
      <c r="B1318" s="2" t="s">
        <v>1387</v>
      </c>
      <c r="C1318" s="10" t="n">
        <v>45912</v>
      </c>
      <c r="D1318" s="2" t="n">
        <f aca="false">MONTH(C1318)</f>
        <v>9</v>
      </c>
      <c r="E1318" s="2" t="s">
        <v>91</v>
      </c>
      <c r="F1318" s="2" t="s">
        <v>64</v>
      </c>
      <c r="G1318" s="2" t="s">
        <v>73</v>
      </c>
      <c r="H1318" s="2" t="s">
        <v>104</v>
      </c>
      <c r="I1318" s="2" t="n">
        <v>2</v>
      </c>
      <c r="J1318" s="11" t="n">
        <v>5500</v>
      </c>
      <c r="K1318" s="12" t="n">
        <v>0.05</v>
      </c>
      <c r="L1318" s="11" t="n">
        <v>3600</v>
      </c>
      <c r="M1318" s="11" t="n">
        <f aca="false">I1318*J1318*(1-K1318)</f>
        <v>10450</v>
      </c>
      <c r="N1318" s="11" t="n">
        <f aca="false">M1318-I1318*L1318</f>
        <v>3250</v>
      </c>
    </row>
    <row r="1319" customFormat="false" ht="15" hidden="false" customHeight="false" outlineLevel="0" collapsed="false">
      <c r="A1319" s="2" t="s">
        <v>2022</v>
      </c>
      <c r="B1319" s="2" t="s">
        <v>2023</v>
      </c>
      <c r="C1319" s="10" t="n">
        <v>45912</v>
      </c>
      <c r="D1319" s="2" t="n">
        <f aca="false">MONTH(C1319)</f>
        <v>9</v>
      </c>
      <c r="E1319" s="2" t="s">
        <v>63</v>
      </c>
      <c r="F1319" s="2" t="s">
        <v>92</v>
      </c>
      <c r="G1319" s="2" t="s">
        <v>70</v>
      </c>
      <c r="H1319" s="2" t="s">
        <v>97</v>
      </c>
      <c r="I1319" s="2" t="n">
        <v>3</v>
      </c>
      <c r="J1319" s="11" t="n">
        <v>3000</v>
      </c>
      <c r="K1319" s="12" t="n">
        <v>0.1</v>
      </c>
      <c r="L1319" s="11" t="n">
        <v>2000</v>
      </c>
      <c r="M1319" s="11" t="n">
        <f aca="false">I1319*J1319*(1-K1319)</f>
        <v>8100</v>
      </c>
      <c r="N1319" s="11" t="n">
        <f aca="false">M1319-I1319*L1319</f>
        <v>2100</v>
      </c>
    </row>
    <row r="1320" customFormat="false" ht="15" hidden="false" customHeight="false" outlineLevel="0" collapsed="false">
      <c r="A1320" s="2" t="s">
        <v>2159</v>
      </c>
      <c r="B1320" s="2" t="s">
        <v>2160</v>
      </c>
      <c r="C1320" s="10" t="n">
        <v>45912</v>
      </c>
      <c r="D1320" s="2" t="n">
        <f aca="false">MONTH(C1320)</f>
        <v>9</v>
      </c>
      <c r="E1320" s="2" t="s">
        <v>77</v>
      </c>
      <c r="F1320" s="2" t="s">
        <v>64</v>
      </c>
      <c r="G1320" s="2" t="s">
        <v>73</v>
      </c>
      <c r="H1320" s="2" t="s">
        <v>85</v>
      </c>
      <c r="I1320" s="2" t="n">
        <v>3</v>
      </c>
      <c r="J1320" s="11" t="n">
        <v>1200</v>
      </c>
      <c r="K1320" s="12" t="n">
        <v>0</v>
      </c>
      <c r="L1320" s="11" t="n">
        <v>600</v>
      </c>
      <c r="M1320" s="11" t="n">
        <f aca="false">I1320*J1320*(1-K1320)</f>
        <v>3600</v>
      </c>
      <c r="N1320" s="11" t="n">
        <f aca="false">M1320-I1320*L1320</f>
        <v>1800</v>
      </c>
    </row>
    <row r="1321" customFormat="false" ht="15" hidden="false" customHeight="false" outlineLevel="0" collapsed="false">
      <c r="A1321" s="2" t="s">
        <v>2376</v>
      </c>
      <c r="B1321" s="2" t="s">
        <v>2369</v>
      </c>
      <c r="C1321" s="10" t="n">
        <v>45912</v>
      </c>
      <c r="D1321" s="2" t="n">
        <f aca="false">MONTH(C1321)</f>
        <v>9</v>
      </c>
      <c r="E1321" s="2" t="s">
        <v>91</v>
      </c>
      <c r="F1321" s="2" t="s">
        <v>92</v>
      </c>
      <c r="G1321" s="2" t="s">
        <v>73</v>
      </c>
      <c r="H1321" s="2" t="s">
        <v>85</v>
      </c>
      <c r="I1321" s="2" t="n">
        <v>2</v>
      </c>
      <c r="J1321" s="11" t="n">
        <v>1200</v>
      </c>
      <c r="K1321" s="12" t="n">
        <v>0.15</v>
      </c>
      <c r="L1321" s="11" t="n">
        <v>600</v>
      </c>
      <c r="M1321" s="11" t="n">
        <f aca="false">I1321*J1321*(1-K1321)</f>
        <v>2040</v>
      </c>
      <c r="N1321" s="11" t="n">
        <f aca="false">M1321-I1321*L1321</f>
        <v>840</v>
      </c>
    </row>
    <row r="1322" customFormat="false" ht="15" hidden="false" customHeight="false" outlineLevel="0" collapsed="false">
      <c r="A1322" s="2" t="s">
        <v>477</v>
      </c>
      <c r="B1322" s="2" t="s">
        <v>475</v>
      </c>
      <c r="C1322" s="10" t="n">
        <v>45913</v>
      </c>
      <c r="D1322" s="2" t="n">
        <f aca="false">MONTH(C1322)</f>
        <v>9</v>
      </c>
      <c r="E1322" s="2" t="s">
        <v>81</v>
      </c>
      <c r="F1322" s="2" t="s">
        <v>64</v>
      </c>
      <c r="G1322" s="2" t="s">
        <v>73</v>
      </c>
      <c r="H1322" s="2" t="s">
        <v>74</v>
      </c>
      <c r="I1322" s="2" t="n">
        <v>3</v>
      </c>
      <c r="J1322" s="11" t="n">
        <v>7000</v>
      </c>
      <c r="K1322" s="12" t="n">
        <v>0</v>
      </c>
      <c r="L1322" s="11" t="n">
        <v>4800</v>
      </c>
      <c r="M1322" s="11" t="n">
        <f aca="false">I1322*J1322*(1-K1322)</f>
        <v>21000</v>
      </c>
      <c r="N1322" s="11" t="n">
        <f aca="false">M1322-I1322*L1322</f>
        <v>6600</v>
      </c>
    </row>
    <row r="1323" customFormat="false" ht="15" hidden="false" customHeight="false" outlineLevel="0" collapsed="false">
      <c r="A1323" s="2" t="s">
        <v>508</v>
      </c>
      <c r="B1323" s="2" t="s">
        <v>507</v>
      </c>
      <c r="C1323" s="10" t="n">
        <v>45913</v>
      </c>
      <c r="D1323" s="2" t="n">
        <f aca="false">MONTH(C1323)</f>
        <v>9</v>
      </c>
      <c r="E1323" s="2" t="s">
        <v>91</v>
      </c>
      <c r="F1323" s="2" t="s">
        <v>64</v>
      </c>
      <c r="G1323" s="2" t="s">
        <v>70</v>
      </c>
      <c r="H1323" s="2" t="s">
        <v>126</v>
      </c>
      <c r="I1323" s="2" t="n">
        <v>3</v>
      </c>
      <c r="J1323" s="11" t="n">
        <v>4500</v>
      </c>
      <c r="K1323" s="12" t="n">
        <v>0</v>
      </c>
      <c r="L1323" s="11" t="n">
        <v>3300</v>
      </c>
      <c r="M1323" s="11" t="n">
        <f aca="false">I1323*J1323*(1-K1323)</f>
        <v>13500</v>
      </c>
      <c r="N1323" s="11" t="n">
        <f aca="false">M1323-I1323*L1323</f>
        <v>3600</v>
      </c>
    </row>
    <row r="1324" customFormat="false" ht="15" hidden="false" customHeight="false" outlineLevel="0" collapsed="false">
      <c r="A1324" s="2" t="s">
        <v>639</v>
      </c>
      <c r="B1324" s="2" t="s">
        <v>640</v>
      </c>
      <c r="C1324" s="10" t="n">
        <v>45913</v>
      </c>
      <c r="D1324" s="2" t="n">
        <f aca="false">MONTH(C1324)</f>
        <v>9</v>
      </c>
      <c r="E1324" s="2" t="s">
        <v>77</v>
      </c>
      <c r="F1324" s="2" t="s">
        <v>64</v>
      </c>
      <c r="G1324" s="2" t="s">
        <v>73</v>
      </c>
      <c r="H1324" s="2" t="s">
        <v>87</v>
      </c>
      <c r="I1324" s="2" t="n">
        <v>3</v>
      </c>
      <c r="J1324" s="11" t="n">
        <v>9000</v>
      </c>
      <c r="K1324" s="12" t="n">
        <v>0.1</v>
      </c>
      <c r="L1324" s="11" t="n">
        <v>6200</v>
      </c>
      <c r="M1324" s="11" t="n">
        <f aca="false">I1324*J1324*(1-K1324)</f>
        <v>24300</v>
      </c>
      <c r="N1324" s="11" t="n">
        <f aca="false">M1324-I1324*L1324</f>
        <v>5700</v>
      </c>
    </row>
    <row r="1325" customFormat="false" ht="15" hidden="false" customHeight="false" outlineLevel="0" collapsed="false">
      <c r="A1325" s="2" t="s">
        <v>983</v>
      </c>
      <c r="B1325" s="2" t="s">
        <v>984</v>
      </c>
      <c r="C1325" s="10" t="n">
        <v>45913</v>
      </c>
      <c r="D1325" s="2" t="n">
        <f aca="false">MONTH(C1325)</f>
        <v>9</v>
      </c>
      <c r="E1325" s="2" t="s">
        <v>63</v>
      </c>
      <c r="F1325" s="2" t="s">
        <v>64</v>
      </c>
      <c r="G1325" s="2" t="s">
        <v>70</v>
      </c>
      <c r="H1325" s="2" t="s">
        <v>71</v>
      </c>
      <c r="I1325" s="2" t="n">
        <v>3</v>
      </c>
      <c r="J1325" s="11" t="n">
        <v>2500</v>
      </c>
      <c r="K1325" s="12" t="n">
        <v>0</v>
      </c>
      <c r="L1325" s="11" t="n">
        <v>1600</v>
      </c>
      <c r="M1325" s="11" t="n">
        <f aca="false">I1325*J1325*(1-K1325)</f>
        <v>7500</v>
      </c>
      <c r="N1325" s="11" t="n">
        <f aca="false">M1325-I1325*L1325</f>
        <v>2700</v>
      </c>
    </row>
    <row r="1326" customFormat="false" ht="15" hidden="false" customHeight="false" outlineLevel="0" collapsed="false">
      <c r="A1326" s="2" t="s">
        <v>1736</v>
      </c>
      <c r="B1326" s="2" t="s">
        <v>1734</v>
      </c>
      <c r="C1326" s="10" t="n">
        <v>45913</v>
      </c>
      <c r="D1326" s="2" t="n">
        <f aca="false">MONTH(C1326)</f>
        <v>9</v>
      </c>
      <c r="E1326" s="2" t="s">
        <v>63</v>
      </c>
      <c r="F1326" s="2" t="s">
        <v>64</v>
      </c>
      <c r="G1326" s="2" t="s">
        <v>65</v>
      </c>
      <c r="H1326" s="2" t="s">
        <v>66</v>
      </c>
      <c r="I1326" s="2" t="n">
        <v>2</v>
      </c>
      <c r="J1326" s="11" t="n">
        <v>600</v>
      </c>
      <c r="K1326" s="12" t="n">
        <v>0</v>
      </c>
      <c r="L1326" s="11" t="n">
        <v>300</v>
      </c>
      <c r="M1326" s="11" t="n">
        <f aca="false">I1326*J1326*(1-K1326)</f>
        <v>1200</v>
      </c>
      <c r="N1326" s="11" t="n">
        <f aca="false">M1326-I1326*L1326</f>
        <v>600</v>
      </c>
    </row>
    <row r="1327" customFormat="false" ht="15" hidden="false" customHeight="false" outlineLevel="0" collapsed="false">
      <c r="A1327" s="2" t="s">
        <v>1757</v>
      </c>
      <c r="B1327" s="2" t="s">
        <v>1758</v>
      </c>
      <c r="C1327" s="10" t="n">
        <v>45913</v>
      </c>
      <c r="D1327" s="2" t="n">
        <f aca="false">MONTH(C1327)</f>
        <v>9</v>
      </c>
      <c r="E1327" s="2" t="s">
        <v>91</v>
      </c>
      <c r="F1327" s="2" t="s">
        <v>64</v>
      </c>
      <c r="G1327" s="2" t="s">
        <v>73</v>
      </c>
      <c r="H1327" s="2" t="s">
        <v>87</v>
      </c>
      <c r="I1327" s="2" t="n">
        <v>3</v>
      </c>
      <c r="J1327" s="11" t="n">
        <v>9000</v>
      </c>
      <c r="K1327" s="12" t="n">
        <v>0</v>
      </c>
      <c r="L1327" s="11" t="n">
        <v>6200</v>
      </c>
      <c r="M1327" s="11" t="n">
        <f aca="false">I1327*J1327*(1-K1327)</f>
        <v>27000</v>
      </c>
      <c r="N1327" s="11" t="n">
        <f aca="false">M1327-I1327*L1327</f>
        <v>8400</v>
      </c>
    </row>
    <row r="1328" customFormat="false" ht="15" hidden="false" customHeight="false" outlineLevel="0" collapsed="false">
      <c r="A1328" s="2" t="s">
        <v>1855</v>
      </c>
      <c r="B1328" s="2" t="s">
        <v>1856</v>
      </c>
      <c r="C1328" s="10" t="n">
        <v>45913</v>
      </c>
      <c r="D1328" s="2" t="n">
        <f aca="false">MONTH(C1328)</f>
        <v>9</v>
      </c>
      <c r="E1328" s="2" t="s">
        <v>81</v>
      </c>
      <c r="F1328" s="2" t="s">
        <v>92</v>
      </c>
      <c r="G1328" s="2" t="s">
        <v>73</v>
      </c>
      <c r="H1328" s="2" t="s">
        <v>85</v>
      </c>
      <c r="I1328" s="2" t="n">
        <v>3</v>
      </c>
      <c r="J1328" s="11" t="n">
        <v>1200</v>
      </c>
      <c r="K1328" s="12" t="n">
        <v>0.15</v>
      </c>
      <c r="L1328" s="11" t="n">
        <v>600</v>
      </c>
      <c r="M1328" s="11" t="n">
        <f aca="false">I1328*J1328*(1-K1328)</f>
        <v>3060</v>
      </c>
      <c r="N1328" s="11" t="n">
        <f aca="false">M1328-I1328*L1328</f>
        <v>1260</v>
      </c>
    </row>
    <row r="1329" customFormat="false" ht="15" hidden="false" customHeight="false" outlineLevel="0" collapsed="false">
      <c r="A1329" s="2" t="s">
        <v>1941</v>
      </c>
      <c r="B1329" s="2" t="s">
        <v>1940</v>
      </c>
      <c r="C1329" s="10" t="n">
        <v>45913</v>
      </c>
      <c r="D1329" s="2" t="n">
        <f aca="false">MONTH(C1329)</f>
        <v>9</v>
      </c>
      <c r="E1329" s="2" t="s">
        <v>81</v>
      </c>
      <c r="F1329" s="2" t="s">
        <v>64</v>
      </c>
      <c r="G1329" s="2" t="s">
        <v>65</v>
      </c>
      <c r="H1329" s="2" t="s">
        <v>107</v>
      </c>
      <c r="I1329" s="2" t="n">
        <v>3</v>
      </c>
      <c r="J1329" s="11" t="n">
        <v>500</v>
      </c>
      <c r="K1329" s="12" t="n">
        <v>0.05</v>
      </c>
      <c r="L1329" s="11" t="n">
        <v>250</v>
      </c>
      <c r="M1329" s="11" t="n">
        <f aca="false">I1329*J1329*(1-K1329)</f>
        <v>1425</v>
      </c>
      <c r="N1329" s="11" t="n">
        <f aca="false">M1329-I1329*L1329</f>
        <v>675</v>
      </c>
    </row>
    <row r="1330" customFormat="false" ht="15" hidden="false" customHeight="false" outlineLevel="0" collapsed="false">
      <c r="A1330" s="2" t="s">
        <v>1951</v>
      </c>
      <c r="B1330" s="2" t="s">
        <v>1952</v>
      </c>
      <c r="C1330" s="10" t="n">
        <v>45913</v>
      </c>
      <c r="D1330" s="2" t="n">
        <f aca="false">MONTH(C1330)</f>
        <v>9</v>
      </c>
      <c r="E1330" s="2" t="s">
        <v>91</v>
      </c>
      <c r="F1330" s="2" t="s">
        <v>64</v>
      </c>
      <c r="G1330" s="2" t="s">
        <v>70</v>
      </c>
      <c r="H1330" s="2" t="s">
        <v>126</v>
      </c>
      <c r="I1330" s="2" t="n">
        <v>1</v>
      </c>
      <c r="J1330" s="11" t="n">
        <v>4500</v>
      </c>
      <c r="K1330" s="12" t="n">
        <v>0.1</v>
      </c>
      <c r="L1330" s="11" t="n">
        <v>3300</v>
      </c>
      <c r="M1330" s="11" t="n">
        <f aca="false">I1330*J1330*(1-K1330)</f>
        <v>4050</v>
      </c>
      <c r="N1330" s="11" t="n">
        <f aca="false">M1330-I1330*L1330</f>
        <v>750</v>
      </c>
    </row>
    <row r="1331" customFormat="false" ht="15" hidden="false" customHeight="false" outlineLevel="0" collapsed="false">
      <c r="A1331" s="2" t="s">
        <v>2217</v>
      </c>
      <c r="B1331" s="2" t="s">
        <v>2215</v>
      </c>
      <c r="C1331" s="10" t="n">
        <v>45913</v>
      </c>
      <c r="D1331" s="2" t="n">
        <f aca="false">MONTH(C1331)</f>
        <v>9</v>
      </c>
      <c r="E1331" s="2" t="s">
        <v>77</v>
      </c>
      <c r="F1331" s="2" t="s">
        <v>64</v>
      </c>
      <c r="G1331" s="2" t="s">
        <v>73</v>
      </c>
      <c r="H1331" s="2" t="s">
        <v>87</v>
      </c>
      <c r="I1331" s="2" t="n">
        <v>2</v>
      </c>
      <c r="J1331" s="11" t="n">
        <v>9000</v>
      </c>
      <c r="K1331" s="12" t="n">
        <v>0</v>
      </c>
      <c r="L1331" s="11" t="n">
        <v>6200</v>
      </c>
      <c r="M1331" s="11" t="n">
        <f aca="false">I1331*J1331*(1-K1331)</f>
        <v>18000</v>
      </c>
      <c r="N1331" s="11" t="n">
        <f aca="false">M1331-I1331*L1331</f>
        <v>5600</v>
      </c>
    </row>
    <row r="1332" customFormat="false" ht="15" hidden="false" customHeight="false" outlineLevel="0" collapsed="false">
      <c r="A1332" s="2" t="s">
        <v>2551</v>
      </c>
      <c r="B1332" s="2" t="s">
        <v>2549</v>
      </c>
      <c r="C1332" s="10" t="n">
        <v>45913</v>
      </c>
      <c r="D1332" s="2" t="n">
        <f aca="false">MONTH(C1332)</f>
        <v>9</v>
      </c>
      <c r="E1332" s="2" t="s">
        <v>91</v>
      </c>
      <c r="F1332" s="2" t="s">
        <v>64</v>
      </c>
      <c r="G1332" s="2" t="s">
        <v>70</v>
      </c>
      <c r="H1332" s="2" t="s">
        <v>122</v>
      </c>
      <c r="I1332" s="2" t="n">
        <v>1</v>
      </c>
      <c r="J1332" s="11" t="n">
        <v>1500</v>
      </c>
      <c r="K1332" s="12" t="n">
        <v>0</v>
      </c>
      <c r="L1332" s="11" t="n">
        <v>900</v>
      </c>
      <c r="M1332" s="11" t="n">
        <f aca="false">I1332*J1332*(1-K1332)</f>
        <v>1500</v>
      </c>
      <c r="N1332" s="11" t="n">
        <f aca="false">M1332-I1332*L1332</f>
        <v>600</v>
      </c>
    </row>
    <row r="1333" customFormat="false" ht="15" hidden="false" customHeight="false" outlineLevel="0" collapsed="false">
      <c r="A1333" s="2" t="s">
        <v>2552</v>
      </c>
      <c r="B1333" s="2" t="s">
        <v>2549</v>
      </c>
      <c r="C1333" s="10" t="n">
        <v>45913</v>
      </c>
      <c r="D1333" s="2" t="n">
        <f aca="false">MONTH(C1333)</f>
        <v>9</v>
      </c>
      <c r="E1333" s="2" t="s">
        <v>91</v>
      </c>
      <c r="F1333" s="2" t="s">
        <v>64</v>
      </c>
      <c r="G1333" s="2" t="s">
        <v>73</v>
      </c>
      <c r="H1333" s="2" t="s">
        <v>74</v>
      </c>
      <c r="I1333" s="2" t="n">
        <v>2</v>
      </c>
      <c r="J1333" s="11" t="n">
        <v>7000</v>
      </c>
      <c r="K1333" s="12" t="n">
        <v>0</v>
      </c>
      <c r="L1333" s="11" t="n">
        <v>4800</v>
      </c>
      <c r="M1333" s="11" t="n">
        <f aca="false">I1333*J1333*(1-K1333)</f>
        <v>14000</v>
      </c>
      <c r="N1333" s="11" t="n">
        <f aca="false">M1333-I1333*L1333</f>
        <v>4400</v>
      </c>
    </row>
    <row r="1334" customFormat="false" ht="15" hidden="false" customHeight="false" outlineLevel="0" collapsed="false">
      <c r="A1334" s="2" t="s">
        <v>158</v>
      </c>
      <c r="B1334" s="2" t="s">
        <v>156</v>
      </c>
      <c r="C1334" s="10" t="n">
        <v>45914</v>
      </c>
      <c r="D1334" s="2" t="n">
        <f aca="false">MONTH(C1334)</f>
        <v>9</v>
      </c>
      <c r="E1334" s="2" t="s">
        <v>91</v>
      </c>
      <c r="F1334" s="2" t="s">
        <v>92</v>
      </c>
      <c r="G1334" s="2" t="s">
        <v>65</v>
      </c>
      <c r="H1334" s="2" t="s">
        <v>78</v>
      </c>
      <c r="I1334" s="2" t="n">
        <v>26</v>
      </c>
      <c r="J1334" s="11" t="n">
        <v>400</v>
      </c>
      <c r="K1334" s="12" t="n">
        <v>0.05</v>
      </c>
      <c r="L1334" s="11" t="n">
        <v>200</v>
      </c>
      <c r="M1334" s="11" t="n">
        <f aca="false">I1334*J1334*(1-K1334)</f>
        <v>9880</v>
      </c>
      <c r="N1334" s="11" t="n">
        <f aca="false">M1334-I1334*L1334</f>
        <v>4680</v>
      </c>
    </row>
    <row r="1335" customFormat="false" ht="15" hidden="false" customHeight="false" outlineLevel="0" collapsed="false">
      <c r="A1335" s="2" t="s">
        <v>768</v>
      </c>
      <c r="B1335" s="2" t="s">
        <v>769</v>
      </c>
      <c r="C1335" s="10" t="n">
        <v>45914</v>
      </c>
      <c r="D1335" s="2" t="n">
        <f aca="false">MONTH(C1335)</f>
        <v>9</v>
      </c>
      <c r="E1335" s="2" t="s">
        <v>63</v>
      </c>
      <c r="F1335" s="2" t="s">
        <v>64</v>
      </c>
      <c r="G1335" s="2" t="s">
        <v>65</v>
      </c>
      <c r="H1335" s="2" t="s">
        <v>107</v>
      </c>
      <c r="I1335" s="2" t="n">
        <v>7</v>
      </c>
      <c r="J1335" s="11" t="n">
        <v>500</v>
      </c>
      <c r="K1335" s="12" t="n">
        <v>0</v>
      </c>
      <c r="L1335" s="11" t="n">
        <v>250</v>
      </c>
      <c r="M1335" s="11" t="n">
        <f aca="false">I1335*J1335*(1-K1335)</f>
        <v>3500</v>
      </c>
      <c r="N1335" s="11" t="n">
        <f aca="false">M1335-I1335*L1335</f>
        <v>1750</v>
      </c>
    </row>
    <row r="1336" customFormat="false" ht="15" hidden="false" customHeight="false" outlineLevel="0" collapsed="false">
      <c r="A1336" s="2" t="s">
        <v>1422</v>
      </c>
      <c r="B1336" s="2" t="s">
        <v>1423</v>
      </c>
      <c r="C1336" s="10" t="n">
        <v>45914</v>
      </c>
      <c r="D1336" s="2" t="n">
        <f aca="false">MONTH(C1336)</f>
        <v>9</v>
      </c>
      <c r="E1336" s="2" t="s">
        <v>81</v>
      </c>
      <c r="F1336" s="2" t="s">
        <v>64</v>
      </c>
      <c r="G1336" s="2" t="s">
        <v>70</v>
      </c>
      <c r="H1336" s="2" t="s">
        <v>126</v>
      </c>
      <c r="I1336" s="2" t="n">
        <v>2</v>
      </c>
      <c r="J1336" s="11" t="n">
        <v>4500</v>
      </c>
      <c r="K1336" s="12" t="n">
        <v>0</v>
      </c>
      <c r="L1336" s="11" t="n">
        <v>3300</v>
      </c>
      <c r="M1336" s="11" t="n">
        <f aca="false">I1336*J1336*(1-K1336)</f>
        <v>9000</v>
      </c>
      <c r="N1336" s="11" t="n">
        <f aca="false">M1336-I1336*L1336</f>
        <v>2400</v>
      </c>
    </row>
    <row r="1337" customFormat="false" ht="15" hidden="false" customHeight="false" outlineLevel="0" collapsed="false">
      <c r="A1337" s="2" t="s">
        <v>1653</v>
      </c>
      <c r="B1337" s="2" t="s">
        <v>1651</v>
      </c>
      <c r="C1337" s="10" t="n">
        <v>45914</v>
      </c>
      <c r="D1337" s="2" t="n">
        <f aca="false">MONTH(C1337)</f>
        <v>9</v>
      </c>
      <c r="E1337" s="2" t="s">
        <v>77</v>
      </c>
      <c r="F1337" s="2" t="s">
        <v>64</v>
      </c>
      <c r="G1337" s="2" t="s">
        <v>65</v>
      </c>
      <c r="H1337" s="2" t="s">
        <v>107</v>
      </c>
      <c r="I1337" s="2" t="n">
        <v>2</v>
      </c>
      <c r="J1337" s="11" t="n">
        <v>500</v>
      </c>
      <c r="K1337" s="12" t="n">
        <v>0</v>
      </c>
      <c r="L1337" s="11" t="n">
        <v>250</v>
      </c>
      <c r="M1337" s="11" t="n">
        <f aca="false">I1337*J1337*(1-K1337)</f>
        <v>1000</v>
      </c>
      <c r="N1337" s="11" t="n">
        <f aca="false">M1337-I1337*L1337</f>
        <v>500</v>
      </c>
    </row>
    <row r="1338" customFormat="false" ht="15" hidden="false" customHeight="false" outlineLevel="0" collapsed="false">
      <c r="A1338" s="2" t="s">
        <v>353</v>
      </c>
      <c r="B1338" s="2" t="s">
        <v>349</v>
      </c>
      <c r="C1338" s="10" t="n">
        <v>45915</v>
      </c>
      <c r="D1338" s="2" t="n">
        <f aca="false">MONTH(C1338)</f>
        <v>9</v>
      </c>
      <c r="E1338" s="2" t="s">
        <v>77</v>
      </c>
      <c r="F1338" s="2" t="s">
        <v>64</v>
      </c>
      <c r="G1338" s="2" t="s">
        <v>70</v>
      </c>
      <c r="H1338" s="2" t="s">
        <v>71</v>
      </c>
      <c r="I1338" s="2" t="n">
        <v>2</v>
      </c>
      <c r="J1338" s="11" t="n">
        <v>2500</v>
      </c>
      <c r="K1338" s="12" t="n">
        <v>0</v>
      </c>
      <c r="L1338" s="11" t="n">
        <v>1600</v>
      </c>
      <c r="M1338" s="11" t="n">
        <f aca="false">I1338*J1338*(1-K1338)</f>
        <v>5000</v>
      </c>
      <c r="N1338" s="11" t="n">
        <f aca="false">M1338-I1338*L1338</f>
        <v>1800</v>
      </c>
    </row>
    <row r="1339" customFormat="false" ht="15" hidden="false" customHeight="false" outlineLevel="0" collapsed="false">
      <c r="A1339" s="2" t="s">
        <v>1047</v>
      </c>
      <c r="B1339" s="2" t="s">
        <v>1045</v>
      </c>
      <c r="C1339" s="10" t="n">
        <v>45915</v>
      </c>
      <c r="D1339" s="2" t="n">
        <f aca="false">MONTH(C1339)</f>
        <v>9</v>
      </c>
      <c r="E1339" s="2" t="s">
        <v>63</v>
      </c>
      <c r="F1339" s="2" t="s">
        <v>69</v>
      </c>
      <c r="G1339" s="2" t="s">
        <v>70</v>
      </c>
      <c r="H1339" s="2" t="s">
        <v>122</v>
      </c>
      <c r="I1339" s="2" t="n">
        <v>5</v>
      </c>
      <c r="J1339" s="11" t="n">
        <v>1500</v>
      </c>
      <c r="K1339" s="12" t="n">
        <v>0</v>
      </c>
      <c r="L1339" s="11" t="n">
        <v>900</v>
      </c>
      <c r="M1339" s="11" t="n">
        <f aca="false">I1339*J1339*(1-K1339)</f>
        <v>7500</v>
      </c>
      <c r="N1339" s="11" t="n">
        <f aca="false">M1339-I1339*L1339</f>
        <v>3000</v>
      </c>
    </row>
    <row r="1340" customFormat="false" ht="15" hidden="false" customHeight="false" outlineLevel="0" collapsed="false">
      <c r="A1340" s="2" t="s">
        <v>2095</v>
      </c>
      <c r="B1340" s="2" t="s">
        <v>2096</v>
      </c>
      <c r="C1340" s="10" t="n">
        <v>45915</v>
      </c>
      <c r="D1340" s="2" t="n">
        <f aca="false">MONTH(C1340)</f>
        <v>9</v>
      </c>
      <c r="E1340" s="2" t="s">
        <v>63</v>
      </c>
      <c r="F1340" s="2" t="s">
        <v>69</v>
      </c>
      <c r="G1340" s="2" t="s">
        <v>70</v>
      </c>
      <c r="H1340" s="2" t="s">
        <v>126</v>
      </c>
      <c r="I1340" s="2" t="n">
        <v>1</v>
      </c>
      <c r="J1340" s="11" t="n">
        <v>4500</v>
      </c>
      <c r="K1340" s="12" t="n">
        <v>0</v>
      </c>
      <c r="L1340" s="11" t="n">
        <v>3300</v>
      </c>
      <c r="M1340" s="11" t="n">
        <f aca="false">I1340*J1340*(1-K1340)</f>
        <v>4500</v>
      </c>
      <c r="N1340" s="11" t="n">
        <f aca="false">M1340-I1340*L1340</f>
        <v>1200</v>
      </c>
    </row>
    <row r="1341" customFormat="false" ht="15" hidden="false" customHeight="false" outlineLevel="0" collapsed="false">
      <c r="A1341" s="2" t="s">
        <v>2395</v>
      </c>
      <c r="B1341" s="2" t="s">
        <v>2393</v>
      </c>
      <c r="C1341" s="10" t="n">
        <v>45915</v>
      </c>
      <c r="D1341" s="2" t="n">
        <f aca="false">MONTH(C1341)</f>
        <v>9</v>
      </c>
      <c r="E1341" s="2" t="s">
        <v>77</v>
      </c>
      <c r="F1341" s="2" t="s">
        <v>69</v>
      </c>
      <c r="G1341" s="2" t="s">
        <v>73</v>
      </c>
      <c r="H1341" s="2" t="s">
        <v>87</v>
      </c>
      <c r="I1341" s="2" t="n">
        <v>2</v>
      </c>
      <c r="J1341" s="11" t="n">
        <v>9000</v>
      </c>
      <c r="K1341" s="12" t="n">
        <v>0</v>
      </c>
      <c r="L1341" s="11" t="n">
        <v>6200</v>
      </c>
      <c r="M1341" s="11" t="n">
        <f aca="false">I1341*J1341*(1-K1341)</f>
        <v>18000</v>
      </c>
      <c r="N1341" s="11" t="n">
        <f aca="false">M1341-I1341*L1341</f>
        <v>5600</v>
      </c>
    </row>
    <row r="1342" customFormat="false" ht="15" hidden="false" customHeight="false" outlineLevel="0" collapsed="false">
      <c r="A1342" s="2" t="s">
        <v>306</v>
      </c>
      <c r="B1342" s="2" t="s">
        <v>305</v>
      </c>
      <c r="C1342" s="10" t="n">
        <v>45916</v>
      </c>
      <c r="D1342" s="2" t="n">
        <f aca="false">MONTH(C1342)</f>
        <v>9</v>
      </c>
      <c r="E1342" s="2" t="s">
        <v>81</v>
      </c>
      <c r="F1342" s="2" t="s">
        <v>92</v>
      </c>
      <c r="G1342" s="2" t="s">
        <v>73</v>
      </c>
      <c r="H1342" s="2" t="s">
        <v>74</v>
      </c>
      <c r="I1342" s="2" t="n">
        <v>2</v>
      </c>
      <c r="J1342" s="11" t="n">
        <v>7000</v>
      </c>
      <c r="K1342" s="12" t="n">
        <v>0.05</v>
      </c>
      <c r="L1342" s="11" t="n">
        <v>4800</v>
      </c>
      <c r="M1342" s="11" t="n">
        <f aca="false">I1342*J1342*(1-K1342)</f>
        <v>13300</v>
      </c>
      <c r="N1342" s="11" t="n">
        <f aca="false">M1342-I1342*L1342</f>
        <v>3700</v>
      </c>
    </row>
    <row r="1343" customFormat="false" ht="15" hidden="false" customHeight="false" outlineLevel="0" collapsed="false">
      <c r="A1343" s="2" t="s">
        <v>552</v>
      </c>
      <c r="B1343" s="2" t="s">
        <v>553</v>
      </c>
      <c r="C1343" s="10" t="n">
        <v>45916</v>
      </c>
      <c r="D1343" s="2" t="n">
        <f aca="false">MONTH(C1343)</f>
        <v>9</v>
      </c>
      <c r="E1343" s="2" t="s">
        <v>81</v>
      </c>
      <c r="F1343" s="2" t="s">
        <v>64</v>
      </c>
      <c r="G1343" s="2" t="s">
        <v>65</v>
      </c>
      <c r="H1343" s="2" t="s">
        <v>78</v>
      </c>
      <c r="I1343" s="2" t="n">
        <v>3</v>
      </c>
      <c r="J1343" s="11" t="n">
        <v>400</v>
      </c>
      <c r="K1343" s="12" t="n">
        <v>0.1</v>
      </c>
      <c r="L1343" s="11" t="n">
        <v>200</v>
      </c>
      <c r="M1343" s="11" t="n">
        <f aca="false">I1343*J1343*(1-K1343)</f>
        <v>1080</v>
      </c>
      <c r="N1343" s="11" t="n">
        <f aca="false">M1343-I1343*L1343</f>
        <v>480</v>
      </c>
    </row>
    <row r="1344" customFormat="false" ht="15" hidden="false" customHeight="false" outlineLevel="0" collapsed="false">
      <c r="A1344" s="2" t="s">
        <v>1206</v>
      </c>
      <c r="B1344" s="2" t="s">
        <v>1205</v>
      </c>
      <c r="C1344" s="10" t="n">
        <v>45916</v>
      </c>
      <c r="D1344" s="2" t="n">
        <f aca="false">MONTH(C1344)</f>
        <v>9</v>
      </c>
      <c r="E1344" s="2" t="s">
        <v>63</v>
      </c>
      <c r="F1344" s="2" t="s">
        <v>64</v>
      </c>
      <c r="G1344" s="2" t="s">
        <v>65</v>
      </c>
      <c r="H1344" s="2" t="s">
        <v>66</v>
      </c>
      <c r="I1344" s="2" t="n">
        <v>2</v>
      </c>
      <c r="J1344" s="11" t="n">
        <v>600</v>
      </c>
      <c r="K1344" s="12" t="n">
        <v>0.1</v>
      </c>
      <c r="L1344" s="11" t="n">
        <v>300</v>
      </c>
      <c r="M1344" s="11" t="n">
        <f aca="false">I1344*J1344*(1-K1344)</f>
        <v>1080</v>
      </c>
      <c r="N1344" s="11" t="n">
        <f aca="false">M1344-I1344*L1344</f>
        <v>480</v>
      </c>
    </row>
    <row r="1345" customFormat="false" ht="15" hidden="false" customHeight="false" outlineLevel="0" collapsed="false">
      <c r="A1345" s="2" t="s">
        <v>1267</v>
      </c>
      <c r="B1345" s="2" t="s">
        <v>1266</v>
      </c>
      <c r="C1345" s="10" t="n">
        <v>45916</v>
      </c>
      <c r="D1345" s="2" t="n">
        <f aca="false">MONTH(C1345)</f>
        <v>9</v>
      </c>
      <c r="E1345" s="2" t="s">
        <v>63</v>
      </c>
      <c r="F1345" s="2" t="s">
        <v>92</v>
      </c>
      <c r="G1345" s="2" t="s">
        <v>73</v>
      </c>
      <c r="H1345" s="2" t="s">
        <v>85</v>
      </c>
      <c r="I1345" s="2" t="n">
        <v>4</v>
      </c>
      <c r="J1345" s="11" t="n">
        <v>1200</v>
      </c>
      <c r="K1345" s="12" t="n">
        <v>0.1</v>
      </c>
      <c r="L1345" s="11" t="n">
        <v>600</v>
      </c>
      <c r="M1345" s="11" t="n">
        <f aca="false">I1345*J1345*(1-K1345)</f>
        <v>4320</v>
      </c>
      <c r="N1345" s="11" t="n">
        <f aca="false">M1345-I1345*L1345</f>
        <v>1920</v>
      </c>
    </row>
    <row r="1346" customFormat="false" ht="15" hidden="false" customHeight="false" outlineLevel="0" collapsed="false">
      <c r="A1346" s="2" t="s">
        <v>2033</v>
      </c>
      <c r="B1346" s="2" t="s">
        <v>2034</v>
      </c>
      <c r="C1346" s="10" t="n">
        <v>45916</v>
      </c>
      <c r="D1346" s="2" t="n">
        <f aca="false">MONTH(C1346)</f>
        <v>9</v>
      </c>
      <c r="E1346" s="2" t="s">
        <v>63</v>
      </c>
      <c r="F1346" s="2" t="s">
        <v>69</v>
      </c>
      <c r="G1346" s="2" t="s">
        <v>65</v>
      </c>
      <c r="H1346" s="2" t="s">
        <v>82</v>
      </c>
      <c r="I1346" s="2" t="n">
        <v>11</v>
      </c>
      <c r="J1346" s="11" t="n">
        <v>250</v>
      </c>
      <c r="K1346" s="12" t="n">
        <v>0</v>
      </c>
      <c r="L1346" s="11" t="n">
        <v>100</v>
      </c>
      <c r="M1346" s="11" t="n">
        <f aca="false">I1346*J1346*(1-K1346)</f>
        <v>2750</v>
      </c>
      <c r="N1346" s="11" t="n">
        <f aca="false">M1346-I1346*L1346</f>
        <v>1650</v>
      </c>
    </row>
    <row r="1347" customFormat="false" ht="15" hidden="false" customHeight="false" outlineLevel="0" collapsed="false">
      <c r="A1347" s="2" t="s">
        <v>2358</v>
      </c>
      <c r="B1347" s="2" t="s">
        <v>2357</v>
      </c>
      <c r="C1347" s="10" t="n">
        <v>45916</v>
      </c>
      <c r="D1347" s="2" t="n">
        <f aca="false">MONTH(C1347)</f>
        <v>9</v>
      </c>
      <c r="E1347" s="2" t="s">
        <v>63</v>
      </c>
      <c r="F1347" s="2" t="s">
        <v>64</v>
      </c>
      <c r="G1347" s="2" t="s">
        <v>70</v>
      </c>
      <c r="H1347" s="2" t="s">
        <v>71</v>
      </c>
      <c r="I1347" s="2" t="n">
        <v>1</v>
      </c>
      <c r="J1347" s="11" t="n">
        <v>2500</v>
      </c>
      <c r="K1347" s="12" t="n">
        <v>0</v>
      </c>
      <c r="L1347" s="11" t="n">
        <v>1600</v>
      </c>
      <c r="M1347" s="11" t="n">
        <f aca="false">I1347*J1347*(1-K1347)</f>
        <v>2500</v>
      </c>
      <c r="N1347" s="11" t="n">
        <f aca="false">M1347-I1347*L1347</f>
        <v>900</v>
      </c>
    </row>
    <row r="1348" customFormat="false" ht="15" hidden="false" customHeight="false" outlineLevel="0" collapsed="false">
      <c r="A1348" s="2" t="s">
        <v>2773</v>
      </c>
      <c r="B1348" s="2" t="s">
        <v>2772</v>
      </c>
      <c r="C1348" s="10" t="n">
        <v>45916</v>
      </c>
      <c r="D1348" s="2" t="n">
        <f aca="false">MONTH(C1348)</f>
        <v>9</v>
      </c>
      <c r="E1348" s="2" t="s">
        <v>63</v>
      </c>
      <c r="F1348" s="2" t="s">
        <v>64</v>
      </c>
      <c r="G1348" s="2" t="s">
        <v>73</v>
      </c>
      <c r="H1348" s="2" t="s">
        <v>104</v>
      </c>
      <c r="I1348" s="2" t="n">
        <v>3</v>
      </c>
      <c r="J1348" s="11" t="n">
        <v>5500</v>
      </c>
      <c r="K1348" s="12" t="n">
        <v>0.05</v>
      </c>
      <c r="L1348" s="11" t="n">
        <v>3600</v>
      </c>
      <c r="M1348" s="11" t="n">
        <f aca="false">I1348*J1348*(1-K1348)</f>
        <v>15675</v>
      </c>
      <c r="N1348" s="11" t="n">
        <f aca="false">M1348-I1348*L1348</f>
        <v>4875</v>
      </c>
    </row>
    <row r="1349" customFormat="false" ht="15" hidden="false" customHeight="false" outlineLevel="0" collapsed="false">
      <c r="A1349" s="2" t="s">
        <v>95</v>
      </c>
      <c r="B1349" s="2" t="s">
        <v>96</v>
      </c>
      <c r="C1349" s="10" t="n">
        <v>45917</v>
      </c>
      <c r="D1349" s="2" t="n">
        <f aca="false">MONTH(C1349)</f>
        <v>9</v>
      </c>
      <c r="E1349" s="2" t="s">
        <v>63</v>
      </c>
      <c r="F1349" s="2" t="s">
        <v>64</v>
      </c>
      <c r="G1349" s="2" t="s">
        <v>70</v>
      </c>
      <c r="H1349" s="2" t="s">
        <v>97</v>
      </c>
      <c r="I1349" s="2" t="n">
        <v>2</v>
      </c>
      <c r="J1349" s="11" t="n">
        <v>3000</v>
      </c>
      <c r="K1349" s="12" t="n">
        <v>0</v>
      </c>
      <c r="L1349" s="11" t="n">
        <v>2000</v>
      </c>
      <c r="M1349" s="11" t="n">
        <f aca="false">I1349*J1349*(1-K1349)</f>
        <v>6000</v>
      </c>
      <c r="N1349" s="11" t="n">
        <f aca="false">M1349-I1349*L1349</f>
        <v>2000</v>
      </c>
    </row>
    <row r="1350" customFormat="false" ht="15" hidden="false" customHeight="false" outlineLevel="0" collapsed="false">
      <c r="A1350" s="2" t="s">
        <v>618</v>
      </c>
      <c r="B1350" s="2" t="s">
        <v>616</v>
      </c>
      <c r="C1350" s="10" t="n">
        <v>45917</v>
      </c>
      <c r="D1350" s="2" t="n">
        <f aca="false">MONTH(C1350)</f>
        <v>9</v>
      </c>
      <c r="E1350" s="2" t="s">
        <v>81</v>
      </c>
      <c r="F1350" s="2" t="s">
        <v>64</v>
      </c>
      <c r="G1350" s="2" t="s">
        <v>73</v>
      </c>
      <c r="H1350" s="2" t="s">
        <v>104</v>
      </c>
      <c r="I1350" s="2" t="n">
        <v>1</v>
      </c>
      <c r="J1350" s="11" t="n">
        <v>5500</v>
      </c>
      <c r="K1350" s="12" t="n">
        <v>0.1</v>
      </c>
      <c r="L1350" s="11" t="n">
        <v>3600</v>
      </c>
      <c r="M1350" s="11" t="n">
        <f aca="false">I1350*J1350*(1-K1350)</f>
        <v>4950</v>
      </c>
      <c r="N1350" s="11" t="n">
        <f aca="false">M1350-I1350*L1350</f>
        <v>1350</v>
      </c>
    </row>
    <row r="1351" customFormat="false" ht="15" hidden="false" customHeight="false" outlineLevel="0" collapsed="false">
      <c r="A1351" s="2" t="s">
        <v>1037</v>
      </c>
      <c r="B1351" s="2" t="s">
        <v>1030</v>
      </c>
      <c r="C1351" s="10" t="n">
        <v>45917</v>
      </c>
      <c r="D1351" s="2" t="n">
        <f aca="false">MONTH(C1351)</f>
        <v>9</v>
      </c>
      <c r="E1351" s="2" t="s">
        <v>77</v>
      </c>
      <c r="F1351" s="2" t="s">
        <v>64</v>
      </c>
      <c r="G1351" s="2" t="s">
        <v>70</v>
      </c>
      <c r="H1351" s="2" t="s">
        <v>122</v>
      </c>
      <c r="I1351" s="2" t="n">
        <v>2</v>
      </c>
      <c r="J1351" s="11" t="n">
        <v>1500</v>
      </c>
      <c r="K1351" s="12" t="n">
        <v>0</v>
      </c>
      <c r="L1351" s="11" t="n">
        <v>900</v>
      </c>
      <c r="M1351" s="11" t="n">
        <f aca="false">I1351*J1351*(1-K1351)</f>
        <v>3000</v>
      </c>
      <c r="N1351" s="11" t="n">
        <f aca="false">M1351-I1351*L1351</f>
        <v>1200</v>
      </c>
    </row>
    <row r="1352" customFormat="false" ht="15" hidden="false" customHeight="false" outlineLevel="0" collapsed="false">
      <c r="A1352" s="2" t="s">
        <v>1189</v>
      </c>
      <c r="B1352" s="2" t="s">
        <v>1190</v>
      </c>
      <c r="C1352" s="10" t="n">
        <v>45917</v>
      </c>
      <c r="D1352" s="2" t="n">
        <f aca="false">MONTH(C1352)</f>
        <v>9</v>
      </c>
      <c r="E1352" s="2" t="s">
        <v>63</v>
      </c>
      <c r="F1352" s="2" t="s">
        <v>64</v>
      </c>
      <c r="G1352" s="2" t="s">
        <v>65</v>
      </c>
      <c r="H1352" s="2" t="s">
        <v>66</v>
      </c>
      <c r="I1352" s="2" t="n">
        <v>3</v>
      </c>
      <c r="J1352" s="11" t="n">
        <v>600</v>
      </c>
      <c r="K1352" s="12" t="n">
        <v>0.1</v>
      </c>
      <c r="L1352" s="11" t="n">
        <v>300</v>
      </c>
      <c r="M1352" s="11" t="n">
        <f aca="false">I1352*J1352*(1-K1352)</f>
        <v>1620</v>
      </c>
      <c r="N1352" s="11" t="n">
        <f aca="false">M1352-I1352*L1352</f>
        <v>720</v>
      </c>
    </row>
    <row r="1353" customFormat="false" ht="15" hidden="false" customHeight="false" outlineLevel="0" collapsed="false">
      <c r="A1353" s="2" t="s">
        <v>1458</v>
      </c>
      <c r="B1353" s="2" t="s">
        <v>1459</v>
      </c>
      <c r="C1353" s="10" t="n">
        <v>45917</v>
      </c>
      <c r="D1353" s="2" t="n">
        <f aca="false">MONTH(C1353)</f>
        <v>9</v>
      </c>
      <c r="E1353" s="2" t="s">
        <v>81</v>
      </c>
      <c r="F1353" s="2" t="s">
        <v>69</v>
      </c>
      <c r="G1353" s="2" t="s">
        <v>65</v>
      </c>
      <c r="H1353" s="2" t="s">
        <v>78</v>
      </c>
      <c r="I1353" s="2" t="n">
        <v>19</v>
      </c>
      <c r="J1353" s="11" t="n">
        <v>400</v>
      </c>
      <c r="K1353" s="12" t="n">
        <v>0</v>
      </c>
      <c r="L1353" s="11" t="n">
        <v>200</v>
      </c>
      <c r="M1353" s="11" t="n">
        <f aca="false">I1353*J1353*(1-K1353)</f>
        <v>7600</v>
      </c>
      <c r="N1353" s="11" t="n">
        <f aca="false">M1353-I1353*L1353</f>
        <v>3800</v>
      </c>
    </row>
    <row r="1354" customFormat="false" ht="15" hidden="false" customHeight="false" outlineLevel="0" collapsed="false">
      <c r="A1354" s="2" t="s">
        <v>2050</v>
      </c>
      <c r="B1354" s="2" t="s">
        <v>2047</v>
      </c>
      <c r="C1354" s="10" t="n">
        <v>45917</v>
      </c>
      <c r="D1354" s="2" t="n">
        <f aca="false">MONTH(C1354)</f>
        <v>9</v>
      </c>
      <c r="E1354" s="2" t="s">
        <v>77</v>
      </c>
      <c r="F1354" s="2" t="s">
        <v>64</v>
      </c>
      <c r="G1354" s="2" t="s">
        <v>70</v>
      </c>
      <c r="H1354" s="2" t="s">
        <v>97</v>
      </c>
      <c r="I1354" s="2" t="n">
        <v>2</v>
      </c>
      <c r="J1354" s="11" t="n">
        <v>3000</v>
      </c>
      <c r="K1354" s="12" t="n">
        <v>0.1</v>
      </c>
      <c r="L1354" s="11" t="n">
        <v>2000</v>
      </c>
      <c r="M1354" s="11" t="n">
        <f aca="false">I1354*J1354*(1-K1354)</f>
        <v>5400</v>
      </c>
      <c r="N1354" s="11" t="n">
        <f aca="false">M1354-I1354*L1354</f>
        <v>1400</v>
      </c>
    </row>
    <row r="1355" customFormat="false" ht="15" hidden="false" customHeight="false" outlineLevel="0" collapsed="false">
      <c r="A1355" s="2" t="s">
        <v>2059</v>
      </c>
      <c r="B1355" s="2" t="s">
        <v>2054</v>
      </c>
      <c r="C1355" s="10" t="n">
        <v>45917</v>
      </c>
      <c r="D1355" s="2" t="n">
        <f aca="false">MONTH(C1355)</f>
        <v>9</v>
      </c>
      <c r="E1355" s="2" t="s">
        <v>91</v>
      </c>
      <c r="F1355" s="2" t="s">
        <v>64</v>
      </c>
      <c r="G1355" s="2" t="s">
        <v>65</v>
      </c>
      <c r="H1355" s="2" t="s">
        <v>107</v>
      </c>
      <c r="I1355" s="2" t="n">
        <v>3</v>
      </c>
      <c r="J1355" s="11" t="n">
        <v>500</v>
      </c>
      <c r="K1355" s="12" t="n">
        <v>0</v>
      </c>
      <c r="L1355" s="11" t="n">
        <v>250</v>
      </c>
      <c r="M1355" s="11" t="n">
        <f aca="false">I1355*J1355*(1-K1355)</f>
        <v>1500</v>
      </c>
      <c r="N1355" s="11" t="n">
        <f aca="false">M1355-I1355*L1355</f>
        <v>750</v>
      </c>
    </row>
    <row r="1356" customFormat="false" ht="15" hidden="false" customHeight="false" outlineLevel="0" collapsed="false">
      <c r="A1356" s="2" t="s">
        <v>2490</v>
      </c>
      <c r="B1356" s="2" t="s">
        <v>2486</v>
      </c>
      <c r="C1356" s="10" t="n">
        <v>45917</v>
      </c>
      <c r="D1356" s="2" t="n">
        <f aca="false">MONTH(C1356)</f>
        <v>9</v>
      </c>
      <c r="E1356" s="2" t="s">
        <v>63</v>
      </c>
      <c r="F1356" s="2" t="s">
        <v>64</v>
      </c>
      <c r="G1356" s="2" t="s">
        <v>70</v>
      </c>
      <c r="H1356" s="2" t="s">
        <v>71</v>
      </c>
      <c r="I1356" s="2" t="n">
        <v>2</v>
      </c>
      <c r="J1356" s="11" t="n">
        <v>2500</v>
      </c>
      <c r="K1356" s="12" t="n">
        <v>0.1</v>
      </c>
      <c r="L1356" s="11" t="n">
        <v>1600</v>
      </c>
      <c r="M1356" s="11" t="n">
        <f aca="false">I1356*J1356*(1-K1356)</f>
        <v>4500</v>
      </c>
      <c r="N1356" s="11" t="n">
        <f aca="false">M1356-I1356*L1356</f>
        <v>1300</v>
      </c>
    </row>
    <row r="1357" customFormat="false" ht="15" hidden="false" customHeight="false" outlineLevel="0" collapsed="false">
      <c r="A1357" s="2" t="s">
        <v>762</v>
      </c>
      <c r="B1357" s="2" t="s">
        <v>761</v>
      </c>
      <c r="C1357" s="10" t="n">
        <v>45918</v>
      </c>
      <c r="D1357" s="2" t="n">
        <f aca="false">MONTH(C1357)</f>
        <v>9</v>
      </c>
      <c r="E1357" s="2" t="s">
        <v>77</v>
      </c>
      <c r="F1357" s="2" t="s">
        <v>64</v>
      </c>
      <c r="G1357" s="2" t="s">
        <v>70</v>
      </c>
      <c r="H1357" s="2" t="s">
        <v>97</v>
      </c>
      <c r="I1357" s="2" t="n">
        <v>2</v>
      </c>
      <c r="J1357" s="11" t="n">
        <v>3000</v>
      </c>
      <c r="K1357" s="12" t="n">
        <v>0</v>
      </c>
      <c r="L1357" s="11" t="n">
        <v>2000</v>
      </c>
      <c r="M1357" s="11" t="n">
        <f aca="false">I1357*J1357*(1-K1357)</f>
        <v>6000</v>
      </c>
      <c r="N1357" s="11" t="n">
        <f aca="false">M1357-I1357*L1357</f>
        <v>2000</v>
      </c>
    </row>
    <row r="1358" customFormat="false" ht="15" hidden="false" customHeight="false" outlineLevel="0" collapsed="false">
      <c r="A1358" s="2" t="s">
        <v>1383</v>
      </c>
      <c r="B1358" s="2" t="s">
        <v>1382</v>
      </c>
      <c r="C1358" s="10" t="n">
        <v>45918</v>
      </c>
      <c r="D1358" s="2" t="n">
        <f aca="false">MONTH(C1358)</f>
        <v>9</v>
      </c>
      <c r="E1358" s="2" t="s">
        <v>63</v>
      </c>
      <c r="F1358" s="2" t="s">
        <v>92</v>
      </c>
      <c r="G1358" s="2" t="s">
        <v>73</v>
      </c>
      <c r="H1358" s="2" t="s">
        <v>74</v>
      </c>
      <c r="I1358" s="2" t="n">
        <v>7</v>
      </c>
      <c r="J1358" s="11" t="n">
        <v>7000</v>
      </c>
      <c r="K1358" s="12" t="n">
        <v>0</v>
      </c>
      <c r="L1358" s="11" t="n">
        <v>4800</v>
      </c>
      <c r="M1358" s="11" t="n">
        <f aca="false">I1358*J1358*(1-K1358)</f>
        <v>49000</v>
      </c>
      <c r="N1358" s="11" t="n">
        <f aca="false">M1358-I1358*L1358</f>
        <v>15400</v>
      </c>
    </row>
    <row r="1359" customFormat="false" ht="15" hidden="false" customHeight="false" outlineLevel="0" collapsed="false">
      <c r="A1359" s="2" t="s">
        <v>1400</v>
      </c>
      <c r="B1359" s="2" t="s">
        <v>1401</v>
      </c>
      <c r="C1359" s="10" t="n">
        <v>45918</v>
      </c>
      <c r="D1359" s="2" t="n">
        <f aca="false">MONTH(C1359)</f>
        <v>9</v>
      </c>
      <c r="E1359" s="2" t="s">
        <v>77</v>
      </c>
      <c r="F1359" s="2" t="s">
        <v>64</v>
      </c>
      <c r="G1359" s="2" t="s">
        <v>70</v>
      </c>
      <c r="H1359" s="2" t="s">
        <v>122</v>
      </c>
      <c r="I1359" s="2" t="n">
        <v>3</v>
      </c>
      <c r="J1359" s="11" t="n">
        <v>1500</v>
      </c>
      <c r="K1359" s="12" t="n">
        <v>0.1</v>
      </c>
      <c r="L1359" s="11" t="n">
        <v>900</v>
      </c>
      <c r="M1359" s="11" t="n">
        <f aca="false">I1359*J1359*(1-K1359)</f>
        <v>4050</v>
      </c>
      <c r="N1359" s="11" t="n">
        <f aca="false">M1359-I1359*L1359</f>
        <v>1350</v>
      </c>
    </row>
    <row r="1360" customFormat="false" ht="15" hidden="false" customHeight="false" outlineLevel="0" collapsed="false">
      <c r="A1360" s="2" t="s">
        <v>1540</v>
      </c>
      <c r="B1360" s="2" t="s">
        <v>1538</v>
      </c>
      <c r="C1360" s="10" t="n">
        <v>45918</v>
      </c>
      <c r="D1360" s="2" t="n">
        <f aca="false">MONTH(C1360)</f>
        <v>9</v>
      </c>
      <c r="E1360" s="2" t="s">
        <v>77</v>
      </c>
      <c r="F1360" s="2" t="s">
        <v>64</v>
      </c>
      <c r="G1360" s="2" t="s">
        <v>65</v>
      </c>
      <c r="H1360" s="2" t="s">
        <v>66</v>
      </c>
      <c r="I1360" s="2" t="n">
        <v>7</v>
      </c>
      <c r="J1360" s="11" t="n">
        <v>600</v>
      </c>
      <c r="K1360" s="12" t="n">
        <v>0</v>
      </c>
      <c r="L1360" s="11" t="n">
        <v>300</v>
      </c>
      <c r="M1360" s="11" t="n">
        <f aca="false">I1360*J1360*(1-K1360)</f>
        <v>4200</v>
      </c>
      <c r="N1360" s="11" t="n">
        <f aca="false">M1360-I1360*L1360</f>
        <v>2100</v>
      </c>
    </row>
    <row r="1361" customFormat="false" ht="15" hidden="false" customHeight="false" outlineLevel="0" collapsed="false">
      <c r="A1361" s="2" t="s">
        <v>1629</v>
      </c>
      <c r="B1361" s="2" t="s">
        <v>1627</v>
      </c>
      <c r="C1361" s="10" t="n">
        <v>45918</v>
      </c>
      <c r="D1361" s="2" t="n">
        <f aca="false">MONTH(C1361)</f>
        <v>9</v>
      </c>
      <c r="E1361" s="2" t="s">
        <v>91</v>
      </c>
      <c r="F1361" s="2" t="s">
        <v>92</v>
      </c>
      <c r="G1361" s="2" t="s">
        <v>73</v>
      </c>
      <c r="H1361" s="2" t="s">
        <v>87</v>
      </c>
      <c r="I1361" s="2" t="n">
        <v>6</v>
      </c>
      <c r="J1361" s="11" t="n">
        <v>9000</v>
      </c>
      <c r="K1361" s="12" t="n">
        <v>0</v>
      </c>
      <c r="L1361" s="11" t="n">
        <v>6200</v>
      </c>
      <c r="M1361" s="11" t="n">
        <f aca="false">I1361*J1361*(1-K1361)</f>
        <v>54000</v>
      </c>
      <c r="N1361" s="11" t="n">
        <f aca="false">M1361-I1361*L1361</f>
        <v>16800</v>
      </c>
    </row>
    <row r="1362" customFormat="false" ht="15" hidden="false" customHeight="false" outlineLevel="0" collapsed="false">
      <c r="A1362" s="2" t="s">
        <v>1942</v>
      </c>
      <c r="B1362" s="2" t="s">
        <v>1943</v>
      </c>
      <c r="C1362" s="10" t="n">
        <v>45918</v>
      </c>
      <c r="D1362" s="2" t="n">
        <f aca="false">MONTH(C1362)</f>
        <v>9</v>
      </c>
      <c r="E1362" s="2" t="s">
        <v>77</v>
      </c>
      <c r="F1362" s="2" t="s">
        <v>64</v>
      </c>
      <c r="G1362" s="2" t="s">
        <v>65</v>
      </c>
      <c r="H1362" s="2" t="s">
        <v>78</v>
      </c>
      <c r="I1362" s="2" t="n">
        <v>4</v>
      </c>
      <c r="J1362" s="11" t="n">
        <v>400</v>
      </c>
      <c r="K1362" s="12" t="n">
        <v>0</v>
      </c>
      <c r="L1362" s="11" t="n">
        <v>200</v>
      </c>
      <c r="M1362" s="11" t="n">
        <f aca="false">I1362*J1362*(1-K1362)</f>
        <v>1600</v>
      </c>
      <c r="N1362" s="11" t="n">
        <f aca="false">M1362-I1362*L1362</f>
        <v>800</v>
      </c>
    </row>
    <row r="1363" customFormat="false" ht="15" hidden="false" customHeight="false" outlineLevel="0" collapsed="false">
      <c r="A1363" s="2" t="s">
        <v>2509</v>
      </c>
      <c r="B1363" s="2" t="s">
        <v>2507</v>
      </c>
      <c r="C1363" s="10" t="n">
        <v>45918</v>
      </c>
      <c r="D1363" s="2" t="n">
        <f aca="false">MONTH(C1363)</f>
        <v>9</v>
      </c>
      <c r="E1363" s="2" t="s">
        <v>77</v>
      </c>
      <c r="F1363" s="2" t="s">
        <v>64</v>
      </c>
      <c r="G1363" s="2" t="s">
        <v>65</v>
      </c>
      <c r="H1363" s="2" t="s">
        <v>78</v>
      </c>
      <c r="I1363" s="2" t="n">
        <v>6</v>
      </c>
      <c r="J1363" s="11" t="n">
        <v>400</v>
      </c>
      <c r="K1363" s="12" t="n">
        <v>0.05</v>
      </c>
      <c r="L1363" s="11" t="n">
        <v>200</v>
      </c>
      <c r="M1363" s="11" t="n">
        <f aca="false">I1363*J1363*(1-K1363)</f>
        <v>2280</v>
      </c>
      <c r="N1363" s="11" t="n">
        <f aca="false">M1363-I1363*L1363</f>
        <v>1080</v>
      </c>
    </row>
    <row r="1364" customFormat="false" ht="15" hidden="false" customHeight="false" outlineLevel="0" collapsed="false">
      <c r="A1364" s="2" t="s">
        <v>2634</v>
      </c>
      <c r="B1364" s="2" t="s">
        <v>2629</v>
      </c>
      <c r="C1364" s="10" t="n">
        <v>45918</v>
      </c>
      <c r="D1364" s="2" t="n">
        <f aca="false">MONTH(C1364)</f>
        <v>9</v>
      </c>
      <c r="E1364" s="2" t="s">
        <v>3019</v>
      </c>
      <c r="F1364" s="2" t="s">
        <v>69</v>
      </c>
      <c r="G1364" s="2" t="s">
        <v>65</v>
      </c>
      <c r="H1364" s="2" t="s">
        <v>107</v>
      </c>
      <c r="I1364" s="2" t="n">
        <v>20</v>
      </c>
      <c r="J1364" s="11" t="n">
        <v>500</v>
      </c>
      <c r="K1364" s="12" t="n">
        <v>0.1</v>
      </c>
      <c r="L1364" s="11" t="n">
        <v>250</v>
      </c>
      <c r="M1364" s="11" t="n">
        <f aca="false">I1364*J1364*(1-K1364)</f>
        <v>9000</v>
      </c>
      <c r="N1364" s="11" t="n">
        <f aca="false">M1364-I1364*L1364</f>
        <v>4000</v>
      </c>
    </row>
    <row r="1365" customFormat="false" ht="15" hidden="false" customHeight="false" outlineLevel="0" collapsed="false">
      <c r="A1365" s="2" t="s">
        <v>2857</v>
      </c>
      <c r="B1365" s="2" t="s">
        <v>2855</v>
      </c>
      <c r="C1365" s="10" t="n">
        <v>45918</v>
      </c>
      <c r="D1365" s="2" t="n">
        <f aca="false">MONTH(C1365)</f>
        <v>9</v>
      </c>
      <c r="E1365" s="2" t="s">
        <v>81</v>
      </c>
      <c r="F1365" s="2" t="s">
        <v>64</v>
      </c>
      <c r="G1365" s="2" t="s">
        <v>73</v>
      </c>
      <c r="H1365" s="2" t="s">
        <v>104</v>
      </c>
      <c r="I1365" s="2" t="n">
        <v>3</v>
      </c>
      <c r="J1365" s="11" t="n">
        <v>5500</v>
      </c>
      <c r="K1365" s="12" t="n">
        <v>0.05</v>
      </c>
      <c r="L1365" s="11" t="n">
        <v>3600</v>
      </c>
      <c r="M1365" s="11" t="n">
        <f aca="false">I1365*J1365*(1-K1365)</f>
        <v>15675</v>
      </c>
      <c r="N1365" s="11" t="n">
        <f aca="false">M1365-I1365*L1365</f>
        <v>4875</v>
      </c>
    </row>
    <row r="1366" customFormat="false" ht="15" hidden="false" customHeight="false" outlineLevel="0" collapsed="false">
      <c r="A1366" s="2" t="s">
        <v>294</v>
      </c>
      <c r="B1366" s="2" t="s">
        <v>295</v>
      </c>
      <c r="C1366" s="10" t="n">
        <v>45919</v>
      </c>
      <c r="D1366" s="2" t="n">
        <f aca="false">MONTH(C1366)</f>
        <v>9</v>
      </c>
      <c r="E1366" s="2" t="s">
        <v>81</v>
      </c>
      <c r="F1366" s="2" t="s">
        <v>69</v>
      </c>
      <c r="G1366" s="2" t="s">
        <v>65</v>
      </c>
      <c r="H1366" s="2" t="s">
        <v>78</v>
      </c>
      <c r="I1366" s="2" t="n">
        <v>7</v>
      </c>
      <c r="J1366" s="11" t="n">
        <v>400</v>
      </c>
      <c r="K1366" s="12" t="n">
        <v>0.1</v>
      </c>
      <c r="L1366" s="11" t="n">
        <v>200</v>
      </c>
      <c r="M1366" s="11" t="n">
        <f aca="false">I1366*J1366*(1-K1366)</f>
        <v>2520</v>
      </c>
      <c r="N1366" s="11" t="n">
        <f aca="false">M1366-I1366*L1366</f>
        <v>1120</v>
      </c>
    </row>
    <row r="1367" customFormat="false" ht="15" hidden="false" customHeight="false" outlineLevel="0" collapsed="false">
      <c r="A1367" s="2" t="s">
        <v>468</v>
      </c>
      <c r="B1367" s="2" t="s">
        <v>469</v>
      </c>
      <c r="C1367" s="10" t="n">
        <v>45919</v>
      </c>
      <c r="D1367" s="2" t="n">
        <f aca="false">MONTH(C1367)</f>
        <v>9</v>
      </c>
      <c r="E1367" s="2" t="s">
        <v>81</v>
      </c>
      <c r="F1367" s="2" t="s">
        <v>69</v>
      </c>
      <c r="G1367" s="2" t="s">
        <v>73</v>
      </c>
      <c r="H1367" s="2" t="s">
        <v>74</v>
      </c>
      <c r="I1367" s="2" t="n">
        <v>5</v>
      </c>
      <c r="J1367" s="11" t="n">
        <v>7000</v>
      </c>
      <c r="K1367" s="12" t="n">
        <v>0</v>
      </c>
      <c r="L1367" s="11" t="n">
        <v>4800</v>
      </c>
      <c r="M1367" s="11" t="n">
        <f aca="false">I1367*J1367*(1-K1367)</f>
        <v>35000</v>
      </c>
      <c r="N1367" s="11" t="n">
        <f aca="false">M1367-I1367*L1367</f>
        <v>11000</v>
      </c>
    </row>
    <row r="1368" customFormat="false" ht="15" hidden="false" customHeight="false" outlineLevel="0" collapsed="false">
      <c r="A1368" s="2" t="s">
        <v>1372</v>
      </c>
      <c r="B1368" s="2" t="s">
        <v>1373</v>
      </c>
      <c r="C1368" s="10" t="n">
        <v>45919</v>
      </c>
      <c r="D1368" s="2" t="n">
        <f aca="false">MONTH(C1368)</f>
        <v>9</v>
      </c>
      <c r="E1368" s="2" t="s">
        <v>63</v>
      </c>
      <c r="F1368" s="2" t="s">
        <v>69</v>
      </c>
      <c r="G1368" s="2" t="s">
        <v>65</v>
      </c>
      <c r="H1368" s="2" t="s">
        <v>78</v>
      </c>
      <c r="I1368" s="2" t="n">
        <v>12</v>
      </c>
      <c r="J1368" s="11" t="n">
        <v>400</v>
      </c>
      <c r="K1368" s="12" t="n">
        <v>0</v>
      </c>
      <c r="L1368" s="11" t="n">
        <v>200</v>
      </c>
      <c r="M1368" s="11" t="n">
        <f aca="false">I1368*J1368*(1-K1368)</f>
        <v>4800</v>
      </c>
      <c r="N1368" s="11" t="n">
        <f aca="false">M1368-I1368*L1368</f>
        <v>2400</v>
      </c>
    </row>
    <row r="1369" customFormat="false" ht="15" hidden="false" customHeight="false" outlineLevel="0" collapsed="false">
      <c r="A1369" s="2" t="s">
        <v>1411</v>
      </c>
      <c r="B1369" s="2" t="s">
        <v>1404</v>
      </c>
      <c r="C1369" s="10" t="n">
        <v>45919</v>
      </c>
      <c r="D1369" s="2" t="n">
        <f aca="false">MONTH(C1369)</f>
        <v>9</v>
      </c>
      <c r="E1369" s="2" t="s">
        <v>77</v>
      </c>
      <c r="F1369" s="2" t="s">
        <v>64</v>
      </c>
      <c r="G1369" s="2" t="s">
        <v>73</v>
      </c>
      <c r="H1369" s="2" t="s">
        <v>74</v>
      </c>
      <c r="I1369" s="2" t="n">
        <v>2</v>
      </c>
      <c r="J1369" s="11" t="n">
        <v>7000</v>
      </c>
      <c r="K1369" s="12" t="n">
        <v>0.1</v>
      </c>
      <c r="L1369" s="11" t="n">
        <v>4800</v>
      </c>
      <c r="M1369" s="11" t="n">
        <f aca="false">I1369*J1369*(1-K1369)</f>
        <v>12600</v>
      </c>
      <c r="N1369" s="11" t="n">
        <f aca="false">M1369-I1369*L1369</f>
        <v>3000</v>
      </c>
    </row>
    <row r="1370" customFormat="false" ht="15" hidden="false" customHeight="false" outlineLevel="0" collapsed="false">
      <c r="A1370" s="2" t="s">
        <v>1455</v>
      </c>
      <c r="B1370" s="2" t="s">
        <v>1456</v>
      </c>
      <c r="C1370" s="10" t="n">
        <v>45919</v>
      </c>
      <c r="D1370" s="2" t="n">
        <f aca="false">MONTH(C1370)</f>
        <v>9</v>
      </c>
      <c r="E1370" s="2" t="s">
        <v>77</v>
      </c>
      <c r="F1370" s="2" t="s">
        <v>64</v>
      </c>
      <c r="G1370" s="2" t="s">
        <v>73</v>
      </c>
      <c r="H1370" s="2" t="s">
        <v>87</v>
      </c>
      <c r="I1370" s="2" t="n">
        <v>3</v>
      </c>
      <c r="J1370" s="11" t="n">
        <v>9000</v>
      </c>
      <c r="K1370" s="12" t="n">
        <v>0.05</v>
      </c>
      <c r="L1370" s="11" t="n">
        <v>6200</v>
      </c>
      <c r="M1370" s="11" t="n">
        <f aca="false">I1370*J1370*(1-K1370)</f>
        <v>25650</v>
      </c>
      <c r="N1370" s="11" t="n">
        <f aca="false">M1370-I1370*L1370</f>
        <v>7050</v>
      </c>
    </row>
    <row r="1371" customFormat="false" ht="15" hidden="false" customHeight="false" outlineLevel="0" collapsed="false">
      <c r="A1371" s="2" t="s">
        <v>1571</v>
      </c>
      <c r="B1371" s="2" t="s">
        <v>1567</v>
      </c>
      <c r="C1371" s="10" t="n">
        <v>45919</v>
      </c>
      <c r="D1371" s="2" t="n">
        <f aca="false">MONTH(C1371)</f>
        <v>9</v>
      </c>
      <c r="E1371" s="2" t="s">
        <v>81</v>
      </c>
      <c r="F1371" s="2" t="s">
        <v>64</v>
      </c>
      <c r="G1371" s="2" t="s">
        <v>70</v>
      </c>
      <c r="H1371" s="2" t="s">
        <v>122</v>
      </c>
      <c r="I1371" s="2" t="n">
        <v>2</v>
      </c>
      <c r="J1371" s="11" t="n">
        <v>1500</v>
      </c>
      <c r="K1371" s="12" t="n">
        <v>0.1</v>
      </c>
      <c r="L1371" s="11" t="n">
        <v>900</v>
      </c>
      <c r="M1371" s="11" t="n">
        <f aca="false">I1371*J1371*(1-K1371)</f>
        <v>2700</v>
      </c>
      <c r="N1371" s="11" t="n">
        <f aca="false">M1371-I1371*L1371</f>
        <v>900</v>
      </c>
    </row>
    <row r="1372" customFormat="false" ht="15" hidden="false" customHeight="false" outlineLevel="0" collapsed="false">
      <c r="A1372" s="2" t="s">
        <v>2295</v>
      </c>
      <c r="B1372" s="2" t="s">
        <v>2288</v>
      </c>
      <c r="C1372" s="10" t="n">
        <v>45919</v>
      </c>
      <c r="D1372" s="2" t="n">
        <f aca="false">MONTH(C1372)</f>
        <v>9</v>
      </c>
      <c r="E1372" s="2" t="s">
        <v>63</v>
      </c>
      <c r="F1372" s="2" t="s">
        <v>64</v>
      </c>
      <c r="G1372" s="2" t="s">
        <v>65</v>
      </c>
      <c r="H1372" s="2" t="s">
        <v>78</v>
      </c>
      <c r="I1372" s="2" t="n">
        <v>7</v>
      </c>
      <c r="J1372" s="11" t="n">
        <v>400</v>
      </c>
      <c r="K1372" s="12" t="n">
        <v>0.1</v>
      </c>
      <c r="L1372" s="11" t="n">
        <v>200</v>
      </c>
      <c r="M1372" s="11" t="n">
        <f aca="false">I1372*J1372*(1-K1372)</f>
        <v>2520</v>
      </c>
      <c r="N1372" s="11" t="n">
        <f aca="false">M1372-I1372*L1372</f>
        <v>1120</v>
      </c>
    </row>
    <row r="1373" customFormat="false" ht="15" hidden="false" customHeight="false" outlineLevel="0" collapsed="false">
      <c r="A1373" s="2" t="s">
        <v>88</v>
      </c>
      <c r="B1373" s="2" t="s">
        <v>80</v>
      </c>
      <c r="C1373" s="10" t="n">
        <v>45920</v>
      </c>
      <c r="D1373" s="2" t="n">
        <f aca="false">MONTH(C1373)</f>
        <v>9</v>
      </c>
      <c r="E1373" s="2" t="s">
        <v>81</v>
      </c>
      <c r="F1373" s="2" t="s">
        <v>69</v>
      </c>
      <c r="G1373" s="2" t="s">
        <v>65</v>
      </c>
      <c r="H1373" s="2" t="s">
        <v>78</v>
      </c>
      <c r="I1373" s="2" t="n">
        <v>7</v>
      </c>
      <c r="J1373" s="11" t="n">
        <v>400</v>
      </c>
      <c r="K1373" s="12" t="n">
        <v>0</v>
      </c>
      <c r="L1373" s="11" t="n">
        <v>200</v>
      </c>
      <c r="M1373" s="11" t="n">
        <f aca="false">I1373*J1373*(1-K1373)</f>
        <v>2800</v>
      </c>
      <c r="N1373" s="11" t="n">
        <f aca="false">M1373-I1373*L1373</f>
        <v>1400</v>
      </c>
    </row>
    <row r="1374" customFormat="false" ht="15" hidden="false" customHeight="false" outlineLevel="0" collapsed="false">
      <c r="A1374" s="2" t="s">
        <v>1228</v>
      </c>
      <c r="B1374" s="2" t="s">
        <v>1229</v>
      </c>
      <c r="C1374" s="10" t="n">
        <v>45920</v>
      </c>
      <c r="D1374" s="2" t="n">
        <f aca="false">MONTH(C1374)</f>
        <v>9</v>
      </c>
      <c r="E1374" s="2" t="s">
        <v>63</v>
      </c>
      <c r="F1374" s="2" t="s">
        <v>69</v>
      </c>
      <c r="G1374" s="2" t="s">
        <v>65</v>
      </c>
      <c r="H1374" s="2" t="s">
        <v>66</v>
      </c>
      <c r="I1374" s="2" t="n">
        <v>7</v>
      </c>
      <c r="J1374" s="11" t="n">
        <v>600</v>
      </c>
      <c r="K1374" s="12" t="n">
        <v>0.1</v>
      </c>
      <c r="L1374" s="11" t="n">
        <v>300</v>
      </c>
      <c r="M1374" s="11" t="n">
        <f aca="false">I1374*J1374*(1-K1374)</f>
        <v>3780</v>
      </c>
      <c r="N1374" s="11" t="n">
        <f aca="false">M1374-I1374*L1374</f>
        <v>1680</v>
      </c>
    </row>
    <row r="1375" customFormat="false" ht="15" hidden="false" customHeight="false" outlineLevel="0" collapsed="false">
      <c r="A1375" s="2" t="s">
        <v>1288</v>
      </c>
      <c r="B1375" s="2" t="s">
        <v>1287</v>
      </c>
      <c r="C1375" s="10" t="n">
        <v>45920</v>
      </c>
      <c r="D1375" s="2" t="n">
        <f aca="false">MONTH(C1375)</f>
        <v>9</v>
      </c>
      <c r="E1375" s="2" t="s">
        <v>63</v>
      </c>
      <c r="F1375" s="2" t="s">
        <v>64</v>
      </c>
      <c r="G1375" s="2" t="s">
        <v>70</v>
      </c>
      <c r="H1375" s="2" t="s">
        <v>97</v>
      </c>
      <c r="I1375" s="2" t="n">
        <v>3</v>
      </c>
      <c r="J1375" s="11" t="n">
        <v>3000</v>
      </c>
      <c r="K1375" s="12" t="n">
        <v>0.05</v>
      </c>
      <c r="L1375" s="11" t="n">
        <v>2000</v>
      </c>
      <c r="M1375" s="11" t="n">
        <f aca="false">I1375*J1375*(1-K1375)</f>
        <v>8550</v>
      </c>
      <c r="N1375" s="11" t="n">
        <f aca="false">M1375-I1375*L1375</f>
        <v>2550</v>
      </c>
    </row>
    <row r="1376" customFormat="false" ht="15" hidden="false" customHeight="false" outlineLevel="0" collapsed="false">
      <c r="A1376" s="2" t="s">
        <v>2527</v>
      </c>
      <c r="B1376" s="2" t="s">
        <v>2528</v>
      </c>
      <c r="C1376" s="10" t="n">
        <v>45920</v>
      </c>
      <c r="D1376" s="2" t="n">
        <f aca="false">MONTH(C1376)</f>
        <v>9</v>
      </c>
      <c r="E1376" s="2" t="s">
        <v>63</v>
      </c>
      <c r="F1376" s="2" t="s">
        <v>69</v>
      </c>
      <c r="G1376" s="2" t="s">
        <v>70</v>
      </c>
      <c r="H1376" s="2" t="s">
        <v>71</v>
      </c>
      <c r="I1376" s="2" t="n">
        <v>2</v>
      </c>
      <c r="J1376" s="11" t="n">
        <v>2500</v>
      </c>
      <c r="K1376" s="12" t="n">
        <v>0</v>
      </c>
      <c r="L1376" s="11" t="n">
        <v>1600</v>
      </c>
      <c r="M1376" s="11" t="n">
        <f aca="false">I1376*J1376*(1-K1376)</f>
        <v>5000</v>
      </c>
      <c r="N1376" s="11" t="n">
        <f aca="false">M1376-I1376*L1376</f>
        <v>1800</v>
      </c>
    </row>
    <row r="1377" customFormat="false" ht="15" hidden="false" customHeight="false" outlineLevel="0" collapsed="false">
      <c r="A1377" s="2" t="s">
        <v>2188</v>
      </c>
      <c r="B1377" s="2" t="s">
        <v>2185</v>
      </c>
      <c r="C1377" s="10" t="n">
        <v>45921</v>
      </c>
      <c r="D1377" s="2" t="n">
        <f aca="false">MONTH(C1377)</f>
        <v>9</v>
      </c>
      <c r="E1377" s="2" t="s">
        <v>77</v>
      </c>
      <c r="F1377" s="2" t="s">
        <v>64</v>
      </c>
      <c r="G1377" s="2" t="s">
        <v>70</v>
      </c>
      <c r="H1377" s="2" t="s">
        <v>71</v>
      </c>
      <c r="I1377" s="2" t="n">
        <v>3</v>
      </c>
      <c r="J1377" s="11" t="n">
        <v>2500</v>
      </c>
      <c r="K1377" s="12" t="n">
        <v>0.05</v>
      </c>
      <c r="L1377" s="11" t="n">
        <v>1600</v>
      </c>
      <c r="M1377" s="11" t="n">
        <f aca="false">I1377*J1377*(1-K1377)</f>
        <v>7125</v>
      </c>
      <c r="N1377" s="11" t="n">
        <f aca="false">M1377-I1377*L1377</f>
        <v>2325</v>
      </c>
    </row>
    <row r="1378" customFormat="false" ht="15" hidden="false" customHeight="false" outlineLevel="0" collapsed="false">
      <c r="A1378" s="2" t="s">
        <v>2271</v>
      </c>
      <c r="B1378" s="2" t="s">
        <v>2272</v>
      </c>
      <c r="C1378" s="10" t="n">
        <v>45921</v>
      </c>
      <c r="D1378" s="2" t="n">
        <f aca="false">MONTH(C1378)</f>
        <v>9</v>
      </c>
      <c r="E1378" s="2" t="s">
        <v>81</v>
      </c>
      <c r="F1378" s="2" t="s">
        <v>64</v>
      </c>
      <c r="G1378" s="2" t="s">
        <v>73</v>
      </c>
      <c r="H1378" s="2" t="s">
        <v>87</v>
      </c>
      <c r="I1378" s="2" t="n">
        <v>2</v>
      </c>
      <c r="J1378" s="11" t="n">
        <v>9000</v>
      </c>
      <c r="K1378" s="12" t="n">
        <v>0.1</v>
      </c>
      <c r="L1378" s="11" t="n">
        <v>6200</v>
      </c>
      <c r="M1378" s="11" t="n">
        <f aca="false">I1378*J1378*(1-K1378)</f>
        <v>16200</v>
      </c>
      <c r="N1378" s="11" t="n">
        <f aca="false">M1378-I1378*L1378</f>
        <v>3800</v>
      </c>
    </row>
    <row r="1379" customFormat="false" ht="15" hidden="false" customHeight="false" outlineLevel="0" collapsed="false">
      <c r="A1379" s="2" t="s">
        <v>2408</v>
      </c>
      <c r="B1379" s="2" t="s">
        <v>2406</v>
      </c>
      <c r="C1379" s="10" t="n">
        <v>45921</v>
      </c>
      <c r="D1379" s="2" t="n">
        <f aca="false">MONTH(C1379)</f>
        <v>9</v>
      </c>
      <c r="E1379" s="2" t="s">
        <v>81</v>
      </c>
      <c r="F1379" s="2" t="s">
        <v>69</v>
      </c>
      <c r="G1379" s="2" t="s">
        <v>65</v>
      </c>
      <c r="H1379" s="2" t="s">
        <v>66</v>
      </c>
      <c r="I1379" s="2" t="n">
        <v>12</v>
      </c>
      <c r="J1379" s="11" t="n">
        <v>600</v>
      </c>
      <c r="K1379" s="12" t="n">
        <v>0.1</v>
      </c>
      <c r="L1379" s="11" t="n">
        <v>300</v>
      </c>
      <c r="M1379" s="11" t="n">
        <f aca="false">I1379*J1379*(1-K1379)</f>
        <v>6480</v>
      </c>
      <c r="N1379" s="11" t="n">
        <f aca="false">M1379-I1379*L1379</f>
        <v>2880</v>
      </c>
    </row>
    <row r="1380" customFormat="false" ht="15" hidden="false" customHeight="false" outlineLevel="0" collapsed="false">
      <c r="A1380" s="2" t="s">
        <v>108</v>
      </c>
      <c r="B1380" s="2" t="s">
        <v>106</v>
      </c>
      <c r="C1380" s="10" t="n">
        <v>45922</v>
      </c>
      <c r="D1380" s="2" t="n">
        <f aca="false">MONTH(C1380)</f>
        <v>9</v>
      </c>
      <c r="E1380" s="2" t="s">
        <v>63</v>
      </c>
      <c r="F1380" s="2" t="s">
        <v>64</v>
      </c>
      <c r="G1380" s="2" t="s">
        <v>65</v>
      </c>
      <c r="H1380" s="2" t="s">
        <v>78</v>
      </c>
      <c r="I1380" s="2" t="n">
        <v>2</v>
      </c>
      <c r="J1380" s="11" t="n">
        <v>400</v>
      </c>
      <c r="K1380" s="12" t="n">
        <v>0.1</v>
      </c>
      <c r="L1380" s="11" t="n">
        <v>200</v>
      </c>
      <c r="M1380" s="11" t="n">
        <f aca="false">I1380*J1380*(1-K1380)</f>
        <v>720</v>
      </c>
      <c r="N1380" s="11" t="n">
        <f aca="false">M1380-I1380*L1380</f>
        <v>320</v>
      </c>
    </row>
    <row r="1381" customFormat="false" ht="15" hidden="false" customHeight="false" outlineLevel="0" collapsed="false">
      <c r="A1381" s="2" t="s">
        <v>859</v>
      </c>
      <c r="B1381" s="2" t="s">
        <v>860</v>
      </c>
      <c r="C1381" s="10" t="n">
        <v>45922</v>
      </c>
      <c r="D1381" s="2" t="n">
        <f aca="false">MONTH(C1381)</f>
        <v>9</v>
      </c>
      <c r="E1381" s="2" t="s">
        <v>77</v>
      </c>
      <c r="F1381" s="2" t="s">
        <v>64</v>
      </c>
      <c r="G1381" s="2" t="s">
        <v>65</v>
      </c>
      <c r="H1381" s="2" t="s">
        <v>78</v>
      </c>
      <c r="I1381" s="2" t="n">
        <v>6</v>
      </c>
      <c r="J1381" s="11" t="n">
        <v>400</v>
      </c>
      <c r="K1381" s="12" t="n">
        <v>0</v>
      </c>
      <c r="L1381" s="11" t="n">
        <v>200</v>
      </c>
      <c r="M1381" s="11" t="n">
        <f aca="false">I1381*J1381*(1-K1381)</f>
        <v>2400</v>
      </c>
      <c r="N1381" s="11" t="n">
        <f aca="false">M1381-I1381*L1381</f>
        <v>1200</v>
      </c>
    </row>
    <row r="1382" customFormat="false" ht="15" hidden="false" customHeight="false" outlineLevel="0" collapsed="false">
      <c r="A1382" s="2" t="s">
        <v>1164</v>
      </c>
      <c r="B1382" s="2" t="s">
        <v>1165</v>
      </c>
      <c r="C1382" s="10" t="n">
        <v>45922</v>
      </c>
      <c r="D1382" s="2" t="n">
        <f aca="false">MONTH(C1382)</f>
        <v>9</v>
      </c>
      <c r="E1382" s="2" t="s">
        <v>91</v>
      </c>
      <c r="F1382" s="2" t="s">
        <v>64</v>
      </c>
      <c r="G1382" s="2" t="s">
        <v>65</v>
      </c>
      <c r="H1382" s="2" t="s">
        <v>107</v>
      </c>
      <c r="I1382" s="2" t="n">
        <v>5</v>
      </c>
      <c r="J1382" s="11" t="n">
        <v>500</v>
      </c>
      <c r="K1382" s="12" t="n">
        <v>0</v>
      </c>
      <c r="L1382" s="11" t="n">
        <v>250</v>
      </c>
      <c r="M1382" s="11" t="n">
        <f aca="false">I1382*J1382*(1-K1382)</f>
        <v>2500</v>
      </c>
      <c r="N1382" s="11" t="n">
        <f aca="false">M1382-I1382*L1382</f>
        <v>1250</v>
      </c>
    </row>
    <row r="1383" customFormat="false" ht="15" hidden="false" customHeight="false" outlineLevel="0" collapsed="false">
      <c r="A1383" s="2" t="s">
        <v>1700</v>
      </c>
      <c r="B1383" s="2" t="s">
        <v>1701</v>
      </c>
      <c r="C1383" s="10" t="n">
        <v>45922</v>
      </c>
      <c r="D1383" s="2" t="n">
        <f aca="false">MONTH(C1383)</f>
        <v>9</v>
      </c>
      <c r="E1383" s="2" t="s">
        <v>63</v>
      </c>
      <c r="F1383" s="2" t="s">
        <v>64</v>
      </c>
      <c r="G1383" s="2" t="s">
        <v>65</v>
      </c>
      <c r="H1383" s="2" t="s">
        <v>66</v>
      </c>
      <c r="I1383" s="2" t="n">
        <v>4</v>
      </c>
      <c r="J1383" s="11" t="n">
        <v>600</v>
      </c>
      <c r="K1383" s="12" t="n">
        <v>0</v>
      </c>
      <c r="L1383" s="11" t="n">
        <v>300</v>
      </c>
      <c r="M1383" s="11" t="n">
        <f aca="false">I1383*J1383*(1-K1383)</f>
        <v>2400</v>
      </c>
      <c r="N1383" s="11" t="n">
        <f aca="false">M1383-I1383*L1383</f>
        <v>1200</v>
      </c>
    </row>
    <row r="1384" customFormat="false" ht="15" hidden="false" customHeight="false" outlineLevel="0" collapsed="false">
      <c r="A1384" s="2" t="s">
        <v>1844</v>
      </c>
      <c r="B1384" s="2" t="s">
        <v>1843</v>
      </c>
      <c r="C1384" s="10" t="n">
        <v>45922</v>
      </c>
      <c r="D1384" s="2" t="n">
        <f aca="false">MONTH(C1384)</f>
        <v>9</v>
      </c>
      <c r="E1384" s="2" t="s">
        <v>63</v>
      </c>
      <c r="F1384" s="2" t="s">
        <v>64</v>
      </c>
      <c r="G1384" s="2" t="s">
        <v>70</v>
      </c>
      <c r="H1384" s="2" t="s">
        <v>122</v>
      </c>
      <c r="I1384" s="2" t="n">
        <v>2</v>
      </c>
      <c r="J1384" s="11" t="n">
        <v>1500</v>
      </c>
      <c r="K1384" s="12" t="n">
        <v>0.05</v>
      </c>
      <c r="L1384" s="11" t="n">
        <v>900</v>
      </c>
      <c r="M1384" s="11" t="n">
        <f aca="false">I1384*J1384*(1-K1384)</f>
        <v>2850</v>
      </c>
      <c r="N1384" s="11" t="n">
        <f aca="false">M1384-I1384*L1384</f>
        <v>1050</v>
      </c>
    </row>
    <row r="1385" customFormat="false" ht="15" hidden="false" customHeight="false" outlineLevel="0" collapsed="false">
      <c r="A1385" s="2" t="s">
        <v>474</v>
      </c>
      <c r="B1385" s="2" t="s">
        <v>475</v>
      </c>
      <c r="C1385" s="10" t="n">
        <v>45923</v>
      </c>
      <c r="D1385" s="2" t="n">
        <f aca="false">MONTH(C1385)</f>
        <v>9</v>
      </c>
      <c r="E1385" s="2" t="s">
        <v>81</v>
      </c>
      <c r="F1385" s="2" t="s">
        <v>64</v>
      </c>
      <c r="G1385" s="2" t="s">
        <v>65</v>
      </c>
      <c r="H1385" s="2" t="s">
        <v>66</v>
      </c>
      <c r="I1385" s="2" t="n">
        <v>6</v>
      </c>
      <c r="J1385" s="11" t="n">
        <v>600</v>
      </c>
      <c r="K1385" s="12" t="n">
        <v>0</v>
      </c>
      <c r="L1385" s="11" t="n">
        <v>300</v>
      </c>
      <c r="M1385" s="11" t="n">
        <f aca="false">I1385*J1385*(1-K1385)</f>
        <v>3600</v>
      </c>
      <c r="N1385" s="11" t="n">
        <f aca="false">M1385-I1385*L1385</f>
        <v>1800</v>
      </c>
    </row>
    <row r="1386" customFormat="false" ht="15" hidden="false" customHeight="false" outlineLevel="0" collapsed="false">
      <c r="A1386" s="2" t="s">
        <v>825</v>
      </c>
      <c r="B1386" s="2" t="s">
        <v>826</v>
      </c>
      <c r="C1386" s="10" t="n">
        <v>45923</v>
      </c>
      <c r="D1386" s="2" t="n">
        <f aca="false">MONTH(C1386)</f>
        <v>9</v>
      </c>
      <c r="E1386" s="2" t="s">
        <v>77</v>
      </c>
      <c r="F1386" s="2" t="s">
        <v>64</v>
      </c>
      <c r="G1386" s="2" t="s">
        <v>73</v>
      </c>
      <c r="H1386" s="2" t="s">
        <v>104</v>
      </c>
      <c r="I1386" s="2" t="n">
        <v>3</v>
      </c>
      <c r="J1386" s="11" t="n">
        <v>5500</v>
      </c>
      <c r="K1386" s="12" t="n">
        <v>0</v>
      </c>
      <c r="L1386" s="11" t="n">
        <v>3600</v>
      </c>
      <c r="M1386" s="11" t="n">
        <f aca="false">I1386*J1386*(1-K1386)</f>
        <v>16500</v>
      </c>
      <c r="N1386" s="11" t="n">
        <f aca="false">M1386-I1386*L1386</f>
        <v>5700</v>
      </c>
    </row>
    <row r="1387" customFormat="false" ht="15" hidden="false" customHeight="false" outlineLevel="0" collapsed="false">
      <c r="A1387" s="2" t="s">
        <v>2562</v>
      </c>
      <c r="B1387" s="2" t="s">
        <v>2560</v>
      </c>
      <c r="C1387" s="10" t="n">
        <v>45923</v>
      </c>
      <c r="D1387" s="2" t="n">
        <f aca="false">MONTH(C1387)</f>
        <v>9</v>
      </c>
      <c r="E1387" s="2" t="s">
        <v>77</v>
      </c>
      <c r="F1387" s="2" t="s">
        <v>64</v>
      </c>
      <c r="G1387" s="2" t="s">
        <v>65</v>
      </c>
      <c r="H1387" s="2" t="s">
        <v>107</v>
      </c>
      <c r="I1387" s="2" t="n">
        <v>7</v>
      </c>
      <c r="J1387" s="11" t="n">
        <v>500</v>
      </c>
      <c r="K1387" s="12" t="n">
        <v>0</v>
      </c>
      <c r="L1387" s="11" t="n">
        <v>250</v>
      </c>
      <c r="M1387" s="11" t="n">
        <f aca="false">I1387*J1387*(1-K1387)</f>
        <v>3500</v>
      </c>
      <c r="N1387" s="11" t="n">
        <f aca="false">M1387-I1387*L1387</f>
        <v>1750</v>
      </c>
    </row>
    <row r="1388" customFormat="false" ht="15" hidden="false" customHeight="false" outlineLevel="0" collapsed="false">
      <c r="A1388" s="2" t="s">
        <v>2693</v>
      </c>
      <c r="B1388" s="2" t="s">
        <v>2688</v>
      </c>
      <c r="C1388" s="10" t="n">
        <v>45923</v>
      </c>
      <c r="D1388" s="2" t="n">
        <f aca="false">MONTH(C1388)</f>
        <v>9</v>
      </c>
      <c r="E1388" s="2" t="s">
        <v>81</v>
      </c>
      <c r="F1388" s="2" t="s">
        <v>92</v>
      </c>
      <c r="G1388" s="2" t="s">
        <v>73</v>
      </c>
      <c r="H1388" s="2" t="s">
        <v>104</v>
      </c>
      <c r="I1388" s="2" t="n">
        <v>2</v>
      </c>
      <c r="J1388" s="11" t="n">
        <v>5500</v>
      </c>
      <c r="K1388" s="12" t="n">
        <v>0.1</v>
      </c>
      <c r="L1388" s="11" t="n">
        <v>3600</v>
      </c>
      <c r="M1388" s="11" t="n">
        <f aca="false">I1388*J1388*(1-K1388)</f>
        <v>9900</v>
      </c>
      <c r="N1388" s="11" t="n">
        <f aca="false">M1388-I1388*L1388</f>
        <v>2700</v>
      </c>
    </row>
    <row r="1389" customFormat="false" ht="15" hidden="false" customHeight="false" outlineLevel="0" collapsed="false">
      <c r="A1389" s="2" t="s">
        <v>2759</v>
      </c>
      <c r="B1389" s="2" t="s">
        <v>2757</v>
      </c>
      <c r="C1389" s="10" t="n">
        <v>45923</v>
      </c>
      <c r="D1389" s="2" t="n">
        <f aca="false">MONTH(C1389)</f>
        <v>9</v>
      </c>
      <c r="E1389" s="2" t="s">
        <v>63</v>
      </c>
      <c r="F1389" s="2" t="s">
        <v>92</v>
      </c>
      <c r="G1389" s="2" t="s">
        <v>73</v>
      </c>
      <c r="H1389" s="2" t="s">
        <v>85</v>
      </c>
      <c r="I1389" s="2" t="n">
        <v>5</v>
      </c>
      <c r="J1389" s="11" t="n">
        <v>1200</v>
      </c>
      <c r="K1389" s="12" t="n">
        <v>0</v>
      </c>
      <c r="L1389" s="11" t="n">
        <v>600</v>
      </c>
      <c r="M1389" s="11" t="n">
        <f aca="false">I1389*J1389*(1-K1389)</f>
        <v>6000</v>
      </c>
      <c r="N1389" s="11" t="n">
        <f aca="false">M1389-I1389*L1389</f>
        <v>3000</v>
      </c>
    </row>
    <row r="1390" customFormat="false" ht="15" hidden="false" customHeight="false" outlineLevel="0" collapsed="false">
      <c r="A1390" s="2" t="s">
        <v>1485</v>
      </c>
      <c r="B1390" s="2" t="s">
        <v>1477</v>
      </c>
      <c r="C1390" s="10" t="n">
        <v>45924</v>
      </c>
      <c r="D1390" s="2" t="n">
        <f aca="false">MONTH(C1390)</f>
        <v>9</v>
      </c>
      <c r="E1390" s="2" t="s">
        <v>63</v>
      </c>
      <c r="F1390" s="2" t="s">
        <v>92</v>
      </c>
      <c r="G1390" s="2" t="s">
        <v>70</v>
      </c>
      <c r="H1390" s="2" t="s">
        <v>97</v>
      </c>
      <c r="I1390" s="2" t="n">
        <v>2</v>
      </c>
      <c r="J1390" s="11" t="n">
        <v>3000</v>
      </c>
      <c r="K1390" s="12" t="n">
        <v>0.1</v>
      </c>
      <c r="L1390" s="11" t="n">
        <v>2000</v>
      </c>
      <c r="M1390" s="11" t="n">
        <f aca="false">I1390*J1390*(1-K1390)</f>
        <v>5400</v>
      </c>
      <c r="N1390" s="11" t="n">
        <f aca="false">M1390-I1390*L1390</f>
        <v>1400</v>
      </c>
    </row>
    <row r="1391" customFormat="false" ht="15" hidden="false" customHeight="false" outlineLevel="0" collapsed="false">
      <c r="A1391" s="2" t="s">
        <v>2712</v>
      </c>
      <c r="B1391" s="2" t="s">
        <v>2710</v>
      </c>
      <c r="C1391" s="10" t="n">
        <v>45924</v>
      </c>
      <c r="D1391" s="2" t="n">
        <f aca="false">MONTH(C1391)</f>
        <v>9</v>
      </c>
      <c r="E1391" s="2" t="s">
        <v>81</v>
      </c>
      <c r="F1391" s="2" t="s">
        <v>64</v>
      </c>
      <c r="G1391" s="2" t="s">
        <v>70</v>
      </c>
      <c r="H1391" s="2" t="s">
        <v>71</v>
      </c>
      <c r="I1391" s="2" t="n">
        <v>3</v>
      </c>
      <c r="J1391" s="11" t="n">
        <v>2500</v>
      </c>
      <c r="K1391" s="12" t="n">
        <v>0</v>
      </c>
      <c r="L1391" s="11" t="n">
        <v>1600</v>
      </c>
      <c r="M1391" s="11" t="n">
        <f aca="false">I1391*J1391*(1-K1391)</f>
        <v>7500</v>
      </c>
      <c r="N1391" s="11" t="n">
        <f aca="false">M1391-I1391*L1391</f>
        <v>2700</v>
      </c>
    </row>
    <row r="1392" customFormat="false" ht="15" hidden="false" customHeight="false" outlineLevel="0" collapsed="false">
      <c r="A1392" s="2" t="s">
        <v>2794</v>
      </c>
      <c r="B1392" s="2" t="s">
        <v>2795</v>
      </c>
      <c r="C1392" s="10" t="n">
        <v>45924</v>
      </c>
      <c r="D1392" s="2" t="n">
        <f aca="false">MONTH(C1392)</f>
        <v>9</v>
      </c>
      <c r="E1392" s="2" t="s">
        <v>91</v>
      </c>
      <c r="F1392" s="2" t="s">
        <v>64</v>
      </c>
      <c r="G1392" s="2" t="s">
        <v>65</v>
      </c>
      <c r="H1392" s="2" t="s">
        <v>107</v>
      </c>
      <c r="I1392" s="2" t="n">
        <v>2</v>
      </c>
      <c r="J1392" s="11" t="n">
        <v>500</v>
      </c>
      <c r="K1392" s="12" t="n">
        <v>0.1</v>
      </c>
      <c r="L1392" s="11" t="n">
        <v>250</v>
      </c>
      <c r="M1392" s="11" t="n">
        <f aca="false">I1392*J1392*(1-K1392)</f>
        <v>900</v>
      </c>
      <c r="N1392" s="11" t="n">
        <f aca="false">M1392-I1392*L1392</f>
        <v>400</v>
      </c>
    </row>
    <row r="1393" customFormat="false" ht="15" hidden="false" customHeight="false" outlineLevel="0" collapsed="false">
      <c r="A1393" s="2" t="s">
        <v>1283</v>
      </c>
      <c r="B1393" s="2" t="s">
        <v>1284</v>
      </c>
      <c r="C1393" s="10" t="n">
        <v>45925</v>
      </c>
      <c r="D1393" s="2" t="n">
        <f aca="false">MONTH(C1393)</f>
        <v>9</v>
      </c>
      <c r="E1393" s="2" t="s">
        <v>63</v>
      </c>
      <c r="F1393" s="2" t="s">
        <v>69</v>
      </c>
      <c r="G1393" s="2" t="s">
        <v>73</v>
      </c>
      <c r="H1393" s="2" t="s">
        <v>85</v>
      </c>
      <c r="I1393" s="2" t="n">
        <v>5</v>
      </c>
      <c r="J1393" s="11" t="n">
        <v>1200</v>
      </c>
      <c r="K1393" s="12" t="n">
        <v>0.05</v>
      </c>
      <c r="L1393" s="11" t="n">
        <v>600</v>
      </c>
      <c r="M1393" s="11" t="n">
        <f aca="false">I1393*J1393*(1-K1393)</f>
        <v>5700</v>
      </c>
      <c r="N1393" s="11" t="n">
        <f aca="false">M1393-I1393*L1393</f>
        <v>2700</v>
      </c>
    </row>
    <row r="1394" customFormat="false" ht="15" hidden="false" customHeight="false" outlineLevel="0" collapsed="false">
      <c r="A1394" s="2" t="s">
        <v>1362</v>
      </c>
      <c r="B1394" s="2" t="s">
        <v>1358</v>
      </c>
      <c r="C1394" s="10" t="n">
        <v>45925</v>
      </c>
      <c r="D1394" s="2" t="n">
        <f aca="false">MONTH(C1394)</f>
        <v>9</v>
      </c>
      <c r="E1394" s="2" t="s">
        <v>77</v>
      </c>
      <c r="F1394" s="2" t="s">
        <v>64</v>
      </c>
      <c r="G1394" s="2" t="s">
        <v>73</v>
      </c>
      <c r="H1394" s="2" t="s">
        <v>74</v>
      </c>
      <c r="I1394" s="2" t="n">
        <v>1</v>
      </c>
      <c r="J1394" s="11" t="n">
        <v>7000</v>
      </c>
      <c r="K1394" s="12" t="n">
        <v>0.05</v>
      </c>
      <c r="L1394" s="11" t="n">
        <v>4800</v>
      </c>
      <c r="M1394" s="11" t="n">
        <f aca="false">I1394*J1394*(1-K1394)</f>
        <v>6650</v>
      </c>
      <c r="N1394" s="11" t="n">
        <f aca="false">M1394-I1394*L1394</f>
        <v>1850</v>
      </c>
    </row>
    <row r="1395" customFormat="false" ht="15" hidden="false" customHeight="false" outlineLevel="0" collapsed="false">
      <c r="A1395" s="2" t="s">
        <v>141</v>
      </c>
      <c r="B1395" s="2" t="s">
        <v>142</v>
      </c>
      <c r="C1395" s="10" t="n">
        <v>45926</v>
      </c>
      <c r="D1395" s="2" t="n">
        <f aca="false">MONTH(C1395)</f>
        <v>9</v>
      </c>
      <c r="E1395" s="2" t="s">
        <v>91</v>
      </c>
      <c r="F1395" s="2" t="s">
        <v>64</v>
      </c>
      <c r="G1395" s="2" t="s">
        <v>70</v>
      </c>
      <c r="H1395" s="2" t="s">
        <v>122</v>
      </c>
      <c r="I1395" s="2" t="n">
        <v>3</v>
      </c>
      <c r="J1395" s="11" t="n">
        <v>1500</v>
      </c>
      <c r="K1395" s="12" t="n">
        <v>0</v>
      </c>
      <c r="L1395" s="11" t="n">
        <v>900</v>
      </c>
      <c r="M1395" s="11" t="n">
        <f aca="false">I1395*J1395*(1-K1395)</f>
        <v>4500</v>
      </c>
      <c r="N1395" s="11" t="n">
        <f aca="false">M1395-I1395*L1395</f>
        <v>1800</v>
      </c>
    </row>
    <row r="1396" customFormat="false" ht="15" hidden="false" customHeight="false" outlineLevel="0" collapsed="false">
      <c r="A1396" s="2" t="s">
        <v>459</v>
      </c>
      <c r="B1396" s="2" t="s">
        <v>450</v>
      </c>
      <c r="C1396" s="10" t="n">
        <v>45926</v>
      </c>
      <c r="D1396" s="2" t="n">
        <f aca="false">MONTH(C1396)</f>
        <v>9</v>
      </c>
      <c r="E1396" s="2" t="s">
        <v>77</v>
      </c>
      <c r="F1396" s="2" t="s">
        <v>64</v>
      </c>
      <c r="G1396" s="2" t="s">
        <v>73</v>
      </c>
      <c r="H1396" s="2" t="s">
        <v>104</v>
      </c>
      <c r="I1396" s="2" t="n">
        <v>2</v>
      </c>
      <c r="J1396" s="11" t="n">
        <v>5500</v>
      </c>
      <c r="K1396" s="12" t="n">
        <v>0</v>
      </c>
      <c r="L1396" s="11" t="n">
        <v>3600</v>
      </c>
      <c r="M1396" s="11" t="n">
        <f aca="false">I1396*J1396*(1-K1396)</f>
        <v>11000</v>
      </c>
      <c r="N1396" s="11" t="n">
        <f aca="false">M1396-I1396*L1396</f>
        <v>3800</v>
      </c>
    </row>
    <row r="1397" customFormat="false" ht="15" hidden="false" customHeight="false" outlineLevel="0" collapsed="false">
      <c r="A1397" s="2" t="s">
        <v>895</v>
      </c>
      <c r="B1397" s="2" t="s">
        <v>896</v>
      </c>
      <c r="C1397" s="10" t="n">
        <v>45926</v>
      </c>
      <c r="D1397" s="2" t="n">
        <f aca="false">MONTH(C1397)</f>
        <v>9</v>
      </c>
      <c r="E1397" s="2" t="s">
        <v>91</v>
      </c>
      <c r="F1397" s="2" t="s">
        <v>69</v>
      </c>
      <c r="G1397" s="2" t="s">
        <v>73</v>
      </c>
      <c r="H1397" s="2" t="s">
        <v>87</v>
      </c>
      <c r="I1397" s="2" t="n">
        <v>5</v>
      </c>
      <c r="J1397" s="11" t="n">
        <v>9000</v>
      </c>
      <c r="K1397" s="12" t="n">
        <v>0</v>
      </c>
      <c r="L1397" s="11" t="n">
        <v>6200</v>
      </c>
      <c r="M1397" s="11" t="n">
        <f aca="false">I1397*J1397*(1-K1397)</f>
        <v>45000</v>
      </c>
      <c r="N1397" s="11" t="n">
        <f aca="false">M1397-I1397*L1397</f>
        <v>14000</v>
      </c>
    </row>
    <row r="1398" customFormat="false" ht="15" hidden="false" customHeight="false" outlineLevel="0" collapsed="false">
      <c r="A1398" s="2" t="s">
        <v>948</v>
      </c>
      <c r="B1398" s="2" t="s">
        <v>949</v>
      </c>
      <c r="C1398" s="10" t="n">
        <v>45926</v>
      </c>
      <c r="D1398" s="2" t="n">
        <f aca="false">MONTH(C1398)</f>
        <v>9</v>
      </c>
      <c r="E1398" s="2" t="s">
        <v>81</v>
      </c>
      <c r="F1398" s="2" t="s">
        <v>64</v>
      </c>
      <c r="G1398" s="2" t="s">
        <v>65</v>
      </c>
      <c r="H1398" s="2" t="s">
        <v>78</v>
      </c>
      <c r="I1398" s="2" t="n">
        <v>7</v>
      </c>
      <c r="J1398" s="11" t="n">
        <v>400</v>
      </c>
      <c r="K1398" s="12" t="n">
        <v>0</v>
      </c>
      <c r="L1398" s="11" t="n">
        <v>200</v>
      </c>
      <c r="M1398" s="11" t="n">
        <f aca="false">I1398*J1398*(1-K1398)</f>
        <v>2800</v>
      </c>
      <c r="N1398" s="11" t="n">
        <f aca="false">M1398-I1398*L1398</f>
        <v>1400</v>
      </c>
    </row>
    <row r="1399" customFormat="false" ht="15" hidden="false" customHeight="false" outlineLevel="0" collapsed="false">
      <c r="A1399" s="2" t="s">
        <v>1240</v>
      </c>
      <c r="B1399" s="2" t="s">
        <v>1241</v>
      </c>
      <c r="C1399" s="10" t="n">
        <v>45926</v>
      </c>
      <c r="D1399" s="2" t="n">
        <f aca="false">MONTH(C1399)</f>
        <v>9</v>
      </c>
      <c r="E1399" s="2" t="s">
        <v>81</v>
      </c>
      <c r="F1399" s="2" t="s">
        <v>64</v>
      </c>
      <c r="G1399" s="2" t="s">
        <v>65</v>
      </c>
      <c r="H1399" s="2" t="s">
        <v>66</v>
      </c>
      <c r="I1399" s="2" t="n">
        <v>4</v>
      </c>
      <c r="J1399" s="11" t="n">
        <v>600</v>
      </c>
      <c r="K1399" s="12" t="n">
        <v>0.1</v>
      </c>
      <c r="L1399" s="11" t="n">
        <v>300</v>
      </c>
      <c r="M1399" s="11" t="n">
        <f aca="false">I1399*J1399*(1-K1399)</f>
        <v>2160</v>
      </c>
      <c r="N1399" s="11" t="n">
        <f aca="false">M1399-I1399*L1399</f>
        <v>960</v>
      </c>
    </row>
    <row r="1400" customFormat="false" ht="15" hidden="false" customHeight="false" outlineLevel="0" collapsed="false">
      <c r="A1400" s="2" t="s">
        <v>1878</v>
      </c>
      <c r="B1400" s="2" t="s">
        <v>1879</v>
      </c>
      <c r="C1400" s="10" t="n">
        <v>45926</v>
      </c>
      <c r="D1400" s="2" t="n">
        <f aca="false">MONTH(C1400)</f>
        <v>9</v>
      </c>
      <c r="E1400" s="2" t="s">
        <v>81</v>
      </c>
      <c r="F1400" s="2" t="s">
        <v>92</v>
      </c>
      <c r="G1400" s="2" t="s">
        <v>70</v>
      </c>
      <c r="H1400" s="2" t="s">
        <v>126</v>
      </c>
      <c r="I1400" s="2" t="n">
        <v>7</v>
      </c>
      <c r="J1400" s="11" t="n">
        <v>4500</v>
      </c>
      <c r="K1400" s="12" t="n">
        <v>0.05</v>
      </c>
      <c r="L1400" s="11" t="n">
        <v>3300</v>
      </c>
      <c r="M1400" s="11" t="n">
        <f aca="false">I1400*J1400*(1-K1400)</f>
        <v>29925</v>
      </c>
      <c r="N1400" s="11" t="n">
        <f aca="false">M1400-I1400*L1400</f>
        <v>6825</v>
      </c>
    </row>
    <row r="1401" customFormat="false" ht="15" hidden="false" customHeight="false" outlineLevel="0" collapsed="false">
      <c r="A1401" s="2" t="s">
        <v>2790</v>
      </c>
      <c r="B1401" s="2" t="s">
        <v>2791</v>
      </c>
      <c r="C1401" s="10" t="n">
        <v>45926</v>
      </c>
      <c r="D1401" s="2" t="n">
        <f aca="false">MONTH(C1401)</f>
        <v>9</v>
      </c>
      <c r="E1401" s="2" t="s">
        <v>81</v>
      </c>
      <c r="F1401" s="2" t="s">
        <v>92</v>
      </c>
      <c r="G1401" s="2" t="s">
        <v>73</v>
      </c>
      <c r="H1401" s="2" t="s">
        <v>85</v>
      </c>
      <c r="I1401" s="2" t="n">
        <v>4</v>
      </c>
      <c r="J1401" s="11" t="n">
        <v>1200</v>
      </c>
      <c r="K1401" s="12" t="n">
        <v>0.05</v>
      </c>
      <c r="L1401" s="11" t="n">
        <v>600</v>
      </c>
      <c r="M1401" s="11" t="n">
        <f aca="false">I1401*J1401*(1-K1401)</f>
        <v>4560</v>
      </c>
      <c r="N1401" s="11" t="n">
        <f aca="false">M1401-I1401*L1401</f>
        <v>2160</v>
      </c>
    </row>
    <row r="1402" customFormat="false" ht="15" hidden="false" customHeight="false" outlineLevel="0" collapsed="false">
      <c r="A1402" s="2" t="s">
        <v>2840</v>
      </c>
      <c r="B1402" s="2" t="s">
        <v>2841</v>
      </c>
      <c r="C1402" s="10" t="n">
        <v>45926</v>
      </c>
      <c r="D1402" s="2" t="n">
        <f aca="false">MONTH(C1402)</f>
        <v>9</v>
      </c>
      <c r="E1402" s="2" t="s">
        <v>63</v>
      </c>
      <c r="F1402" s="2" t="s">
        <v>64</v>
      </c>
      <c r="G1402" s="2" t="s">
        <v>65</v>
      </c>
      <c r="H1402" s="2" t="s">
        <v>78</v>
      </c>
      <c r="I1402" s="2" t="n">
        <v>4</v>
      </c>
      <c r="J1402" s="11" t="n">
        <v>400</v>
      </c>
      <c r="K1402" s="12" t="n">
        <v>0.05</v>
      </c>
      <c r="L1402" s="11" t="n">
        <v>200</v>
      </c>
      <c r="M1402" s="11" t="n">
        <f aca="false">I1402*J1402*(1-K1402)</f>
        <v>1520</v>
      </c>
      <c r="N1402" s="11" t="n">
        <f aca="false">M1402-I1402*L1402</f>
        <v>720</v>
      </c>
    </row>
    <row r="1403" customFormat="false" ht="15" hidden="false" customHeight="false" outlineLevel="0" collapsed="false">
      <c r="A1403" s="2" t="s">
        <v>572</v>
      </c>
      <c r="B1403" s="2" t="s">
        <v>570</v>
      </c>
      <c r="C1403" s="10" t="n">
        <v>45927</v>
      </c>
      <c r="D1403" s="2" t="n">
        <f aca="false">MONTH(C1403)</f>
        <v>9</v>
      </c>
      <c r="E1403" s="2" t="s">
        <v>63</v>
      </c>
      <c r="F1403" s="2" t="s">
        <v>92</v>
      </c>
      <c r="G1403" s="2" t="s">
        <v>65</v>
      </c>
      <c r="H1403" s="2" t="s">
        <v>66</v>
      </c>
      <c r="I1403" s="2" t="n">
        <v>11</v>
      </c>
      <c r="J1403" s="11" t="n">
        <v>600</v>
      </c>
      <c r="K1403" s="12" t="n">
        <v>0.05</v>
      </c>
      <c r="L1403" s="11" t="n">
        <v>300</v>
      </c>
      <c r="M1403" s="11" t="n">
        <f aca="false">I1403*J1403*(1-K1403)</f>
        <v>6270</v>
      </c>
      <c r="N1403" s="11" t="n">
        <f aca="false">M1403-I1403*L1403</f>
        <v>2970</v>
      </c>
    </row>
    <row r="1404" customFormat="false" ht="15" hidden="false" customHeight="false" outlineLevel="0" collapsed="false">
      <c r="A1404" s="2" t="s">
        <v>696</v>
      </c>
      <c r="B1404" s="2" t="s">
        <v>697</v>
      </c>
      <c r="C1404" s="10" t="n">
        <v>45927</v>
      </c>
      <c r="D1404" s="2" t="n">
        <f aca="false">MONTH(C1404)</f>
        <v>9</v>
      </c>
      <c r="E1404" s="2" t="s">
        <v>91</v>
      </c>
      <c r="F1404" s="2" t="s">
        <v>64</v>
      </c>
      <c r="G1404" s="2" t="s">
        <v>65</v>
      </c>
      <c r="H1404" s="2" t="s">
        <v>82</v>
      </c>
      <c r="I1404" s="2" t="n">
        <v>2</v>
      </c>
      <c r="J1404" s="11" t="n">
        <v>250</v>
      </c>
      <c r="K1404" s="12" t="n">
        <v>0.1</v>
      </c>
      <c r="L1404" s="11" t="n">
        <v>100</v>
      </c>
      <c r="M1404" s="11" t="n">
        <f aca="false">I1404*J1404*(1-K1404)</f>
        <v>450</v>
      </c>
      <c r="N1404" s="11" t="n">
        <f aca="false">M1404-I1404*L1404</f>
        <v>250</v>
      </c>
    </row>
    <row r="1405" customFormat="false" ht="15" hidden="false" customHeight="false" outlineLevel="0" collapsed="false">
      <c r="A1405" s="2" t="s">
        <v>827</v>
      </c>
      <c r="B1405" s="2" t="s">
        <v>826</v>
      </c>
      <c r="C1405" s="10" t="n">
        <v>45927</v>
      </c>
      <c r="D1405" s="2" t="n">
        <f aca="false">MONTH(C1405)</f>
        <v>9</v>
      </c>
      <c r="E1405" s="2" t="s">
        <v>63</v>
      </c>
      <c r="F1405" s="2" t="s">
        <v>64</v>
      </c>
      <c r="G1405" s="2" t="s">
        <v>73</v>
      </c>
      <c r="H1405" s="2" t="s">
        <v>104</v>
      </c>
      <c r="I1405" s="2" t="n">
        <v>1</v>
      </c>
      <c r="J1405" s="11" t="n">
        <v>5500</v>
      </c>
      <c r="K1405" s="12" t="n">
        <v>0</v>
      </c>
      <c r="L1405" s="11" t="n">
        <v>3600</v>
      </c>
      <c r="M1405" s="11" t="n">
        <f aca="false">I1405*J1405*(1-K1405)</f>
        <v>5500</v>
      </c>
      <c r="N1405" s="11" t="n">
        <f aca="false">M1405-I1405*L1405</f>
        <v>1900</v>
      </c>
    </row>
    <row r="1406" customFormat="false" ht="15" hidden="false" customHeight="false" outlineLevel="0" collapsed="false">
      <c r="A1406" s="2" t="s">
        <v>1175</v>
      </c>
      <c r="B1406" s="2" t="s">
        <v>1176</v>
      </c>
      <c r="C1406" s="10" t="n">
        <v>45927</v>
      </c>
      <c r="D1406" s="2" t="n">
        <f aca="false">MONTH(C1406)</f>
        <v>9</v>
      </c>
      <c r="E1406" s="2" t="s">
        <v>77</v>
      </c>
      <c r="F1406" s="2" t="s">
        <v>69</v>
      </c>
      <c r="G1406" s="2" t="s">
        <v>65</v>
      </c>
      <c r="H1406" s="2" t="s">
        <v>82</v>
      </c>
      <c r="I1406" s="2" t="n">
        <v>10</v>
      </c>
      <c r="J1406" s="11" t="n">
        <v>250</v>
      </c>
      <c r="K1406" s="12" t="n">
        <v>0</v>
      </c>
      <c r="L1406" s="11" t="n">
        <v>100</v>
      </c>
      <c r="M1406" s="11" t="n">
        <f aca="false">I1406*J1406*(1-K1406)</f>
        <v>2500</v>
      </c>
      <c r="N1406" s="11" t="n">
        <f aca="false">M1406-I1406*L1406</f>
        <v>1500</v>
      </c>
    </row>
    <row r="1407" customFormat="false" ht="15" hidden="false" customHeight="false" outlineLevel="0" collapsed="false">
      <c r="A1407" s="2" t="s">
        <v>1998</v>
      </c>
      <c r="B1407" s="2" t="s">
        <v>1997</v>
      </c>
      <c r="C1407" s="10" t="n">
        <v>45927</v>
      </c>
      <c r="D1407" s="2" t="n">
        <f aca="false">MONTH(C1407)</f>
        <v>9</v>
      </c>
      <c r="E1407" s="2" t="s">
        <v>63</v>
      </c>
      <c r="F1407" s="2" t="s">
        <v>64</v>
      </c>
      <c r="G1407" s="2" t="s">
        <v>70</v>
      </c>
      <c r="H1407" s="2" t="s">
        <v>71</v>
      </c>
      <c r="I1407" s="2" t="n">
        <v>2</v>
      </c>
      <c r="J1407" s="11" t="n">
        <v>2500</v>
      </c>
      <c r="K1407" s="12" t="n">
        <v>0.1</v>
      </c>
      <c r="L1407" s="11" t="n">
        <v>1600</v>
      </c>
      <c r="M1407" s="11" t="n">
        <f aca="false">I1407*J1407*(1-K1407)</f>
        <v>4500</v>
      </c>
      <c r="N1407" s="11" t="n">
        <f aca="false">M1407-I1407*L1407</f>
        <v>1300</v>
      </c>
    </row>
    <row r="1408" customFormat="false" ht="15" hidden="false" customHeight="false" outlineLevel="0" collapsed="false">
      <c r="A1408" s="2" t="s">
        <v>2671</v>
      </c>
      <c r="B1408" s="2" t="s">
        <v>2667</v>
      </c>
      <c r="C1408" s="10" t="n">
        <v>45927</v>
      </c>
      <c r="D1408" s="2" t="n">
        <f aca="false">MONTH(C1408)</f>
        <v>9</v>
      </c>
      <c r="E1408" s="2" t="s">
        <v>77</v>
      </c>
      <c r="F1408" s="2" t="s">
        <v>64</v>
      </c>
      <c r="G1408" s="2" t="s">
        <v>65</v>
      </c>
      <c r="H1408" s="2" t="s">
        <v>66</v>
      </c>
      <c r="I1408" s="2" t="n">
        <v>8</v>
      </c>
      <c r="J1408" s="11" t="n">
        <v>600</v>
      </c>
      <c r="K1408" s="12" t="n">
        <v>0</v>
      </c>
      <c r="L1408" s="11" t="n">
        <v>300</v>
      </c>
      <c r="M1408" s="11" t="n">
        <f aca="false">I1408*J1408*(1-K1408)</f>
        <v>4800</v>
      </c>
      <c r="N1408" s="11" t="n">
        <f aca="false">M1408-I1408*L1408</f>
        <v>2400</v>
      </c>
    </row>
    <row r="1409" customFormat="false" ht="15" hidden="false" customHeight="false" outlineLevel="0" collapsed="false">
      <c r="A1409" s="2" t="s">
        <v>2837</v>
      </c>
      <c r="B1409" s="2" t="s">
        <v>2834</v>
      </c>
      <c r="C1409" s="10" t="n">
        <v>45927</v>
      </c>
      <c r="D1409" s="2" t="n">
        <f aca="false">MONTH(C1409)</f>
        <v>9</v>
      </c>
      <c r="E1409" s="2" t="s">
        <v>77</v>
      </c>
      <c r="F1409" s="2" t="s">
        <v>64</v>
      </c>
      <c r="G1409" s="2" t="s">
        <v>65</v>
      </c>
      <c r="H1409" s="2" t="s">
        <v>78</v>
      </c>
      <c r="I1409" s="2" t="n">
        <v>5</v>
      </c>
      <c r="J1409" s="11" t="n">
        <v>400</v>
      </c>
      <c r="K1409" s="12" t="n">
        <v>0</v>
      </c>
      <c r="L1409" s="11" t="n">
        <v>200</v>
      </c>
      <c r="M1409" s="11" t="n">
        <f aca="false">I1409*J1409*(1-K1409)</f>
        <v>2000</v>
      </c>
      <c r="N1409" s="11" t="n">
        <f aca="false">M1409-I1409*L1409</f>
        <v>1000</v>
      </c>
    </row>
    <row r="1410" customFormat="false" ht="15" hidden="false" customHeight="false" outlineLevel="0" collapsed="false">
      <c r="A1410" s="2" t="s">
        <v>2838</v>
      </c>
      <c r="B1410" s="2" t="s">
        <v>2839</v>
      </c>
      <c r="C1410" s="10" t="n">
        <v>45927</v>
      </c>
      <c r="D1410" s="2" t="n">
        <f aca="false">MONTH(C1410)</f>
        <v>9</v>
      </c>
      <c r="E1410" s="2" t="s">
        <v>81</v>
      </c>
      <c r="F1410" s="2" t="s">
        <v>69</v>
      </c>
      <c r="G1410" s="2" t="s">
        <v>73</v>
      </c>
      <c r="H1410" s="2" t="s">
        <v>87</v>
      </c>
      <c r="I1410" s="2" t="n">
        <v>4</v>
      </c>
      <c r="J1410" s="11" t="n">
        <v>9000</v>
      </c>
      <c r="K1410" s="12" t="n">
        <v>0</v>
      </c>
      <c r="L1410" s="11" t="n">
        <v>6200</v>
      </c>
      <c r="M1410" s="11" t="n">
        <f aca="false">I1410*J1410*(1-K1410)</f>
        <v>36000</v>
      </c>
      <c r="N1410" s="11" t="n">
        <f aca="false">M1410-I1410*L1410</f>
        <v>11200</v>
      </c>
    </row>
    <row r="1411" customFormat="false" ht="15" hidden="false" customHeight="false" outlineLevel="0" collapsed="false">
      <c r="A1411" s="2" t="s">
        <v>1275</v>
      </c>
      <c r="B1411" s="2" t="s">
        <v>1276</v>
      </c>
      <c r="C1411" s="10" t="n">
        <v>45928</v>
      </c>
      <c r="D1411" s="2" t="n">
        <f aca="false">MONTH(C1411)</f>
        <v>9</v>
      </c>
      <c r="E1411" s="2" t="s">
        <v>77</v>
      </c>
      <c r="F1411" s="2" t="s">
        <v>64</v>
      </c>
      <c r="G1411" s="2" t="s">
        <v>70</v>
      </c>
      <c r="H1411" s="2" t="s">
        <v>71</v>
      </c>
      <c r="I1411" s="2" t="n">
        <v>1</v>
      </c>
      <c r="J1411" s="11" t="n">
        <v>2500</v>
      </c>
      <c r="K1411" s="12" t="n">
        <v>0</v>
      </c>
      <c r="L1411" s="11" t="n">
        <v>1600</v>
      </c>
      <c r="M1411" s="11" t="n">
        <f aca="false">I1411*J1411*(1-K1411)</f>
        <v>2500</v>
      </c>
      <c r="N1411" s="11" t="n">
        <f aca="false">M1411-I1411*L1411</f>
        <v>900</v>
      </c>
    </row>
    <row r="1412" customFormat="false" ht="15" hidden="false" customHeight="false" outlineLevel="0" collapsed="false">
      <c r="A1412" s="2" t="s">
        <v>1959</v>
      </c>
      <c r="B1412" s="2" t="s">
        <v>1960</v>
      </c>
      <c r="C1412" s="10" t="n">
        <v>45928</v>
      </c>
      <c r="D1412" s="2" t="n">
        <f aca="false">MONTH(C1412)</f>
        <v>9</v>
      </c>
      <c r="E1412" s="2" t="s">
        <v>91</v>
      </c>
      <c r="F1412" s="2" t="s">
        <v>64</v>
      </c>
      <c r="G1412" s="2" t="s">
        <v>65</v>
      </c>
      <c r="H1412" s="2" t="s">
        <v>82</v>
      </c>
      <c r="I1412" s="2" t="n">
        <v>4</v>
      </c>
      <c r="J1412" s="11" t="n">
        <v>250</v>
      </c>
      <c r="K1412" s="12" t="n">
        <v>0</v>
      </c>
      <c r="L1412" s="11" t="n">
        <v>100</v>
      </c>
      <c r="M1412" s="11" t="n">
        <f aca="false">I1412*J1412*(1-K1412)</f>
        <v>1000</v>
      </c>
      <c r="N1412" s="11" t="n">
        <f aca="false">M1412-I1412*L1412</f>
        <v>600</v>
      </c>
    </row>
    <row r="1413" customFormat="false" ht="15" hidden="false" customHeight="false" outlineLevel="0" collapsed="false">
      <c r="A1413" s="2" t="s">
        <v>109</v>
      </c>
      <c r="B1413" s="2" t="s">
        <v>106</v>
      </c>
      <c r="C1413" s="10" t="n">
        <v>45931</v>
      </c>
      <c r="D1413" s="2" t="n">
        <f aca="false">MONTH(C1413)</f>
        <v>10</v>
      </c>
      <c r="E1413" s="2" t="s">
        <v>63</v>
      </c>
      <c r="F1413" s="2" t="s">
        <v>64</v>
      </c>
      <c r="G1413" s="2" t="s">
        <v>73</v>
      </c>
      <c r="H1413" s="2" t="s">
        <v>85</v>
      </c>
      <c r="I1413" s="2" t="n">
        <v>2</v>
      </c>
      <c r="J1413" s="11" t="n">
        <v>1200</v>
      </c>
      <c r="K1413" s="12" t="n">
        <v>0.05</v>
      </c>
      <c r="L1413" s="11" t="n">
        <v>600</v>
      </c>
      <c r="M1413" s="11" t="n">
        <f aca="false">I1413*J1413*(1-K1413)</f>
        <v>2280</v>
      </c>
      <c r="N1413" s="11" t="n">
        <f aca="false">M1413-I1413*L1413</f>
        <v>1080</v>
      </c>
    </row>
    <row r="1414" customFormat="false" ht="15" hidden="false" customHeight="false" outlineLevel="0" collapsed="false">
      <c r="A1414" s="2" t="s">
        <v>206</v>
      </c>
      <c r="B1414" s="2" t="s">
        <v>205</v>
      </c>
      <c r="C1414" s="10" t="n">
        <v>45931</v>
      </c>
      <c r="D1414" s="2" t="n">
        <f aca="false">MONTH(C1414)</f>
        <v>10</v>
      </c>
      <c r="E1414" s="2" t="s">
        <v>63</v>
      </c>
      <c r="F1414" s="2" t="s">
        <v>64</v>
      </c>
      <c r="G1414" s="2" t="s">
        <v>70</v>
      </c>
      <c r="H1414" s="2" t="s">
        <v>126</v>
      </c>
      <c r="I1414" s="2" t="n">
        <v>2</v>
      </c>
      <c r="J1414" s="11" t="n">
        <v>4500</v>
      </c>
      <c r="K1414" s="12" t="n">
        <v>0.05</v>
      </c>
      <c r="L1414" s="11" t="n">
        <v>3300</v>
      </c>
      <c r="M1414" s="11" t="n">
        <f aca="false">I1414*J1414*(1-K1414)</f>
        <v>8550</v>
      </c>
      <c r="N1414" s="11" t="n">
        <f aca="false">M1414-I1414*L1414</f>
        <v>1950</v>
      </c>
    </row>
    <row r="1415" customFormat="false" ht="15" hidden="false" customHeight="false" outlineLevel="0" collapsed="false">
      <c r="A1415" s="2" t="s">
        <v>432</v>
      </c>
      <c r="B1415" s="2" t="s">
        <v>430</v>
      </c>
      <c r="C1415" s="10" t="n">
        <v>45931</v>
      </c>
      <c r="D1415" s="2" t="n">
        <f aca="false">MONTH(C1415)</f>
        <v>10</v>
      </c>
      <c r="E1415" s="2" t="s">
        <v>77</v>
      </c>
      <c r="F1415" s="2" t="s">
        <v>92</v>
      </c>
      <c r="G1415" s="2" t="s">
        <v>73</v>
      </c>
      <c r="H1415" s="2" t="s">
        <v>87</v>
      </c>
      <c r="I1415" s="2" t="n">
        <v>2</v>
      </c>
      <c r="J1415" s="11" t="n">
        <v>9000</v>
      </c>
      <c r="K1415" s="12" t="n">
        <v>0.05</v>
      </c>
      <c r="L1415" s="11" t="n">
        <v>6200</v>
      </c>
      <c r="M1415" s="11" t="n">
        <f aca="false">I1415*J1415*(1-K1415)</f>
        <v>17100</v>
      </c>
      <c r="N1415" s="11" t="n">
        <f aca="false">M1415-I1415*L1415</f>
        <v>4700</v>
      </c>
    </row>
    <row r="1416" customFormat="false" ht="15" hidden="false" customHeight="false" outlineLevel="0" collapsed="false">
      <c r="A1416" s="2" t="s">
        <v>1294</v>
      </c>
      <c r="B1416" s="2" t="s">
        <v>1295</v>
      </c>
      <c r="C1416" s="10" t="n">
        <v>45931</v>
      </c>
      <c r="D1416" s="2" t="n">
        <f aca="false">MONTH(C1416)</f>
        <v>10</v>
      </c>
      <c r="E1416" s="2" t="s">
        <v>77</v>
      </c>
      <c r="F1416" s="2" t="s">
        <v>64</v>
      </c>
      <c r="G1416" s="2" t="s">
        <v>65</v>
      </c>
      <c r="H1416" s="2" t="s">
        <v>107</v>
      </c>
      <c r="I1416" s="2" t="n">
        <v>4</v>
      </c>
      <c r="J1416" s="11" t="n">
        <v>500</v>
      </c>
      <c r="K1416" s="12" t="n">
        <v>0.1</v>
      </c>
      <c r="L1416" s="11" t="n">
        <v>250</v>
      </c>
      <c r="M1416" s="11" t="n">
        <f aca="false">I1416*J1416*(1-K1416)</f>
        <v>1800</v>
      </c>
      <c r="N1416" s="11" t="n">
        <f aca="false">M1416-I1416*L1416</f>
        <v>800</v>
      </c>
    </row>
    <row r="1417" customFormat="false" ht="15" hidden="false" customHeight="false" outlineLevel="0" collapsed="false">
      <c r="A1417" s="2" t="s">
        <v>1390</v>
      </c>
      <c r="B1417" s="2" t="s">
        <v>1387</v>
      </c>
      <c r="C1417" s="10" t="n">
        <v>45931</v>
      </c>
      <c r="D1417" s="2" t="n">
        <f aca="false">MONTH(C1417)</f>
        <v>10</v>
      </c>
      <c r="E1417" s="2" t="s">
        <v>91</v>
      </c>
      <c r="F1417" s="2" t="s">
        <v>64</v>
      </c>
      <c r="G1417" s="2" t="s">
        <v>65</v>
      </c>
      <c r="H1417" s="2" t="s">
        <v>82</v>
      </c>
      <c r="I1417" s="2" t="n">
        <v>2</v>
      </c>
      <c r="J1417" s="11" t="n">
        <v>250</v>
      </c>
      <c r="K1417" s="12" t="n">
        <v>0.05</v>
      </c>
      <c r="L1417" s="11" t="n">
        <v>100</v>
      </c>
      <c r="M1417" s="11" t="n">
        <f aca="false">I1417*J1417*(1-K1417)</f>
        <v>475</v>
      </c>
      <c r="N1417" s="11" t="n">
        <f aca="false">M1417-I1417*L1417</f>
        <v>275</v>
      </c>
    </row>
    <row r="1418" customFormat="false" ht="15" hidden="false" customHeight="false" outlineLevel="0" collapsed="false">
      <c r="A1418" s="2" t="s">
        <v>2025</v>
      </c>
      <c r="B1418" s="2" t="s">
        <v>2023</v>
      </c>
      <c r="C1418" s="10" t="n">
        <v>45931</v>
      </c>
      <c r="D1418" s="2" t="n">
        <f aca="false">MONTH(C1418)</f>
        <v>10</v>
      </c>
      <c r="E1418" s="2" t="s">
        <v>63</v>
      </c>
      <c r="F1418" s="2" t="s">
        <v>92</v>
      </c>
      <c r="G1418" s="2" t="s">
        <v>73</v>
      </c>
      <c r="H1418" s="2" t="s">
        <v>104</v>
      </c>
      <c r="I1418" s="2" t="n">
        <v>6</v>
      </c>
      <c r="J1418" s="11" t="n">
        <v>5500</v>
      </c>
      <c r="K1418" s="12" t="n">
        <v>0.15</v>
      </c>
      <c r="L1418" s="11" t="n">
        <v>3600</v>
      </c>
      <c r="M1418" s="11" t="n">
        <f aca="false">I1418*J1418*(1-K1418)</f>
        <v>28050</v>
      </c>
      <c r="N1418" s="11" t="n">
        <f aca="false">M1418-I1418*L1418</f>
        <v>6450</v>
      </c>
    </row>
    <row r="1419" customFormat="false" ht="15" hidden="false" customHeight="false" outlineLevel="0" collapsed="false">
      <c r="A1419" s="2" t="s">
        <v>2289</v>
      </c>
      <c r="B1419" s="2" t="s">
        <v>2288</v>
      </c>
      <c r="C1419" s="10" t="n">
        <v>45931</v>
      </c>
      <c r="D1419" s="2" t="n">
        <f aca="false">MONTH(C1419)</f>
        <v>10</v>
      </c>
      <c r="E1419" s="2" t="s">
        <v>63</v>
      </c>
      <c r="F1419" s="2" t="s">
        <v>64</v>
      </c>
      <c r="G1419" s="2" t="s">
        <v>70</v>
      </c>
      <c r="H1419" s="2" t="s">
        <v>97</v>
      </c>
      <c r="I1419" s="2" t="n">
        <v>1</v>
      </c>
      <c r="J1419" s="11" t="n">
        <v>3000</v>
      </c>
      <c r="K1419" s="12" t="n">
        <v>0.05</v>
      </c>
      <c r="L1419" s="11" t="n">
        <v>2000</v>
      </c>
      <c r="M1419" s="11" t="n">
        <f aca="false">I1419*J1419*(1-K1419)</f>
        <v>2850</v>
      </c>
      <c r="N1419" s="11" t="n">
        <f aca="false">M1419-I1419*L1419</f>
        <v>850</v>
      </c>
    </row>
    <row r="1420" customFormat="false" ht="15" hidden="false" customHeight="false" outlineLevel="0" collapsed="false">
      <c r="A1420" s="2" t="s">
        <v>2425</v>
      </c>
      <c r="B1420" s="2" t="s">
        <v>2426</v>
      </c>
      <c r="C1420" s="10" t="n">
        <v>45931</v>
      </c>
      <c r="D1420" s="2" t="n">
        <f aca="false">MONTH(C1420)</f>
        <v>10</v>
      </c>
      <c r="E1420" s="2" t="s">
        <v>63</v>
      </c>
      <c r="F1420" s="2" t="s">
        <v>64</v>
      </c>
      <c r="G1420" s="2" t="s">
        <v>70</v>
      </c>
      <c r="H1420" s="2" t="s">
        <v>71</v>
      </c>
      <c r="I1420" s="2" t="n">
        <v>3</v>
      </c>
      <c r="J1420" s="11" t="n">
        <v>2500</v>
      </c>
      <c r="K1420" s="12" t="n">
        <v>0.1</v>
      </c>
      <c r="L1420" s="11" t="n">
        <v>1600</v>
      </c>
      <c r="M1420" s="11" t="n">
        <f aca="false">I1420*J1420*(1-K1420)</f>
        <v>6750</v>
      </c>
      <c r="N1420" s="11" t="n">
        <f aca="false">M1420-I1420*L1420</f>
        <v>1950</v>
      </c>
    </row>
    <row r="1421" customFormat="false" ht="15" hidden="false" customHeight="false" outlineLevel="0" collapsed="false">
      <c r="A1421" s="2" t="s">
        <v>2887</v>
      </c>
      <c r="B1421" s="2" t="s">
        <v>2884</v>
      </c>
      <c r="C1421" s="10" t="n">
        <v>45931</v>
      </c>
      <c r="D1421" s="2" t="n">
        <f aca="false">MONTH(C1421)</f>
        <v>10</v>
      </c>
      <c r="E1421" s="2" t="s">
        <v>91</v>
      </c>
      <c r="F1421" s="2" t="s">
        <v>92</v>
      </c>
      <c r="G1421" s="2" t="s">
        <v>70</v>
      </c>
      <c r="H1421" s="2" t="s">
        <v>126</v>
      </c>
      <c r="I1421" s="2" t="n">
        <v>5</v>
      </c>
      <c r="J1421" s="11" t="n">
        <v>4500</v>
      </c>
      <c r="K1421" s="12" t="n">
        <v>0.1</v>
      </c>
      <c r="L1421" s="11" t="n">
        <v>3300</v>
      </c>
      <c r="M1421" s="11" t="n">
        <f aca="false">I1421*J1421*(1-K1421)</f>
        <v>20250</v>
      </c>
      <c r="N1421" s="11" t="n">
        <f aca="false">M1421-I1421*L1421</f>
        <v>3750</v>
      </c>
    </row>
    <row r="1422" customFormat="false" ht="15" hidden="false" customHeight="false" outlineLevel="0" collapsed="false">
      <c r="A1422" s="2" t="s">
        <v>2909</v>
      </c>
      <c r="B1422" s="2" t="s">
        <v>2907</v>
      </c>
      <c r="C1422" s="10" t="n">
        <v>45931</v>
      </c>
      <c r="D1422" s="2" t="n">
        <f aca="false">MONTH(C1422)</f>
        <v>10</v>
      </c>
      <c r="E1422" s="2" t="s">
        <v>81</v>
      </c>
      <c r="F1422" s="2" t="s">
        <v>64</v>
      </c>
      <c r="G1422" s="2" t="s">
        <v>70</v>
      </c>
      <c r="H1422" s="2" t="s">
        <v>97</v>
      </c>
      <c r="I1422" s="2" t="n">
        <v>3</v>
      </c>
      <c r="J1422" s="11" t="n">
        <v>3000</v>
      </c>
      <c r="K1422" s="12" t="n">
        <v>0.05</v>
      </c>
      <c r="L1422" s="11" t="n">
        <v>2000</v>
      </c>
      <c r="M1422" s="11" t="n">
        <f aca="false">I1422*J1422*(1-K1422)</f>
        <v>8550</v>
      </c>
      <c r="N1422" s="11" t="n">
        <f aca="false">M1422-I1422*L1422</f>
        <v>2550</v>
      </c>
    </row>
    <row r="1423" customFormat="false" ht="15" hidden="false" customHeight="false" outlineLevel="0" collapsed="false">
      <c r="A1423" s="2" t="s">
        <v>348</v>
      </c>
      <c r="B1423" s="2" t="s">
        <v>349</v>
      </c>
      <c r="C1423" s="10" t="n">
        <v>45932</v>
      </c>
      <c r="D1423" s="2" t="n">
        <f aca="false">MONTH(C1423)</f>
        <v>10</v>
      </c>
      <c r="E1423" s="2" t="s">
        <v>77</v>
      </c>
      <c r="F1423" s="2" t="s">
        <v>64</v>
      </c>
      <c r="G1423" s="2" t="s">
        <v>65</v>
      </c>
      <c r="H1423" s="2" t="s">
        <v>82</v>
      </c>
      <c r="I1423" s="2" t="n">
        <v>7</v>
      </c>
      <c r="J1423" s="11" t="n">
        <v>250</v>
      </c>
      <c r="K1423" s="12" t="n">
        <v>0.1</v>
      </c>
      <c r="L1423" s="11" t="n">
        <v>100</v>
      </c>
      <c r="M1423" s="11" t="n">
        <f aca="false">I1423*J1423*(1-K1423)</f>
        <v>1575</v>
      </c>
      <c r="N1423" s="11" t="n">
        <f aca="false">M1423-I1423*L1423</f>
        <v>875</v>
      </c>
    </row>
    <row r="1424" customFormat="false" ht="15" hidden="false" customHeight="false" outlineLevel="0" collapsed="false">
      <c r="A1424" s="2" t="s">
        <v>368</v>
      </c>
      <c r="B1424" s="2" t="s">
        <v>361</v>
      </c>
      <c r="C1424" s="10" t="n">
        <v>45932</v>
      </c>
      <c r="D1424" s="2" t="n">
        <f aca="false">MONTH(C1424)</f>
        <v>10</v>
      </c>
      <c r="E1424" s="2" t="s">
        <v>77</v>
      </c>
      <c r="F1424" s="2" t="s">
        <v>64</v>
      </c>
      <c r="G1424" s="2" t="s">
        <v>70</v>
      </c>
      <c r="H1424" s="2" t="s">
        <v>122</v>
      </c>
      <c r="I1424" s="2" t="n">
        <v>2</v>
      </c>
      <c r="J1424" s="11" t="n">
        <v>1500</v>
      </c>
      <c r="K1424" s="12" t="n">
        <v>0.05</v>
      </c>
      <c r="L1424" s="11" t="n">
        <v>900</v>
      </c>
      <c r="M1424" s="11" t="n">
        <f aca="false">I1424*J1424*(1-K1424)</f>
        <v>2850</v>
      </c>
      <c r="N1424" s="11" t="n">
        <f aca="false">M1424-I1424*L1424</f>
        <v>1050</v>
      </c>
    </row>
    <row r="1425" customFormat="false" ht="15" hidden="false" customHeight="false" outlineLevel="0" collapsed="false">
      <c r="A1425" s="2" t="s">
        <v>992</v>
      </c>
      <c r="B1425" s="2" t="s">
        <v>991</v>
      </c>
      <c r="C1425" s="10" t="n">
        <v>45932</v>
      </c>
      <c r="D1425" s="2" t="n">
        <f aca="false">MONTH(C1425)</f>
        <v>10</v>
      </c>
      <c r="E1425" s="2" t="s">
        <v>77</v>
      </c>
      <c r="F1425" s="2" t="s">
        <v>64</v>
      </c>
      <c r="G1425" s="2" t="s">
        <v>70</v>
      </c>
      <c r="H1425" s="2" t="s">
        <v>71</v>
      </c>
      <c r="I1425" s="2" t="n">
        <v>1</v>
      </c>
      <c r="J1425" s="11" t="n">
        <v>2500</v>
      </c>
      <c r="K1425" s="12" t="n">
        <v>0.05</v>
      </c>
      <c r="L1425" s="11" t="n">
        <v>1600</v>
      </c>
      <c r="M1425" s="11" t="n">
        <f aca="false">I1425*J1425*(1-K1425)</f>
        <v>2375</v>
      </c>
      <c r="N1425" s="11" t="n">
        <f aca="false">M1425-I1425*L1425</f>
        <v>775</v>
      </c>
    </row>
    <row r="1426" customFormat="false" ht="15" hidden="false" customHeight="false" outlineLevel="0" collapsed="false">
      <c r="A1426" s="2" t="s">
        <v>1020</v>
      </c>
      <c r="B1426" s="2" t="s">
        <v>1016</v>
      </c>
      <c r="C1426" s="10" t="n">
        <v>45932</v>
      </c>
      <c r="D1426" s="2" t="n">
        <f aca="false">MONTH(C1426)</f>
        <v>10</v>
      </c>
      <c r="E1426" s="2" t="s">
        <v>81</v>
      </c>
      <c r="F1426" s="2" t="s">
        <v>64</v>
      </c>
      <c r="G1426" s="2" t="s">
        <v>65</v>
      </c>
      <c r="H1426" s="2" t="s">
        <v>82</v>
      </c>
      <c r="I1426" s="2" t="n">
        <v>2</v>
      </c>
      <c r="J1426" s="11" t="n">
        <v>250</v>
      </c>
      <c r="K1426" s="12" t="n">
        <v>0.05</v>
      </c>
      <c r="L1426" s="11" t="n">
        <v>100</v>
      </c>
      <c r="M1426" s="11" t="n">
        <f aca="false">I1426*J1426*(1-K1426)</f>
        <v>475</v>
      </c>
      <c r="N1426" s="11" t="n">
        <f aca="false">M1426-I1426*L1426</f>
        <v>275</v>
      </c>
    </row>
    <row r="1427" customFormat="false" ht="15" hidden="false" customHeight="false" outlineLevel="0" collapsed="false">
      <c r="A1427" s="2" t="s">
        <v>1560</v>
      </c>
      <c r="B1427" s="2" t="s">
        <v>1561</v>
      </c>
      <c r="C1427" s="10" t="n">
        <v>45932</v>
      </c>
      <c r="D1427" s="2" t="n">
        <f aca="false">MONTH(C1427)</f>
        <v>10</v>
      </c>
      <c r="E1427" s="2" t="s">
        <v>77</v>
      </c>
      <c r="F1427" s="2" t="s">
        <v>64</v>
      </c>
      <c r="G1427" s="2" t="s">
        <v>70</v>
      </c>
      <c r="H1427" s="2" t="s">
        <v>126</v>
      </c>
      <c r="I1427" s="2" t="n">
        <v>2</v>
      </c>
      <c r="J1427" s="11" t="n">
        <v>4500</v>
      </c>
      <c r="K1427" s="12" t="n">
        <v>0.05</v>
      </c>
      <c r="L1427" s="11" t="n">
        <v>3300</v>
      </c>
      <c r="M1427" s="11" t="n">
        <f aca="false">I1427*J1427*(1-K1427)</f>
        <v>8550</v>
      </c>
      <c r="N1427" s="11" t="n">
        <f aca="false">M1427-I1427*L1427</f>
        <v>1950</v>
      </c>
    </row>
    <row r="1428" customFormat="false" ht="15" hidden="false" customHeight="false" outlineLevel="0" collapsed="false">
      <c r="A1428" s="2" t="s">
        <v>1908</v>
      </c>
      <c r="B1428" s="2" t="s">
        <v>1909</v>
      </c>
      <c r="C1428" s="10" t="n">
        <v>45932</v>
      </c>
      <c r="D1428" s="2" t="n">
        <f aca="false">MONTH(C1428)</f>
        <v>10</v>
      </c>
      <c r="E1428" s="2" t="s">
        <v>63</v>
      </c>
      <c r="F1428" s="2" t="s">
        <v>69</v>
      </c>
      <c r="G1428" s="2" t="s">
        <v>73</v>
      </c>
      <c r="H1428" s="2" t="s">
        <v>85</v>
      </c>
      <c r="I1428" s="2" t="n">
        <v>3</v>
      </c>
      <c r="J1428" s="11" t="n">
        <v>1200</v>
      </c>
      <c r="K1428" s="12" t="n">
        <v>0.05</v>
      </c>
      <c r="L1428" s="11" t="n">
        <v>600</v>
      </c>
      <c r="M1428" s="11" t="n">
        <f aca="false">I1428*J1428*(1-K1428)</f>
        <v>3420</v>
      </c>
      <c r="N1428" s="11" t="n">
        <f aca="false">M1428-I1428*L1428</f>
        <v>1620</v>
      </c>
    </row>
    <row r="1429" customFormat="false" ht="15" hidden="false" customHeight="false" outlineLevel="0" collapsed="false">
      <c r="A1429" s="2" t="s">
        <v>1963</v>
      </c>
      <c r="B1429" s="2" t="s">
        <v>1962</v>
      </c>
      <c r="C1429" s="10" t="n">
        <v>45932</v>
      </c>
      <c r="D1429" s="2" t="n">
        <f aca="false">MONTH(C1429)</f>
        <v>10</v>
      </c>
      <c r="E1429" s="2" t="s">
        <v>63</v>
      </c>
      <c r="F1429" s="2" t="s">
        <v>64</v>
      </c>
      <c r="G1429" s="2" t="s">
        <v>65</v>
      </c>
      <c r="H1429" s="2" t="s">
        <v>82</v>
      </c>
      <c r="I1429" s="2" t="n">
        <v>8</v>
      </c>
      <c r="J1429" s="11" t="n">
        <v>250</v>
      </c>
      <c r="K1429" s="12" t="n">
        <v>0.05</v>
      </c>
      <c r="L1429" s="11" t="n">
        <v>100</v>
      </c>
      <c r="M1429" s="11" t="n">
        <f aca="false">I1429*J1429*(1-K1429)</f>
        <v>1900</v>
      </c>
      <c r="N1429" s="11" t="n">
        <f aca="false">M1429-I1429*L1429</f>
        <v>1100</v>
      </c>
    </row>
    <row r="1430" customFormat="false" ht="15" hidden="false" customHeight="false" outlineLevel="0" collapsed="false">
      <c r="A1430" s="2" t="s">
        <v>192</v>
      </c>
      <c r="B1430" s="2" t="s">
        <v>193</v>
      </c>
      <c r="C1430" s="10" t="n">
        <v>45933</v>
      </c>
      <c r="D1430" s="2" t="n">
        <f aca="false">MONTH(C1430)</f>
        <v>10</v>
      </c>
      <c r="E1430" s="2" t="s">
        <v>77</v>
      </c>
      <c r="F1430" s="2" t="s">
        <v>64</v>
      </c>
      <c r="G1430" s="2" t="s">
        <v>73</v>
      </c>
      <c r="H1430" s="2" t="s">
        <v>74</v>
      </c>
      <c r="I1430" s="2" t="n">
        <v>2</v>
      </c>
      <c r="J1430" s="11" t="n">
        <v>7000</v>
      </c>
      <c r="K1430" s="12" t="n">
        <v>0.05</v>
      </c>
      <c r="L1430" s="11" t="n">
        <v>4800</v>
      </c>
      <c r="M1430" s="11" t="n">
        <f aca="false">I1430*J1430*(1-K1430)</f>
        <v>13300</v>
      </c>
      <c r="N1430" s="11" t="n">
        <f aca="false">M1430-I1430*L1430</f>
        <v>3700</v>
      </c>
    </row>
    <row r="1431" customFormat="false" ht="15" hidden="false" customHeight="false" outlineLevel="0" collapsed="false">
      <c r="A1431" s="2" t="s">
        <v>690</v>
      </c>
      <c r="B1431" s="2" t="s">
        <v>688</v>
      </c>
      <c r="C1431" s="10" t="n">
        <v>45933</v>
      </c>
      <c r="D1431" s="2" t="n">
        <f aca="false">MONTH(C1431)</f>
        <v>10</v>
      </c>
      <c r="E1431" s="2" t="s">
        <v>63</v>
      </c>
      <c r="F1431" s="2" t="s">
        <v>64</v>
      </c>
      <c r="G1431" s="2" t="s">
        <v>73</v>
      </c>
      <c r="H1431" s="2" t="s">
        <v>74</v>
      </c>
      <c r="I1431" s="2" t="n">
        <v>2</v>
      </c>
      <c r="J1431" s="11" t="n">
        <v>7000</v>
      </c>
      <c r="K1431" s="12" t="n">
        <v>0.15</v>
      </c>
      <c r="L1431" s="11" t="n">
        <v>4800</v>
      </c>
      <c r="M1431" s="11" t="n">
        <f aca="false">I1431*J1431*(1-K1431)</f>
        <v>11900</v>
      </c>
      <c r="N1431" s="11" t="n">
        <f aca="false">M1431-I1431*L1431</f>
        <v>2300</v>
      </c>
    </row>
    <row r="1432" customFormat="false" ht="15" hidden="false" customHeight="false" outlineLevel="0" collapsed="false">
      <c r="A1432" s="2" t="s">
        <v>820</v>
      </c>
      <c r="B1432" s="2" t="s">
        <v>816</v>
      </c>
      <c r="C1432" s="10" t="n">
        <v>45933</v>
      </c>
      <c r="D1432" s="2" t="n">
        <f aca="false">MONTH(C1432)</f>
        <v>10</v>
      </c>
      <c r="E1432" s="2" t="s">
        <v>77</v>
      </c>
      <c r="F1432" s="2" t="s">
        <v>69</v>
      </c>
      <c r="G1432" s="2" t="s">
        <v>70</v>
      </c>
      <c r="H1432" s="2" t="s">
        <v>126</v>
      </c>
      <c r="I1432" s="2" t="n">
        <v>1</v>
      </c>
      <c r="J1432" s="11" t="n">
        <v>4500</v>
      </c>
      <c r="K1432" s="12" t="n">
        <v>0.15</v>
      </c>
      <c r="L1432" s="11" t="n">
        <v>3300</v>
      </c>
      <c r="M1432" s="11" t="n">
        <f aca="false">I1432*J1432*(1-K1432)</f>
        <v>3825</v>
      </c>
      <c r="N1432" s="11" t="n">
        <f aca="false">M1432-I1432*L1432</f>
        <v>525</v>
      </c>
    </row>
    <row r="1433" customFormat="false" ht="15" hidden="false" customHeight="false" outlineLevel="0" collapsed="false">
      <c r="A1433" s="2" t="s">
        <v>1368</v>
      </c>
      <c r="B1433" s="2" t="s">
        <v>1367</v>
      </c>
      <c r="C1433" s="10" t="n">
        <v>45933</v>
      </c>
      <c r="D1433" s="2" t="n">
        <f aca="false">MONTH(C1433)</f>
        <v>10</v>
      </c>
      <c r="E1433" s="2" t="s">
        <v>77</v>
      </c>
      <c r="F1433" s="2" t="s">
        <v>64</v>
      </c>
      <c r="G1433" s="2" t="s">
        <v>70</v>
      </c>
      <c r="H1433" s="2" t="s">
        <v>71</v>
      </c>
      <c r="I1433" s="2" t="n">
        <v>2</v>
      </c>
      <c r="J1433" s="11" t="n">
        <v>2500</v>
      </c>
      <c r="K1433" s="12" t="n">
        <v>0.1</v>
      </c>
      <c r="L1433" s="11" t="n">
        <v>1600</v>
      </c>
      <c r="M1433" s="11" t="n">
        <f aca="false">I1433*J1433*(1-K1433)</f>
        <v>4500</v>
      </c>
      <c r="N1433" s="11" t="n">
        <f aca="false">M1433-I1433*L1433</f>
        <v>1300</v>
      </c>
    </row>
    <row r="1434" customFormat="false" ht="15" hidden="false" customHeight="false" outlineLevel="0" collapsed="false">
      <c r="A1434" s="2" t="s">
        <v>1370</v>
      </c>
      <c r="B1434" s="2" t="s">
        <v>1367</v>
      </c>
      <c r="C1434" s="10" t="n">
        <v>45933</v>
      </c>
      <c r="D1434" s="2" t="n">
        <f aca="false">MONTH(C1434)</f>
        <v>10</v>
      </c>
      <c r="E1434" s="2" t="s">
        <v>77</v>
      </c>
      <c r="F1434" s="2" t="s">
        <v>64</v>
      </c>
      <c r="G1434" s="2" t="s">
        <v>65</v>
      </c>
      <c r="H1434" s="2" t="s">
        <v>107</v>
      </c>
      <c r="I1434" s="2" t="n">
        <v>5</v>
      </c>
      <c r="J1434" s="11" t="n">
        <v>500</v>
      </c>
      <c r="K1434" s="12" t="n">
        <v>0.05</v>
      </c>
      <c r="L1434" s="11" t="n">
        <v>250</v>
      </c>
      <c r="M1434" s="11" t="n">
        <f aca="false">I1434*J1434*(1-K1434)</f>
        <v>2375</v>
      </c>
      <c r="N1434" s="11" t="n">
        <f aca="false">M1434-I1434*L1434</f>
        <v>1125</v>
      </c>
    </row>
    <row r="1435" customFormat="false" ht="15" hidden="false" customHeight="false" outlineLevel="0" collapsed="false">
      <c r="A1435" s="2" t="s">
        <v>1408</v>
      </c>
      <c r="B1435" s="2" t="s">
        <v>1404</v>
      </c>
      <c r="C1435" s="10" t="n">
        <v>45933</v>
      </c>
      <c r="D1435" s="2" t="n">
        <f aca="false">MONTH(C1435)</f>
        <v>10</v>
      </c>
      <c r="E1435" s="2" t="s">
        <v>77</v>
      </c>
      <c r="F1435" s="2" t="s">
        <v>64</v>
      </c>
      <c r="G1435" s="2" t="s">
        <v>70</v>
      </c>
      <c r="H1435" s="2" t="s">
        <v>71</v>
      </c>
      <c r="I1435" s="2" t="n">
        <v>2</v>
      </c>
      <c r="J1435" s="11" t="n">
        <v>2500</v>
      </c>
      <c r="K1435" s="12" t="n">
        <v>0.05</v>
      </c>
      <c r="L1435" s="11" t="n">
        <v>1600</v>
      </c>
      <c r="M1435" s="11" t="n">
        <f aca="false">I1435*J1435*(1-K1435)</f>
        <v>4750</v>
      </c>
      <c r="N1435" s="11" t="n">
        <f aca="false">M1435-I1435*L1435</f>
        <v>1550</v>
      </c>
    </row>
    <row r="1436" customFormat="false" ht="15" hidden="false" customHeight="false" outlineLevel="0" collapsed="false">
      <c r="A1436" s="2" t="s">
        <v>2356</v>
      </c>
      <c r="B1436" s="2" t="s">
        <v>2357</v>
      </c>
      <c r="C1436" s="10" t="n">
        <v>45933</v>
      </c>
      <c r="D1436" s="2" t="n">
        <f aca="false">MONTH(C1436)</f>
        <v>10</v>
      </c>
      <c r="E1436" s="2" t="s">
        <v>63</v>
      </c>
      <c r="F1436" s="2" t="s">
        <v>64</v>
      </c>
      <c r="G1436" s="2" t="s">
        <v>65</v>
      </c>
      <c r="H1436" s="2" t="s">
        <v>66</v>
      </c>
      <c r="I1436" s="2" t="n">
        <v>4</v>
      </c>
      <c r="J1436" s="11" t="n">
        <v>600</v>
      </c>
      <c r="K1436" s="12" t="n">
        <v>0.1</v>
      </c>
      <c r="L1436" s="11" t="n">
        <v>300</v>
      </c>
      <c r="M1436" s="11" t="n">
        <f aca="false">I1436*J1436*(1-K1436)</f>
        <v>2160</v>
      </c>
      <c r="N1436" s="11" t="n">
        <f aca="false">M1436-I1436*L1436</f>
        <v>960</v>
      </c>
    </row>
    <row r="1437" customFormat="false" ht="15" hidden="false" customHeight="false" outlineLevel="0" collapsed="false">
      <c r="A1437" s="2" t="s">
        <v>2628</v>
      </c>
      <c r="B1437" s="2" t="s">
        <v>2629</v>
      </c>
      <c r="C1437" s="10" t="n">
        <v>45933</v>
      </c>
      <c r="D1437" s="2" t="n">
        <f aca="false">MONTH(C1437)</f>
        <v>10</v>
      </c>
      <c r="E1437" s="2" t="s">
        <v>91</v>
      </c>
      <c r="F1437" s="2" t="s">
        <v>69</v>
      </c>
      <c r="G1437" s="2" t="s">
        <v>73</v>
      </c>
      <c r="H1437" s="2" t="s">
        <v>104</v>
      </c>
      <c r="I1437" s="2" t="n">
        <v>5</v>
      </c>
      <c r="J1437" s="11" t="n">
        <v>5500</v>
      </c>
      <c r="K1437" s="12" t="n">
        <v>0.1</v>
      </c>
      <c r="L1437" s="11" t="n">
        <v>3600</v>
      </c>
      <c r="M1437" s="11" t="n">
        <f aca="false">I1437*J1437*(1-K1437)</f>
        <v>24750</v>
      </c>
      <c r="N1437" s="11" t="n">
        <f aca="false">M1437-I1437*L1437</f>
        <v>6750</v>
      </c>
    </row>
    <row r="1438" customFormat="false" ht="15" hidden="false" customHeight="false" outlineLevel="0" collapsed="false">
      <c r="A1438" s="2" t="s">
        <v>2638</v>
      </c>
      <c r="B1438" s="2" t="s">
        <v>2629</v>
      </c>
      <c r="C1438" s="10" t="n">
        <v>45933</v>
      </c>
      <c r="D1438" s="2" t="n">
        <f aca="false">MONTH(C1438)</f>
        <v>10</v>
      </c>
      <c r="E1438" s="2" t="s">
        <v>91</v>
      </c>
      <c r="F1438" s="2" t="s">
        <v>69</v>
      </c>
      <c r="G1438" s="2" t="s">
        <v>70</v>
      </c>
      <c r="H1438" s="2" t="s">
        <v>97</v>
      </c>
      <c r="I1438" s="2" t="n">
        <v>3</v>
      </c>
      <c r="J1438" s="11" t="n">
        <v>3000</v>
      </c>
      <c r="K1438" s="12" t="n">
        <v>0.05</v>
      </c>
      <c r="L1438" s="11" t="n">
        <v>2000</v>
      </c>
      <c r="M1438" s="11" t="n">
        <f aca="false">I1438*J1438*(1-K1438)</f>
        <v>8550</v>
      </c>
      <c r="N1438" s="11" t="n">
        <f aca="false">M1438-I1438*L1438</f>
        <v>2550</v>
      </c>
    </row>
    <row r="1439" customFormat="false" ht="15" hidden="false" customHeight="false" outlineLevel="0" collapsed="false">
      <c r="A1439" s="2" t="s">
        <v>2650</v>
      </c>
      <c r="B1439" s="2" t="s">
        <v>2651</v>
      </c>
      <c r="C1439" s="10" t="n">
        <v>45933</v>
      </c>
      <c r="D1439" s="2" t="n">
        <f aca="false">MONTH(C1439)</f>
        <v>10</v>
      </c>
      <c r="E1439" s="2" t="s">
        <v>63</v>
      </c>
      <c r="F1439" s="2" t="s">
        <v>64</v>
      </c>
      <c r="G1439" s="2" t="s">
        <v>65</v>
      </c>
      <c r="H1439" s="2" t="s">
        <v>82</v>
      </c>
      <c r="I1439" s="2" t="n">
        <v>3</v>
      </c>
      <c r="J1439" s="11" t="n">
        <v>250</v>
      </c>
      <c r="K1439" s="12" t="n">
        <v>0.1</v>
      </c>
      <c r="L1439" s="11" t="n">
        <v>100</v>
      </c>
      <c r="M1439" s="11" t="n">
        <f aca="false">I1439*J1439*(1-K1439)</f>
        <v>675</v>
      </c>
      <c r="N1439" s="11" t="n">
        <f aca="false">M1439-I1439*L1439</f>
        <v>375</v>
      </c>
    </row>
    <row r="1440" customFormat="false" ht="15" hidden="false" customHeight="false" outlineLevel="0" collapsed="false">
      <c r="A1440" s="2" t="s">
        <v>2959</v>
      </c>
      <c r="B1440" s="2" t="s">
        <v>2958</v>
      </c>
      <c r="C1440" s="10" t="n">
        <v>45933</v>
      </c>
      <c r="D1440" s="2" t="n">
        <f aca="false">MONTH(C1440)</f>
        <v>10</v>
      </c>
      <c r="E1440" s="2" t="s">
        <v>63</v>
      </c>
      <c r="F1440" s="2" t="s">
        <v>64</v>
      </c>
      <c r="G1440" s="2" t="s">
        <v>73</v>
      </c>
      <c r="H1440" s="2" t="s">
        <v>74</v>
      </c>
      <c r="I1440" s="2" t="n">
        <v>1</v>
      </c>
      <c r="J1440" s="11" t="n">
        <v>7000</v>
      </c>
      <c r="K1440" s="12" t="n">
        <v>0.05</v>
      </c>
      <c r="L1440" s="11" t="n">
        <v>4800</v>
      </c>
      <c r="M1440" s="11" t="n">
        <f aca="false">I1440*J1440*(1-K1440)</f>
        <v>6650</v>
      </c>
      <c r="N1440" s="11" t="n">
        <f aca="false">M1440-I1440*L1440</f>
        <v>1850</v>
      </c>
    </row>
    <row r="1441" customFormat="false" ht="15" hidden="false" customHeight="false" outlineLevel="0" collapsed="false">
      <c r="A1441" s="2" t="s">
        <v>201</v>
      </c>
      <c r="B1441" s="2" t="s">
        <v>196</v>
      </c>
      <c r="C1441" s="10" t="n">
        <v>45934</v>
      </c>
      <c r="D1441" s="2" t="n">
        <f aca="false">MONTH(C1441)</f>
        <v>10</v>
      </c>
      <c r="E1441" s="2" t="s">
        <v>77</v>
      </c>
      <c r="F1441" s="2" t="s">
        <v>64</v>
      </c>
      <c r="G1441" s="2" t="s">
        <v>65</v>
      </c>
      <c r="H1441" s="2" t="s">
        <v>82</v>
      </c>
      <c r="I1441" s="2" t="n">
        <v>6</v>
      </c>
      <c r="J1441" s="11" t="n">
        <v>250</v>
      </c>
      <c r="K1441" s="12" t="n">
        <v>0.1</v>
      </c>
      <c r="L1441" s="11" t="n">
        <v>100</v>
      </c>
      <c r="M1441" s="11" t="n">
        <f aca="false">I1441*J1441*(1-K1441)</f>
        <v>1350</v>
      </c>
      <c r="N1441" s="11" t="n">
        <f aca="false">M1441-I1441*L1441</f>
        <v>750</v>
      </c>
    </row>
    <row r="1442" customFormat="false" ht="15" hidden="false" customHeight="false" outlineLevel="0" collapsed="false">
      <c r="A1442" s="2" t="s">
        <v>785</v>
      </c>
      <c r="B1442" s="2" t="s">
        <v>783</v>
      </c>
      <c r="C1442" s="10" t="n">
        <v>45934</v>
      </c>
      <c r="D1442" s="2" t="n">
        <f aca="false">MONTH(C1442)</f>
        <v>10</v>
      </c>
      <c r="E1442" s="2" t="s">
        <v>77</v>
      </c>
      <c r="F1442" s="2" t="s">
        <v>64</v>
      </c>
      <c r="G1442" s="2" t="s">
        <v>73</v>
      </c>
      <c r="H1442" s="2" t="s">
        <v>74</v>
      </c>
      <c r="I1442" s="2" t="n">
        <v>1</v>
      </c>
      <c r="J1442" s="11" t="n">
        <v>7000</v>
      </c>
      <c r="K1442" s="12" t="n">
        <v>0.15</v>
      </c>
      <c r="L1442" s="11" t="n">
        <v>4800</v>
      </c>
      <c r="M1442" s="11" t="n">
        <f aca="false">I1442*J1442*(1-K1442)</f>
        <v>5950</v>
      </c>
      <c r="N1442" s="11" t="n">
        <f aca="false">M1442-I1442*L1442</f>
        <v>1150</v>
      </c>
    </row>
    <row r="1443" customFormat="false" ht="15" hidden="false" customHeight="false" outlineLevel="0" collapsed="false">
      <c r="A1443" s="2" t="s">
        <v>1230</v>
      </c>
      <c r="B1443" s="2" t="s">
        <v>1231</v>
      </c>
      <c r="C1443" s="10" t="n">
        <v>45934</v>
      </c>
      <c r="D1443" s="2" t="n">
        <f aca="false">MONTH(C1443)</f>
        <v>10</v>
      </c>
      <c r="E1443" s="2" t="s">
        <v>81</v>
      </c>
      <c r="F1443" s="2" t="s">
        <v>69</v>
      </c>
      <c r="G1443" s="2" t="s">
        <v>70</v>
      </c>
      <c r="H1443" s="2" t="s">
        <v>122</v>
      </c>
      <c r="I1443" s="2" t="n">
        <v>2</v>
      </c>
      <c r="J1443" s="11" t="n">
        <v>1500</v>
      </c>
      <c r="K1443" s="12" t="n">
        <v>0.05</v>
      </c>
      <c r="L1443" s="11" t="n">
        <v>900</v>
      </c>
      <c r="M1443" s="11" t="n">
        <f aca="false">I1443*J1443*(1-K1443)</f>
        <v>2850</v>
      </c>
      <c r="N1443" s="11" t="n">
        <f aca="false">M1443-I1443*L1443</f>
        <v>1050</v>
      </c>
    </row>
    <row r="1444" customFormat="false" ht="15" hidden="false" customHeight="false" outlineLevel="0" collapsed="false">
      <c r="A1444" s="2" t="s">
        <v>1366</v>
      </c>
      <c r="B1444" s="2" t="s">
        <v>1367</v>
      </c>
      <c r="C1444" s="10" t="n">
        <v>45934</v>
      </c>
      <c r="D1444" s="2" t="n">
        <f aca="false">MONTH(C1444)</f>
        <v>10</v>
      </c>
      <c r="E1444" s="2" t="s">
        <v>77</v>
      </c>
      <c r="F1444" s="2" t="s">
        <v>64</v>
      </c>
      <c r="G1444" s="2" t="s">
        <v>70</v>
      </c>
      <c r="H1444" s="2" t="s">
        <v>122</v>
      </c>
      <c r="I1444" s="2" t="n">
        <v>1</v>
      </c>
      <c r="J1444" s="11" t="n">
        <v>1500</v>
      </c>
      <c r="K1444" s="12" t="n">
        <v>0.1</v>
      </c>
      <c r="L1444" s="11" t="n">
        <v>900</v>
      </c>
      <c r="M1444" s="11" t="n">
        <f aca="false">I1444*J1444*(1-K1444)</f>
        <v>1350</v>
      </c>
      <c r="N1444" s="11" t="n">
        <f aca="false">M1444-I1444*L1444</f>
        <v>450</v>
      </c>
    </row>
    <row r="1445" customFormat="false" ht="15" hidden="false" customHeight="false" outlineLevel="0" collapsed="false">
      <c r="A1445" s="2" t="s">
        <v>1378</v>
      </c>
      <c r="B1445" s="2" t="s">
        <v>1375</v>
      </c>
      <c r="C1445" s="10" t="n">
        <v>45934</v>
      </c>
      <c r="D1445" s="2" t="n">
        <f aca="false">MONTH(C1445)</f>
        <v>10</v>
      </c>
      <c r="E1445" s="2" t="s">
        <v>77</v>
      </c>
      <c r="F1445" s="2" t="s">
        <v>69</v>
      </c>
      <c r="G1445" s="2" t="s">
        <v>73</v>
      </c>
      <c r="H1445" s="2" t="s">
        <v>87</v>
      </c>
      <c r="I1445" s="2" t="n">
        <v>4</v>
      </c>
      <c r="J1445" s="11" t="n">
        <v>9000</v>
      </c>
      <c r="K1445" s="12" t="n">
        <v>0.05</v>
      </c>
      <c r="L1445" s="11" t="n">
        <v>6200</v>
      </c>
      <c r="M1445" s="11" t="n">
        <f aca="false">I1445*J1445*(1-K1445)</f>
        <v>34200</v>
      </c>
      <c r="N1445" s="11" t="n">
        <f aca="false">M1445-I1445*L1445</f>
        <v>9400</v>
      </c>
    </row>
    <row r="1446" customFormat="false" ht="15" hidden="false" customHeight="false" outlineLevel="0" collapsed="false">
      <c r="A1446" s="2" t="s">
        <v>1615</v>
      </c>
      <c r="B1446" s="2" t="s">
        <v>1609</v>
      </c>
      <c r="C1446" s="10" t="n">
        <v>45934</v>
      </c>
      <c r="D1446" s="2" t="n">
        <f aca="false">MONTH(C1446)</f>
        <v>10</v>
      </c>
      <c r="E1446" s="2" t="s">
        <v>81</v>
      </c>
      <c r="F1446" s="2" t="s">
        <v>92</v>
      </c>
      <c r="G1446" s="2" t="s">
        <v>73</v>
      </c>
      <c r="H1446" s="2" t="s">
        <v>104</v>
      </c>
      <c r="I1446" s="2" t="n">
        <v>5</v>
      </c>
      <c r="J1446" s="11" t="n">
        <v>5500</v>
      </c>
      <c r="K1446" s="12" t="n">
        <v>0.15</v>
      </c>
      <c r="L1446" s="11" t="n">
        <v>3600</v>
      </c>
      <c r="M1446" s="11" t="n">
        <f aca="false">I1446*J1446*(1-K1446)</f>
        <v>23375</v>
      </c>
      <c r="N1446" s="11" t="n">
        <f aca="false">M1446-I1446*L1446</f>
        <v>5375</v>
      </c>
    </row>
    <row r="1447" customFormat="false" ht="15" hidden="false" customHeight="false" outlineLevel="0" collapsed="false">
      <c r="A1447" s="2" t="s">
        <v>1649</v>
      </c>
      <c r="B1447" s="2" t="s">
        <v>1647</v>
      </c>
      <c r="C1447" s="10" t="n">
        <v>45934</v>
      </c>
      <c r="D1447" s="2" t="n">
        <f aca="false">MONTH(C1447)</f>
        <v>10</v>
      </c>
      <c r="E1447" s="2" t="s">
        <v>63</v>
      </c>
      <c r="F1447" s="2" t="s">
        <v>64</v>
      </c>
      <c r="G1447" s="2" t="s">
        <v>65</v>
      </c>
      <c r="H1447" s="2" t="s">
        <v>82</v>
      </c>
      <c r="I1447" s="2" t="n">
        <v>2</v>
      </c>
      <c r="J1447" s="11" t="n">
        <v>250</v>
      </c>
      <c r="K1447" s="12" t="n">
        <v>0.05</v>
      </c>
      <c r="L1447" s="11" t="n">
        <v>100</v>
      </c>
      <c r="M1447" s="11" t="n">
        <f aca="false">I1447*J1447*(1-K1447)</f>
        <v>475</v>
      </c>
      <c r="N1447" s="11" t="n">
        <f aca="false">M1447-I1447*L1447</f>
        <v>275</v>
      </c>
    </row>
    <row r="1448" customFormat="false" ht="15" hidden="false" customHeight="false" outlineLevel="0" collapsed="false">
      <c r="A1448" s="2" t="s">
        <v>1768</v>
      </c>
      <c r="B1448" s="2" t="s">
        <v>1766</v>
      </c>
      <c r="C1448" s="10" t="n">
        <v>45934</v>
      </c>
      <c r="D1448" s="2" t="n">
        <f aca="false">MONTH(C1448)</f>
        <v>10</v>
      </c>
      <c r="E1448" s="2" t="s">
        <v>77</v>
      </c>
      <c r="F1448" s="2" t="s">
        <v>69</v>
      </c>
      <c r="G1448" s="2" t="s">
        <v>70</v>
      </c>
      <c r="H1448" s="2" t="s">
        <v>126</v>
      </c>
      <c r="I1448" s="2" t="n">
        <v>4</v>
      </c>
      <c r="J1448" s="11" t="n">
        <v>4500</v>
      </c>
      <c r="K1448" s="12" t="n">
        <v>0.15</v>
      </c>
      <c r="L1448" s="11" t="n">
        <v>3300</v>
      </c>
      <c r="M1448" s="11" t="n">
        <f aca="false">I1448*J1448*(1-K1448)</f>
        <v>15300</v>
      </c>
      <c r="N1448" s="11" t="n">
        <f aca="false">M1448-I1448*L1448</f>
        <v>2100</v>
      </c>
    </row>
    <row r="1449" customFormat="false" ht="15" hidden="false" customHeight="false" outlineLevel="0" collapsed="false">
      <c r="A1449" s="2" t="s">
        <v>2470</v>
      </c>
      <c r="B1449" s="2" t="s">
        <v>2469</v>
      </c>
      <c r="C1449" s="10" t="n">
        <v>45934</v>
      </c>
      <c r="D1449" s="2" t="n">
        <f aca="false">MONTH(C1449)</f>
        <v>10</v>
      </c>
      <c r="E1449" s="2" t="s">
        <v>81</v>
      </c>
      <c r="F1449" s="2" t="s">
        <v>64</v>
      </c>
      <c r="G1449" s="2" t="s">
        <v>73</v>
      </c>
      <c r="H1449" s="2" t="s">
        <v>104</v>
      </c>
      <c r="I1449" s="2" t="n">
        <v>2</v>
      </c>
      <c r="J1449" s="11" t="n">
        <v>5500</v>
      </c>
      <c r="K1449" s="12" t="n">
        <v>0.05</v>
      </c>
      <c r="L1449" s="11" t="n">
        <v>3600</v>
      </c>
      <c r="M1449" s="11" t="n">
        <f aca="false">I1449*J1449*(1-K1449)</f>
        <v>10450</v>
      </c>
      <c r="N1449" s="11" t="n">
        <f aca="false">M1449-I1449*L1449</f>
        <v>3250</v>
      </c>
    </row>
    <row r="1450" customFormat="false" ht="15" hidden="false" customHeight="false" outlineLevel="0" collapsed="false">
      <c r="A1450" s="2" t="s">
        <v>2971</v>
      </c>
      <c r="B1450" s="2" t="s">
        <v>2968</v>
      </c>
      <c r="C1450" s="10" t="n">
        <v>45934</v>
      </c>
      <c r="D1450" s="2" t="n">
        <f aca="false">MONTH(C1450)</f>
        <v>10</v>
      </c>
      <c r="E1450" s="2" t="s">
        <v>63</v>
      </c>
      <c r="F1450" s="2" t="s">
        <v>64</v>
      </c>
      <c r="G1450" s="2" t="s">
        <v>73</v>
      </c>
      <c r="H1450" s="2" t="s">
        <v>85</v>
      </c>
      <c r="I1450" s="2" t="n">
        <v>1</v>
      </c>
      <c r="J1450" s="11" t="n">
        <v>1200</v>
      </c>
      <c r="K1450" s="12" t="n">
        <v>0.15</v>
      </c>
      <c r="L1450" s="11" t="n">
        <v>600</v>
      </c>
      <c r="M1450" s="11" t="n">
        <f aca="false">I1450*J1450*(1-K1450)</f>
        <v>1020</v>
      </c>
      <c r="N1450" s="11" t="n">
        <f aca="false">M1450-I1450*L1450</f>
        <v>420</v>
      </c>
    </row>
    <row r="1451" customFormat="false" ht="15" hidden="false" customHeight="false" outlineLevel="0" collapsed="false">
      <c r="A1451" s="2" t="s">
        <v>283</v>
      </c>
      <c r="B1451" s="2" t="s">
        <v>284</v>
      </c>
      <c r="C1451" s="10" t="n">
        <v>45935</v>
      </c>
      <c r="D1451" s="2" t="n">
        <f aca="false">MONTH(C1451)</f>
        <v>10</v>
      </c>
      <c r="E1451" s="2" t="s">
        <v>77</v>
      </c>
      <c r="F1451" s="2" t="s">
        <v>64</v>
      </c>
      <c r="G1451" s="2" t="s">
        <v>70</v>
      </c>
      <c r="H1451" s="2" t="s">
        <v>97</v>
      </c>
      <c r="I1451" s="2" t="n">
        <v>2</v>
      </c>
      <c r="J1451" s="11" t="n">
        <v>3000</v>
      </c>
      <c r="K1451" s="12" t="n">
        <v>0.05</v>
      </c>
      <c r="L1451" s="11" t="n">
        <v>2000</v>
      </c>
      <c r="M1451" s="11" t="n">
        <f aca="false">I1451*J1451*(1-K1451)</f>
        <v>5700</v>
      </c>
      <c r="N1451" s="11" t="n">
        <f aca="false">M1451-I1451*L1451</f>
        <v>1700</v>
      </c>
    </row>
    <row r="1452" customFormat="false" ht="15" hidden="false" customHeight="false" outlineLevel="0" collapsed="false">
      <c r="A1452" s="2" t="s">
        <v>355</v>
      </c>
      <c r="B1452" s="2" t="s">
        <v>349</v>
      </c>
      <c r="C1452" s="10" t="n">
        <v>45935</v>
      </c>
      <c r="D1452" s="2" t="n">
        <f aca="false">MONTH(C1452)</f>
        <v>10</v>
      </c>
      <c r="E1452" s="2" t="s">
        <v>77</v>
      </c>
      <c r="F1452" s="2" t="s">
        <v>64</v>
      </c>
      <c r="G1452" s="2" t="s">
        <v>65</v>
      </c>
      <c r="H1452" s="2" t="s">
        <v>66</v>
      </c>
      <c r="I1452" s="2" t="n">
        <v>3</v>
      </c>
      <c r="J1452" s="11" t="n">
        <v>600</v>
      </c>
      <c r="K1452" s="12" t="n">
        <v>0.05</v>
      </c>
      <c r="L1452" s="11" t="n">
        <v>300</v>
      </c>
      <c r="M1452" s="11" t="n">
        <f aca="false">I1452*J1452*(1-K1452)</f>
        <v>1710</v>
      </c>
      <c r="N1452" s="11" t="n">
        <f aca="false">M1452-I1452*L1452</f>
        <v>810</v>
      </c>
    </row>
    <row r="1453" customFormat="false" ht="15" hidden="false" customHeight="false" outlineLevel="0" collapsed="false">
      <c r="A1453" s="2" t="s">
        <v>481</v>
      </c>
      <c r="B1453" s="2" t="s">
        <v>482</v>
      </c>
      <c r="C1453" s="10" t="n">
        <v>45935</v>
      </c>
      <c r="D1453" s="2" t="n">
        <f aca="false">MONTH(C1453)</f>
        <v>10</v>
      </c>
      <c r="E1453" s="2" t="s">
        <v>91</v>
      </c>
      <c r="F1453" s="2" t="s">
        <v>69</v>
      </c>
      <c r="G1453" s="2" t="s">
        <v>65</v>
      </c>
      <c r="H1453" s="2" t="s">
        <v>82</v>
      </c>
      <c r="I1453" s="2" t="n">
        <v>12</v>
      </c>
      <c r="J1453" s="11" t="n">
        <v>250</v>
      </c>
      <c r="K1453" s="12" t="n">
        <v>0.1</v>
      </c>
      <c r="L1453" s="11" t="n">
        <v>100</v>
      </c>
      <c r="M1453" s="11" t="n">
        <f aca="false">I1453*J1453*(1-K1453)</f>
        <v>2700</v>
      </c>
      <c r="N1453" s="11" t="n">
        <f aca="false">M1453-I1453*L1453</f>
        <v>1500</v>
      </c>
    </row>
    <row r="1454" customFormat="false" ht="15" hidden="false" customHeight="false" outlineLevel="0" collapsed="false">
      <c r="A1454" s="2" t="s">
        <v>610</v>
      </c>
      <c r="B1454" s="2" t="s">
        <v>608</v>
      </c>
      <c r="C1454" s="10" t="n">
        <v>45935</v>
      </c>
      <c r="D1454" s="2" t="n">
        <f aca="false">MONTH(C1454)</f>
        <v>10</v>
      </c>
      <c r="E1454" s="2" t="s">
        <v>77</v>
      </c>
      <c r="F1454" s="2" t="s">
        <v>64</v>
      </c>
      <c r="G1454" s="2" t="s">
        <v>65</v>
      </c>
      <c r="H1454" s="2" t="s">
        <v>78</v>
      </c>
      <c r="I1454" s="2" t="n">
        <v>4</v>
      </c>
      <c r="J1454" s="11" t="n">
        <v>400</v>
      </c>
      <c r="K1454" s="12" t="n">
        <v>0.15</v>
      </c>
      <c r="L1454" s="11" t="n">
        <v>200</v>
      </c>
      <c r="M1454" s="11" t="n">
        <f aca="false">I1454*J1454*(1-K1454)</f>
        <v>1360</v>
      </c>
      <c r="N1454" s="11" t="n">
        <f aca="false">M1454-I1454*L1454</f>
        <v>560</v>
      </c>
    </row>
    <row r="1455" customFormat="false" ht="15" hidden="false" customHeight="false" outlineLevel="0" collapsed="false">
      <c r="A1455" s="2" t="s">
        <v>686</v>
      </c>
      <c r="B1455" s="2" t="s">
        <v>684</v>
      </c>
      <c r="C1455" s="10" t="n">
        <v>45935</v>
      </c>
      <c r="D1455" s="2" t="n">
        <f aca="false">MONTH(C1455)</f>
        <v>10</v>
      </c>
      <c r="E1455" s="2" t="s">
        <v>91</v>
      </c>
      <c r="F1455" s="2" t="s">
        <v>64</v>
      </c>
      <c r="G1455" s="2" t="s">
        <v>70</v>
      </c>
      <c r="H1455" s="2" t="s">
        <v>97</v>
      </c>
      <c r="I1455" s="2" t="n">
        <v>1</v>
      </c>
      <c r="J1455" s="11" t="n">
        <v>3000</v>
      </c>
      <c r="K1455" s="12" t="n">
        <v>0.1</v>
      </c>
      <c r="L1455" s="11" t="n">
        <v>2000</v>
      </c>
      <c r="M1455" s="11" t="n">
        <f aca="false">I1455*J1455*(1-K1455)</f>
        <v>2700</v>
      </c>
      <c r="N1455" s="11" t="n">
        <f aca="false">M1455-I1455*L1455</f>
        <v>700</v>
      </c>
    </row>
    <row r="1456" customFormat="false" ht="15" hidden="false" customHeight="false" outlineLevel="0" collapsed="false">
      <c r="A1456" s="2" t="s">
        <v>1138</v>
      </c>
      <c r="B1456" s="2" t="s">
        <v>1139</v>
      </c>
      <c r="C1456" s="10" t="n">
        <v>45935</v>
      </c>
      <c r="D1456" s="2" t="n">
        <f aca="false">MONTH(C1456)</f>
        <v>10</v>
      </c>
      <c r="E1456" s="2" t="s">
        <v>81</v>
      </c>
      <c r="F1456" s="2" t="s">
        <v>64</v>
      </c>
      <c r="G1456" s="2" t="s">
        <v>70</v>
      </c>
      <c r="H1456" s="2" t="s">
        <v>126</v>
      </c>
      <c r="I1456" s="2" t="n">
        <v>3</v>
      </c>
      <c r="J1456" s="11" t="n">
        <v>4500</v>
      </c>
      <c r="K1456" s="12" t="n">
        <v>0.05</v>
      </c>
      <c r="L1456" s="11" t="n">
        <v>3300</v>
      </c>
      <c r="M1456" s="11" t="n">
        <f aca="false">I1456*J1456*(1-K1456)</f>
        <v>12825</v>
      </c>
      <c r="N1456" s="11" t="n">
        <f aca="false">M1456-I1456*L1456</f>
        <v>2925</v>
      </c>
    </row>
    <row r="1457" customFormat="false" ht="15" hidden="false" customHeight="false" outlineLevel="0" collapsed="false">
      <c r="A1457" s="2" t="s">
        <v>1904</v>
      </c>
      <c r="B1457" s="2" t="s">
        <v>1901</v>
      </c>
      <c r="C1457" s="10" t="n">
        <v>45935</v>
      </c>
      <c r="D1457" s="2" t="n">
        <f aca="false">MONTH(C1457)</f>
        <v>10</v>
      </c>
      <c r="E1457" s="2" t="s">
        <v>63</v>
      </c>
      <c r="F1457" s="2" t="s">
        <v>64</v>
      </c>
      <c r="G1457" s="2" t="s">
        <v>65</v>
      </c>
      <c r="H1457" s="2" t="s">
        <v>107</v>
      </c>
      <c r="I1457" s="2" t="n">
        <v>6</v>
      </c>
      <c r="J1457" s="11" t="n">
        <v>500</v>
      </c>
      <c r="K1457" s="12" t="n">
        <v>0.1</v>
      </c>
      <c r="L1457" s="11" t="n">
        <v>250</v>
      </c>
      <c r="M1457" s="11" t="n">
        <f aca="false">I1457*J1457*(1-K1457)</f>
        <v>2700</v>
      </c>
      <c r="N1457" s="11" t="n">
        <f aca="false">M1457-I1457*L1457</f>
        <v>1200</v>
      </c>
    </row>
    <row r="1458" customFormat="false" ht="15" hidden="false" customHeight="false" outlineLevel="0" collapsed="false">
      <c r="A1458" s="2" t="s">
        <v>2336</v>
      </c>
      <c r="B1458" s="2" t="s">
        <v>2337</v>
      </c>
      <c r="C1458" s="10" t="n">
        <v>45935</v>
      </c>
      <c r="D1458" s="2" t="n">
        <f aca="false">MONTH(C1458)</f>
        <v>10</v>
      </c>
      <c r="E1458" s="2" t="s">
        <v>63</v>
      </c>
      <c r="F1458" s="2" t="s">
        <v>69</v>
      </c>
      <c r="G1458" s="2" t="s">
        <v>65</v>
      </c>
      <c r="H1458" s="2" t="s">
        <v>82</v>
      </c>
      <c r="I1458" s="2" t="n">
        <v>9</v>
      </c>
      <c r="J1458" s="11" t="n">
        <v>250</v>
      </c>
      <c r="K1458" s="12" t="n">
        <v>0.05</v>
      </c>
      <c r="L1458" s="11" t="n">
        <v>100</v>
      </c>
      <c r="M1458" s="11" t="n">
        <f aca="false">I1458*J1458*(1-K1458)</f>
        <v>2137.5</v>
      </c>
      <c r="N1458" s="11" t="n">
        <f aca="false">M1458-I1458*L1458</f>
        <v>1237.5</v>
      </c>
    </row>
    <row r="1459" customFormat="false" ht="15" hidden="false" customHeight="false" outlineLevel="0" collapsed="false">
      <c r="A1459" s="2" t="s">
        <v>2554</v>
      </c>
      <c r="B1459" s="2" t="s">
        <v>2549</v>
      </c>
      <c r="C1459" s="10" t="n">
        <v>45935</v>
      </c>
      <c r="D1459" s="2" t="n">
        <f aca="false">MONTH(C1459)</f>
        <v>10</v>
      </c>
      <c r="E1459" s="2" t="s">
        <v>91</v>
      </c>
      <c r="F1459" s="2" t="s">
        <v>64</v>
      </c>
      <c r="G1459" s="2" t="s">
        <v>70</v>
      </c>
      <c r="H1459" s="2" t="s">
        <v>71</v>
      </c>
      <c r="I1459" s="2" t="n">
        <v>3</v>
      </c>
      <c r="J1459" s="11" t="n">
        <v>2500</v>
      </c>
      <c r="K1459" s="12" t="n">
        <v>0.05</v>
      </c>
      <c r="L1459" s="11" t="n">
        <v>1600</v>
      </c>
      <c r="M1459" s="11" t="n">
        <f aca="false">I1459*J1459*(1-K1459)</f>
        <v>7125</v>
      </c>
      <c r="N1459" s="11" t="n">
        <f aca="false">M1459-I1459*L1459</f>
        <v>2325</v>
      </c>
    </row>
    <row r="1460" customFormat="false" ht="15" hidden="false" customHeight="false" outlineLevel="0" collapsed="false">
      <c r="A1460" s="2" t="s">
        <v>2780</v>
      </c>
      <c r="B1460" s="2" t="s">
        <v>2781</v>
      </c>
      <c r="C1460" s="10" t="n">
        <v>45935</v>
      </c>
      <c r="D1460" s="2" t="n">
        <f aca="false">MONTH(C1460)</f>
        <v>10</v>
      </c>
      <c r="E1460" s="2" t="s">
        <v>77</v>
      </c>
      <c r="F1460" s="2" t="s">
        <v>69</v>
      </c>
      <c r="G1460" s="2" t="s">
        <v>73</v>
      </c>
      <c r="H1460" s="2" t="s">
        <v>104</v>
      </c>
      <c r="I1460" s="2" t="n">
        <v>1</v>
      </c>
      <c r="J1460" s="11" t="n">
        <v>5500</v>
      </c>
      <c r="K1460" s="12" t="n">
        <v>0.05</v>
      </c>
      <c r="L1460" s="11" t="n">
        <v>3600</v>
      </c>
      <c r="M1460" s="11" t="n">
        <f aca="false">I1460*J1460*(1-K1460)</f>
        <v>5225</v>
      </c>
      <c r="N1460" s="11" t="n">
        <f aca="false">M1460-I1460*L1460</f>
        <v>1625</v>
      </c>
    </row>
    <row r="1461" customFormat="false" ht="15" hidden="false" customHeight="false" outlineLevel="0" collapsed="false">
      <c r="A1461" s="2" t="s">
        <v>2888</v>
      </c>
      <c r="B1461" s="2" t="s">
        <v>2889</v>
      </c>
      <c r="C1461" s="10" t="n">
        <v>45935</v>
      </c>
      <c r="D1461" s="2" t="n">
        <f aca="false">MONTH(C1461)</f>
        <v>10</v>
      </c>
      <c r="E1461" s="2" t="s">
        <v>77</v>
      </c>
      <c r="F1461" s="2" t="s">
        <v>64</v>
      </c>
      <c r="G1461" s="2" t="s">
        <v>73</v>
      </c>
      <c r="H1461" s="2" t="s">
        <v>104</v>
      </c>
      <c r="I1461" s="2" t="n">
        <v>3</v>
      </c>
      <c r="J1461" s="11" t="n">
        <v>5500</v>
      </c>
      <c r="K1461" s="12" t="n">
        <v>0.05</v>
      </c>
      <c r="L1461" s="11" t="n">
        <v>3600</v>
      </c>
      <c r="M1461" s="11" t="n">
        <f aca="false">I1461*J1461*(1-K1461)</f>
        <v>15675</v>
      </c>
      <c r="N1461" s="11" t="n">
        <f aca="false">M1461-I1461*L1461</f>
        <v>4875</v>
      </c>
    </row>
    <row r="1462" customFormat="false" ht="15" hidden="false" customHeight="false" outlineLevel="0" collapsed="false">
      <c r="A1462" s="2" t="s">
        <v>271</v>
      </c>
      <c r="B1462" s="2" t="s">
        <v>272</v>
      </c>
      <c r="C1462" s="10" t="n">
        <v>45936</v>
      </c>
      <c r="D1462" s="2" t="n">
        <f aca="false">MONTH(C1462)</f>
        <v>10</v>
      </c>
      <c r="E1462" s="2" t="s">
        <v>63</v>
      </c>
      <c r="F1462" s="2" t="s">
        <v>64</v>
      </c>
      <c r="G1462" s="2" t="s">
        <v>73</v>
      </c>
      <c r="H1462" s="2" t="s">
        <v>87</v>
      </c>
      <c r="I1462" s="2" t="n">
        <v>3</v>
      </c>
      <c r="J1462" s="11" t="n">
        <v>9000</v>
      </c>
      <c r="K1462" s="12" t="n">
        <v>0.05</v>
      </c>
      <c r="L1462" s="11" t="n">
        <v>6200</v>
      </c>
      <c r="M1462" s="11" t="n">
        <f aca="false">I1462*J1462*(1-K1462)</f>
        <v>25650</v>
      </c>
      <c r="N1462" s="11" t="n">
        <f aca="false">M1462-I1462*L1462</f>
        <v>7050</v>
      </c>
    </row>
    <row r="1463" customFormat="false" ht="15" hidden="false" customHeight="false" outlineLevel="0" collapsed="false">
      <c r="A1463" s="2" t="s">
        <v>866</v>
      </c>
      <c r="B1463" s="2" t="s">
        <v>864</v>
      </c>
      <c r="C1463" s="10" t="n">
        <v>45936</v>
      </c>
      <c r="D1463" s="2" t="n">
        <f aca="false">MONTH(C1463)</f>
        <v>10</v>
      </c>
      <c r="E1463" s="2" t="s">
        <v>91</v>
      </c>
      <c r="F1463" s="2" t="s">
        <v>64</v>
      </c>
      <c r="G1463" s="2" t="s">
        <v>65</v>
      </c>
      <c r="H1463" s="2" t="s">
        <v>78</v>
      </c>
      <c r="I1463" s="2" t="n">
        <v>7</v>
      </c>
      <c r="J1463" s="11" t="n">
        <v>400</v>
      </c>
      <c r="K1463" s="12" t="n">
        <v>0.05</v>
      </c>
      <c r="L1463" s="11" t="n">
        <v>200</v>
      </c>
      <c r="M1463" s="11" t="n">
        <f aca="false">I1463*J1463*(1-K1463)</f>
        <v>2660</v>
      </c>
      <c r="N1463" s="11" t="n">
        <f aca="false">M1463-I1463*L1463</f>
        <v>1260</v>
      </c>
    </row>
    <row r="1464" customFormat="false" ht="15" hidden="false" customHeight="false" outlineLevel="0" collapsed="false">
      <c r="A1464" s="2" t="s">
        <v>1463</v>
      </c>
      <c r="B1464" s="2" t="s">
        <v>1461</v>
      </c>
      <c r="C1464" s="10" t="n">
        <v>45936</v>
      </c>
      <c r="D1464" s="2" t="n">
        <f aca="false">MONTH(C1464)</f>
        <v>10</v>
      </c>
      <c r="E1464" s="2" t="s">
        <v>77</v>
      </c>
      <c r="F1464" s="2" t="s">
        <v>69</v>
      </c>
      <c r="G1464" s="2" t="s">
        <v>65</v>
      </c>
      <c r="H1464" s="2" t="s">
        <v>82</v>
      </c>
      <c r="I1464" s="2" t="n">
        <v>19</v>
      </c>
      <c r="J1464" s="11" t="n">
        <v>250</v>
      </c>
      <c r="K1464" s="12" t="n">
        <v>0.05</v>
      </c>
      <c r="L1464" s="11" t="n">
        <v>100</v>
      </c>
      <c r="M1464" s="11" t="n">
        <f aca="false">I1464*J1464*(1-K1464)</f>
        <v>4512.5</v>
      </c>
      <c r="N1464" s="11" t="n">
        <f aca="false">M1464-I1464*L1464</f>
        <v>2612.5</v>
      </c>
    </row>
    <row r="1465" customFormat="false" ht="15" hidden="false" customHeight="false" outlineLevel="0" collapsed="false">
      <c r="A1465" s="2" t="s">
        <v>1529</v>
      </c>
      <c r="B1465" s="2" t="s">
        <v>1525</v>
      </c>
      <c r="C1465" s="10" t="n">
        <v>45936</v>
      </c>
      <c r="D1465" s="2" t="n">
        <f aca="false">MONTH(C1465)</f>
        <v>10</v>
      </c>
      <c r="E1465" s="2" t="s">
        <v>81</v>
      </c>
      <c r="F1465" s="2" t="s">
        <v>92</v>
      </c>
      <c r="G1465" s="2" t="s">
        <v>73</v>
      </c>
      <c r="H1465" s="2" t="s">
        <v>87</v>
      </c>
      <c r="I1465" s="2" t="n">
        <v>8</v>
      </c>
      <c r="J1465" s="11" t="n">
        <v>9000</v>
      </c>
      <c r="K1465" s="12" t="n">
        <v>0.1</v>
      </c>
      <c r="L1465" s="11" t="n">
        <v>6200</v>
      </c>
      <c r="M1465" s="11" t="n">
        <f aca="false">I1465*J1465*(1-K1465)</f>
        <v>64800</v>
      </c>
      <c r="N1465" s="11" t="n">
        <f aca="false">M1465-I1465*L1465</f>
        <v>15200</v>
      </c>
    </row>
    <row r="1466" customFormat="false" ht="15" hidden="false" customHeight="false" outlineLevel="0" collapsed="false">
      <c r="A1466" s="2" t="s">
        <v>2606</v>
      </c>
      <c r="B1466" s="2" t="s">
        <v>2602</v>
      </c>
      <c r="C1466" s="10" t="n">
        <v>45936</v>
      </c>
      <c r="D1466" s="2" t="n">
        <f aca="false">MONTH(C1466)</f>
        <v>10</v>
      </c>
      <c r="E1466" s="2" t="s">
        <v>63</v>
      </c>
      <c r="F1466" s="2" t="s">
        <v>64</v>
      </c>
      <c r="G1466" s="2" t="s">
        <v>70</v>
      </c>
      <c r="H1466" s="2" t="s">
        <v>126</v>
      </c>
      <c r="I1466" s="2" t="n">
        <v>1</v>
      </c>
      <c r="J1466" s="11" t="n">
        <v>4500</v>
      </c>
      <c r="K1466" s="12" t="n">
        <v>0.05</v>
      </c>
      <c r="L1466" s="11" t="n">
        <v>3300</v>
      </c>
      <c r="M1466" s="11" t="n">
        <f aca="false">I1466*J1466*(1-K1466)</f>
        <v>4275</v>
      </c>
      <c r="N1466" s="11" t="n">
        <f aca="false">M1466-I1466*L1466</f>
        <v>975</v>
      </c>
    </row>
    <row r="1467" customFormat="false" ht="15" hidden="false" customHeight="false" outlineLevel="0" collapsed="false">
      <c r="A1467" s="2" t="s">
        <v>2706</v>
      </c>
      <c r="B1467" s="2" t="s">
        <v>2699</v>
      </c>
      <c r="C1467" s="10" t="n">
        <v>45936</v>
      </c>
      <c r="D1467" s="2" t="n">
        <f aca="false">MONTH(C1467)</f>
        <v>10</v>
      </c>
      <c r="E1467" s="2" t="s">
        <v>77</v>
      </c>
      <c r="F1467" s="2" t="s">
        <v>69</v>
      </c>
      <c r="G1467" s="2" t="s">
        <v>65</v>
      </c>
      <c r="H1467" s="2" t="s">
        <v>78</v>
      </c>
      <c r="I1467" s="2" t="n">
        <v>12</v>
      </c>
      <c r="J1467" s="11" t="n">
        <v>400</v>
      </c>
      <c r="K1467" s="12" t="n">
        <v>0.05</v>
      </c>
      <c r="L1467" s="11" t="n">
        <v>200</v>
      </c>
      <c r="M1467" s="11" t="n">
        <f aca="false">I1467*J1467*(1-K1467)</f>
        <v>4560</v>
      </c>
      <c r="N1467" s="11" t="n">
        <f aca="false">M1467-I1467*L1467</f>
        <v>2160</v>
      </c>
    </row>
    <row r="1468" customFormat="false" ht="15" hidden="false" customHeight="false" outlineLevel="0" collapsed="false">
      <c r="A1468" s="2" t="s">
        <v>204</v>
      </c>
      <c r="B1468" s="2" t="s">
        <v>205</v>
      </c>
      <c r="C1468" s="10" t="n">
        <v>45937</v>
      </c>
      <c r="D1468" s="2" t="n">
        <f aca="false">MONTH(C1468)</f>
        <v>10</v>
      </c>
      <c r="E1468" s="2" t="s">
        <v>63</v>
      </c>
      <c r="F1468" s="2" t="s">
        <v>64</v>
      </c>
      <c r="G1468" s="2" t="s">
        <v>73</v>
      </c>
      <c r="H1468" s="2" t="s">
        <v>104</v>
      </c>
      <c r="I1468" s="2" t="n">
        <v>3</v>
      </c>
      <c r="J1468" s="11" t="n">
        <v>5500</v>
      </c>
      <c r="K1468" s="12" t="n">
        <v>0.05</v>
      </c>
      <c r="L1468" s="11" t="n">
        <v>3600</v>
      </c>
      <c r="M1468" s="11" t="n">
        <f aca="false">I1468*J1468*(1-K1468)</f>
        <v>15675</v>
      </c>
      <c r="N1468" s="11" t="n">
        <f aca="false">M1468-I1468*L1468</f>
        <v>4875</v>
      </c>
    </row>
    <row r="1469" customFormat="false" ht="15" hidden="false" customHeight="false" outlineLevel="0" collapsed="false">
      <c r="A1469" s="2" t="s">
        <v>865</v>
      </c>
      <c r="B1469" s="2" t="s">
        <v>864</v>
      </c>
      <c r="C1469" s="10" t="n">
        <v>45937</v>
      </c>
      <c r="D1469" s="2" t="n">
        <f aca="false">MONTH(C1469)</f>
        <v>10</v>
      </c>
      <c r="E1469" s="2" t="s">
        <v>91</v>
      </c>
      <c r="F1469" s="2" t="s">
        <v>64</v>
      </c>
      <c r="G1469" s="2" t="s">
        <v>70</v>
      </c>
      <c r="H1469" s="2" t="s">
        <v>126</v>
      </c>
      <c r="I1469" s="2" t="n">
        <v>1</v>
      </c>
      <c r="J1469" s="11" t="n">
        <v>4500</v>
      </c>
      <c r="K1469" s="12" t="n">
        <v>0.05</v>
      </c>
      <c r="L1469" s="11" t="n">
        <v>3300</v>
      </c>
      <c r="M1469" s="11" t="n">
        <f aca="false">I1469*J1469*(1-K1469)</f>
        <v>4275</v>
      </c>
      <c r="N1469" s="11" t="n">
        <f aca="false">M1469-I1469*L1469</f>
        <v>975</v>
      </c>
    </row>
    <row r="1470" customFormat="false" ht="15" hidden="false" customHeight="false" outlineLevel="0" collapsed="false">
      <c r="A1470" s="2" t="s">
        <v>2388</v>
      </c>
      <c r="B1470" s="2" t="s">
        <v>2389</v>
      </c>
      <c r="C1470" s="10" t="n">
        <v>45937</v>
      </c>
      <c r="D1470" s="2" t="n">
        <f aca="false">MONTH(C1470)</f>
        <v>10</v>
      </c>
      <c r="E1470" s="2" t="s">
        <v>81</v>
      </c>
      <c r="F1470" s="2" t="s">
        <v>64</v>
      </c>
      <c r="G1470" s="2" t="s">
        <v>70</v>
      </c>
      <c r="H1470" s="2" t="s">
        <v>97</v>
      </c>
      <c r="I1470" s="2" t="n">
        <v>1</v>
      </c>
      <c r="J1470" s="11" t="n">
        <v>3000</v>
      </c>
      <c r="K1470" s="12" t="n">
        <v>0.05</v>
      </c>
      <c r="L1470" s="11" t="n">
        <v>2000</v>
      </c>
      <c r="M1470" s="11" t="n">
        <f aca="false">I1470*J1470*(1-K1470)</f>
        <v>2850</v>
      </c>
      <c r="N1470" s="11" t="n">
        <f aca="false">M1470-I1470*L1470</f>
        <v>850</v>
      </c>
    </row>
    <row r="1471" customFormat="false" ht="15" hidden="false" customHeight="false" outlineLevel="0" collapsed="false">
      <c r="A1471" s="2" t="s">
        <v>1290</v>
      </c>
      <c r="B1471" s="2" t="s">
        <v>1287</v>
      </c>
      <c r="C1471" s="10" t="n">
        <v>45938</v>
      </c>
      <c r="D1471" s="2" t="n">
        <f aca="false">MONTH(C1471)</f>
        <v>10</v>
      </c>
      <c r="E1471" s="2" t="s">
        <v>63</v>
      </c>
      <c r="F1471" s="2" t="s">
        <v>64</v>
      </c>
      <c r="G1471" s="2" t="s">
        <v>73</v>
      </c>
      <c r="H1471" s="2" t="s">
        <v>85</v>
      </c>
      <c r="I1471" s="2" t="n">
        <v>3</v>
      </c>
      <c r="J1471" s="11" t="n">
        <v>1200</v>
      </c>
      <c r="K1471" s="12" t="n">
        <v>0.05</v>
      </c>
      <c r="L1471" s="11" t="n">
        <v>600</v>
      </c>
      <c r="M1471" s="11" t="n">
        <f aca="false">I1471*J1471*(1-K1471)</f>
        <v>3420</v>
      </c>
      <c r="N1471" s="11" t="n">
        <f aca="false">M1471-I1471*L1471</f>
        <v>1620</v>
      </c>
    </row>
    <row r="1472" customFormat="false" ht="15" hidden="false" customHeight="false" outlineLevel="0" collapsed="false">
      <c r="A1472" s="2" t="s">
        <v>1473</v>
      </c>
      <c r="B1472" s="2" t="s">
        <v>1472</v>
      </c>
      <c r="C1472" s="10" t="n">
        <v>45938</v>
      </c>
      <c r="D1472" s="2" t="n">
        <f aca="false">MONTH(C1472)</f>
        <v>10</v>
      </c>
      <c r="E1472" s="2" t="s">
        <v>77</v>
      </c>
      <c r="F1472" s="2" t="s">
        <v>64</v>
      </c>
      <c r="G1472" s="2" t="s">
        <v>65</v>
      </c>
      <c r="H1472" s="2" t="s">
        <v>107</v>
      </c>
      <c r="I1472" s="2" t="n">
        <v>2</v>
      </c>
      <c r="J1472" s="11" t="n">
        <v>500</v>
      </c>
      <c r="K1472" s="12" t="n">
        <v>0.15</v>
      </c>
      <c r="L1472" s="11" t="n">
        <v>250</v>
      </c>
      <c r="M1472" s="11" t="n">
        <f aca="false">I1472*J1472*(1-K1472)</f>
        <v>850</v>
      </c>
      <c r="N1472" s="11" t="n">
        <f aca="false">M1472-I1472*L1472</f>
        <v>350</v>
      </c>
    </row>
    <row r="1473" customFormat="false" ht="15" hidden="false" customHeight="false" outlineLevel="0" collapsed="false">
      <c r="A1473" s="2" t="s">
        <v>1668</v>
      </c>
      <c r="B1473" s="2" t="s">
        <v>1664</v>
      </c>
      <c r="C1473" s="10" t="n">
        <v>45938</v>
      </c>
      <c r="D1473" s="2" t="n">
        <f aca="false">MONTH(C1473)</f>
        <v>10</v>
      </c>
      <c r="E1473" s="2" t="s">
        <v>81</v>
      </c>
      <c r="F1473" s="2" t="s">
        <v>92</v>
      </c>
      <c r="G1473" s="2" t="s">
        <v>73</v>
      </c>
      <c r="H1473" s="2" t="s">
        <v>74</v>
      </c>
      <c r="I1473" s="2" t="n">
        <v>2</v>
      </c>
      <c r="J1473" s="11" t="n">
        <v>7000</v>
      </c>
      <c r="K1473" s="12" t="n">
        <v>0.15</v>
      </c>
      <c r="L1473" s="11" t="n">
        <v>4800</v>
      </c>
      <c r="M1473" s="11" t="n">
        <f aca="false">I1473*J1473*(1-K1473)</f>
        <v>11900</v>
      </c>
      <c r="N1473" s="11" t="n">
        <f aca="false">M1473-I1473*L1473</f>
        <v>2300</v>
      </c>
    </row>
    <row r="1474" customFormat="false" ht="15" hidden="false" customHeight="false" outlineLevel="0" collapsed="false">
      <c r="A1474" s="2" t="s">
        <v>2219</v>
      </c>
      <c r="B1474" s="2" t="s">
        <v>2215</v>
      </c>
      <c r="C1474" s="10" t="n">
        <v>45938</v>
      </c>
      <c r="D1474" s="2" t="n">
        <f aca="false">MONTH(C1474)</f>
        <v>10</v>
      </c>
      <c r="E1474" s="2" t="s">
        <v>77</v>
      </c>
      <c r="F1474" s="2" t="s">
        <v>64</v>
      </c>
      <c r="G1474" s="2" t="s">
        <v>65</v>
      </c>
      <c r="H1474" s="2" t="s">
        <v>78</v>
      </c>
      <c r="I1474" s="2" t="n">
        <v>8</v>
      </c>
      <c r="J1474" s="11" t="n">
        <v>400</v>
      </c>
      <c r="K1474" s="12" t="n">
        <v>0.05</v>
      </c>
      <c r="L1474" s="11" t="n">
        <v>200</v>
      </c>
      <c r="M1474" s="11" t="n">
        <f aca="false">I1474*J1474*(1-K1474)</f>
        <v>3040</v>
      </c>
      <c r="N1474" s="11" t="n">
        <f aca="false">M1474-I1474*L1474</f>
        <v>1440</v>
      </c>
    </row>
    <row r="1475" customFormat="false" ht="15" hidden="false" customHeight="false" outlineLevel="0" collapsed="false">
      <c r="A1475" s="2" t="s">
        <v>2572</v>
      </c>
      <c r="B1475" s="2" t="s">
        <v>2573</v>
      </c>
      <c r="C1475" s="10" t="n">
        <v>45938</v>
      </c>
      <c r="D1475" s="2" t="n">
        <f aca="false">MONTH(C1475)</f>
        <v>10</v>
      </c>
      <c r="E1475" s="2" t="s">
        <v>81</v>
      </c>
      <c r="F1475" s="2" t="s">
        <v>64</v>
      </c>
      <c r="G1475" s="2" t="s">
        <v>65</v>
      </c>
      <c r="H1475" s="2" t="s">
        <v>82</v>
      </c>
      <c r="I1475" s="2" t="n">
        <v>2</v>
      </c>
      <c r="J1475" s="11" t="n">
        <v>250</v>
      </c>
      <c r="K1475" s="12" t="n">
        <v>0.15</v>
      </c>
      <c r="L1475" s="11" t="n">
        <v>100</v>
      </c>
      <c r="M1475" s="11" t="n">
        <f aca="false">I1475*J1475*(1-K1475)</f>
        <v>425</v>
      </c>
      <c r="N1475" s="11" t="n">
        <f aca="false">M1475-I1475*L1475</f>
        <v>225</v>
      </c>
    </row>
    <row r="1476" customFormat="false" ht="15" hidden="false" customHeight="false" outlineLevel="0" collapsed="false">
      <c r="A1476" s="2" t="s">
        <v>2617</v>
      </c>
      <c r="B1476" s="2" t="s">
        <v>2612</v>
      </c>
      <c r="C1476" s="10" t="n">
        <v>45938</v>
      </c>
      <c r="D1476" s="2" t="n">
        <f aca="false">MONTH(C1476)</f>
        <v>10</v>
      </c>
      <c r="E1476" s="2" t="s">
        <v>77</v>
      </c>
      <c r="F1476" s="2" t="s">
        <v>69</v>
      </c>
      <c r="G1476" s="2" t="s">
        <v>73</v>
      </c>
      <c r="H1476" s="2" t="s">
        <v>85</v>
      </c>
      <c r="I1476" s="2" t="n">
        <v>5</v>
      </c>
      <c r="J1476" s="11" t="n">
        <v>1200</v>
      </c>
      <c r="K1476" s="12" t="n">
        <v>0.05</v>
      </c>
      <c r="L1476" s="11" t="n">
        <v>600</v>
      </c>
      <c r="M1476" s="11" t="n">
        <f aca="false">I1476*J1476*(1-K1476)</f>
        <v>5700</v>
      </c>
      <c r="N1476" s="11" t="n">
        <f aca="false">M1476-I1476*L1476</f>
        <v>2700</v>
      </c>
    </row>
    <row r="1477" customFormat="false" ht="15" hidden="false" customHeight="false" outlineLevel="0" collapsed="false">
      <c r="A1477" s="2" t="s">
        <v>257</v>
      </c>
      <c r="B1477" s="2" t="s">
        <v>254</v>
      </c>
      <c r="C1477" s="10" t="n">
        <v>45939</v>
      </c>
      <c r="D1477" s="2" t="n">
        <f aca="false">MONTH(C1477)</f>
        <v>10</v>
      </c>
      <c r="E1477" s="2" t="s">
        <v>77</v>
      </c>
      <c r="F1477" s="2" t="s">
        <v>64</v>
      </c>
      <c r="G1477" s="2" t="s">
        <v>65</v>
      </c>
      <c r="H1477" s="2" t="s">
        <v>66</v>
      </c>
      <c r="I1477" s="2" t="n">
        <v>5</v>
      </c>
      <c r="J1477" s="11" t="n">
        <v>600</v>
      </c>
      <c r="K1477" s="12" t="n">
        <v>0.05</v>
      </c>
      <c r="L1477" s="11" t="n">
        <v>300</v>
      </c>
      <c r="M1477" s="11" t="n">
        <f aca="false">I1477*J1477*(1-K1477)</f>
        <v>2850</v>
      </c>
      <c r="N1477" s="11" t="n">
        <f aca="false">M1477-I1477*L1477</f>
        <v>1350</v>
      </c>
    </row>
    <row r="1478" customFormat="false" ht="15" hidden="false" customHeight="false" outlineLevel="0" collapsed="false">
      <c r="A1478" s="2" t="s">
        <v>338</v>
      </c>
      <c r="B1478" s="2" t="s">
        <v>335</v>
      </c>
      <c r="C1478" s="10" t="n">
        <v>45939</v>
      </c>
      <c r="D1478" s="2" t="n">
        <f aca="false">MONTH(C1478)</f>
        <v>10</v>
      </c>
      <c r="E1478" s="2" t="s">
        <v>81</v>
      </c>
      <c r="F1478" s="2" t="s">
        <v>92</v>
      </c>
      <c r="G1478" s="2" t="s">
        <v>73</v>
      </c>
      <c r="H1478" s="2" t="s">
        <v>104</v>
      </c>
      <c r="I1478" s="2" t="n">
        <v>2</v>
      </c>
      <c r="J1478" s="11" t="n">
        <v>5500</v>
      </c>
      <c r="K1478" s="12" t="n">
        <v>0.05</v>
      </c>
      <c r="L1478" s="11" t="n">
        <v>3600</v>
      </c>
      <c r="M1478" s="11" t="n">
        <f aca="false">I1478*J1478*(1-K1478)</f>
        <v>10450</v>
      </c>
      <c r="N1478" s="11" t="n">
        <f aca="false">M1478-I1478*L1478</f>
        <v>3250</v>
      </c>
    </row>
    <row r="1479" customFormat="false" ht="15" hidden="false" customHeight="false" outlineLevel="0" collapsed="false">
      <c r="A1479" s="2" t="s">
        <v>517</v>
      </c>
      <c r="B1479" s="2" t="s">
        <v>514</v>
      </c>
      <c r="C1479" s="10" t="n">
        <v>45939</v>
      </c>
      <c r="D1479" s="2" t="n">
        <f aca="false">MONTH(C1479)</f>
        <v>10</v>
      </c>
      <c r="E1479" s="2" t="s">
        <v>63</v>
      </c>
      <c r="F1479" s="2" t="s">
        <v>69</v>
      </c>
      <c r="G1479" s="2" t="s">
        <v>70</v>
      </c>
      <c r="H1479" s="2" t="s">
        <v>71</v>
      </c>
      <c r="I1479" s="2" t="n">
        <v>5</v>
      </c>
      <c r="J1479" s="11" t="n">
        <v>2500</v>
      </c>
      <c r="K1479" s="12" t="n">
        <v>0.05</v>
      </c>
      <c r="L1479" s="11" t="n">
        <v>1600</v>
      </c>
      <c r="M1479" s="11" t="n">
        <f aca="false">I1479*J1479*(1-K1479)</f>
        <v>11875</v>
      </c>
      <c r="N1479" s="11" t="n">
        <f aca="false">M1479-I1479*L1479</f>
        <v>3875</v>
      </c>
    </row>
    <row r="1480" customFormat="false" ht="15" hidden="false" customHeight="false" outlineLevel="0" collapsed="false">
      <c r="A1480" s="2" t="s">
        <v>698</v>
      </c>
      <c r="B1480" s="2" t="s">
        <v>699</v>
      </c>
      <c r="C1480" s="10" t="n">
        <v>45939</v>
      </c>
      <c r="D1480" s="2" t="n">
        <f aca="false">MONTH(C1480)</f>
        <v>10</v>
      </c>
      <c r="E1480" s="2" t="s">
        <v>81</v>
      </c>
      <c r="F1480" s="2" t="s">
        <v>92</v>
      </c>
      <c r="G1480" s="2" t="s">
        <v>73</v>
      </c>
      <c r="H1480" s="2" t="s">
        <v>74</v>
      </c>
      <c r="I1480" s="2" t="n">
        <v>7</v>
      </c>
      <c r="J1480" s="11" t="n">
        <v>7000</v>
      </c>
      <c r="K1480" s="12" t="n">
        <v>0.1</v>
      </c>
      <c r="L1480" s="11" t="n">
        <v>4800</v>
      </c>
      <c r="M1480" s="11" t="n">
        <f aca="false">I1480*J1480*(1-K1480)</f>
        <v>44100</v>
      </c>
      <c r="N1480" s="11" t="n">
        <f aca="false">M1480-I1480*L1480</f>
        <v>10500</v>
      </c>
    </row>
    <row r="1481" customFormat="false" ht="15" hidden="false" customHeight="false" outlineLevel="0" collapsed="false">
      <c r="A1481" s="2" t="s">
        <v>1035</v>
      </c>
      <c r="B1481" s="2" t="s">
        <v>1030</v>
      </c>
      <c r="C1481" s="10" t="n">
        <v>45939</v>
      </c>
      <c r="D1481" s="2" t="n">
        <f aca="false">MONTH(C1481)</f>
        <v>10</v>
      </c>
      <c r="E1481" s="2" t="s">
        <v>77</v>
      </c>
      <c r="F1481" s="2" t="s">
        <v>64</v>
      </c>
      <c r="G1481" s="2" t="s">
        <v>73</v>
      </c>
      <c r="H1481" s="2" t="s">
        <v>85</v>
      </c>
      <c r="I1481" s="2" t="n">
        <v>2</v>
      </c>
      <c r="J1481" s="11" t="n">
        <v>1200</v>
      </c>
      <c r="K1481" s="12" t="n">
        <v>0.15</v>
      </c>
      <c r="L1481" s="11" t="n">
        <v>600</v>
      </c>
      <c r="M1481" s="11" t="n">
        <f aca="false">I1481*J1481*(1-K1481)</f>
        <v>2040</v>
      </c>
      <c r="N1481" s="11" t="n">
        <f aca="false">M1481-I1481*L1481</f>
        <v>840</v>
      </c>
    </row>
    <row r="1482" customFormat="false" ht="15" hidden="false" customHeight="false" outlineLevel="0" collapsed="false">
      <c r="A1482" s="2" t="s">
        <v>1617</v>
      </c>
      <c r="B1482" s="2" t="s">
        <v>1609</v>
      </c>
      <c r="C1482" s="10" t="n">
        <v>45939</v>
      </c>
      <c r="D1482" s="2" t="n">
        <f aca="false">MONTH(C1482)</f>
        <v>10</v>
      </c>
      <c r="E1482" s="2" t="s">
        <v>81</v>
      </c>
      <c r="F1482" s="2" t="s">
        <v>92</v>
      </c>
      <c r="G1482" s="2" t="s">
        <v>70</v>
      </c>
      <c r="H1482" s="2" t="s">
        <v>126</v>
      </c>
      <c r="I1482" s="2" t="n">
        <v>8</v>
      </c>
      <c r="J1482" s="11" t="n">
        <v>4500</v>
      </c>
      <c r="K1482" s="12" t="n">
        <v>0.1</v>
      </c>
      <c r="L1482" s="11" t="n">
        <v>3300</v>
      </c>
      <c r="M1482" s="11" t="n">
        <f aca="false">I1482*J1482*(1-K1482)</f>
        <v>32400</v>
      </c>
      <c r="N1482" s="11" t="n">
        <f aca="false">M1482-I1482*L1482</f>
        <v>6000</v>
      </c>
    </row>
    <row r="1483" customFormat="false" ht="15" hidden="false" customHeight="false" outlineLevel="0" collapsed="false">
      <c r="A1483" s="2" t="s">
        <v>1623</v>
      </c>
      <c r="B1483" s="2" t="s">
        <v>1621</v>
      </c>
      <c r="C1483" s="10" t="n">
        <v>45939</v>
      </c>
      <c r="D1483" s="2" t="n">
        <f aca="false">MONTH(C1483)</f>
        <v>10</v>
      </c>
      <c r="E1483" s="2" t="s">
        <v>77</v>
      </c>
      <c r="F1483" s="2" t="s">
        <v>92</v>
      </c>
      <c r="G1483" s="2" t="s">
        <v>70</v>
      </c>
      <c r="H1483" s="2" t="s">
        <v>126</v>
      </c>
      <c r="I1483" s="2" t="n">
        <v>5</v>
      </c>
      <c r="J1483" s="11" t="n">
        <v>4500</v>
      </c>
      <c r="K1483" s="12" t="n">
        <v>0.1</v>
      </c>
      <c r="L1483" s="11" t="n">
        <v>3300</v>
      </c>
      <c r="M1483" s="11" t="n">
        <f aca="false">I1483*J1483*(1-K1483)</f>
        <v>20250</v>
      </c>
      <c r="N1483" s="11" t="n">
        <f aca="false">M1483-I1483*L1483</f>
        <v>3750</v>
      </c>
    </row>
    <row r="1484" customFormat="false" ht="15" hidden="false" customHeight="false" outlineLevel="0" collapsed="false">
      <c r="A1484" s="2" t="s">
        <v>2481</v>
      </c>
      <c r="B1484" s="2" t="s">
        <v>2480</v>
      </c>
      <c r="C1484" s="10" t="n">
        <v>45939</v>
      </c>
      <c r="D1484" s="2" t="n">
        <f aca="false">MONTH(C1484)</f>
        <v>10</v>
      </c>
      <c r="E1484" s="2" t="s">
        <v>81</v>
      </c>
      <c r="F1484" s="2" t="s">
        <v>69</v>
      </c>
      <c r="G1484" s="2" t="s">
        <v>73</v>
      </c>
      <c r="H1484" s="2" t="s">
        <v>104</v>
      </c>
      <c r="I1484" s="2" t="n">
        <v>5</v>
      </c>
      <c r="J1484" s="11" t="n">
        <v>5500</v>
      </c>
      <c r="K1484" s="12" t="n">
        <v>0.05</v>
      </c>
      <c r="L1484" s="11" t="n">
        <v>3600</v>
      </c>
      <c r="M1484" s="11" t="n">
        <f aca="false">I1484*J1484*(1-K1484)</f>
        <v>26125</v>
      </c>
      <c r="N1484" s="11" t="n">
        <f aca="false">M1484-I1484*L1484</f>
        <v>8125</v>
      </c>
    </row>
    <row r="1485" customFormat="false" ht="15" hidden="false" customHeight="false" outlineLevel="0" collapsed="false">
      <c r="A1485" s="2" t="s">
        <v>266</v>
      </c>
      <c r="B1485" s="2" t="s">
        <v>267</v>
      </c>
      <c r="C1485" s="10" t="n">
        <v>45940</v>
      </c>
      <c r="D1485" s="2" t="n">
        <f aca="false">MONTH(C1485)</f>
        <v>10</v>
      </c>
      <c r="E1485" s="2" t="s">
        <v>63</v>
      </c>
      <c r="F1485" s="2" t="s">
        <v>92</v>
      </c>
      <c r="G1485" s="2" t="s">
        <v>73</v>
      </c>
      <c r="H1485" s="2" t="s">
        <v>104</v>
      </c>
      <c r="I1485" s="2" t="n">
        <v>5</v>
      </c>
      <c r="J1485" s="11" t="n">
        <v>5500</v>
      </c>
      <c r="K1485" s="12" t="n">
        <v>0.1</v>
      </c>
      <c r="L1485" s="11" t="n">
        <v>3600</v>
      </c>
      <c r="M1485" s="11" t="n">
        <f aca="false">I1485*J1485*(1-K1485)</f>
        <v>24750</v>
      </c>
      <c r="N1485" s="11" t="n">
        <f aca="false">M1485-I1485*L1485</f>
        <v>6750</v>
      </c>
    </row>
    <row r="1486" customFormat="false" ht="15" hidden="false" customHeight="false" outlineLevel="0" collapsed="false">
      <c r="A1486" s="2" t="s">
        <v>370</v>
      </c>
      <c r="B1486" s="2" t="s">
        <v>361</v>
      </c>
      <c r="C1486" s="10" t="n">
        <v>45940</v>
      </c>
      <c r="D1486" s="2" t="n">
        <f aca="false">MONTH(C1486)</f>
        <v>10</v>
      </c>
      <c r="E1486" s="2" t="s">
        <v>3019</v>
      </c>
      <c r="F1486" s="2" t="s">
        <v>64</v>
      </c>
      <c r="G1486" s="2" t="s">
        <v>65</v>
      </c>
      <c r="H1486" s="2" t="s">
        <v>66</v>
      </c>
      <c r="I1486" s="2" t="n">
        <v>7</v>
      </c>
      <c r="J1486" s="11" t="n">
        <v>600</v>
      </c>
      <c r="K1486" s="12" t="n">
        <v>0.05</v>
      </c>
      <c r="L1486" s="11" t="n">
        <v>300</v>
      </c>
      <c r="M1486" s="11" t="n">
        <f aca="false">I1486*J1486*(1-K1486)</f>
        <v>3990</v>
      </c>
      <c r="N1486" s="11" t="n">
        <f aca="false">M1486-I1486*L1486</f>
        <v>1890</v>
      </c>
    </row>
    <row r="1487" customFormat="false" ht="15" hidden="false" customHeight="false" outlineLevel="0" collapsed="false">
      <c r="A1487" s="2" t="s">
        <v>1307</v>
      </c>
      <c r="B1487" s="2" t="s">
        <v>1308</v>
      </c>
      <c r="C1487" s="10" t="n">
        <v>45940</v>
      </c>
      <c r="D1487" s="2" t="n">
        <f aca="false">MONTH(C1487)</f>
        <v>10</v>
      </c>
      <c r="E1487" s="2" t="s">
        <v>77</v>
      </c>
      <c r="F1487" s="2" t="s">
        <v>64</v>
      </c>
      <c r="G1487" s="2" t="s">
        <v>70</v>
      </c>
      <c r="H1487" s="2" t="s">
        <v>71</v>
      </c>
      <c r="I1487" s="2" t="n">
        <v>1</v>
      </c>
      <c r="J1487" s="11" t="n">
        <v>2500</v>
      </c>
      <c r="K1487" s="12" t="n">
        <v>0.05</v>
      </c>
      <c r="L1487" s="11" t="n">
        <v>1600</v>
      </c>
      <c r="M1487" s="11" t="n">
        <f aca="false">I1487*J1487*(1-K1487)</f>
        <v>2375</v>
      </c>
      <c r="N1487" s="11" t="n">
        <f aca="false">M1487-I1487*L1487</f>
        <v>775</v>
      </c>
    </row>
    <row r="1488" customFormat="false" ht="15" hidden="false" customHeight="false" outlineLevel="0" collapsed="false">
      <c r="A1488" s="2" t="s">
        <v>1851</v>
      </c>
      <c r="B1488" s="2" t="s">
        <v>1843</v>
      </c>
      <c r="C1488" s="10" t="n">
        <v>45940</v>
      </c>
      <c r="D1488" s="2" t="n">
        <f aca="false">MONTH(C1488)</f>
        <v>10</v>
      </c>
      <c r="E1488" s="2" t="s">
        <v>63</v>
      </c>
      <c r="F1488" s="2" t="s">
        <v>64</v>
      </c>
      <c r="G1488" s="2" t="s">
        <v>70</v>
      </c>
      <c r="H1488" s="2" t="s">
        <v>97</v>
      </c>
      <c r="I1488" s="2" t="n">
        <v>1</v>
      </c>
      <c r="J1488" s="11" t="n">
        <v>3000</v>
      </c>
      <c r="K1488" s="12" t="n">
        <v>0.1</v>
      </c>
      <c r="L1488" s="11" t="n">
        <v>2000</v>
      </c>
      <c r="M1488" s="11" t="n">
        <f aca="false">I1488*J1488*(1-K1488)</f>
        <v>2700</v>
      </c>
      <c r="N1488" s="11" t="n">
        <f aca="false">M1488-I1488*L1488</f>
        <v>700</v>
      </c>
    </row>
    <row r="1489" customFormat="false" ht="15" hidden="false" customHeight="false" outlineLevel="0" collapsed="false">
      <c r="A1489" s="2" t="s">
        <v>1869</v>
      </c>
      <c r="B1489" s="2" t="s">
        <v>1870</v>
      </c>
      <c r="C1489" s="10" t="n">
        <v>45940</v>
      </c>
      <c r="D1489" s="2" t="n">
        <f aca="false">MONTH(C1489)</f>
        <v>10</v>
      </c>
      <c r="E1489" s="2" t="s">
        <v>63</v>
      </c>
      <c r="F1489" s="2" t="s">
        <v>64</v>
      </c>
      <c r="G1489" s="2" t="s">
        <v>65</v>
      </c>
      <c r="H1489" s="2" t="s">
        <v>82</v>
      </c>
      <c r="I1489" s="2" t="n">
        <v>6</v>
      </c>
      <c r="J1489" s="11" t="n">
        <v>250</v>
      </c>
      <c r="K1489" s="12" t="n">
        <v>0.1</v>
      </c>
      <c r="L1489" s="11" t="n">
        <v>100</v>
      </c>
      <c r="M1489" s="11" t="n">
        <f aca="false">I1489*J1489*(1-K1489)</f>
        <v>1350</v>
      </c>
      <c r="N1489" s="11" t="n">
        <f aca="false">M1489-I1489*L1489</f>
        <v>750</v>
      </c>
    </row>
    <row r="1490" customFormat="false" ht="15" hidden="false" customHeight="false" outlineLevel="0" collapsed="false">
      <c r="A1490" s="2" t="s">
        <v>2371</v>
      </c>
      <c r="B1490" s="2" t="s">
        <v>2369</v>
      </c>
      <c r="C1490" s="10" t="n">
        <v>45940</v>
      </c>
      <c r="D1490" s="2" t="n">
        <f aca="false">MONTH(C1490)</f>
        <v>10</v>
      </c>
      <c r="E1490" s="2" t="s">
        <v>91</v>
      </c>
      <c r="F1490" s="2" t="s">
        <v>92</v>
      </c>
      <c r="G1490" s="2" t="s">
        <v>73</v>
      </c>
      <c r="H1490" s="2" t="s">
        <v>104</v>
      </c>
      <c r="I1490" s="2" t="n">
        <v>7</v>
      </c>
      <c r="J1490" s="11" t="n">
        <v>5500</v>
      </c>
      <c r="K1490" s="12" t="n">
        <v>0.15</v>
      </c>
      <c r="L1490" s="11" t="n">
        <v>3600</v>
      </c>
      <c r="M1490" s="11" t="n">
        <f aca="false">I1490*J1490*(1-K1490)</f>
        <v>32725</v>
      </c>
      <c r="N1490" s="11" t="n">
        <f aca="false">M1490-I1490*L1490</f>
        <v>7525</v>
      </c>
    </row>
    <row r="1491" customFormat="false" ht="15" hidden="false" customHeight="false" outlineLevel="0" collapsed="false">
      <c r="A1491" s="2" t="s">
        <v>2898</v>
      </c>
      <c r="B1491" s="2" t="s">
        <v>2899</v>
      </c>
      <c r="C1491" s="10" t="n">
        <v>45940</v>
      </c>
      <c r="D1491" s="2" t="n">
        <f aca="false">MONTH(C1491)</f>
        <v>10</v>
      </c>
      <c r="E1491" s="2" t="s">
        <v>77</v>
      </c>
      <c r="F1491" s="2" t="s">
        <v>64</v>
      </c>
      <c r="G1491" s="2" t="s">
        <v>70</v>
      </c>
      <c r="H1491" s="2" t="s">
        <v>97</v>
      </c>
      <c r="I1491" s="2" t="n">
        <v>3</v>
      </c>
      <c r="J1491" s="11" t="n">
        <v>3000</v>
      </c>
      <c r="K1491" s="12" t="n">
        <v>0.15</v>
      </c>
      <c r="L1491" s="11" t="n">
        <v>2000</v>
      </c>
      <c r="M1491" s="11" t="n">
        <f aca="false">I1491*J1491*(1-K1491)</f>
        <v>7650</v>
      </c>
      <c r="N1491" s="11" t="n">
        <f aca="false">M1491-I1491*L1491</f>
        <v>1650</v>
      </c>
    </row>
    <row r="1492" customFormat="false" ht="15" hidden="false" customHeight="false" outlineLevel="0" collapsed="false">
      <c r="A1492" s="2" t="s">
        <v>958</v>
      </c>
      <c r="B1492" s="2" t="s">
        <v>956</v>
      </c>
      <c r="C1492" s="10" t="n">
        <v>45941</v>
      </c>
      <c r="D1492" s="2" t="n">
        <f aca="false">MONTH(C1492)</f>
        <v>10</v>
      </c>
      <c r="E1492" s="2" t="s">
        <v>91</v>
      </c>
      <c r="F1492" s="2" t="s">
        <v>69</v>
      </c>
      <c r="G1492" s="2" t="s">
        <v>73</v>
      </c>
      <c r="H1492" s="2" t="s">
        <v>85</v>
      </c>
      <c r="I1492" s="2" t="n">
        <v>1</v>
      </c>
      <c r="J1492" s="11" t="n">
        <v>1200</v>
      </c>
      <c r="K1492" s="12" t="n">
        <v>0.1</v>
      </c>
      <c r="L1492" s="11" t="n">
        <v>600</v>
      </c>
      <c r="M1492" s="11" t="n">
        <f aca="false">I1492*J1492*(1-K1492)</f>
        <v>1080</v>
      </c>
      <c r="N1492" s="11" t="n">
        <f aca="false">M1492-I1492*L1492</f>
        <v>480</v>
      </c>
    </row>
    <row r="1493" customFormat="false" ht="15" hidden="false" customHeight="false" outlineLevel="0" collapsed="false">
      <c r="A1493" s="2" t="s">
        <v>1194</v>
      </c>
      <c r="B1493" s="2" t="s">
        <v>1195</v>
      </c>
      <c r="C1493" s="10" t="n">
        <v>45941</v>
      </c>
      <c r="D1493" s="2" t="n">
        <f aca="false">MONTH(C1493)</f>
        <v>10</v>
      </c>
      <c r="E1493" s="2" t="s">
        <v>77</v>
      </c>
      <c r="F1493" s="2" t="s">
        <v>92</v>
      </c>
      <c r="G1493" s="2" t="s">
        <v>70</v>
      </c>
      <c r="H1493" s="2" t="s">
        <v>97</v>
      </c>
      <c r="I1493" s="2" t="n">
        <v>7</v>
      </c>
      <c r="J1493" s="11" t="n">
        <v>3000</v>
      </c>
      <c r="K1493" s="12" t="n">
        <v>0.15</v>
      </c>
      <c r="L1493" s="11" t="n">
        <v>2000</v>
      </c>
      <c r="M1493" s="11" t="n">
        <f aca="false">I1493*J1493*(1-K1493)</f>
        <v>17850</v>
      </c>
      <c r="N1493" s="11" t="n">
        <f aca="false">M1493-I1493*L1493</f>
        <v>3850</v>
      </c>
    </row>
    <row r="1494" customFormat="false" ht="15" hidden="false" customHeight="false" outlineLevel="0" collapsed="false">
      <c r="A1494" s="2" t="s">
        <v>1488</v>
      </c>
      <c r="B1494" s="2" t="s">
        <v>1489</v>
      </c>
      <c r="C1494" s="10" t="n">
        <v>45941</v>
      </c>
      <c r="D1494" s="2" t="n">
        <f aca="false">MONTH(C1494)</f>
        <v>10</v>
      </c>
      <c r="E1494" s="2" t="s">
        <v>91</v>
      </c>
      <c r="F1494" s="2" t="s">
        <v>69</v>
      </c>
      <c r="G1494" s="2" t="s">
        <v>70</v>
      </c>
      <c r="H1494" s="2" t="s">
        <v>126</v>
      </c>
      <c r="I1494" s="2" t="n">
        <v>1</v>
      </c>
      <c r="J1494" s="11" t="n">
        <v>4500</v>
      </c>
      <c r="K1494" s="12" t="n">
        <v>0.15</v>
      </c>
      <c r="L1494" s="11" t="n">
        <v>3300</v>
      </c>
      <c r="M1494" s="11" t="n">
        <f aca="false">I1494*J1494*(1-K1494)</f>
        <v>3825</v>
      </c>
      <c r="N1494" s="11" t="n">
        <f aca="false">M1494-I1494*L1494</f>
        <v>525</v>
      </c>
    </row>
    <row r="1495" customFormat="false" ht="15" hidden="false" customHeight="false" outlineLevel="0" collapsed="false">
      <c r="A1495" s="2" t="s">
        <v>1719</v>
      </c>
      <c r="B1495" s="2" t="s">
        <v>1712</v>
      </c>
      <c r="C1495" s="10" t="n">
        <v>45941</v>
      </c>
      <c r="D1495" s="2" t="n">
        <f aca="false">MONTH(C1495)</f>
        <v>10</v>
      </c>
      <c r="E1495" s="2" t="s">
        <v>81</v>
      </c>
      <c r="F1495" s="2" t="s">
        <v>64</v>
      </c>
      <c r="G1495" s="2" t="s">
        <v>65</v>
      </c>
      <c r="H1495" s="2" t="s">
        <v>82</v>
      </c>
      <c r="I1495" s="2" t="n">
        <v>4</v>
      </c>
      <c r="J1495" s="11" t="n">
        <v>250</v>
      </c>
      <c r="K1495" s="12" t="n">
        <v>0.05</v>
      </c>
      <c r="L1495" s="11" t="n">
        <v>100</v>
      </c>
      <c r="M1495" s="11" t="n">
        <f aca="false">I1495*J1495*(1-K1495)</f>
        <v>950</v>
      </c>
      <c r="N1495" s="11" t="n">
        <f aca="false">M1495-I1495*L1495</f>
        <v>550</v>
      </c>
    </row>
    <row r="1496" customFormat="false" ht="15" hidden="false" customHeight="false" outlineLevel="0" collapsed="false">
      <c r="A1496" s="2" t="s">
        <v>2879</v>
      </c>
      <c r="B1496" s="2" t="s">
        <v>2880</v>
      </c>
      <c r="C1496" s="10" t="n">
        <v>45941</v>
      </c>
      <c r="D1496" s="2" t="n">
        <f aca="false">MONTH(C1496)</f>
        <v>10</v>
      </c>
      <c r="E1496" s="2" t="s">
        <v>81</v>
      </c>
      <c r="F1496" s="2" t="s">
        <v>64</v>
      </c>
      <c r="G1496" s="2" t="s">
        <v>65</v>
      </c>
      <c r="H1496" s="2" t="s">
        <v>78</v>
      </c>
      <c r="I1496" s="2" t="n">
        <v>7</v>
      </c>
      <c r="J1496" s="11" t="n">
        <v>400</v>
      </c>
      <c r="K1496" s="12" t="n">
        <v>0.15</v>
      </c>
      <c r="L1496" s="11" t="n">
        <v>200</v>
      </c>
      <c r="M1496" s="11" t="n">
        <f aca="false">I1496*J1496*(1-K1496)</f>
        <v>2380</v>
      </c>
      <c r="N1496" s="11" t="n">
        <f aca="false">M1496-I1496*L1496</f>
        <v>980</v>
      </c>
    </row>
    <row r="1497" customFormat="false" ht="15" hidden="false" customHeight="false" outlineLevel="0" collapsed="false">
      <c r="A1497" s="2" t="s">
        <v>2930</v>
      </c>
      <c r="B1497" s="2" t="s">
        <v>2929</v>
      </c>
      <c r="C1497" s="10" t="n">
        <v>45941</v>
      </c>
      <c r="D1497" s="2" t="n">
        <f aca="false">MONTH(C1497)</f>
        <v>10</v>
      </c>
      <c r="E1497" s="2" t="s">
        <v>91</v>
      </c>
      <c r="F1497" s="2" t="s">
        <v>64</v>
      </c>
      <c r="G1497" s="2" t="s">
        <v>73</v>
      </c>
      <c r="H1497" s="2" t="s">
        <v>74</v>
      </c>
      <c r="I1497" s="2" t="n">
        <v>1</v>
      </c>
      <c r="J1497" s="11" t="n">
        <v>7000</v>
      </c>
      <c r="K1497" s="12" t="n">
        <v>0.05</v>
      </c>
      <c r="L1497" s="11" t="n">
        <v>4800</v>
      </c>
      <c r="M1497" s="11" t="n">
        <f aca="false">I1497*J1497*(1-K1497)</f>
        <v>6650</v>
      </c>
      <c r="N1497" s="11" t="n">
        <f aca="false">M1497-I1497*L1497</f>
        <v>1850</v>
      </c>
    </row>
    <row r="1498" customFormat="false" ht="15" hidden="false" customHeight="false" outlineLevel="0" collapsed="false">
      <c r="A1498" s="2" t="s">
        <v>804</v>
      </c>
      <c r="B1498" s="2" t="s">
        <v>805</v>
      </c>
      <c r="C1498" s="10" t="n">
        <v>45942</v>
      </c>
      <c r="D1498" s="2" t="n">
        <f aca="false">MONTH(C1498)</f>
        <v>10</v>
      </c>
      <c r="E1498" s="2" t="s">
        <v>77</v>
      </c>
      <c r="F1498" s="2" t="s">
        <v>69</v>
      </c>
      <c r="G1498" s="2" t="s">
        <v>65</v>
      </c>
      <c r="H1498" s="2" t="s">
        <v>82</v>
      </c>
      <c r="I1498" s="2" t="n">
        <v>14</v>
      </c>
      <c r="J1498" s="11" t="n">
        <v>250</v>
      </c>
      <c r="K1498" s="12" t="n">
        <v>0.15</v>
      </c>
      <c r="L1498" s="11" t="n">
        <v>100</v>
      </c>
      <c r="M1498" s="11" t="n">
        <f aca="false">I1498*J1498*(1-K1498)</f>
        <v>2975</v>
      </c>
      <c r="N1498" s="11" t="n">
        <f aca="false">M1498-I1498*L1498</f>
        <v>1575</v>
      </c>
    </row>
    <row r="1499" customFormat="false" ht="15" hidden="false" customHeight="false" outlineLevel="0" collapsed="false">
      <c r="A1499" s="2" t="s">
        <v>1499</v>
      </c>
      <c r="B1499" s="2" t="s">
        <v>1497</v>
      </c>
      <c r="C1499" s="10" t="n">
        <v>45942</v>
      </c>
      <c r="D1499" s="2" t="n">
        <f aca="false">MONTH(C1499)</f>
        <v>10</v>
      </c>
      <c r="E1499" s="2" t="s">
        <v>81</v>
      </c>
      <c r="F1499" s="2" t="s">
        <v>69</v>
      </c>
      <c r="G1499" s="2" t="s">
        <v>73</v>
      </c>
      <c r="H1499" s="2" t="s">
        <v>87</v>
      </c>
      <c r="I1499" s="2" t="n">
        <v>3</v>
      </c>
      <c r="J1499" s="11" t="n">
        <v>9000</v>
      </c>
      <c r="K1499" s="12" t="n">
        <v>0.05</v>
      </c>
      <c r="L1499" s="11" t="n">
        <v>6200</v>
      </c>
      <c r="M1499" s="11" t="n">
        <f aca="false">I1499*J1499*(1-K1499)</f>
        <v>25650</v>
      </c>
      <c r="N1499" s="11" t="n">
        <f aca="false">M1499-I1499*L1499</f>
        <v>7050</v>
      </c>
    </row>
    <row r="1500" customFormat="false" ht="15" hidden="false" customHeight="false" outlineLevel="0" collapsed="false">
      <c r="A1500" s="2" t="s">
        <v>1510</v>
      </c>
      <c r="B1500" s="2" t="s">
        <v>1509</v>
      </c>
      <c r="C1500" s="10" t="n">
        <v>45942</v>
      </c>
      <c r="D1500" s="2" t="n">
        <f aca="false">MONTH(C1500)</f>
        <v>10</v>
      </c>
      <c r="E1500" s="2" t="s">
        <v>63</v>
      </c>
      <c r="F1500" s="2" t="s">
        <v>92</v>
      </c>
      <c r="G1500" s="2" t="s">
        <v>73</v>
      </c>
      <c r="H1500" s="2" t="s">
        <v>85</v>
      </c>
      <c r="I1500" s="2" t="n">
        <v>7</v>
      </c>
      <c r="J1500" s="11" t="n">
        <v>1200</v>
      </c>
      <c r="K1500" s="12" t="n">
        <v>0.15</v>
      </c>
      <c r="L1500" s="11" t="n">
        <v>600</v>
      </c>
      <c r="M1500" s="11" t="n">
        <f aca="false">I1500*J1500*(1-K1500)</f>
        <v>7140</v>
      </c>
      <c r="N1500" s="11" t="n">
        <f aca="false">M1500-I1500*L1500</f>
        <v>2940</v>
      </c>
    </row>
    <row r="1501" customFormat="false" ht="15" hidden="false" customHeight="false" outlineLevel="0" collapsed="false">
      <c r="A1501" s="2" t="s">
        <v>2176</v>
      </c>
      <c r="B1501" s="2" t="s">
        <v>2177</v>
      </c>
      <c r="C1501" s="10" t="n">
        <v>45942</v>
      </c>
      <c r="D1501" s="2" t="n">
        <f aca="false">MONTH(C1501)</f>
        <v>10</v>
      </c>
      <c r="E1501" s="2" t="s">
        <v>63</v>
      </c>
      <c r="F1501" s="2" t="s">
        <v>64</v>
      </c>
      <c r="G1501" s="2" t="s">
        <v>70</v>
      </c>
      <c r="H1501" s="2" t="s">
        <v>71</v>
      </c>
      <c r="I1501" s="2" t="n">
        <v>1</v>
      </c>
      <c r="J1501" s="11" t="n">
        <v>2500</v>
      </c>
      <c r="K1501" s="12" t="n">
        <v>0.05</v>
      </c>
      <c r="L1501" s="11" t="n">
        <v>1600</v>
      </c>
      <c r="M1501" s="11" t="n">
        <f aca="false">I1501*J1501*(1-K1501)</f>
        <v>2375</v>
      </c>
      <c r="N1501" s="11" t="n">
        <f aca="false">M1501-I1501*L1501</f>
        <v>775</v>
      </c>
    </row>
    <row r="1502" customFormat="false" ht="15" hidden="false" customHeight="false" outlineLevel="0" collapsed="false">
      <c r="A1502" s="2" t="s">
        <v>79</v>
      </c>
      <c r="B1502" s="2" t="s">
        <v>80</v>
      </c>
      <c r="C1502" s="10" t="n">
        <v>45943</v>
      </c>
      <c r="D1502" s="2" t="n">
        <f aca="false">MONTH(C1502)</f>
        <v>10</v>
      </c>
      <c r="E1502" s="2" t="s">
        <v>81</v>
      </c>
      <c r="F1502" s="2" t="s">
        <v>69</v>
      </c>
      <c r="G1502" s="2" t="s">
        <v>65</v>
      </c>
      <c r="H1502" s="2" t="s">
        <v>82</v>
      </c>
      <c r="I1502" s="2" t="n">
        <v>6</v>
      </c>
      <c r="J1502" s="11" t="n">
        <v>250</v>
      </c>
      <c r="K1502" s="12" t="n">
        <v>0.15</v>
      </c>
      <c r="L1502" s="11" t="n">
        <v>100</v>
      </c>
      <c r="M1502" s="11" t="n">
        <f aca="false">I1502*J1502*(1-K1502)</f>
        <v>1275</v>
      </c>
      <c r="N1502" s="11" t="n">
        <f aca="false">M1502-I1502*L1502</f>
        <v>675</v>
      </c>
    </row>
    <row r="1503" customFormat="false" ht="15" hidden="false" customHeight="false" outlineLevel="0" collapsed="false">
      <c r="A1503" s="2" t="s">
        <v>123</v>
      </c>
      <c r="B1503" s="2" t="s">
        <v>120</v>
      </c>
      <c r="C1503" s="10" t="n">
        <v>45943</v>
      </c>
      <c r="D1503" s="2" t="n">
        <f aca="false">MONTH(C1503)</f>
        <v>10</v>
      </c>
      <c r="E1503" s="2" t="s">
        <v>81</v>
      </c>
      <c r="F1503" s="2" t="s">
        <v>64</v>
      </c>
      <c r="G1503" s="2" t="s">
        <v>70</v>
      </c>
      <c r="H1503" s="2" t="s">
        <v>71</v>
      </c>
      <c r="I1503" s="2" t="n">
        <v>2</v>
      </c>
      <c r="J1503" s="11" t="n">
        <v>2500</v>
      </c>
      <c r="K1503" s="12" t="n">
        <v>0.1</v>
      </c>
      <c r="L1503" s="11" t="n">
        <v>1600</v>
      </c>
      <c r="M1503" s="11" t="n">
        <f aca="false">I1503*J1503*(1-K1503)</f>
        <v>4500</v>
      </c>
      <c r="N1503" s="11" t="n">
        <f aca="false">M1503-I1503*L1503</f>
        <v>1300</v>
      </c>
    </row>
    <row r="1504" customFormat="false" ht="15" hidden="false" customHeight="false" outlineLevel="0" collapsed="false">
      <c r="A1504" s="2" t="s">
        <v>571</v>
      </c>
      <c r="B1504" s="2" t="s">
        <v>570</v>
      </c>
      <c r="C1504" s="10" t="n">
        <v>45943</v>
      </c>
      <c r="D1504" s="2" t="n">
        <f aca="false">MONTH(C1504)</f>
        <v>10</v>
      </c>
      <c r="E1504" s="2" t="s">
        <v>63</v>
      </c>
      <c r="F1504" s="2" t="s">
        <v>92</v>
      </c>
      <c r="G1504" s="2" t="s">
        <v>70</v>
      </c>
      <c r="H1504" s="2" t="s">
        <v>71</v>
      </c>
      <c r="I1504" s="2" t="n">
        <v>5</v>
      </c>
      <c r="J1504" s="11" t="n">
        <v>2500</v>
      </c>
      <c r="K1504" s="12" t="n">
        <v>0.05</v>
      </c>
      <c r="L1504" s="11" t="n">
        <v>1600</v>
      </c>
      <c r="M1504" s="11" t="n">
        <f aca="false">I1504*J1504*(1-K1504)</f>
        <v>11875</v>
      </c>
      <c r="N1504" s="11" t="n">
        <f aca="false">M1504-I1504*L1504</f>
        <v>3875</v>
      </c>
    </row>
    <row r="1505" customFormat="false" ht="15" hidden="false" customHeight="false" outlineLevel="0" collapsed="false">
      <c r="A1505" s="2" t="s">
        <v>621</v>
      </c>
      <c r="B1505" s="2" t="s">
        <v>622</v>
      </c>
      <c r="C1505" s="10" t="n">
        <v>45943</v>
      </c>
      <c r="D1505" s="2" t="n">
        <f aca="false">MONTH(C1505)</f>
        <v>10</v>
      </c>
      <c r="E1505" s="2" t="s">
        <v>77</v>
      </c>
      <c r="F1505" s="2" t="s">
        <v>64</v>
      </c>
      <c r="G1505" s="2" t="s">
        <v>70</v>
      </c>
      <c r="H1505" s="2" t="s">
        <v>122</v>
      </c>
      <c r="I1505" s="2" t="n">
        <v>2</v>
      </c>
      <c r="J1505" s="11" t="n">
        <v>1500</v>
      </c>
      <c r="K1505" s="12" t="n">
        <v>0.05</v>
      </c>
      <c r="L1505" s="11" t="n">
        <v>900</v>
      </c>
      <c r="M1505" s="11" t="n">
        <f aca="false">I1505*J1505*(1-K1505)</f>
        <v>2850</v>
      </c>
      <c r="N1505" s="11" t="n">
        <f aca="false">M1505-I1505*L1505</f>
        <v>1050</v>
      </c>
    </row>
    <row r="1506" customFormat="false" ht="15" hidden="false" customHeight="false" outlineLevel="0" collapsed="false">
      <c r="A1506" s="2" t="s">
        <v>1799</v>
      </c>
      <c r="B1506" s="2" t="s">
        <v>1797</v>
      </c>
      <c r="C1506" s="10" t="n">
        <v>45943</v>
      </c>
      <c r="D1506" s="2" t="n">
        <f aca="false">MONTH(C1506)</f>
        <v>10</v>
      </c>
      <c r="E1506" s="2" t="s">
        <v>77</v>
      </c>
      <c r="F1506" s="2" t="s">
        <v>92</v>
      </c>
      <c r="G1506" s="2" t="s">
        <v>70</v>
      </c>
      <c r="H1506" s="2" t="s">
        <v>122</v>
      </c>
      <c r="I1506" s="2" t="n">
        <v>5</v>
      </c>
      <c r="J1506" s="11" t="n">
        <v>1500</v>
      </c>
      <c r="K1506" s="12" t="n">
        <v>0.15</v>
      </c>
      <c r="L1506" s="11" t="n">
        <v>900</v>
      </c>
      <c r="M1506" s="11" t="n">
        <f aca="false">I1506*J1506*(1-K1506)</f>
        <v>6375</v>
      </c>
      <c r="N1506" s="11" t="n">
        <f aca="false">M1506-I1506*L1506</f>
        <v>1875</v>
      </c>
    </row>
    <row r="1507" customFormat="false" ht="15" hidden="false" customHeight="false" outlineLevel="0" collapsed="false">
      <c r="A1507" s="2" t="s">
        <v>2832</v>
      </c>
      <c r="B1507" s="2" t="s">
        <v>2827</v>
      </c>
      <c r="C1507" s="10" t="n">
        <v>45943</v>
      </c>
      <c r="D1507" s="2" t="n">
        <f aca="false">MONTH(C1507)</f>
        <v>10</v>
      </c>
      <c r="E1507" s="2" t="s">
        <v>77</v>
      </c>
      <c r="F1507" s="2" t="s">
        <v>64</v>
      </c>
      <c r="G1507" s="2" t="s">
        <v>70</v>
      </c>
      <c r="H1507" s="2" t="s">
        <v>71</v>
      </c>
      <c r="I1507" s="2" t="n">
        <v>1</v>
      </c>
      <c r="J1507" s="11" t="n">
        <v>2500</v>
      </c>
      <c r="K1507" s="12" t="n">
        <v>0.05</v>
      </c>
      <c r="L1507" s="11" t="n">
        <v>1600</v>
      </c>
      <c r="M1507" s="11" t="n">
        <f aca="false">I1507*J1507*(1-K1507)</f>
        <v>2375</v>
      </c>
      <c r="N1507" s="11" t="n">
        <f aca="false">M1507-I1507*L1507</f>
        <v>775</v>
      </c>
    </row>
    <row r="1508" customFormat="false" ht="15" hidden="false" customHeight="false" outlineLevel="0" collapsed="false">
      <c r="A1508" s="2" t="s">
        <v>1026</v>
      </c>
      <c r="B1508" s="2" t="s">
        <v>1027</v>
      </c>
      <c r="C1508" s="10" t="n">
        <v>45944</v>
      </c>
      <c r="D1508" s="2" t="n">
        <f aca="false">MONTH(C1508)</f>
        <v>10</v>
      </c>
      <c r="E1508" s="2" t="s">
        <v>63</v>
      </c>
      <c r="F1508" s="2" t="s">
        <v>64</v>
      </c>
      <c r="G1508" s="2" t="s">
        <v>70</v>
      </c>
      <c r="H1508" s="2" t="s">
        <v>97</v>
      </c>
      <c r="I1508" s="2" t="n">
        <v>2</v>
      </c>
      <c r="J1508" s="11" t="n">
        <v>3000</v>
      </c>
      <c r="K1508" s="12" t="n">
        <v>0.1</v>
      </c>
      <c r="L1508" s="11" t="n">
        <v>2000</v>
      </c>
      <c r="M1508" s="11" t="n">
        <f aca="false">I1508*J1508*(1-K1508)</f>
        <v>5400</v>
      </c>
      <c r="N1508" s="11" t="n">
        <f aca="false">M1508-I1508*L1508</f>
        <v>1400</v>
      </c>
    </row>
    <row r="1509" customFormat="false" ht="15" hidden="false" customHeight="false" outlineLevel="0" collapsed="false">
      <c r="A1509" s="2" t="s">
        <v>1060</v>
      </c>
      <c r="B1509" s="2" t="s">
        <v>1061</v>
      </c>
      <c r="C1509" s="10" t="n">
        <v>45944</v>
      </c>
      <c r="D1509" s="2" t="n">
        <f aca="false">MONTH(C1509)</f>
        <v>10</v>
      </c>
      <c r="E1509" s="2" t="s">
        <v>63</v>
      </c>
      <c r="F1509" s="2" t="s">
        <v>64</v>
      </c>
      <c r="G1509" s="2" t="s">
        <v>65</v>
      </c>
      <c r="H1509" s="2" t="s">
        <v>107</v>
      </c>
      <c r="I1509" s="2" t="n">
        <v>5</v>
      </c>
      <c r="J1509" s="11" t="n">
        <v>500</v>
      </c>
      <c r="K1509" s="12" t="n">
        <v>0.05</v>
      </c>
      <c r="L1509" s="11" t="n">
        <v>250</v>
      </c>
      <c r="M1509" s="11" t="n">
        <f aca="false">I1509*J1509*(1-K1509)</f>
        <v>2375</v>
      </c>
      <c r="N1509" s="11" t="n">
        <f aca="false">M1509-I1509*L1509</f>
        <v>1125</v>
      </c>
    </row>
    <row r="1510" customFormat="false" ht="15" hidden="false" customHeight="false" outlineLevel="0" collapsed="false">
      <c r="A1510" s="2" t="s">
        <v>2722</v>
      </c>
      <c r="B1510" s="2" t="s">
        <v>2720</v>
      </c>
      <c r="C1510" s="10" t="n">
        <v>45944</v>
      </c>
      <c r="D1510" s="2" t="n">
        <f aca="false">MONTH(C1510)</f>
        <v>10</v>
      </c>
      <c r="E1510" s="2" t="s">
        <v>77</v>
      </c>
      <c r="F1510" s="2" t="s">
        <v>92</v>
      </c>
      <c r="G1510" s="2" t="s">
        <v>70</v>
      </c>
      <c r="H1510" s="2" t="s">
        <v>97</v>
      </c>
      <c r="I1510" s="2" t="n">
        <v>3</v>
      </c>
      <c r="J1510" s="11" t="n">
        <v>3000</v>
      </c>
      <c r="K1510" s="12" t="n">
        <v>0.15</v>
      </c>
      <c r="L1510" s="11" t="n">
        <v>2000</v>
      </c>
      <c r="M1510" s="11" t="n">
        <f aca="false">I1510*J1510*(1-K1510)</f>
        <v>7650</v>
      </c>
      <c r="N1510" s="11" t="n">
        <f aca="false">M1510-I1510*L1510</f>
        <v>1650</v>
      </c>
    </row>
    <row r="1511" customFormat="false" ht="15" hidden="false" customHeight="false" outlineLevel="0" collapsed="false">
      <c r="A1511" s="2" t="s">
        <v>383</v>
      </c>
      <c r="B1511" s="2" t="s">
        <v>384</v>
      </c>
      <c r="C1511" s="10" t="n">
        <v>45945</v>
      </c>
      <c r="D1511" s="2" t="n">
        <f aca="false">MONTH(C1511)</f>
        <v>10</v>
      </c>
      <c r="E1511" s="2" t="s">
        <v>77</v>
      </c>
      <c r="F1511" s="2" t="s">
        <v>64</v>
      </c>
      <c r="G1511" s="2" t="s">
        <v>65</v>
      </c>
      <c r="H1511" s="2" t="s">
        <v>82</v>
      </c>
      <c r="I1511" s="2" t="n">
        <v>5</v>
      </c>
      <c r="J1511" s="11" t="n">
        <v>250</v>
      </c>
      <c r="K1511" s="12" t="n">
        <v>0.05</v>
      </c>
      <c r="L1511" s="11" t="n">
        <v>100</v>
      </c>
      <c r="M1511" s="11" t="n">
        <f aca="false">I1511*J1511*(1-K1511)</f>
        <v>1187.5</v>
      </c>
      <c r="N1511" s="11" t="n">
        <f aca="false">M1511-I1511*L1511</f>
        <v>687.5</v>
      </c>
    </row>
    <row r="1512" customFormat="false" ht="15" hidden="false" customHeight="false" outlineLevel="0" collapsed="false">
      <c r="A1512" s="2" t="s">
        <v>630</v>
      </c>
      <c r="B1512" s="2" t="s">
        <v>631</v>
      </c>
      <c r="C1512" s="10" t="n">
        <v>45945</v>
      </c>
      <c r="D1512" s="2" t="n">
        <f aca="false">MONTH(C1512)</f>
        <v>10</v>
      </c>
      <c r="E1512" s="2" t="s">
        <v>63</v>
      </c>
      <c r="F1512" s="2" t="s">
        <v>64</v>
      </c>
      <c r="G1512" s="2" t="s">
        <v>65</v>
      </c>
      <c r="H1512" s="2" t="s">
        <v>82</v>
      </c>
      <c r="I1512" s="2" t="n">
        <v>4</v>
      </c>
      <c r="J1512" s="11" t="n">
        <v>250</v>
      </c>
      <c r="K1512" s="12" t="n">
        <v>0.05</v>
      </c>
      <c r="L1512" s="11" t="n">
        <v>100</v>
      </c>
      <c r="M1512" s="11" t="n">
        <f aca="false">I1512*J1512*(1-K1512)</f>
        <v>950</v>
      </c>
      <c r="N1512" s="11" t="n">
        <f aca="false">M1512-I1512*L1512</f>
        <v>550</v>
      </c>
    </row>
    <row r="1513" customFormat="false" ht="15" hidden="false" customHeight="false" outlineLevel="0" collapsed="false">
      <c r="A1513" s="2" t="s">
        <v>705</v>
      </c>
      <c r="B1513" s="2" t="s">
        <v>706</v>
      </c>
      <c r="C1513" s="10" t="n">
        <v>45945</v>
      </c>
      <c r="D1513" s="2" t="n">
        <f aca="false">MONTH(C1513)</f>
        <v>10</v>
      </c>
      <c r="E1513" s="2" t="s">
        <v>63</v>
      </c>
      <c r="F1513" s="2" t="s">
        <v>69</v>
      </c>
      <c r="G1513" s="2" t="s">
        <v>73</v>
      </c>
      <c r="H1513" s="2" t="s">
        <v>87</v>
      </c>
      <c r="I1513" s="2" t="n">
        <v>2</v>
      </c>
      <c r="J1513" s="11" t="n">
        <v>9000</v>
      </c>
      <c r="K1513" s="12" t="n">
        <v>0.15</v>
      </c>
      <c r="L1513" s="11" t="n">
        <v>6200</v>
      </c>
      <c r="M1513" s="11" t="n">
        <f aca="false">I1513*J1513*(1-K1513)</f>
        <v>15300</v>
      </c>
      <c r="N1513" s="11" t="n">
        <f aca="false">M1513-I1513*L1513</f>
        <v>2900</v>
      </c>
    </row>
    <row r="1514" customFormat="false" ht="15" hidden="false" customHeight="false" outlineLevel="0" collapsed="false">
      <c r="A1514" s="2" t="s">
        <v>928</v>
      </c>
      <c r="B1514" s="2" t="s">
        <v>924</v>
      </c>
      <c r="C1514" s="10" t="n">
        <v>45945</v>
      </c>
      <c r="D1514" s="2" t="n">
        <f aca="false">MONTH(C1514)</f>
        <v>10</v>
      </c>
      <c r="E1514" s="2" t="s">
        <v>81</v>
      </c>
      <c r="F1514" s="2" t="s">
        <v>64</v>
      </c>
      <c r="G1514" s="2" t="s">
        <v>70</v>
      </c>
      <c r="H1514" s="2" t="s">
        <v>126</v>
      </c>
      <c r="I1514" s="2" t="n">
        <v>3</v>
      </c>
      <c r="J1514" s="11" t="n">
        <v>4500</v>
      </c>
      <c r="K1514" s="12" t="n">
        <v>0.05</v>
      </c>
      <c r="L1514" s="11" t="n">
        <v>3300</v>
      </c>
      <c r="M1514" s="11" t="n">
        <f aca="false">I1514*J1514*(1-K1514)</f>
        <v>12825</v>
      </c>
      <c r="N1514" s="11" t="n">
        <f aca="false">M1514-I1514*L1514</f>
        <v>2925</v>
      </c>
    </row>
    <row r="1515" customFormat="false" ht="15" hidden="false" customHeight="false" outlineLevel="0" collapsed="false">
      <c r="A1515" s="2" t="s">
        <v>1117</v>
      </c>
      <c r="B1515" s="2" t="s">
        <v>1115</v>
      </c>
      <c r="C1515" s="10" t="n">
        <v>45945</v>
      </c>
      <c r="D1515" s="2" t="n">
        <f aca="false">MONTH(C1515)</f>
        <v>10</v>
      </c>
      <c r="E1515" s="2" t="s">
        <v>81</v>
      </c>
      <c r="F1515" s="2" t="s">
        <v>92</v>
      </c>
      <c r="G1515" s="2" t="s">
        <v>73</v>
      </c>
      <c r="H1515" s="2" t="s">
        <v>104</v>
      </c>
      <c r="I1515" s="2" t="n">
        <v>4</v>
      </c>
      <c r="J1515" s="11" t="n">
        <v>5500</v>
      </c>
      <c r="K1515" s="12" t="n">
        <v>0.15</v>
      </c>
      <c r="L1515" s="11" t="n">
        <v>3600</v>
      </c>
      <c r="M1515" s="11" t="n">
        <f aca="false">I1515*J1515*(1-K1515)</f>
        <v>18700</v>
      </c>
      <c r="N1515" s="11" t="n">
        <f aca="false">M1515-I1515*L1515</f>
        <v>4300</v>
      </c>
    </row>
    <row r="1516" customFormat="false" ht="15" hidden="false" customHeight="false" outlineLevel="0" collapsed="false">
      <c r="A1516" s="2" t="s">
        <v>1281</v>
      </c>
      <c r="B1516" s="2" t="s">
        <v>1282</v>
      </c>
      <c r="C1516" s="10" t="n">
        <v>45945</v>
      </c>
      <c r="D1516" s="2" t="n">
        <f aca="false">MONTH(C1516)</f>
        <v>10</v>
      </c>
      <c r="E1516" s="2" t="s">
        <v>81</v>
      </c>
      <c r="F1516" s="2" t="s">
        <v>64</v>
      </c>
      <c r="G1516" s="2" t="s">
        <v>70</v>
      </c>
      <c r="H1516" s="2" t="s">
        <v>71</v>
      </c>
      <c r="I1516" s="2" t="n">
        <v>1</v>
      </c>
      <c r="J1516" s="11" t="n">
        <v>2500</v>
      </c>
      <c r="K1516" s="12" t="n">
        <v>0.05</v>
      </c>
      <c r="L1516" s="11" t="n">
        <v>1600</v>
      </c>
      <c r="M1516" s="11" t="n">
        <f aca="false">I1516*J1516*(1-K1516)</f>
        <v>2375</v>
      </c>
      <c r="N1516" s="11" t="n">
        <f aca="false">M1516-I1516*L1516</f>
        <v>775</v>
      </c>
    </row>
    <row r="1517" customFormat="false" ht="15" hidden="false" customHeight="false" outlineLevel="0" collapsed="false">
      <c r="A1517" s="2" t="s">
        <v>2624</v>
      </c>
      <c r="B1517" s="2" t="s">
        <v>2623</v>
      </c>
      <c r="C1517" s="10" t="n">
        <v>45945</v>
      </c>
      <c r="D1517" s="2" t="n">
        <f aca="false">MONTH(C1517)</f>
        <v>10</v>
      </c>
      <c r="E1517" s="2" t="s">
        <v>63</v>
      </c>
      <c r="F1517" s="2" t="s">
        <v>69</v>
      </c>
      <c r="G1517" s="2" t="s">
        <v>65</v>
      </c>
      <c r="H1517" s="2" t="s">
        <v>66</v>
      </c>
      <c r="I1517" s="2" t="n">
        <v>11</v>
      </c>
      <c r="J1517" s="11" t="n">
        <v>600</v>
      </c>
      <c r="K1517" s="12" t="n">
        <v>0.05</v>
      </c>
      <c r="L1517" s="11" t="n">
        <v>300</v>
      </c>
      <c r="M1517" s="11" t="n">
        <f aca="false">I1517*J1517*(1-K1517)</f>
        <v>6270</v>
      </c>
      <c r="N1517" s="11" t="n">
        <f aca="false">M1517-I1517*L1517</f>
        <v>2970</v>
      </c>
    </row>
    <row r="1518" customFormat="false" ht="15" hidden="false" customHeight="false" outlineLevel="0" collapsed="false">
      <c r="A1518" s="2" t="s">
        <v>247</v>
      </c>
      <c r="B1518" s="2" t="s">
        <v>246</v>
      </c>
      <c r="C1518" s="10" t="n">
        <v>45946</v>
      </c>
      <c r="D1518" s="2" t="n">
        <f aca="false">MONTH(C1518)</f>
        <v>10</v>
      </c>
      <c r="E1518" s="2" t="s">
        <v>77</v>
      </c>
      <c r="F1518" s="2" t="s">
        <v>64</v>
      </c>
      <c r="G1518" s="2" t="s">
        <v>70</v>
      </c>
      <c r="H1518" s="2" t="s">
        <v>71</v>
      </c>
      <c r="I1518" s="2" t="n">
        <v>3</v>
      </c>
      <c r="J1518" s="11" t="n">
        <v>2500</v>
      </c>
      <c r="K1518" s="12" t="n">
        <v>0.1</v>
      </c>
      <c r="L1518" s="11" t="n">
        <v>1600</v>
      </c>
      <c r="M1518" s="11" t="n">
        <f aca="false">I1518*J1518*(1-K1518)</f>
        <v>6750</v>
      </c>
      <c r="N1518" s="11" t="n">
        <f aca="false">M1518-I1518*L1518</f>
        <v>1950</v>
      </c>
    </row>
    <row r="1519" customFormat="false" ht="15" hidden="false" customHeight="false" outlineLevel="0" collapsed="false">
      <c r="A1519" s="2" t="s">
        <v>628</v>
      </c>
      <c r="B1519" s="2" t="s">
        <v>629</v>
      </c>
      <c r="C1519" s="10" t="n">
        <v>45946</v>
      </c>
      <c r="D1519" s="2" t="n">
        <f aca="false">MONTH(C1519)</f>
        <v>10</v>
      </c>
      <c r="E1519" s="2" t="s">
        <v>77</v>
      </c>
      <c r="F1519" s="2" t="s">
        <v>64</v>
      </c>
      <c r="G1519" s="2" t="s">
        <v>70</v>
      </c>
      <c r="H1519" s="2" t="s">
        <v>71</v>
      </c>
      <c r="I1519" s="2" t="n">
        <v>1</v>
      </c>
      <c r="J1519" s="11" t="n">
        <v>2500</v>
      </c>
      <c r="K1519" s="12" t="n">
        <v>0.15</v>
      </c>
      <c r="L1519" s="11" t="n">
        <v>1600</v>
      </c>
      <c r="M1519" s="11" t="n">
        <f aca="false">I1519*J1519*(1-K1519)</f>
        <v>2125</v>
      </c>
      <c r="N1519" s="11" t="n">
        <f aca="false">M1519-I1519*L1519</f>
        <v>525</v>
      </c>
    </row>
    <row r="1520" customFormat="false" ht="15" hidden="false" customHeight="false" outlineLevel="0" collapsed="false">
      <c r="A1520" s="2" t="s">
        <v>2363</v>
      </c>
      <c r="B1520" s="2" t="s">
        <v>2364</v>
      </c>
      <c r="C1520" s="10" t="n">
        <v>45946</v>
      </c>
      <c r="D1520" s="2" t="n">
        <f aca="false">MONTH(C1520)</f>
        <v>10</v>
      </c>
      <c r="E1520" s="2" t="s">
        <v>91</v>
      </c>
      <c r="F1520" s="2" t="s">
        <v>69</v>
      </c>
      <c r="G1520" s="2" t="s">
        <v>70</v>
      </c>
      <c r="H1520" s="2" t="s">
        <v>126</v>
      </c>
      <c r="I1520" s="2" t="n">
        <v>3</v>
      </c>
      <c r="J1520" s="11" t="n">
        <v>4500</v>
      </c>
      <c r="K1520" s="12" t="n">
        <v>0.1</v>
      </c>
      <c r="L1520" s="11" t="n">
        <v>3300</v>
      </c>
      <c r="M1520" s="11" t="n">
        <f aca="false">I1520*J1520*(1-K1520)</f>
        <v>12150</v>
      </c>
      <c r="N1520" s="11" t="n">
        <f aca="false">M1520-I1520*L1520</f>
        <v>2250</v>
      </c>
    </row>
    <row r="1521" customFormat="false" ht="15" hidden="false" customHeight="false" outlineLevel="0" collapsed="false">
      <c r="A1521" s="2" t="s">
        <v>2397</v>
      </c>
      <c r="B1521" s="2" t="s">
        <v>2393</v>
      </c>
      <c r="C1521" s="10" t="n">
        <v>45946</v>
      </c>
      <c r="D1521" s="2" t="n">
        <f aca="false">MONTH(C1521)</f>
        <v>10</v>
      </c>
      <c r="E1521" s="2" t="s">
        <v>77</v>
      </c>
      <c r="F1521" s="2" t="s">
        <v>69</v>
      </c>
      <c r="G1521" s="2" t="s">
        <v>73</v>
      </c>
      <c r="H1521" s="2" t="s">
        <v>87</v>
      </c>
      <c r="I1521" s="2" t="n">
        <v>4</v>
      </c>
      <c r="J1521" s="11" t="n">
        <v>9000</v>
      </c>
      <c r="K1521" s="12" t="n">
        <v>0.15</v>
      </c>
      <c r="L1521" s="11" t="n">
        <v>6200</v>
      </c>
      <c r="M1521" s="11" t="n">
        <f aca="false">I1521*J1521*(1-K1521)</f>
        <v>30600</v>
      </c>
      <c r="N1521" s="11" t="n">
        <f aca="false">M1521-I1521*L1521</f>
        <v>5800</v>
      </c>
    </row>
    <row r="1522" customFormat="false" ht="15" hidden="false" customHeight="false" outlineLevel="0" collapsed="false">
      <c r="A1522" s="2" t="s">
        <v>2550</v>
      </c>
      <c r="B1522" s="2" t="s">
        <v>2549</v>
      </c>
      <c r="C1522" s="10" t="n">
        <v>45946</v>
      </c>
      <c r="D1522" s="2" t="n">
        <f aca="false">MONTH(C1522)</f>
        <v>10</v>
      </c>
      <c r="E1522" s="2" t="s">
        <v>91</v>
      </c>
      <c r="F1522" s="2" t="s">
        <v>64</v>
      </c>
      <c r="G1522" s="2" t="s">
        <v>70</v>
      </c>
      <c r="H1522" s="2" t="s">
        <v>126</v>
      </c>
      <c r="I1522" s="2" t="n">
        <v>1</v>
      </c>
      <c r="J1522" s="11" t="n">
        <v>4500</v>
      </c>
      <c r="K1522" s="12" t="n">
        <v>0.15</v>
      </c>
      <c r="L1522" s="11" t="n">
        <v>3300</v>
      </c>
      <c r="M1522" s="11" t="n">
        <f aca="false">I1522*J1522*(1-K1522)</f>
        <v>3825</v>
      </c>
      <c r="N1522" s="11" t="n">
        <f aca="false">M1522-I1522*L1522</f>
        <v>525</v>
      </c>
    </row>
    <row r="1523" customFormat="false" ht="15" hidden="false" customHeight="false" outlineLevel="0" collapsed="false">
      <c r="A1523" s="2" t="s">
        <v>2864</v>
      </c>
      <c r="B1523" s="2" t="s">
        <v>2865</v>
      </c>
      <c r="C1523" s="10" t="n">
        <v>45946</v>
      </c>
      <c r="D1523" s="2" t="n">
        <f aca="false">MONTH(C1523)</f>
        <v>10</v>
      </c>
      <c r="E1523" s="2" t="s">
        <v>77</v>
      </c>
      <c r="F1523" s="2" t="s">
        <v>69</v>
      </c>
      <c r="G1523" s="2" t="s">
        <v>73</v>
      </c>
      <c r="H1523" s="2" t="s">
        <v>104</v>
      </c>
      <c r="I1523" s="2" t="n">
        <v>4</v>
      </c>
      <c r="J1523" s="11" t="n">
        <v>5500</v>
      </c>
      <c r="K1523" s="12" t="n">
        <v>0.05</v>
      </c>
      <c r="L1523" s="11" t="n">
        <v>3600</v>
      </c>
      <c r="M1523" s="11" t="n">
        <f aca="false">I1523*J1523*(1-K1523)</f>
        <v>20900</v>
      </c>
      <c r="N1523" s="11" t="n">
        <f aca="false">M1523-I1523*L1523</f>
        <v>6500</v>
      </c>
    </row>
    <row r="1524" customFormat="false" ht="15" hidden="false" customHeight="false" outlineLevel="0" collapsed="false">
      <c r="A1524" s="2" t="s">
        <v>2873</v>
      </c>
      <c r="B1524" s="2" t="s">
        <v>2874</v>
      </c>
      <c r="C1524" s="10" t="n">
        <v>45946</v>
      </c>
      <c r="D1524" s="2" t="n">
        <f aca="false">MONTH(C1524)</f>
        <v>10</v>
      </c>
      <c r="E1524" s="2" t="s">
        <v>3019</v>
      </c>
      <c r="F1524" s="2" t="s">
        <v>64</v>
      </c>
      <c r="G1524" s="2" t="s">
        <v>73</v>
      </c>
      <c r="H1524" s="2" t="s">
        <v>104</v>
      </c>
      <c r="I1524" s="2" t="n">
        <v>2</v>
      </c>
      <c r="J1524" s="11" t="n">
        <v>5500</v>
      </c>
      <c r="K1524" s="12" t="n">
        <v>0.05</v>
      </c>
      <c r="L1524" s="11" t="n">
        <v>3600</v>
      </c>
      <c r="M1524" s="11" t="n">
        <f aca="false">I1524*J1524*(1-K1524)</f>
        <v>10450</v>
      </c>
      <c r="N1524" s="11" t="n">
        <f aca="false">M1524-I1524*L1524</f>
        <v>3250</v>
      </c>
    </row>
    <row r="1525" customFormat="false" ht="15" hidden="false" customHeight="false" outlineLevel="0" collapsed="false">
      <c r="A1525" s="2" t="s">
        <v>2892</v>
      </c>
      <c r="B1525" s="2" t="s">
        <v>2893</v>
      </c>
      <c r="C1525" s="10" t="n">
        <v>45946</v>
      </c>
      <c r="D1525" s="2" t="n">
        <f aca="false">MONTH(C1525)</f>
        <v>10</v>
      </c>
      <c r="E1525" s="2" t="s">
        <v>81</v>
      </c>
      <c r="F1525" s="2" t="s">
        <v>64</v>
      </c>
      <c r="G1525" s="2" t="s">
        <v>65</v>
      </c>
      <c r="H1525" s="2" t="s">
        <v>66</v>
      </c>
      <c r="I1525" s="2" t="n">
        <v>8</v>
      </c>
      <c r="J1525" s="11" t="n">
        <v>600</v>
      </c>
      <c r="K1525" s="12" t="n">
        <v>0.05</v>
      </c>
      <c r="L1525" s="11" t="n">
        <v>300</v>
      </c>
      <c r="M1525" s="11" t="n">
        <f aca="false">I1525*J1525*(1-K1525)</f>
        <v>4560</v>
      </c>
      <c r="N1525" s="11" t="n">
        <f aca="false">M1525-I1525*L1525</f>
        <v>2160</v>
      </c>
    </row>
    <row r="1526" customFormat="false" ht="15" hidden="false" customHeight="false" outlineLevel="0" collapsed="false">
      <c r="A1526" s="2" t="s">
        <v>2972</v>
      </c>
      <c r="B1526" s="2" t="s">
        <v>2968</v>
      </c>
      <c r="C1526" s="10" t="n">
        <v>45946</v>
      </c>
      <c r="D1526" s="2" t="n">
        <f aca="false">MONTH(C1526)</f>
        <v>10</v>
      </c>
      <c r="E1526" s="2" t="s">
        <v>63</v>
      </c>
      <c r="F1526" s="2" t="s">
        <v>64</v>
      </c>
      <c r="G1526" s="2" t="s">
        <v>65</v>
      </c>
      <c r="H1526" s="2" t="s">
        <v>66</v>
      </c>
      <c r="I1526" s="2" t="n">
        <v>8</v>
      </c>
      <c r="J1526" s="11" t="n">
        <v>600</v>
      </c>
      <c r="K1526" s="12" t="n">
        <v>0.15</v>
      </c>
      <c r="L1526" s="11" t="n">
        <v>300</v>
      </c>
      <c r="M1526" s="11" t="n">
        <f aca="false">I1526*J1526*(1-K1526)</f>
        <v>4080</v>
      </c>
      <c r="N1526" s="11" t="n">
        <f aca="false">M1526-I1526*L1526</f>
        <v>1680</v>
      </c>
    </row>
    <row r="1527" customFormat="false" ht="15" hidden="false" customHeight="false" outlineLevel="0" collapsed="false">
      <c r="A1527" s="2" t="s">
        <v>667</v>
      </c>
      <c r="B1527" s="2" t="s">
        <v>664</v>
      </c>
      <c r="C1527" s="10" t="n">
        <v>45947</v>
      </c>
      <c r="D1527" s="2" t="n">
        <f aca="false">MONTH(C1527)</f>
        <v>10</v>
      </c>
      <c r="E1527" s="2" t="s">
        <v>77</v>
      </c>
      <c r="F1527" s="2" t="s">
        <v>64</v>
      </c>
      <c r="G1527" s="2" t="s">
        <v>73</v>
      </c>
      <c r="H1527" s="2" t="s">
        <v>104</v>
      </c>
      <c r="I1527" s="2" t="n">
        <v>2</v>
      </c>
      <c r="J1527" s="11" t="n">
        <v>5500</v>
      </c>
      <c r="K1527" s="12" t="n">
        <v>0.05</v>
      </c>
      <c r="L1527" s="11" t="n">
        <v>3600</v>
      </c>
      <c r="M1527" s="11" t="n">
        <f aca="false">I1527*J1527*(1-K1527)</f>
        <v>10450</v>
      </c>
      <c r="N1527" s="11" t="n">
        <f aca="false">M1527-I1527*L1527</f>
        <v>3250</v>
      </c>
    </row>
    <row r="1528" customFormat="false" ht="15" hidden="false" customHeight="false" outlineLevel="0" collapsed="false">
      <c r="A1528" s="2" t="s">
        <v>1028</v>
      </c>
      <c r="B1528" s="2" t="s">
        <v>1027</v>
      </c>
      <c r="C1528" s="10" t="n">
        <v>45947</v>
      </c>
      <c r="D1528" s="2" t="n">
        <f aca="false">MONTH(C1528)</f>
        <v>10</v>
      </c>
      <c r="E1528" s="2" t="s">
        <v>63</v>
      </c>
      <c r="F1528" s="2" t="s">
        <v>64</v>
      </c>
      <c r="G1528" s="2" t="s">
        <v>65</v>
      </c>
      <c r="H1528" s="2" t="s">
        <v>82</v>
      </c>
      <c r="I1528" s="2" t="n">
        <v>7</v>
      </c>
      <c r="J1528" s="11" t="n">
        <v>250</v>
      </c>
      <c r="K1528" s="12" t="n">
        <v>0.15</v>
      </c>
      <c r="L1528" s="11" t="n">
        <v>100</v>
      </c>
      <c r="M1528" s="11" t="n">
        <f aca="false">I1528*J1528*(1-K1528)</f>
        <v>1487.5</v>
      </c>
      <c r="N1528" s="11" t="n">
        <f aca="false">M1528-I1528*L1528</f>
        <v>787.5</v>
      </c>
    </row>
    <row r="1529" customFormat="false" ht="15" hidden="false" customHeight="false" outlineLevel="0" collapsed="false">
      <c r="A1529" s="2" t="s">
        <v>1123</v>
      </c>
      <c r="B1529" s="2" t="s">
        <v>1122</v>
      </c>
      <c r="C1529" s="10" t="n">
        <v>45947</v>
      </c>
      <c r="D1529" s="2" t="n">
        <f aca="false">MONTH(C1529)</f>
        <v>10</v>
      </c>
      <c r="E1529" s="2" t="s">
        <v>91</v>
      </c>
      <c r="F1529" s="2" t="s">
        <v>64</v>
      </c>
      <c r="G1529" s="2" t="s">
        <v>73</v>
      </c>
      <c r="H1529" s="2" t="s">
        <v>85</v>
      </c>
      <c r="I1529" s="2" t="n">
        <v>2</v>
      </c>
      <c r="J1529" s="11" t="n">
        <v>1200</v>
      </c>
      <c r="K1529" s="12" t="n">
        <v>0.05</v>
      </c>
      <c r="L1529" s="11" t="n">
        <v>600</v>
      </c>
      <c r="M1529" s="11" t="n">
        <f aca="false">I1529*J1529*(1-K1529)</f>
        <v>2280</v>
      </c>
      <c r="N1529" s="11" t="n">
        <f aca="false">M1529-I1529*L1529</f>
        <v>1080</v>
      </c>
    </row>
    <row r="1530" customFormat="false" ht="15" hidden="false" customHeight="false" outlineLevel="0" collapsed="false">
      <c r="A1530" s="2" t="s">
        <v>2155</v>
      </c>
      <c r="B1530" s="2" t="s">
        <v>2151</v>
      </c>
      <c r="C1530" s="10" t="n">
        <v>45947</v>
      </c>
      <c r="D1530" s="2" t="n">
        <f aca="false">MONTH(C1530)</f>
        <v>10</v>
      </c>
      <c r="E1530" s="2" t="s">
        <v>63</v>
      </c>
      <c r="F1530" s="2" t="s">
        <v>64</v>
      </c>
      <c r="G1530" s="2" t="s">
        <v>65</v>
      </c>
      <c r="H1530" s="2" t="s">
        <v>66</v>
      </c>
      <c r="I1530" s="2" t="n">
        <v>3</v>
      </c>
      <c r="J1530" s="11" t="n">
        <v>600</v>
      </c>
      <c r="K1530" s="12" t="n">
        <v>0.15</v>
      </c>
      <c r="L1530" s="11" t="n">
        <v>300</v>
      </c>
      <c r="M1530" s="11" t="n">
        <f aca="false">I1530*J1530*(1-K1530)</f>
        <v>1530</v>
      </c>
      <c r="N1530" s="11" t="n">
        <f aca="false">M1530-I1530*L1530</f>
        <v>630</v>
      </c>
    </row>
    <row r="1531" customFormat="false" ht="15" hidden="false" customHeight="false" outlineLevel="0" collapsed="false">
      <c r="A1531" s="2" t="s">
        <v>2372</v>
      </c>
      <c r="B1531" s="2" t="s">
        <v>2369</v>
      </c>
      <c r="C1531" s="10" t="n">
        <v>45947</v>
      </c>
      <c r="D1531" s="2" t="n">
        <f aca="false">MONTH(C1531)</f>
        <v>10</v>
      </c>
      <c r="E1531" s="2" t="s">
        <v>91</v>
      </c>
      <c r="F1531" s="2" t="s">
        <v>92</v>
      </c>
      <c r="G1531" s="2" t="s">
        <v>70</v>
      </c>
      <c r="H1531" s="2" t="s">
        <v>97</v>
      </c>
      <c r="I1531" s="2" t="n">
        <v>3</v>
      </c>
      <c r="J1531" s="11" t="n">
        <v>3000</v>
      </c>
      <c r="K1531" s="12" t="n">
        <v>0.15</v>
      </c>
      <c r="L1531" s="11" t="n">
        <v>2000</v>
      </c>
      <c r="M1531" s="11" t="n">
        <f aca="false">I1531*J1531*(1-K1531)</f>
        <v>7650</v>
      </c>
      <c r="N1531" s="11" t="n">
        <f aca="false">M1531-I1531*L1531</f>
        <v>1650</v>
      </c>
    </row>
    <row r="1532" customFormat="false" ht="15" hidden="false" customHeight="false" outlineLevel="0" collapsed="false">
      <c r="A1532" s="2" t="s">
        <v>2592</v>
      </c>
      <c r="B1532" s="2" t="s">
        <v>2590</v>
      </c>
      <c r="C1532" s="10" t="n">
        <v>45947</v>
      </c>
      <c r="D1532" s="2" t="n">
        <f aca="false">MONTH(C1532)</f>
        <v>10</v>
      </c>
      <c r="E1532" s="2" t="s">
        <v>77</v>
      </c>
      <c r="F1532" s="2" t="s">
        <v>64</v>
      </c>
      <c r="G1532" s="2" t="s">
        <v>65</v>
      </c>
      <c r="H1532" s="2" t="s">
        <v>78</v>
      </c>
      <c r="I1532" s="2" t="n">
        <v>6</v>
      </c>
      <c r="J1532" s="11" t="n">
        <v>400</v>
      </c>
      <c r="K1532" s="12" t="n">
        <v>0.05</v>
      </c>
      <c r="L1532" s="11" t="n">
        <v>200</v>
      </c>
      <c r="M1532" s="11" t="n">
        <f aca="false">I1532*J1532*(1-K1532)</f>
        <v>2280</v>
      </c>
      <c r="N1532" s="11" t="n">
        <f aca="false">M1532-I1532*L1532</f>
        <v>1080</v>
      </c>
    </row>
    <row r="1533" customFormat="false" ht="15" hidden="false" customHeight="false" outlineLevel="0" collapsed="false">
      <c r="A1533" s="2" t="s">
        <v>2745</v>
      </c>
      <c r="B1533" s="2" t="s">
        <v>2743</v>
      </c>
      <c r="C1533" s="10" t="n">
        <v>45947</v>
      </c>
      <c r="D1533" s="2" t="n">
        <f aca="false">MONTH(C1533)</f>
        <v>10</v>
      </c>
      <c r="E1533" s="2" t="s">
        <v>81</v>
      </c>
      <c r="F1533" s="2" t="s">
        <v>64</v>
      </c>
      <c r="G1533" s="2" t="s">
        <v>70</v>
      </c>
      <c r="H1533" s="2" t="s">
        <v>126</v>
      </c>
      <c r="I1533" s="2" t="n">
        <v>1</v>
      </c>
      <c r="J1533" s="11" t="n">
        <v>4500</v>
      </c>
      <c r="K1533" s="12" t="n">
        <v>0.15</v>
      </c>
      <c r="L1533" s="11" t="n">
        <v>3300</v>
      </c>
      <c r="M1533" s="11" t="n">
        <f aca="false">I1533*J1533*(1-K1533)</f>
        <v>3825</v>
      </c>
      <c r="N1533" s="11" t="n">
        <f aca="false">M1533-I1533*L1533</f>
        <v>525</v>
      </c>
    </row>
    <row r="1534" customFormat="false" ht="15" hidden="false" customHeight="false" outlineLevel="0" collapsed="false">
      <c r="A1534" s="2" t="s">
        <v>260</v>
      </c>
      <c r="B1534" s="2" t="s">
        <v>254</v>
      </c>
      <c r="C1534" s="10" t="n">
        <v>45948</v>
      </c>
      <c r="D1534" s="2" t="n">
        <f aca="false">MONTH(C1534)</f>
        <v>10</v>
      </c>
      <c r="E1534" s="2" t="s">
        <v>77</v>
      </c>
      <c r="F1534" s="2" t="s">
        <v>64</v>
      </c>
      <c r="G1534" s="2" t="s">
        <v>73</v>
      </c>
      <c r="H1534" s="2" t="s">
        <v>104</v>
      </c>
      <c r="I1534" s="2" t="n">
        <v>2</v>
      </c>
      <c r="J1534" s="11" t="n">
        <v>5500</v>
      </c>
      <c r="K1534" s="12" t="n">
        <v>0.1</v>
      </c>
      <c r="L1534" s="11" t="n">
        <v>3600</v>
      </c>
      <c r="M1534" s="11" t="n">
        <f aca="false">I1534*J1534*(1-K1534)</f>
        <v>9900</v>
      </c>
      <c r="N1534" s="11" t="n">
        <f aca="false">M1534-I1534*L1534</f>
        <v>2700</v>
      </c>
    </row>
    <row r="1535" customFormat="false" ht="15" hidden="false" customHeight="false" outlineLevel="0" collapsed="false">
      <c r="A1535" s="2" t="s">
        <v>545</v>
      </c>
      <c r="B1535" s="2" t="s">
        <v>546</v>
      </c>
      <c r="C1535" s="10" t="n">
        <v>45948</v>
      </c>
      <c r="D1535" s="2" t="n">
        <f aca="false">MONTH(C1535)</f>
        <v>10</v>
      </c>
      <c r="E1535" s="2" t="s">
        <v>77</v>
      </c>
      <c r="F1535" s="2" t="s">
        <v>69</v>
      </c>
      <c r="G1535" s="2" t="s">
        <v>70</v>
      </c>
      <c r="H1535" s="2" t="s">
        <v>71</v>
      </c>
      <c r="I1535" s="2" t="n">
        <v>4</v>
      </c>
      <c r="J1535" s="11" t="n">
        <v>2500</v>
      </c>
      <c r="K1535" s="12" t="n">
        <v>0.05</v>
      </c>
      <c r="L1535" s="11" t="n">
        <v>1600</v>
      </c>
      <c r="M1535" s="11" t="n">
        <f aca="false">I1535*J1535*(1-K1535)</f>
        <v>9500</v>
      </c>
      <c r="N1535" s="11" t="n">
        <f aca="false">M1535-I1535*L1535</f>
        <v>3100</v>
      </c>
    </row>
    <row r="1536" customFormat="false" ht="15" hidden="false" customHeight="false" outlineLevel="0" collapsed="false">
      <c r="A1536" s="2" t="s">
        <v>1305</v>
      </c>
      <c r="B1536" s="2" t="s">
        <v>1300</v>
      </c>
      <c r="C1536" s="10" t="n">
        <v>45948</v>
      </c>
      <c r="D1536" s="2" t="n">
        <f aca="false">MONTH(C1536)</f>
        <v>10</v>
      </c>
      <c r="E1536" s="2" t="s">
        <v>77</v>
      </c>
      <c r="F1536" s="2" t="s">
        <v>92</v>
      </c>
      <c r="G1536" s="2" t="s">
        <v>73</v>
      </c>
      <c r="H1536" s="2" t="s">
        <v>87</v>
      </c>
      <c r="I1536" s="2" t="n">
        <v>2</v>
      </c>
      <c r="J1536" s="11" t="n">
        <v>9000</v>
      </c>
      <c r="K1536" s="12" t="n">
        <v>0.05</v>
      </c>
      <c r="L1536" s="11" t="n">
        <v>6200</v>
      </c>
      <c r="M1536" s="11" t="n">
        <f aca="false">I1536*J1536*(1-K1536)</f>
        <v>17100</v>
      </c>
      <c r="N1536" s="11" t="n">
        <f aca="false">M1536-I1536*L1536</f>
        <v>4700</v>
      </c>
    </row>
    <row r="1537" customFormat="false" ht="15" hidden="false" customHeight="false" outlineLevel="0" collapsed="false">
      <c r="A1537" s="2" t="s">
        <v>2307</v>
      </c>
      <c r="B1537" s="2" t="s">
        <v>2305</v>
      </c>
      <c r="C1537" s="10" t="n">
        <v>45948</v>
      </c>
      <c r="D1537" s="2" t="n">
        <f aca="false">MONTH(C1537)</f>
        <v>10</v>
      </c>
      <c r="E1537" s="2" t="s">
        <v>81</v>
      </c>
      <c r="F1537" s="2" t="s">
        <v>64</v>
      </c>
      <c r="G1537" s="2" t="s">
        <v>70</v>
      </c>
      <c r="H1537" s="2" t="s">
        <v>71</v>
      </c>
      <c r="I1537" s="2" t="n">
        <v>1</v>
      </c>
      <c r="J1537" s="11" t="n">
        <v>2500</v>
      </c>
      <c r="K1537" s="12" t="n">
        <v>0.05</v>
      </c>
      <c r="L1537" s="11" t="n">
        <v>1600</v>
      </c>
      <c r="M1537" s="11" t="n">
        <f aca="false">I1537*J1537*(1-K1537)</f>
        <v>2375</v>
      </c>
      <c r="N1537" s="11" t="n">
        <f aca="false">M1537-I1537*L1537</f>
        <v>775</v>
      </c>
    </row>
    <row r="1538" customFormat="false" ht="15" hidden="false" customHeight="false" outlineLevel="0" collapsed="false">
      <c r="A1538" s="2" t="s">
        <v>2319</v>
      </c>
      <c r="B1538" s="2" t="s">
        <v>2318</v>
      </c>
      <c r="C1538" s="10" t="n">
        <v>45948</v>
      </c>
      <c r="D1538" s="2" t="n">
        <f aca="false">MONTH(C1538)</f>
        <v>10</v>
      </c>
      <c r="E1538" s="2" t="s">
        <v>77</v>
      </c>
      <c r="F1538" s="2" t="s">
        <v>64</v>
      </c>
      <c r="G1538" s="2" t="s">
        <v>70</v>
      </c>
      <c r="H1538" s="2" t="s">
        <v>71</v>
      </c>
      <c r="I1538" s="2" t="n">
        <v>1</v>
      </c>
      <c r="J1538" s="11" t="n">
        <v>2500</v>
      </c>
      <c r="K1538" s="12" t="n">
        <v>0.05</v>
      </c>
      <c r="L1538" s="11" t="n">
        <v>1600</v>
      </c>
      <c r="M1538" s="11" t="n">
        <f aca="false">I1538*J1538*(1-K1538)</f>
        <v>2375</v>
      </c>
      <c r="N1538" s="11" t="n">
        <f aca="false">M1538-I1538*L1538</f>
        <v>775</v>
      </c>
    </row>
    <row r="1539" customFormat="false" ht="15" hidden="false" customHeight="false" outlineLevel="0" collapsed="false">
      <c r="A1539" s="2" t="s">
        <v>2942</v>
      </c>
      <c r="B1539" s="2" t="s">
        <v>2943</v>
      </c>
      <c r="C1539" s="10" t="n">
        <v>45948</v>
      </c>
      <c r="D1539" s="2" t="n">
        <f aca="false">MONTH(C1539)</f>
        <v>10</v>
      </c>
      <c r="E1539" s="2" t="s">
        <v>91</v>
      </c>
      <c r="F1539" s="2" t="s">
        <v>64</v>
      </c>
      <c r="G1539" s="2" t="s">
        <v>65</v>
      </c>
      <c r="H1539" s="2" t="s">
        <v>82</v>
      </c>
      <c r="I1539" s="2" t="n">
        <v>3</v>
      </c>
      <c r="J1539" s="11" t="n">
        <v>250</v>
      </c>
      <c r="K1539" s="12" t="n">
        <v>0.05</v>
      </c>
      <c r="L1539" s="11" t="n">
        <v>100</v>
      </c>
      <c r="M1539" s="11" t="n">
        <f aca="false">I1539*J1539*(1-K1539)</f>
        <v>712.5</v>
      </c>
      <c r="N1539" s="11" t="n">
        <f aca="false">M1539-I1539*L1539</f>
        <v>412.5</v>
      </c>
    </row>
    <row r="1540" customFormat="false" ht="15" hidden="false" customHeight="false" outlineLevel="0" collapsed="false">
      <c r="A1540" s="2" t="s">
        <v>217</v>
      </c>
      <c r="B1540" s="2" t="s">
        <v>218</v>
      </c>
      <c r="C1540" s="10" t="n">
        <v>45949</v>
      </c>
      <c r="D1540" s="2" t="n">
        <f aca="false">MONTH(C1540)</f>
        <v>10</v>
      </c>
      <c r="E1540" s="2" t="s">
        <v>63</v>
      </c>
      <c r="F1540" s="2" t="s">
        <v>69</v>
      </c>
      <c r="G1540" s="2" t="s">
        <v>65</v>
      </c>
      <c r="H1540" s="2" t="s">
        <v>66</v>
      </c>
      <c r="I1540" s="2" t="n">
        <v>7</v>
      </c>
      <c r="J1540" s="11" t="n">
        <v>600</v>
      </c>
      <c r="K1540" s="12" t="n">
        <v>0.1</v>
      </c>
      <c r="L1540" s="11" t="n">
        <v>300</v>
      </c>
      <c r="M1540" s="11" t="n">
        <f aca="false">I1540*J1540*(1-K1540)</f>
        <v>3780</v>
      </c>
      <c r="N1540" s="11" t="n">
        <f aca="false">M1540-I1540*L1540</f>
        <v>1680</v>
      </c>
    </row>
    <row r="1541" customFormat="false" ht="15" hidden="false" customHeight="false" outlineLevel="0" collapsed="false">
      <c r="A1541" s="2" t="s">
        <v>346</v>
      </c>
      <c r="B1541" s="2" t="s">
        <v>345</v>
      </c>
      <c r="C1541" s="10" t="n">
        <v>45949</v>
      </c>
      <c r="D1541" s="2" t="n">
        <f aca="false">MONTH(C1541)</f>
        <v>10</v>
      </c>
      <c r="E1541" s="2" t="s">
        <v>77</v>
      </c>
      <c r="F1541" s="2" t="s">
        <v>69</v>
      </c>
      <c r="G1541" s="2" t="s">
        <v>70</v>
      </c>
      <c r="H1541" s="2" t="s">
        <v>126</v>
      </c>
      <c r="I1541" s="2" t="n">
        <v>2</v>
      </c>
      <c r="J1541" s="11" t="n">
        <v>4500</v>
      </c>
      <c r="K1541" s="12" t="n">
        <v>0.05</v>
      </c>
      <c r="L1541" s="11" t="n">
        <v>3300</v>
      </c>
      <c r="M1541" s="11" t="n">
        <f aca="false">I1541*J1541*(1-K1541)</f>
        <v>8550</v>
      </c>
      <c r="N1541" s="11" t="n">
        <f aca="false">M1541-I1541*L1541</f>
        <v>1950</v>
      </c>
    </row>
    <row r="1542" customFormat="false" ht="15" hidden="false" customHeight="false" outlineLevel="0" collapsed="false">
      <c r="A1542" s="2" t="s">
        <v>1075</v>
      </c>
      <c r="B1542" s="2" t="s">
        <v>1071</v>
      </c>
      <c r="C1542" s="10" t="n">
        <v>45949</v>
      </c>
      <c r="D1542" s="2" t="n">
        <f aca="false">MONTH(C1542)</f>
        <v>10</v>
      </c>
      <c r="E1542" s="2" t="s">
        <v>77</v>
      </c>
      <c r="F1542" s="2" t="s">
        <v>92</v>
      </c>
      <c r="G1542" s="2" t="s">
        <v>70</v>
      </c>
      <c r="H1542" s="2" t="s">
        <v>71</v>
      </c>
      <c r="I1542" s="2" t="n">
        <v>2</v>
      </c>
      <c r="J1542" s="11" t="n">
        <v>2500</v>
      </c>
      <c r="K1542" s="12" t="n">
        <v>0.1</v>
      </c>
      <c r="L1542" s="11" t="n">
        <v>1600</v>
      </c>
      <c r="M1542" s="11" t="n">
        <f aca="false">I1542*J1542*(1-K1542)</f>
        <v>4500</v>
      </c>
      <c r="N1542" s="11" t="n">
        <f aca="false">M1542-I1542*L1542</f>
        <v>1300</v>
      </c>
    </row>
    <row r="1543" customFormat="false" ht="15" hidden="false" customHeight="false" outlineLevel="0" collapsed="false">
      <c r="A1543" s="2" t="s">
        <v>1608</v>
      </c>
      <c r="B1543" s="2" t="s">
        <v>1609</v>
      </c>
      <c r="C1543" s="10" t="n">
        <v>45949</v>
      </c>
      <c r="D1543" s="2" t="n">
        <f aca="false">MONTH(C1543)</f>
        <v>10</v>
      </c>
      <c r="E1543" s="2" t="s">
        <v>81</v>
      </c>
      <c r="F1543" s="2" t="s">
        <v>92</v>
      </c>
      <c r="G1543" s="2" t="s">
        <v>73</v>
      </c>
      <c r="H1543" s="2" t="s">
        <v>85</v>
      </c>
      <c r="I1543" s="2" t="n">
        <v>5</v>
      </c>
      <c r="J1543" s="11" t="n">
        <v>1200</v>
      </c>
      <c r="K1543" s="12" t="n">
        <v>0.15</v>
      </c>
      <c r="L1543" s="11" t="n">
        <v>600</v>
      </c>
      <c r="M1543" s="11" t="n">
        <f aca="false">I1543*J1543*(1-K1543)</f>
        <v>5100</v>
      </c>
      <c r="N1543" s="11" t="n">
        <f aca="false">M1543-I1543*L1543</f>
        <v>2100</v>
      </c>
    </row>
    <row r="1544" customFormat="false" ht="15" hidden="false" customHeight="false" outlineLevel="0" collapsed="false">
      <c r="A1544" s="2" t="s">
        <v>1659</v>
      </c>
      <c r="B1544" s="2" t="s">
        <v>1655</v>
      </c>
      <c r="C1544" s="10" t="n">
        <v>45949</v>
      </c>
      <c r="D1544" s="2" t="n">
        <f aca="false">MONTH(C1544)</f>
        <v>10</v>
      </c>
      <c r="E1544" s="2" t="s">
        <v>91</v>
      </c>
      <c r="F1544" s="2" t="s">
        <v>64</v>
      </c>
      <c r="G1544" s="2" t="s">
        <v>65</v>
      </c>
      <c r="H1544" s="2" t="s">
        <v>78</v>
      </c>
      <c r="I1544" s="2" t="n">
        <v>3</v>
      </c>
      <c r="J1544" s="11" t="n">
        <v>400</v>
      </c>
      <c r="K1544" s="12" t="n">
        <v>0.15</v>
      </c>
      <c r="L1544" s="11" t="n">
        <v>200</v>
      </c>
      <c r="M1544" s="11" t="n">
        <f aca="false">I1544*J1544*(1-K1544)</f>
        <v>1020</v>
      </c>
      <c r="N1544" s="11" t="n">
        <f aca="false">M1544-I1544*L1544</f>
        <v>420</v>
      </c>
    </row>
    <row r="1545" customFormat="false" ht="15" hidden="false" customHeight="false" outlineLevel="0" collapsed="false">
      <c r="A1545" s="2" t="s">
        <v>1737</v>
      </c>
      <c r="B1545" s="2" t="s">
        <v>1734</v>
      </c>
      <c r="C1545" s="10" t="n">
        <v>45949</v>
      </c>
      <c r="D1545" s="2" t="n">
        <f aca="false">MONTH(C1545)</f>
        <v>10</v>
      </c>
      <c r="E1545" s="2" t="s">
        <v>63</v>
      </c>
      <c r="F1545" s="2" t="s">
        <v>64</v>
      </c>
      <c r="G1545" s="2" t="s">
        <v>65</v>
      </c>
      <c r="H1545" s="2" t="s">
        <v>82</v>
      </c>
      <c r="I1545" s="2" t="n">
        <v>7</v>
      </c>
      <c r="J1545" s="11" t="n">
        <v>250</v>
      </c>
      <c r="K1545" s="12" t="n">
        <v>0.05</v>
      </c>
      <c r="L1545" s="11" t="n">
        <v>100</v>
      </c>
      <c r="M1545" s="11" t="n">
        <f aca="false">I1545*J1545*(1-K1545)</f>
        <v>1662.5</v>
      </c>
      <c r="N1545" s="11" t="n">
        <f aca="false">M1545-I1545*L1545</f>
        <v>962.5</v>
      </c>
    </row>
    <row r="1546" customFormat="false" ht="15" hidden="false" customHeight="false" outlineLevel="0" collapsed="false">
      <c r="A1546" s="2" t="s">
        <v>2029</v>
      </c>
      <c r="B1546" s="2" t="s">
        <v>2028</v>
      </c>
      <c r="C1546" s="10" t="n">
        <v>45949</v>
      </c>
      <c r="D1546" s="2" t="n">
        <f aca="false">MONTH(C1546)</f>
        <v>10</v>
      </c>
      <c r="E1546" s="2" t="s">
        <v>81</v>
      </c>
      <c r="F1546" s="2" t="s">
        <v>64</v>
      </c>
      <c r="G1546" s="2" t="s">
        <v>70</v>
      </c>
      <c r="H1546" s="2" t="s">
        <v>126</v>
      </c>
      <c r="I1546" s="2" t="n">
        <v>3</v>
      </c>
      <c r="J1546" s="11" t="n">
        <v>4500</v>
      </c>
      <c r="K1546" s="12" t="n">
        <v>0.1</v>
      </c>
      <c r="L1546" s="11" t="n">
        <v>3300</v>
      </c>
      <c r="M1546" s="11" t="n">
        <f aca="false">I1546*J1546*(1-K1546)</f>
        <v>12150</v>
      </c>
      <c r="N1546" s="11" t="n">
        <f aca="false">M1546-I1546*L1546</f>
        <v>2250</v>
      </c>
    </row>
    <row r="1547" customFormat="false" ht="15" hidden="false" customHeight="false" outlineLevel="0" collapsed="false">
      <c r="A1547" s="2" t="s">
        <v>2225</v>
      </c>
      <c r="B1547" s="2" t="s">
        <v>2226</v>
      </c>
      <c r="C1547" s="10" t="n">
        <v>45949</v>
      </c>
      <c r="D1547" s="2" t="n">
        <f aca="false">MONTH(C1547)</f>
        <v>10</v>
      </c>
      <c r="E1547" s="2" t="s">
        <v>81</v>
      </c>
      <c r="F1547" s="2" t="s">
        <v>92</v>
      </c>
      <c r="G1547" s="2" t="s">
        <v>70</v>
      </c>
      <c r="H1547" s="2" t="s">
        <v>122</v>
      </c>
      <c r="I1547" s="2" t="n">
        <v>8</v>
      </c>
      <c r="J1547" s="11" t="n">
        <v>1500</v>
      </c>
      <c r="K1547" s="12" t="n">
        <v>0.05</v>
      </c>
      <c r="L1547" s="11" t="n">
        <v>900</v>
      </c>
      <c r="M1547" s="11" t="n">
        <f aca="false">I1547*J1547*(1-K1547)</f>
        <v>11400</v>
      </c>
      <c r="N1547" s="11" t="n">
        <f aca="false">M1547-I1547*L1547</f>
        <v>4200</v>
      </c>
    </row>
    <row r="1548" customFormat="false" ht="15" hidden="false" customHeight="false" outlineLevel="0" collapsed="false">
      <c r="A1548" s="2" t="s">
        <v>2921</v>
      </c>
      <c r="B1548" s="2" t="s">
        <v>2916</v>
      </c>
      <c r="C1548" s="10" t="n">
        <v>45949</v>
      </c>
      <c r="D1548" s="2" t="n">
        <f aca="false">MONTH(C1548)</f>
        <v>10</v>
      </c>
      <c r="E1548" s="2" t="s">
        <v>63</v>
      </c>
      <c r="F1548" s="2" t="s">
        <v>69</v>
      </c>
      <c r="G1548" s="2" t="s">
        <v>70</v>
      </c>
      <c r="H1548" s="2" t="s">
        <v>126</v>
      </c>
      <c r="I1548" s="2" t="n">
        <v>4</v>
      </c>
      <c r="J1548" s="11" t="n">
        <v>4500</v>
      </c>
      <c r="K1548" s="12" t="n">
        <v>0.05</v>
      </c>
      <c r="L1548" s="11" t="n">
        <v>3300</v>
      </c>
      <c r="M1548" s="11" t="n">
        <f aca="false">I1548*J1548*(1-K1548)</f>
        <v>17100</v>
      </c>
      <c r="N1548" s="11" t="n">
        <f aca="false">M1548-I1548*L1548</f>
        <v>3900</v>
      </c>
    </row>
    <row r="1549" customFormat="false" ht="15" hidden="false" customHeight="false" outlineLevel="0" collapsed="false">
      <c r="A1549" s="2" t="s">
        <v>369</v>
      </c>
      <c r="B1549" s="2" t="s">
        <v>361</v>
      </c>
      <c r="C1549" s="10" t="n">
        <v>45950</v>
      </c>
      <c r="D1549" s="2" t="n">
        <f aca="false">MONTH(C1549)</f>
        <v>10</v>
      </c>
      <c r="E1549" s="2" t="s">
        <v>77</v>
      </c>
      <c r="F1549" s="2" t="s">
        <v>64</v>
      </c>
      <c r="G1549" s="2" t="s">
        <v>65</v>
      </c>
      <c r="H1549" s="2" t="s">
        <v>82</v>
      </c>
      <c r="I1549" s="2" t="n">
        <v>7</v>
      </c>
      <c r="J1549" s="11" t="n">
        <v>250</v>
      </c>
      <c r="K1549" s="12" t="n">
        <v>0.15</v>
      </c>
      <c r="L1549" s="11" t="n">
        <v>100</v>
      </c>
      <c r="M1549" s="11" t="n">
        <f aca="false">I1549*J1549*(1-K1549)</f>
        <v>1487.5</v>
      </c>
      <c r="N1549" s="11" t="n">
        <f aca="false">M1549-I1549*L1549</f>
        <v>787.5</v>
      </c>
    </row>
    <row r="1550" customFormat="false" ht="15" hidden="false" customHeight="false" outlineLevel="0" collapsed="false">
      <c r="A1550" s="2" t="s">
        <v>417</v>
      </c>
      <c r="B1550" s="2" t="s">
        <v>418</v>
      </c>
      <c r="C1550" s="10" t="n">
        <v>45950</v>
      </c>
      <c r="D1550" s="2" t="n">
        <f aca="false">MONTH(C1550)</f>
        <v>10</v>
      </c>
      <c r="E1550" s="2" t="s">
        <v>77</v>
      </c>
      <c r="F1550" s="2" t="s">
        <v>64</v>
      </c>
      <c r="G1550" s="2" t="s">
        <v>73</v>
      </c>
      <c r="H1550" s="2" t="s">
        <v>104</v>
      </c>
      <c r="I1550" s="2" t="n">
        <v>1</v>
      </c>
      <c r="J1550" s="11" t="n">
        <v>5500</v>
      </c>
      <c r="K1550" s="12" t="n">
        <v>0.05</v>
      </c>
      <c r="L1550" s="11" t="n">
        <v>3600</v>
      </c>
      <c r="M1550" s="11" t="n">
        <f aca="false">I1550*J1550*(1-K1550)</f>
        <v>5225</v>
      </c>
      <c r="N1550" s="11" t="n">
        <f aca="false">M1550-I1550*L1550</f>
        <v>1625</v>
      </c>
    </row>
    <row r="1551" customFormat="false" ht="15" hidden="false" customHeight="false" outlineLevel="0" collapsed="false">
      <c r="A1551" s="2" t="s">
        <v>1121</v>
      </c>
      <c r="B1551" s="2" t="s">
        <v>1122</v>
      </c>
      <c r="C1551" s="10" t="n">
        <v>45950</v>
      </c>
      <c r="D1551" s="2" t="n">
        <f aca="false">MONTH(C1551)</f>
        <v>10</v>
      </c>
      <c r="E1551" s="2" t="s">
        <v>91</v>
      </c>
      <c r="F1551" s="2" t="s">
        <v>64</v>
      </c>
      <c r="G1551" s="2" t="s">
        <v>73</v>
      </c>
      <c r="H1551" s="2" t="s">
        <v>85</v>
      </c>
      <c r="I1551" s="2" t="n">
        <v>1</v>
      </c>
      <c r="J1551" s="11" t="n">
        <v>1200</v>
      </c>
      <c r="K1551" s="12" t="n">
        <v>0.05</v>
      </c>
      <c r="L1551" s="11" t="n">
        <v>600</v>
      </c>
      <c r="M1551" s="11" t="n">
        <f aca="false">I1551*J1551*(1-K1551)</f>
        <v>1140</v>
      </c>
      <c r="N1551" s="11" t="n">
        <f aca="false">M1551-I1551*L1551</f>
        <v>540</v>
      </c>
    </row>
    <row r="1552" customFormat="false" ht="15" hidden="false" customHeight="false" outlineLevel="0" collapsed="false">
      <c r="A1552" s="2" t="s">
        <v>1582</v>
      </c>
      <c r="B1552" s="2" t="s">
        <v>1579</v>
      </c>
      <c r="C1552" s="10" t="n">
        <v>45950</v>
      </c>
      <c r="D1552" s="2" t="n">
        <f aca="false">MONTH(C1552)</f>
        <v>10</v>
      </c>
      <c r="E1552" s="2" t="s">
        <v>77</v>
      </c>
      <c r="F1552" s="2" t="s">
        <v>92</v>
      </c>
      <c r="G1552" s="2" t="s">
        <v>73</v>
      </c>
      <c r="H1552" s="2" t="s">
        <v>85</v>
      </c>
      <c r="I1552" s="2" t="n">
        <v>7</v>
      </c>
      <c r="J1552" s="11" t="n">
        <v>1200</v>
      </c>
      <c r="K1552" s="12" t="n">
        <v>0.1</v>
      </c>
      <c r="L1552" s="11" t="n">
        <v>600</v>
      </c>
      <c r="M1552" s="11" t="n">
        <f aca="false">I1552*J1552*(1-K1552)</f>
        <v>7560</v>
      </c>
      <c r="N1552" s="11" t="n">
        <f aca="false">M1552-I1552*L1552</f>
        <v>3360</v>
      </c>
    </row>
    <row r="1553" customFormat="false" ht="15" hidden="false" customHeight="false" outlineLevel="0" collapsed="false">
      <c r="A1553" s="2" t="s">
        <v>2270</v>
      </c>
      <c r="B1553" s="2" t="s">
        <v>2268</v>
      </c>
      <c r="C1553" s="10" t="n">
        <v>45950</v>
      </c>
      <c r="D1553" s="2" t="n">
        <f aca="false">MONTH(C1553)</f>
        <v>10</v>
      </c>
      <c r="E1553" s="2" t="s">
        <v>81</v>
      </c>
      <c r="F1553" s="2" t="s">
        <v>92</v>
      </c>
      <c r="G1553" s="2" t="s">
        <v>70</v>
      </c>
      <c r="H1553" s="2" t="s">
        <v>126</v>
      </c>
      <c r="I1553" s="2" t="n">
        <v>6</v>
      </c>
      <c r="J1553" s="11" t="n">
        <v>4500</v>
      </c>
      <c r="K1553" s="12" t="n">
        <v>0.05</v>
      </c>
      <c r="L1553" s="11" t="n">
        <v>3300</v>
      </c>
      <c r="M1553" s="11" t="n">
        <f aca="false">I1553*J1553*(1-K1553)</f>
        <v>25650</v>
      </c>
      <c r="N1553" s="11" t="n">
        <f aca="false">M1553-I1553*L1553</f>
        <v>5850</v>
      </c>
    </row>
    <row r="1554" customFormat="false" ht="15" hidden="false" customHeight="false" outlineLevel="0" collapsed="false">
      <c r="A1554" s="2" t="s">
        <v>2749</v>
      </c>
      <c r="B1554" s="2" t="s">
        <v>2750</v>
      </c>
      <c r="C1554" s="10" t="n">
        <v>45950</v>
      </c>
      <c r="D1554" s="2" t="n">
        <f aca="false">MONTH(C1554)</f>
        <v>10</v>
      </c>
      <c r="E1554" s="2" t="s">
        <v>63</v>
      </c>
      <c r="F1554" s="2" t="s">
        <v>64</v>
      </c>
      <c r="G1554" s="2" t="s">
        <v>65</v>
      </c>
      <c r="H1554" s="2" t="s">
        <v>107</v>
      </c>
      <c r="I1554" s="2" t="n">
        <v>7</v>
      </c>
      <c r="J1554" s="11" t="n">
        <v>500</v>
      </c>
      <c r="K1554" s="12" t="n">
        <v>0.05</v>
      </c>
      <c r="L1554" s="11" t="n">
        <v>250</v>
      </c>
      <c r="M1554" s="11" t="n">
        <f aca="false">I1554*J1554*(1-K1554)</f>
        <v>3325</v>
      </c>
      <c r="N1554" s="11" t="n">
        <f aca="false">M1554-I1554*L1554</f>
        <v>1575</v>
      </c>
    </row>
    <row r="1555" customFormat="false" ht="15" hidden="false" customHeight="false" outlineLevel="0" collapsed="false">
      <c r="A1555" s="2" t="s">
        <v>2778</v>
      </c>
      <c r="B1555" s="2" t="s">
        <v>2779</v>
      </c>
      <c r="C1555" s="10" t="n">
        <v>45950</v>
      </c>
      <c r="D1555" s="2" t="n">
        <f aca="false">MONTH(C1555)</f>
        <v>10</v>
      </c>
      <c r="E1555" s="2" t="s">
        <v>81</v>
      </c>
      <c r="F1555" s="2" t="s">
        <v>64</v>
      </c>
      <c r="G1555" s="2" t="s">
        <v>73</v>
      </c>
      <c r="H1555" s="2" t="s">
        <v>104</v>
      </c>
      <c r="I1555" s="2" t="n">
        <v>1</v>
      </c>
      <c r="J1555" s="11" t="n">
        <v>5500</v>
      </c>
      <c r="K1555" s="12" t="n">
        <v>0.1</v>
      </c>
      <c r="L1555" s="11" t="n">
        <v>3600</v>
      </c>
      <c r="M1555" s="11" t="n">
        <f aca="false">I1555*J1555*(1-K1555)</f>
        <v>4950</v>
      </c>
      <c r="N1555" s="11" t="n">
        <f aca="false">M1555-I1555*L1555</f>
        <v>1350</v>
      </c>
    </row>
    <row r="1556" customFormat="false" ht="15" hidden="false" customHeight="false" outlineLevel="0" collapsed="false">
      <c r="A1556" s="2" t="s">
        <v>219</v>
      </c>
      <c r="B1556" s="2" t="s">
        <v>218</v>
      </c>
      <c r="C1556" s="10" t="n">
        <v>45951</v>
      </c>
      <c r="D1556" s="2" t="n">
        <f aca="false">MONTH(C1556)</f>
        <v>10</v>
      </c>
      <c r="E1556" s="2" t="s">
        <v>63</v>
      </c>
      <c r="F1556" s="2" t="s">
        <v>69</v>
      </c>
      <c r="G1556" s="2" t="s">
        <v>65</v>
      </c>
      <c r="H1556" s="2" t="s">
        <v>78</v>
      </c>
      <c r="I1556" s="2" t="n">
        <v>5</v>
      </c>
      <c r="J1556" s="11" t="n">
        <v>400</v>
      </c>
      <c r="K1556" s="12" t="n">
        <v>0.05</v>
      </c>
      <c r="L1556" s="11" t="n">
        <v>200</v>
      </c>
      <c r="M1556" s="11" t="n">
        <f aca="false">I1556*J1556*(1-K1556)</f>
        <v>1900</v>
      </c>
      <c r="N1556" s="11" t="n">
        <f aca="false">M1556-I1556*L1556</f>
        <v>900</v>
      </c>
    </row>
    <row r="1557" customFormat="false" ht="15" hidden="false" customHeight="false" outlineLevel="0" collapsed="false">
      <c r="A1557" s="2" t="s">
        <v>964</v>
      </c>
      <c r="B1557" s="2" t="s">
        <v>965</v>
      </c>
      <c r="C1557" s="10" t="n">
        <v>45951</v>
      </c>
      <c r="D1557" s="2" t="n">
        <f aca="false">MONTH(C1557)</f>
        <v>10</v>
      </c>
      <c r="E1557" s="2" t="s">
        <v>63</v>
      </c>
      <c r="F1557" s="2" t="s">
        <v>64</v>
      </c>
      <c r="G1557" s="2" t="s">
        <v>65</v>
      </c>
      <c r="H1557" s="2" t="s">
        <v>82</v>
      </c>
      <c r="I1557" s="2" t="n">
        <v>2</v>
      </c>
      <c r="J1557" s="11" t="n">
        <v>250</v>
      </c>
      <c r="K1557" s="12" t="n">
        <v>0.15</v>
      </c>
      <c r="L1557" s="11" t="n">
        <v>100</v>
      </c>
      <c r="M1557" s="11" t="n">
        <f aca="false">I1557*J1557*(1-K1557)</f>
        <v>425</v>
      </c>
      <c r="N1557" s="11" t="n">
        <f aca="false">M1557-I1557*L1557</f>
        <v>225</v>
      </c>
    </row>
    <row r="1558" customFormat="false" ht="15" hidden="false" customHeight="false" outlineLevel="0" collapsed="false">
      <c r="A1558" s="2" t="s">
        <v>1110</v>
      </c>
      <c r="B1558" s="2" t="s">
        <v>1108</v>
      </c>
      <c r="C1558" s="10" t="n">
        <v>45951</v>
      </c>
      <c r="D1558" s="2" t="n">
        <f aca="false">MONTH(C1558)</f>
        <v>10</v>
      </c>
      <c r="E1558" s="2" t="s">
        <v>77</v>
      </c>
      <c r="F1558" s="2" t="s">
        <v>64</v>
      </c>
      <c r="G1558" s="2" t="s">
        <v>73</v>
      </c>
      <c r="H1558" s="2" t="s">
        <v>74</v>
      </c>
      <c r="I1558" s="2" t="n">
        <v>2</v>
      </c>
      <c r="J1558" s="11" t="n">
        <v>7000</v>
      </c>
      <c r="K1558" s="12" t="n">
        <v>0.05</v>
      </c>
      <c r="L1558" s="11" t="n">
        <v>4800</v>
      </c>
      <c r="M1558" s="11" t="n">
        <f aca="false">I1558*J1558*(1-K1558)</f>
        <v>13300</v>
      </c>
      <c r="N1558" s="11" t="n">
        <f aca="false">M1558-I1558*L1558</f>
        <v>3700</v>
      </c>
    </row>
    <row r="1559" customFormat="false" ht="15" hidden="false" customHeight="false" outlineLevel="0" collapsed="false">
      <c r="A1559" s="2" t="s">
        <v>2830</v>
      </c>
      <c r="B1559" s="2" t="s">
        <v>2827</v>
      </c>
      <c r="C1559" s="10" t="n">
        <v>45951</v>
      </c>
      <c r="D1559" s="2" t="n">
        <f aca="false">MONTH(C1559)</f>
        <v>10</v>
      </c>
      <c r="E1559" s="2" t="s">
        <v>77</v>
      </c>
      <c r="F1559" s="2" t="s">
        <v>64</v>
      </c>
      <c r="G1559" s="2" t="s">
        <v>73</v>
      </c>
      <c r="H1559" s="2" t="s">
        <v>87</v>
      </c>
      <c r="I1559" s="2" t="n">
        <v>2</v>
      </c>
      <c r="J1559" s="11" t="n">
        <v>9000</v>
      </c>
      <c r="K1559" s="12" t="n">
        <v>0.05</v>
      </c>
      <c r="L1559" s="11" t="n">
        <v>6200</v>
      </c>
      <c r="M1559" s="11" t="n">
        <f aca="false">I1559*J1559*(1-K1559)</f>
        <v>17100</v>
      </c>
      <c r="N1559" s="11" t="n">
        <f aca="false">M1559-I1559*L1559</f>
        <v>4700</v>
      </c>
    </row>
    <row r="1560" customFormat="false" ht="15" hidden="false" customHeight="false" outlineLevel="0" collapsed="false">
      <c r="A1560" s="2" t="s">
        <v>230</v>
      </c>
      <c r="B1560" s="2" t="s">
        <v>227</v>
      </c>
      <c r="C1560" s="10" t="n">
        <v>45952</v>
      </c>
      <c r="D1560" s="2" t="n">
        <f aca="false">MONTH(C1560)</f>
        <v>10</v>
      </c>
      <c r="E1560" s="2" t="s">
        <v>91</v>
      </c>
      <c r="F1560" s="2" t="s">
        <v>64</v>
      </c>
      <c r="G1560" s="2" t="s">
        <v>70</v>
      </c>
      <c r="H1560" s="2" t="s">
        <v>71</v>
      </c>
      <c r="I1560" s="2" t="n">
        <v>3</v>
      </c>
      <c r="J1560" s="11" t="n">
        <v>2500</v>
      </c>
      <c r="K1560" s="12" t="n">
        <v>0.05</v>
      </c>
      <c r="L1560" s="11" t="n">
        <v>1600</v>
      </c>
      <c r="M1560" s="11" t="n">
        <f aca="false">I1560*J1560*(1-K1560)</f>
        <v>7125</v>
      </c>
      <c r="N1560" s="11" t="n">
        <f aca="false">M1560-I1560*L1560</f>
        <v>2325</v>
      </c>
    </row>
    <row r="1561" customFormat="false" ht="15" hidden="false" customHeight="false" outlineLevel="0" collapsed="false">
      <c r="A1561" s="2" t="s">
        <v>238</v>
      </c>
      <c r="B1561" s="2" t="s">
        <v>236</v>
      </c>
      <c r="C1561" s="10" t="n">
        <v>45952</v>
      </c>
      <c r="D1561" s="2" t="n">
        <f aca="false">MONTH(C1561)</f>
        <v>10</v>
      </c>
      <c r="E1561" s="2" t="s">
        <v>91</v>
      </c>
      <c r="F1561" s="2" t="s">
        <v>64</v>
      </c>
      <c r="G1561" s="2" t="s">
        <v>65</v>
      </c>
      <c r="H1561" s="2" t="s">
        <v>78</v>
      </c>
      <c r="I1561" s="2" t="n">
        <v>5</v>
      </c>
      <c r="J1561" s="11" t="n">
        <v>400</v>
      </c>
      <c r="K1561" s="12" t="n">
        <v>0.05</v>
      </c>
      <c r="L1561" s="11" t="n">
        <v>200</v>
      </c>
      <c r="M1561" s="11" t="n">
        <f aca="false">I1561*J1561*(1-K1561)</f>
        <v>1900</v>
      </c>
      <c r="N1561" s="11" t="n">
        <f aca="false">M1561-I1561*L1561</f>
        <v>900</v>
      </c>
    </row>
    <row r="1562" customFormat="false" ht="15" hidden="false" customHeight="false" outlineLevel="0" collapsed="false">
      <c r="A1562" s="2" t="s">
        <v>288</v>
      </c>
      <c r="B1562" s="2" t="s">
        <v>286</v>
      </c>
      <c r="C1562" s="10" t="n">
        <v>45952</v>
      </c>
      <c r="D1562" s="2" t="n">
        <f aca="false">MONTH(C1562)</f>
        <v>10</v>
      </c>
      <c r="E1562" s="2" t="s">
        <v>77</v>
      </c>
      <c r="F1562" s="2" t="s">
        <v>64</v>
      </c>
      <c r="G1562" s="2" t="s">
        <v>73</v>
      </c>
      <c r="H1562" s="2" t="s">
        <v>74</v>
      </c>
      <c r="I1562" s="2" t="n">
        <v>1</v>
      </c>
      <c r="J1562" s="11" t="n">
        <v>7000</v>
      </c>
      <c r="K1562" s="12" t="n">
        <v>0.15</v>
      </c>
      <c r="L1562" s="11" t="n">
        <v>4800</v>
      </c>
      <c r="M1562" s="11" t="n">
        <f aca="false">I1562*J1562*(1-K1562)</f>
        <v>5950</v>
      </c>
      <c r="N1562" s="11" t="n">
        <f aca="false">M1562-I1562*L1562</f>
        <v>1150</v>
      </c>
    </row>
    <row r="1563" customFormat="false" ht="15" hidden="false" customHeight="false" outlineLevel="0" collapsed="false">
      <c r="A1563" s="2" t="s">
        <v>363</v>
      </c>
      <c r="B1563" s="2" t="s">
        <v>361</v>
      </c>
      <c r="C1563" s="10" t="n">
        <v>45952</v>
      </c>
      <c r="D1563" s="2" t="n">
        <f aca="false">MONTH(C1563)</f>
        <v>10</v>
      </c>
      <c r="E1563" s="2" t="s">
        <v>77</v>
      </c>
      <c r="F1563" s="2" t="s">
        <v>64</v>
      </c>
      <c r="G1563" s="2" t="s">
        <v>70</v>
      </c>
      <c r="H1563" s="2" t="s">
        <v>126</v>
      </c>
      <c r="I1563" s="2" t="n">
        <v>2</v>
      </c>
      <c r="J1563" s="11" t="n">
        <v>4500</v>
      </c>
      <c r="K1563" s="12" t="n">
        <v>0.05</v>
      </c>
      <c r="L1563" s="11" t="n">
        <v>3300</v>
      </c>
      <c r="M1563" s="11" t="n">
        <f aca="false">I1563*J1563*(1-K1563)</f>
        <v>8550</v>
      </c>
      <c r="N1563" s="11" t="n">
        <f aca="false">M1563-I1563*L1563</f>
        <v>1950</v>
      </c>
    </row>
    <row r="1564" customFormat="false" ht="15" hidden="false" customHeight="false" outlineLevel="0" collapsed="false">
      <c r="A1564" s="2" t="s">
        <v>1100</v>
      </c>
      <c r="B1564" s="2" t="s">
        <v>1099</v>
      </c>
      <c r="C1564" s="10" t="n">
        <v>45952</v>
      </c>
      <c r="D1564" s="2" t="n">
        <f aca="false">MONTH(C1564)</f>
        <v>10</v>
      </c>
      <c r="E1564" s="2" t="s">
        <v>81</v>
      </c>
      <c r="F1564" s="2" t="s">
        <v>64</v>
      </c>
      <c r="G1564" s="2" t="s">
        <v>70</v>
      </c>
      <c r="H1564" s="2" t="s">
        <v>97</v>
      </c>
      <c r="I1564" s="2" t="n">
        <v>1</v>
      </c>
      <c r="J1564" s="11" t="n">
        <v>3000</v>
      </c>
      <c r="K1564" s="12" t="n">
        <v>0.1</v>
      </c>
      <c r="L1564" s="11" t="n">
        <v>2000</v>
      </c>
      <c r="M1564" s="11" t="n">
        <f aca="false">I1564*J1564*(1-K1564)</f>
        <v>2700</v>
      </c>
      <c r="N1564" s="11" t="n">
        <f aca="false">M1564-I1564*L1564</f>
        <v>700</v>
      </c>
    </row>
    <row r="1565" customFormat="false" ht="15" hidden="false" customHeight="false" outlineLevel="0" collapsed="false">
      <c r="A1565" s="2" t="s">
        <v>1116</v>
      </c>
      <c r="B1565" s="2" t="s">
        <v>1115</v>
      </c>
      <c r="C1565" s="10" t="n">
        <v>45952</v>
      </c>
      <c r="D1565" s="2" t="n">
        <f aca="false">MONTH(C1565)</f>
        <v>10</v>
      </c>
      <c r="E1565" s="2" t="s">
        <v>81</v>
      </c>
      <c r="F1565" s="2" t="s">
        <v>92</v>
      </c>
      <c r="G1565" s="2" t="s">
        <v>65</v>
      </c>
      <c r="H1565" s="2" t="s">
        <v>78</v>
      </c>
      <c r="I1565" s="2" t="n">
        <v>16</v>
      </c>
      <c r="J1565" s="11" t="n">
        <v>400</v>
      </c>
      <c r="K1565" s="12" t="n">
        <v>0.1</v>
      </c>
      <c r="L1565" s="11" t="n">
        <v>200</v>
      </c>
      <c r="M1565" s="11" t="n">
        <f aca="false">I1565*J1565*(1-K1565)</f>
        <v>5760</v>
      </c>
      <c r="N1565" s="11" t="n">
        <f aca="false">M1565-I1565*L1565</f>
        <v>2560</v>
      </c>
    </row>
    <row r="1566" customFormat="false" ht="15" hidden="false" customHeight="false" outlineLevel="0" collapsed="false">
      <c r="A1566" s="2" t="s">
        <v>1224</v>
      </c>
      <c r="B1566" s="2" t="s">
        <v>1223</v>
      </c>
      <c r="C1566" s="10" t="n">
        <v>45952</v>
      </c>
      <c r="D1566" s="2" t="n">
        <f aca="false">MONTH(C1566)</f>
        <v>10</v>
      </c>
      <c r="E1566" s="2" t="s">
        <v>63</v>
      </c>
      <c r="F1566" s="2" t="s">
        <v>69</v>
      </c>
      <c r="G1566" s="2" t="s">
        <v>70</v>
      </c>
      <c r="H1566" s="2" t="s">
        <v>122</v>
      </c>
      <c r="I1566" s="2" t="n">
        <v>2</v>
      </c>
      <c r="J1566" s="11" t="n">
        <v>1500</v>
      </c>
      <c r="K1566" s="12" t="n">
        <v>0.05</v>
      </c>
      <c r="L1566" s="11" t="n">
        <v>900</v>
      </c>
      <c r="M1566" s="11" t="n">
        <f aca="false">I1566*J1566*(1-K1566)</f>
        <v>2850</v>
      </c>
      <c r="N1566" s="11" t="n">
        <f aca="false">M1566-I1566*L1566</f>
        <v>1050</v>
      </c>
    </row>
    <row r="1567" customFormat="false" ht="15" hidden="false" customHeight="false" outlineLevel="0" collapsed="false">
      <c r="A1567" s="2" t="s">
        <v>1478</v>
      </c>
      <c r="B1567" s="2" t="s">
        <v>1477</v>
      </c>
      <c r="C1567" s="10" t="n">
        <v>45952</v>
      </c>
      <c r="D1567" s="2" t="n">
        <f aca="false">MONTH(C1567)</f>
        <v>10</v>
      </c>
      <c r="E1567" s="2" t="s">
        <v>63</v>
      </c>
      <c r="F1567" s="2" t="s">
        <v>92</v>
      </c>
      <c r="G1567" s="2" t="s">
        <v>70</v>
      </c>
      <c r="H1567" s="2" t="s">
        <v>71</v>
      </c>
      <c r="I1567" s="2" t="n">
        <v>2</v>
      </c>
      <c r="J1567" s="11" t="n">
        <v>2500</v>
      </c>
      <c r="K1567" s="12" t="n">
        <v>0.15</v>
      </c>
      <c r="L1567" s="11" t="n">
        <v>1600</v>
      </c>
      <c r="M1567" s="11" t="n">
        <f aca="false">I1567*J1567*(1-K1567)</f>
        <v>4250</v>
      </c>
      <c r="N1567" s="11" t="n">
        <f aca="false">M1567-I1567*L1567</f>
        <v>1050</v>
      </c>
    </row>
    <row r="1568" customFormat="false" ht="15" hidden="false" customHeight="false" outlineLevel="0" collapsed="false">
      <c r="A1568" s="2" t="s">
        <v>2097</v>
      </c>
      <c r="B1568" s="2" t="s">
        <v>2098</v>
      </c>
      <c r="C1568" s="10" t="n">
        <v>45952</v>
      </c>
      <c r="D1568" s="2" t="n">
        <f aca="false">MONTH(C1568)</f>
        <v>10</v>
      </c>
      <c r="E1568" s="2" t="s">
        <v>91</v>
      </c>
      <c r="F1568" s="2" t="s">
        <v>92</v>
      </c>
      <c r="G1568" s="2" t="s">
        <v>73</v>
      </c>
      <c r="H1568" s="2" t="s">
        <v>74</v>
      </c>
      <c r="I1568" s="2" t="n">
        <v>7</v>
      </c>
      <c r="J1568" s="11" t="n">
        <v>7000</v>
      </c>
      <c r="K1568" s="12" t="n">
        <v>0.1</v>
      </c>
      <c r="L1568" s="11" t="n">
        <v>4800</v>
      </c>
      <c r="M1568" s="11" t="n">
        <f aca="false">I1568*J1568*(1-K1568)</f>
        <v>44100</v>
      </c>
      <c r="N1568" s="11" t="n">
        <f aca="false">M1568-I1568*L1568</f>
        <v>10500</v>
      </c>
    </row>
    <row r="1569" customFormat="false" ht="15" hidden="false" customHeight="false" outlineLevel="0" collapsed="false">
      <c r="A1569" s="2" t="s">
        <v>2265</v>
      </c>
      <c r="B1569" s="2" t="s">
        <v>2266</v>
      </c>
      <c r="C1569" s="10" t="n">
        <v>45952</v>
      </c>
      <c r="D1569" s="2" t="n">
        <f aca="false">MONTH(C1569)</f>
        <v>10</v>
      </c>
      <c r="E1569" s="2" t="s">
        <v>91</v>
      </c>
      <c r="F1569" s="2" t="s">
        <v>69</v>
      </c>
      <c r="G1569" s="2" t="s">
        <v>73</v>
      </c>
      <c r="H1569" s="2" t="s">
        <v>85</v>
      </c>
      <c r="I1569" s="2" t="n">
        <v>1</v>
      </c>
      <c r="J1569" s="11" t="n">
        <v>1200</v>
      </c>
      <c r="K1569" s="12" t="n">
        <v>0.05</v>
      </c>
      <c r="L1569" s="11" t="n">
        <v>600</v>
      </c>
      <c r="M1569" s="11" t="n">
        <f aca="false">I1569*J1569*(1-K1569)</f>
        <v>1140</v>
      </c>
      <c r="N1569" s="11" t="n">
        <f aca="false">M1569-I1569*L1569</f>
        <v>540</v>
      </c>
    </row>
    <row r="1570" customFormat="false" ht="15" hidden="false" customHeight="false" outlineLevel="0" collapsed="false">
      <c r="A1570" s="2" t="s">
        <v>2642</v>
      </c>
      <c r="B1570" s="2" t="s">
        <v>2640</v>
      </c>
      <c r="C1570" s="10" t="n">
        <v>45952</v>
      </c>
      <c r="D1570" s="2" t="n">
        <f aca="false">MONTH(C1570)</f>
        <v>10</v>
      </c>
      <c r="E1570" s="2" t="s">
        <v>91</v>
      </c>
      <c r="F1570" s="2" t="s">
        <v>92</v>
      </c>
      <c r="G1570" s="2" t="s">
        <v>70</v>
      </c>
      <c r="H1570" s="2" t="s">
        <v>97</v>
      </c>
      <c r="I1570" s="2" t="n">
        <v>5</v>
      </c>
      <c r="J1570" s="11" t="n">
        <v>3000</v>
      </c>
      <c r="K1570" s="12" t="n">
        <v>0.15</v>
      </c>
      <c r="L1570" s="11" t="n">
        <v>2000</v>
      </c>
      <c r="M1570" s="11" t="n">
        <f aca="false">I1570*J1570*(1-K1570)</f>
        <v>12750</v>
      </c>
      <c r="N1570" s="11" t="n">
        <f aca="false">M1570-I1570*L1570</f>
        <v>2750</v>
      </c>
    </row>
    <row r="1571" customFormat="false" ht="15" hidden="false" customHeight="false" outlineLevel="0" collapsed="false">
      <c r="A1571" s="2" t="s">
        <v>93</v>
      </c>
      <c r="B1571" s="2" t="s">
        <v>90</v>
      </c>
      <c r="C1571" s="10" t="n">
        <v>45953</v>
      </c>
      <c r="D1571" s="2" t="n">
        <f aca="false">MONTH(C1571)</f>
        <v>10</v>
      </c>
      <c r="E1571" s="2" t="s">
        <v>3019</v>
      </c>
      <c r="F1571" s="2" t="s">
        <v>92</v>
      </c>
      <c r="G1571" s="2" t="s">
        <v>73</v>
      </c>
      <c r="H1571" s="2" t="s">
        <v>85</v>
      </c>
      <c r="I1571" s="2" t="n">
        <v>3</v>
      </c>
      <c r="J1571" s="11" t="n">
        <v>1200</v>
      </c>
      <c r="K1571" s="12" t="n">
        <v>0.1</v>
      </c>
      <c r="L1571" s="11" t="n">
        <v>600</v>
      </c>
      <c r="M1571" s="11" t="n">
        <f aca="false">I1571*J1571*(1-K1571)</f>
        <v>3240</v>
      </c>
      <c r="N1571" s="11" t="n">
        <f aca="false">M1571-I1571*L1571</f>
        <v>1440</v>
      </c>
    </row>
    <row r="1572" customFormat="false" ht="15" hidden="false" customHeight="false" outlineLevel="0" collapsed="false">
      <c r="A1572" s="2" t="s">
        <v>449</v>
      </c>
      <c r="B1572" s="2" t="s">
        <v>450</v>
      </c>
      <c r="C1572" s="10" t="n">
        <v>45953</v>
      </c>
      <c r="D1572" s="2" t="n">
        <f aca="false">MONTH(C1572)</f>
        <v>10</v>
      </c>
      <c r="E1572" s="2" t="s">
        <v>77</v>
      </c>
      <c r="F1572" s="2" t="s">
        <v>64</v>
      </c>
      <c r="G1572" s="2" t="s">
        <v>65</v>
      </c>
      <c r="H1572" s="2" t="s">
        <v>107</v>
      </c>
      <c r="I1572" s="2" t="n">
        <v>8</v>
      </c>
      <c r="J1572" s="11" t="n">
        <v>500</v>
      </c>
      <c r="K1572" s="12" t="n">
        <v>0.15</v>
      </c>
      <c r="L1572" s="11" t="n">
        <v>250</v>
      </c>
      <c r="M1572" s="11" t="n">
        <f aca="false">I1572*J1572*(1-K1572)</f>
        <v>3400</v>
      </c>
      <c r="N1572" s="11" t="n">
        <f aca="false">M1572-I1572*L1572</f>
        <v>1400</v>
      </c>
    </row>
    <row r="1573" customFormat="false" ht="15" hidden="false" customHeight="false" outlineLevel="0" collapsed="false">
      <c r="A1573" s="2" t="s">
        <v>1379</v>
      </c>
      <c r="B1573" s="2" t="s">
        <v>1380</v>
      </c>
      <c r="C1573" s="10" t="n">
        <v>45953</v>
      </c>
      <c r="D1573" s="2" t="n">
        <f aca="false">MONTH(C1573)</f>
        <v>10</v>
      </c>
      <c r="E1573" s="2" t="s">
        <v>63</v>
      </c>
      <c r="F1573" s="2" t="s">
        <v>69</v>
      </c>
      <c r="G1573" s="2" t="s">
        <v>70</v>
      </c>
      <c r="H1573" s="2" t="s">
        <v>126</v>
      </c>
      <c r="I1573" s="2" t="n">
        <v>3</v>
      </c>
      <c r="J1573" s="11" t="n">
        <v>4500</v>
      </c>
      <c r="K1573" s="12" t="n">
        <v>0.05</v>
      </c>
      <c r="L1573" s="11" t="n">
        <v>3300</v>
      </c>
      <c r="M1573" s="11" t="n">
        <f aca="false">I1573*J1573*(1-K1573)</f>
        <v>12825</v>
      </c>
      <c r="N1573" s="11" t="n">
        <f aca="false">M1573-I1573*L1573</f>
        <v>2925</v>
      </c>
    </row>
    <row r="1574" customFormat="false" ht="15" hidden="false" customHeight="false" outlineLevel="0" collapsed="false">
      <c r="A1574" s="2" t="s">
        <v>1640</v>
      </c>
      <c r="B1574" s="2" t="s">
        <v>1641</v>
      </c>
      <c r="C1574" s="10" t="n">
        <v>45953</v>
      </c>
      <c r="D1574" s="2" t="n">
        <f aca="false">MONTH(C1574)</f>
        <v>10</v>
      </c>
      <c r="E1574" s="2" t="s">
        <v>81</v>
      </c>
      <c r="F1574" s="2" t="s">
        <v>64</v>
      </c>
      <c r="G1574" s="2" t="s">
        <v>70</v>
      </c>
      <c r="H1574" s="2" t="s">
        <v>126</v>
      </c>
      <c r="I1574" s="2" t="n">
        <v>2</v>
      </c>
      <c r="J1574" s="11" t="n">
        <v>4500</v>
      </c>
      <c r="K1574" s="12" t="n">
        <v>0.05</v>
      </c>
      <c r="L1574" s="11" t="n">
        <v>3300</v>
      </c>
      <c r="M1574" s="11" t="n">
        <f aca="false">I1574*J1574*(1-K1574)</f>
        <v>8550</v>
      </c>
      <c r="N1574" s="11" t="n">
        <f aca="false">M1574-I1574*L1574</f>
        <v>1950</v>
      </c>
    </row>
    <row r="1575" customFormat="false" ht="15" hidden="false" customHeight="false" outlineLevel="0" collapsed="false">
      <c r="A1575" s="2" t="s">
        <v>1849</v>
      </c>
      <c r="B1575" s="2" t="s">
        <v>1843</v>
      </c>
      <c r="C1575" s="10" t="n">
        <v>45953</v>
      </c>
      <c r="D1575" s="2" t="n">
        <f aca="false">MONTH(C1575)</f>
        <v>10</v>
      </c>
      <c r="E1575" s="2" t="s">
        <v>63</v>
      </c>
      <c r="F1575" s="2" t="s">
        <v>64</v>
      </c>
      <c r="G1575" s="2" t="s">
        <v>73</v>
      </c>
      <c r="H1575" s="2" t="s">
        <v>74</v>
      </c>
      <c r="I1575" s="2" t="n">
        <v>2</v>
      </c>
      <c r="J1575" s="11" t="n">
        <v>7000</v>
      </c>
      <c r="K1575" s="12" t="n">
        <v>0.05</v>
      </c>
      <c r="L1575" s="11" t="n">
        <v>4800</v>
      </c>
      <c r="M1575" s="11" t="n">
        <f aca="false">I1575*J1575*(1-K1575)</f>
        <v>13300</v>
      </c>
      <c r="N1575" s="11" t="n">
        <f aca="false">M1575-I1575*L1575</f>
        <v>3700</v>
      </c>
    </row>
    <row r="1576" customFormat="false" ht="15" hidden="false" customHeight="false" outlineLevel="0" collapsed="false">
      <c r="A1576" s="2" t="s">
        <v>2238</v>
      </c>
      <c r="B1576" s="2" t="s">
        <v>2237</v>
      </c>
      <c r="C1576" s="10" t="n">
        <v>45953</v>
      </c>
      <c r="D1576" s="2" t="n">
        <f aca="false">MONTH(C1576)</f>
        <v>10</v>
      </c>
      <c r="E1576" s="2" t="s">
        <v>77</v>
      </c>
      <c r="F1576" s="2" t="s">
        <v>64</v>
      </c>
      <c r="G1576" s="2" t="s">
        <v>65</v>
      </c>
      <c r="H1576" s="2" t="s">
        <v>107</v>
      </c>
      <c r="I1576" s="2" t="n">
        <v>2</v>
      </c>
      <c r="J1576" s="11" t="n">
        <v>500</v>
      </c>
      <c r="K1576" s="12" t="n">
        <v>0.15</v>
      </c>
      <c r="L1576" s="11" t="n">
        <v>250</v>
      </c>
      <c r="M1576" s="11" t="n">
        <f aca="false">I1576*J1576*(1-K1576)</f>
        <v>850</v>
      </c>
      <c r="N1576" s="11" t="n">
        <f aca="false">M1576-I1576*L1576</f>
        <v>350</v>
      </c>
    </row>
    <row r="1577" customFormat="false" ht="15" hidden="false" customHeight="false" outlineLevel="0" collapsed="false">
      <c r="A1577" s="2" t="s">
        <v>2796</v>
      </c>
      <c r="B1577" s="2" t="s">
        <v>2795</v>
      </c>
      <c r="C1577" s="10" t="n">
        <v>45953</v>
      </c>
      <c r="D1577" s="2" t="n">
        <f aca="false">MONTH(C1577)</f>
        <v>10</v>
      </c>
      <c r="E1577" s="2" t="s">
        <v>91</v>
      </c>
      <c r="F1577" s="2" t="s">
        <v>64</v>
      </c>
      <c r="G1577" s="2" t="s">
        <v>73</v>
      </c>
      <c r="H1577" s="2" t="s">
        <v>85</v>
      </c>
      <c r="I1577" s="2" t="n">
        <v>3</v>
      </c>
      <c r="J1577" s="11" t="n">
        <v>1200</v>
      </c>
      <c r="K1577" s="12" t="n">
        <v>0.05</v>
      </c>
      <c r="L1577" s="11" t="n">
        <v>600</v>
      </c>
      <c r="M1577" s="11" t="n">
        <f aca="false">I1577*J1577*(1-K1577)</f>
        <v>3420</v>
      </c>
      <c r="N1577" s="11" t="n">
        <f aca="false">M1577-I1577*L1577</f>
        <v>1620</v>
      </c>
    </row>
    <row r="1578" customFormat="false" ht="15" hidden="false" customHeight="false" outlineLevel="0" collapsed="false">
      <c r="A1578" s="2" t="s">
        <v>2886</v>
      </c>
      <c r="B1578" s="2" t="s">
        <v>2884</v>
      </c>
      <c r="C1578" s="10" t="n">
        <v>45953</v>
      </c>
      <c r="D1578" s="2" t="n">
        <f aca="false">MONTH(C1578)</f>
        <v>10</v>
      </c>
      <c r="E1578" s="2" t="s">
        <v>91</v>
      </c>
      <c r="F1578" s="2" t="s">
        <v>92</v>
      </c>
      <c r="G1578" s="2" t="s">
        <v>70</v>
      </c>
      <c r="H1578" s="2" t="s">
        <v>122</v>
      </c>
      <c r="I1578" s="2" t="n">
        <v>8</v>
      </c>
      <c r="J1578" s="11" t="n">
        <v>1500</v>
      </c>
      <c r="K1578" s="12" t="n">
        <v>0.15</v>
      </c>
      <c r="L1578" s="11" t="n">
        <v>900</v>
      </c>
      <c r="M1578" s="11" t="n">
        <f aca="false">I1578*J1578*(1-K1578)</f>
        <v>10200</v>
      </c>
      <c r="N1578" s="11" t="n">
        <f aca="false">M1578-I1578*L1578</f>
        <v>3000</v>
      </c>
    </row>
    <row r="1579" customFormat="false" ht="15" hidden="false" customHeight="false" outlineLevel="0" collapsed="false">
      <c r="A1579" s="2" t="s">
        <v>152</v>
      </c>
      <c r="B1579" s="2" t="s">
        <v>153</v>
      </c>
      <c r="C1579" s="10" t="n">
        <v>45954</v>
      </c>
      <c r="D1579" s="2" t="n">
        <f aca="false">MONTH(C1579)</f>
        <v>10</v>
      </c>
      <c r="E1579" s="2" t="s">
        <v>77</v>
      </c>
      <c r="F1579" s="2" t="s">
        <v>69</v>
      </c>
      <c r="G1579" s="2" t="s">
        <v>70</v>
      </c>
      <c r="H1579" s="2" t="s">
        <v>122</v>
      </c>
      <c r="I1579" s="2" t="n">
        <v>4</v>
      </c>
      <c r="J1579" s="11" t="n">
        <v>1500</v>
      </c>
      <c r="K1579" s="12" t="n">
        <v>0.1</v>
      </c>
      <c r="L1579" s="11" t="n">
        <v>900</v>
      </c>
      <c r="M1579" s="11" t="n">
        <f aca="false">I1579*J1579*(1-K1579)</f>
        <v>5400</v>
      </c>
      <c r="N1579" s="11" t="n">
        <f aca="false">M1579-I1579*L1579</f>
        <v>1800</v>
      </c>
    </row>
    <row r="1580" customFormat="false" ht="15" hidden="false" customHeight="false" outlineLevel="0" collapsed="false">
      <c r="A1580" s="2" t="s">
        <v>200</v>
      </c>
      <c r="B1580" s="2" t="s">
        <v>196</v>
      </c>
      <c r="C1580" s="10" t="n">
        <v>45954</v>
      </c>
      <c r="D1580" s="2" t="n">
        <f aca="false">MONTH(C1580)</f>
        <v>10</v>
      </c>
      <c r="E1580" s="2" t="s">
        <v>77</v>
      </c>
      <c r="F1580" s="2" t="s">
        <v>64</v>
      </c>
      <c r="G1580" s="2" t="s">
        <v>65</v>
      </c>
      <c r="H1580" s="2" t="s">
        <v>78</v>
      </c>
      <c r="I1580" s="2" t="n">
        <v>4</v>
      </c>
      <c r="J1580" s="11" t="n">
        <v>400</v>
      </c>
      <c r="K1580" s="12" t="n">
        <v>0.05</v>
      </c>
      <c r="L1580" s="11" t="n">
        <v>200</v>
      </c>
      <c r="M1580" s="11" t="n">
        <f aca="false">I1580*J1580*(1-K1580)</f>
        <v>1520</v>
      </c>
      <c r="N1580" s="11" t="n">
        <f aca="false">M1580-I1580*L1580</f>
        <v>720</v>
      </c>
    </row>
    <row r="1581" customFormat="false" ht="15" hidden="false" customHeight="false" outlineLevel="0" collapsed="false">
      <c r="A1581" s="2" t="s">
        <v>222</v>
      </c>
      <c r="B1581" s="2" t="s">
        <v>218</v>
      </c>
      <c r="C1581" s="10" t="n">
        <v>45954</v>
      </c>
      <c r="D1581" s="2" t="n">
        <f aca="false">MONTH(C1581)</f>
        <v>10</v>
      </c>
      <c r="E1581" s="2" t="s">
        <v>63</v>
      </c>
      <c r="F1581" s="2" t="s">
        <v>69</v>
      </c>
      <c r="G1581" s="2" t="s">
        <v>73</v>
      </c>
      <c r="H1581" s="2" t="s">
        <v>87</v>
      </c>
      <c r="I1581" s="2" t="n">
        <v>5</v>
      </c>
      <c r="J1581" s="11" t="n">
        <v>9000</v>
      </c>
      <c r="K1581" s="12" t="n">
        <v>0.1</v>
      </c>
      <c r="L1581" s="11" t="n">
        <v>6200</v>
      </c>
      <c r="M1581" s="11" t="n">
        <f aca="false">I1581*J1581*(1-K1581)</f>
        <v>40500</v>
      </c>
      <c r="N1581" s="11" t="n">
        <f aca="false">M1581-I1581*L1581</f>
        <v>9500</v>
      </c>
    </row>
    <row r="1582" customFormat="false" ht="15" hidden="false" customHeight="false" outlineLevel="0" collapsed="false">
      <c r="A1582" s="2" t="s">
        <v>410</v>
      </c>
      <c r="B1582" s="2" t="s">
        <v>411</v>
      </c>
      <c r="C1582" s="10" t="n">
        <v>45954</v>
      </c>
      <c r="D1582" s="2" t="n">
        <f aca="false">MONTH(C1582)</f>
        <v>10</v>
      </c>
      <c r="E1582" s="2" t="s">
        <v>77</v>
      </c>
      <c r="F1582" s="2" t="s">
        <v>69</v>
      </c>
      <c r="G1582" s="2" t="s">
        <v>70</v>
      </c>
      <c r="H1582" s="2" t="s">
        <v>71</v>
      </c>
      <c r="I1582" s="2" t="n">
        <v>2</v>
      </c>
      <c r="J1582" s="11" t="n">
        <v>2500</v>
      </c>
      <c r="K1582" s="12" t="n">
        <v>0.15</v>
      </c>
      <c r="L1582" s="11" t="n">
        <v>1600</v>
      </c>
      <c r="M1582" s="11" t="n">
        <f aca="false">I1582*J1582*(1-K1582)</f>
        <v>4250</v>
      </c>
      <c r="N1582" s="11" t="n">
        <f aca="false">M1582-I1582*L1582</f>
        <v>1050</v>
      </c>
    </row>
    <row r="1583" customFormat="false" ht="15" hidden="false" customHeight="false" outlineLevel="0" collapsed="false">
      <c r="A1583" s="2" t="s">
        <v>845</v>
      </c>
      <c r="B1583" s="2" t="s">
        <v>843</v>
      </c>
      <c r="C1583" s="10" t="n">
        <v>45954</v>
      </c>
      <c r="D1583" s="2" t="n">
        <f aca="false">MONTH(C1583)</f>
        <v>10</v>
      </c>
      <c r="E1583" s="2" t="s">
        <v>81</v>
      </c>
      <c r="F1583" s="2" t="s">
        <v>92</v>
      </c>
      <c r="G1583" s="2" t="s">
        <v>70</v>
      </c>
      <c r="H1583" s="2" t="s">
        <v>122</v>
      </c>
      <c r="I1583" s="2" t="n">
        <v>5</v>
      </c>
      <c r="J1583" s="11" t="n">
        <v>1500</v>
      </c>
      <c r="K1583" s="12" t="n">
        <v>0.15</v>
      </c>
      <c r="L1583" s="11" t="n">
        <v>900</v>
      </c>
      <c r="M1583" s="11" t="n">
        <f aca="false">I1583*J1583*(1-K1583)</f>
        <v>6375</v>
      </c>
      <c r="N1583" s="11" t="n">
        <f aca="false">M1583-I1583*L1583</f>
        <v>1875</v>
      </c>
    </row>
    <row r="1584" customFormat="false" ht="15" hidden="false" customHeight="false" outlineLevel="0" collapsed="false">
      <c r="A1584" s="2" t="s">
        <v>916</v>
      </c>
      <c r="B1584" s="2" t="s">
        <v>915</v>
      </c>
      <c r="C1584" s="10" t="n">
        <v>45954</v>
      </c>
      <c r="D1584" s="2" t="n">
        <f aca="false">MONTH(C1584)</f>
        <v>10</v>
      </c>
      <c r="E1584" s="2" t="s">
        <v>63</v>
      </c>
      <c r="F1584" s="2" t="s">
        <v>64</v>
      </c>
      <c r="G1584" s="2" t="s">
        <v>73</v>
      </c>
      <c r="H1584" s="2" t="s">
        <v>74</v>
      </c>
      <c r="I1584" s="2" t="n">
        <v>3</v>
      </c>
      <c r="J1584" s="11" t="n">
        <v>7000</v>
      </c>
      <c r="K1584" s="12" t="n">
        <v>0.05</v>
      </c>
      <c r="L1584" s="11" t="n">
        <v>4800</v>
      </c>
      <c r="M1584" s="11" t="n">
        <f aca="false">I1584*J1584*(1-K1584)</f>
        <v>19950</v>
      </c>
      <c r="N1584" s="11" t="n">
        <f aca="false">M1584-I1584*L1584</f>
        <v>5550</v>
      </c>
    </row>
    <row r="1585" customFormat="false" ht="15" hidden="false" customHeight="false" outlineLevel="0" collapsed="false">
      <c r="A1585" s="2" t="s">
        <v>2304</v>
      </c>
      <c r="B1585" s="2" t="s">
        <v>2305</v>
      </c>
      <c r="C1585" s="10" t="n">
        <v>45954</v>
      </c>
      <c r="D1585" s="2" t="n">
        <f aca="false">MONTH(C1585)</f>
        <v>10</v>
      </c>
      <c r="E1585" s="2" t="s">
        <v>81</v>
      </c>
      <c r="F1585" s="2" t="s">
        <v>64</v>
      </c>
      <c r="G1585" s="2" t="s">
        <v>73</v>
      </c>
      <c r="H1585" s="2" t="s">
        <v>87</v>
      </c>
      <c r="I1585" s="2" t="n">
        <v>2</v>
      </c>
      <c r="J1585" s="11" t="n">
        <v>9000</v>
      </c>
      <c r="K1585" s="12" t="n">
        <v>0.05</v>
      </c>
      <c r="L1585" s="11" t="n">
        <v>6200</v>
      </c>
      <c r="M1585" s="11" t="n">
        <f aca="false">I1585*J1585*(1-K1585)</f>
        <v>17100</v>
      </c>
      <c r="N1585" s="11" t="n">
        <f aca="false">M1585-I1585*L1585</f>
        <v>4700</v>
      </c>
    </row>
    <row r="1586" customFormat="false" ht="15" hidden="false" customHeight="false" outlineLevel="0" collapsed="false">
      <c r="A1586" s="2" t="s">
        <v>2900</v>
      </c>
      <c r="B1586" s="2" t="s">
        <v>2901</v>
      </c>
      <c r="C1586" s="10" t="n">
        <v>45954</v>
      </c>
      <c r="D1586" s="2" t="n">
        <f aca="false">MONTH(C1586)</f>
        <v>10</v>
      </c>
      <c r="E1586" s="2" t="s">
        <v>63</v>
      </c>
      <c r="F1586" s="2" t="s">
        <v>64</v>
      </c>
      <c r="G1586" s="2" t="s">
        <v>73</v>
      </c>
      <c r="H1586" s="2" t="s">
        <v>74</v>
      </c>
      <c r="I1586" s="2" t="n">
        <v>3</v>
      </c>
      <c r="J1586" s="11" t="n">
        <v>7000</v>
      </c>
      <c r="K1586" s="12" t="n">
        <v>0.1</v>
      </c>
      <c r="L1586" s="11" t="n">
        <v>4800</v>
      </c>
      <c r="M1586" s="11" t="n">
        <f aca="false">I1586*J1586*(1-K1586)</f>
        <v>18900</v>
      </c>
      <c r="N1586" s="11" t="n">
        <f aca="false">M1586-I1586*L1586</f>
        <v>4500</v>
      </c>
    </row>
    <row r="1587" customFormat="false" ht="15" hidden="false" customHeight="false" outlineLevel="0" collapsed="false">
      <c r="A1587" s="2" t="s">
        <v>259</v>
      </c>
      <c r="B1587" s="2" t="s">
        <v>254</v>
      </c>
      <c r="C1587" s="10" t="n">
        <v>45955</v>
      </c>
      <c r="D1587" s="2" t="n">
        <f aca="false">MONTH(C1587)</f>
        <v>10</v>
      </c>
      <c r="E1587" s="2" t="s">
        <v>77</v>
      </c>
      <c r="F1587" s="2" t="s">
        <v>64</v>
      </c>
      <c r="G1587" s="2" t="s">
        <v>73</v>
      </c>
      <c r="H1587" s="2" t="s">
        <v>104</v>
      </c>
      <c r="I1587" s="2" t="n">
        <v>2</v>
      </c>
      <c r="J1587" s="11" t="n">
        <v>5500</v>
      </c>
      <c r="K1587" s="12" t="n">
        <v>0.05</v>
      </c>
      <c r="L1587" s="11" t="n">
        <v>3600</v>
      </c>
      <c r="M1587" s="11" t="n">
        <f aca="false">I1587*J1587*(1-K1587)</f>
        <v>10450</v>
      </c>
      <c r="N1587" s="11" t="n">
        <f aca="false">M1587-I1587*L1587</f>
        <v>3250</v>
      </c>
    </row>
    <row r="1588" customFormat="false" ht="15" hidden="false" customHeight="false" outlineLevel="0" collapsed="false">
      <c r="A1588" s="2" t="s">
        <v>959</v>
      </c>
      <c r="B1588" s="2" t="s">
        <v>956</v>
      </c>
      <c r="C1588" s="10" t="n">
        <v>45955</v>
      </c>
      <c r="D1588" s="2" t="n">
        <f aca="false">MONTH(C1588)</f>
        <v>10</v>
      </c>
      <c r="E1588" s="2" t="s">
        <v>91</v>
      </c>
      <c r="F1588" s="2" t="s">
        <v>69</v>
      </c>
      <c r="G1588" s="2" t="s">
        <v>73</v>
      </c>
      <c r="H1588" s="2" t="s">
        <v>87</v>
      </c>
      <c r="I1588" s="2" t="n">
        <v>3</v>
      </c>
      <c r="J1588" s="11" t="n">
        <v>9000</v>
      </c>
      <c r="K1588" s="12" t="n">
        <v>0.05</v>
      </c>
      <c r="L1588" s="11" t="n">
        <v>6200</v>
      </c>
      <c r="M1588" s="11" t="n">
        <f aca="false">I1588*J1588*(1-K1588)</f>
        <v>25650</v>
      </c>
      <c r="N1588" s="11" t="n">
        <f aca="false">M1588-I1588*L1588</f>
        <v>7050</v>
      </c>
    </row>
    <row r="1589" customFormat="false" ht="15" hidden="false" customHeight="false" outlineLevel="0" collapsed="false">
      <c r="A1589" s="2" t="s">
        <v>1049</v>
      </c>
      <c r="B1589" s="2" t="s">
        <v>1045</v>
      </c>
      <c r="C1589" s="10" t="n">
        <v>45955</v>
      </c>
      <c r="D1589" s="2" t="n">
        <f aca="false">MONTH(C1589)</f>
        <v>10</v>
      </c>
      <c r="E1589" s="2" t="s">
        <v>63</v>
      </c>
      <c r="F1589" s="2" t="s">
        <v>69</v>
      </c>
      <c r="G1589" s="2" t="s">
        <v>73</v>
      </c>
      <c r="H1589" s="2" t="s">
        <v>74</v>
      </c>
      <c r="I1589" s="2" t="n">
        <v>4</v>
      </c>
      <c r="J1589" s="11" t="n">
        <v>7000</v>
      </c>
      <c r="K1589" s="12" t="n">
        <v>0.05</v>
      </c>
      <c r="L1589" s="11" t="n">
        <v>4800</v>
      </c>
      <c r="M1589" s="11" t="n">
        <f aca="false">I1589*J1589*(1-K1589)</f>
        <v>26600</v>
      </c>
      <c r="N1589" s="11" t="n">
        <f aca="false">M1589-I1589*L1589</f>
        <v>7400</v>
      </c>
    </row>
    <row r="1590" customFormat="false" ht="15" hidden="false" customHeight="false" outlineLevel="0" collapsed="false">
      <c r="A1590" s="2" t="s">
        <v>1343</v>
      </c>
      <c r="B1590" s="2" t="s">
        <v>1340</v>
      </c>
      <c r="C1590" s="10" t="n">
        <v>45955</v>
      </c>
      <c r="D1590" s="2" t="n">
        <f aca="false">MONTH(C1590)</f>
        <v>10</v>
      </c>
      <c r="E1590" s="2" t="s">
        <v>77</v>
      </c>
      <c r="F1590" s="2" t="s">
        <v>64</v>
      </c>
      <c r="G1590" s="2" t="s">
        <v>70</v>
      </c>
      <c r="H1590" s="2" t="s">
        <v>97</v>
      </c>
      <c r="I1590" s="2" t="n">
        <v>3</v>
      </c>
      <c r="J1590" s="11" t="n">
        <v>3000</v>
      </c>
      <c r="K1590" s="12" t="n">
        <v>0.05</v>
      </c>
      <c r="L1590" s="11" t="n">
        <v>2000</v>
      </c>
      <c r="M1590" s="11" t="n">
        <f aca="false">I1590*J1590*(1-K1590)</f>
        <v>8550</v>
      </c>
      <c r="N1590" s="11" t="n">
        <f aca="false">M1590-I1590*L1590</f>
        <v>2550</v>
      </c>
    </row>
    <row r="1591" customFormat="false" ht="15" hidden="false" customHeight="false" outlineLevel="0" collapsed="false">
      <c r="A1591" s="2" t="s">
        <v>1502</v>
      </c>
      <c r="B1591" s="2" t="s">
        <v>1497</v>
      </c>
      <c r="C1591" s="10" t="n">
        <v>45955</v>
      </c>
      <c r="D1591" s="2" t="n">
        <f aca="false">MONTH(C1591)</f>
        <v>10</v>
      </c>
      <c r="E1591" s="2" t="s">
        <v>81</v>
      </c>
      <c r="F1591" s="2" t="s">
        <v>69</v>
      </c>
      <c r="G1591" s="2" t="s">
        <v>65</v>
      </c>
      <c r="H1591" s="2" t="s">
        <v>82</v>
      </c>
      <c r="I1591" s="2" t="n">
        <v>6</v>
      </c>
      <c r="J1591" s="11" t="n">
        <v>250</v>
      </c>
      <c r="K1591" s="12" t="n">
        <v>0.05</v>
      </c>
      <c r="L1591" s="11" t="n">
        <v>100</v>
      </c>
      <c r="M1591" s="11" t="n">
        <f aca="false">I1591*J1591*(1-K1591)</f>
        <v>1425</v>
      </c>
      <c r="N1591" s="11" t="n">
        <f aca="false">M1591-I1591*L1591</f>
        <v>825</v>
      </c>
    </row>
    <row r="1592" customFormat="false" ht="15" hidden="false" customHeight="false" outlineLevel="0" collapsed="false">
      <c r="A1592" s="2" t="s">
        <v>1580</v>
      </c>
      <c r="B1592" s="2" t="s">
        <v>1579</v>
      </c>
      <c r="C1592" s="10" t="n">
        <v>45955</v>
      </c>
      <c r="D1592" s="2" t="n">
        <f aca="false">MONTH(C1592)</f>
        <v>10</v>
      </c>
      <c r="E1592" s="2" t="s">
        <v>77</v>
      </c>
      <c r="F1592" s="2" t="s">
        <v>92</v>
      </c>
      <c r="G1592" s="2" t="s">
        <v>73</v>
      </c>
      <c r="H1592" s="2" t="s">
        <v>74</v>
      </c>
      <c r="I1592" s="2" t="n">
        <v>3</v>
      </c>
      <c r="J1592" s="11" t="n">
        <v>7000</v>
      </c>
      <c r="K1592" s="12" t="n">
        <v>0.05</v>
      </c>
      <c r="L1592" s="11" t="n">
        <v>4800</v>
      </c>
      <c r="M1592" s="11" t="n">
        <f aca="false">I1592*J1592*(1-K1592)</f>
        <v>19950</v>
      </c>
      <c r="N1592" s="11" t="n">
        <f aca="false">M1592-I1592*L1592</f>
        <v>5550</v>
      </c>
    </row>
    <row r="1593" customFormat="false" ht="15" hidden="false" customHeight="false" outlineLevel="0" collapsed="false">
      <c r="A1593" s="2" t="s">
        <v>2828</v>
      </c>
      <c r="B1593" s="2" t="s">
        <v>2827</v>
      </c>
      <c r="C1593" s="10" t="n">
        <v>45955</v>
      </c>
      <c r="D1593" s="2" t="n">
        <f aca="false">MONTH(C1593)</f>
        <v>10</v>
      </c>
      <c r="E1593" s="2" t="s">
        <v>77</v>
      </c>
      <c r="F1593" s="2" t="s">
        <v>64</v>
      </c>
      <c r="G1593" s="2" t="s">
        <v>65</v>
      </c>
      <c r="H1593" s="2" t="s">
        <v>82</v>
      </c>
      <c r="I1593" s="2" t="n">
        <v>3</v>
      </c>
      <c r="J1593" s="11" t="n">
        <v>250</v>
      </c>
      <c r="K1593" s="12" t="n">
        <v>0.05</v>
      </c>
      <c r="L1593" s="11" t="n">
        <v>100</v>
      </c>
      <c r="M1593" s="11" t="n">
        <f aca="false">I1593*J1593*(1-K1593)</f>
        <v>712.5</v>
      </c>
      <c r="N1593" s="11" t="n">
        <f aca="false">M1593-I1593*L1593</f>
        <v>412.5</v>
      </c>
    </row>
    <row r="1594" customFormat="false" ht="15" hidden="false" customHeight="false" outlineLevel="0" collapsed="false">
      <c r="A1594" s="2" t="s">
        <v>146</v>
      </c>
      <c r="B1594" s="2" t="s">
        <v>145</v>
      </c>
      <c r="C1594" s="10" t="n">
        <v>45956</v>
      </c>
      <c r="D1594" s="2" t="n">
        <f aca="false">MONTH(C1594)</f>
        <v>10</v>
      </c>
      <c r="E1594" s="2" t="s">
        <v>91</v>
      </c>
      <c r="F1594" s="2" t="s">
        <v>92</v>
      </c>
      <c r="G1594" s="2" t="s">
        <v>73</v>
      </c>
      <c r="H1594" s="2" t="s">
        <v>104</v>
      </c>
      <c r="I1594" s="2" t="n">
        <v>4</v>
      </c>
      <c r="J1594" s="11" t="n">
        <v>5500</v>
      </c>
      <c r="K1594" s="12" t="n">
        <v>0.15</v>
      </c>
      <c r="L1594" s="11" t="n">
        <v>3600</v>
      </c>
      <c r="M1594" s="11" t="n">
        <f aca="false">I1594*J1594*(1-K1594)</f>
        <v>18700</v>
      </c>
      <c r="N1594" s="11" t="n">
        <f aca="false">M1594-I1594*L1594</f>
        <v>4300</v>
      </c>
    </row>
    <row r="1595" customFormat="false" ht="15" hidden="false" customHeight="false" outlineLevel="0" collapsed="false">
      <c r="A1595" s="2" t="s">
        <v>1263</v>
      </c>
      <c r="B1595" s="2" t="s">
        <v>1264</v>
      </c>
      <c r="C1595" s="10" t="n">
        <v>45956</v>
      </c>
      <c r="D1595" s="2" t="n">
        <f aca="false">MONTH(C1595)</f>
        <v>10</v>
      </c>
      <c r="E1595" s="2" t="s">
        <v>63</v>
      </c>
      <c r="F1595" s="2" t="s">
        <v>64</v>
      </c>
      <c r="G1595" s="2" t="s">
        <v>70</v>
      </c>
      <c r="H1595" s="2" t="s">
        <v>126</v>
      </c>
      <c r="I1595" s="2" t="n">
        <v>3</v>
      </c>
      <c r="J1595" s="11" t="n">
        <v>4500</v>
      </c>
      <c r="K1595" s="12" t="n">
        <v>0.05</v>
      </c>
      <c r="L1595" s="11" t="n">
        <v>3300</v>
      </c>
      <c r="M1595" s="11" t="n">
        <f aca="false">I1595*J1595*(1-K1595)</f>
        <v>12825</v>
      </c>
      <c r="N1595" s="11" t="n">
        <f aca="false">M1595-I1595*L1595</f>
        <v>2925</v>
      </c>
    </row>
    <row r="1596" customFormat="false" ht="15" hidden="false" customHeight="false" outlineLevel="0" collapsed="false">
      <c r="A1596" s="2" t="s">
        <v>1713</v>
      </c>
      <c r="B1596" s="2" t="s">
        <v>1712</v>
      </c>
      <c r="C1596" s="10" t="n">
        <v>45956</v>
      </c>
      <c r="D1596" s="2" t="n">
        <f aca="false">MONTH(C1596)</f>
        <v>10</v>
      </c>
      <c r="E1596" s="2" t="s">
        <v>81</v>
      </c>
      <c r="F1596" s="2" t="s">
        <v>64</v>
      </c>
      <c r="G1596" s="2" t="s">
        <v>65</v>
      </c>
      <c r="H1596" s="2" t="s">
        <v>66</v>
      </c>
      <c r="I1596" s="2" t="n">
        <v>7</v>
      </c>
      <c r="J1596" s="11" t="n">
        <v>600</v>
      </c>
      <c r="K1596" s="12" t="n">
        <v>0.05</v>
      </c>
      <c r="L1596" s="11" t="n">
        <v>300</v>
      </c>
      <c r="M1596" s="11" t="n">
        <f aca="false">I1596*J1596*(1-K1596)</f>
        <v>3990</v>
      </c>
      <c r="N1596" s="11" t="n">
        <f aca="false">M1596-I1596*L1596</f>
        <v>1890</v>
      </c>
    </row>
    <row r="1597" customFormat="false" ht="15" hidden="false" customHeight="false" outlineLevel="0" collapsed="false">
      <c r="A1597" s="2" t="s">
        <v>2068</v>
      </c>
      <c r="B1597" s="2" t="s">
        <v>2069</v>
      </c>
      <c r="C1597" s="10" t="n">
        <v>45956</v>
      </c>
      <c r="D1597" s="2" t="n">
        <f aca="false">MONTH(C1597)</f>
        <v>10</v>
      </c>
      <c r="E1597" s="2" t="s">
        <v>63</v>
      </c>
      <c r="F1597" s="2" t="s">
        <v>64</v>
      </c>
      <c r="G1597" s="2" t="s">
        <v>65</v>
      </c>
      <c r="H1597" s="2" t="s">
        <v>78</v>
      </c>
      <c r="I1597" s="2" t="n">
        <v>8</v>
      </c>
      <c r="J1597" s="11" t="n">
        <v>400</v>
      </c>
      <c r="K1597" s="12" t="n">
        <v>0.1</v>
      </c>
      <c r="L1597" s="11" t="n">
        <v>200</v>
      </c>
      <c r="M1597" s="11" t="n">
        <f aca="false">I1597*J1597*(1-K1597)</f>
        <v>2880</v>
      </c>
      <c r="N1597" s="11" t="n">
        <f aca="false">M1597-I1597*L1597</f>
        <v>1280</v>
      </c>
    </row>
    <row r="1598" customFormat="false" ht="15" hidden="false" customHeight="false" outlineLevel="0" collapsed="false">
      <c r="A1598" s="2" t="s">
        <v>2801</v>
      </c>
      <c r="B1598" s="2" t="s">
        <v>2795</v>
      </c>
      <c r="C1598" s="10" t="n">
        <v>45956</v>
      </c>
      <c r="D1598" s="2" t="n">
        <f aca="false">MONTH(C1598)</f>
        <v>10</v>
      </c>
      <c r="E1598" s="2" t="s">
        <v>91</v>
      </c>
      <c r="F1598" s="2" t="s">
        <v>64</v>
      </c>
      <c r="G1598" s="2" t="s">
        <v>70</v>
      </c>
      <c r="H1598" s="2" t="s">
        <v>126</v>
      </c>
      <c r="I1598" s="2" t="n">
        <v>3</v>
      </c>
      <c r="J1598" s="11" t="n">
        <v>4500</v>
      </c>
      <c r="K1598" s="12" t="n">
        <v>0.05</v>
      </c>
      <c r="L1598" s="11" t="n">
        <v>3300</v>
      </c>
      <c r="M1598" s="11" t="n">
        <f aca="false">I1598*J1598*(1-K1598)</f>
        <v>12825</v>
      </c>
      <c r="N1598" s="11" t="n">
        <f aca="false">M1598-I1598*L1598</f>
        <v>2925</v>
      </c>
    </row>
    <row r="1599" customFormat="false" ht="15" hidden="false" customHeight="false" outlineLevel="0" collapsed="false">
      <c r="A1599" s="2" t="s">
        <v>332</v>
      </c>
      <c r="B1599" s="2" t="s">
        <v>328</v>
      </c>
      <c r="C1599" s="10" t="n">
        <v>45957</v>
      </c>
      <c r="D1599" s="2" t="n">
        <f aca="false">MONTH(C1599)</f>
        <v>10</v>
      </c>
      <c r="E1599" s="2" t="s">
        <v>63</v>
      </c>
      <c r="F1599" s="2" t="s">
        <v>64</v>
      </c>
      <c r="G1599" s="2" t="s">
        <v>70</v>
      </c>
      <c r="H1599" s="2" t="s">
        <v>97</v>
      </c>
      <c r="I1599" s="2" t="n">
        <v>1</v>
      </c>
      <c r="J1599" s="11" t="n">
        <v>3000</v>
      </c>
      <c r="K1599" s="12" t="n">
        <v>0.05</v>
      </c>
      <c r="L1599" s="11" t="n">
        <v>2000</v>
      </c>
      <c r="M1599" s="11" t="n">
        <f aca="false">I1599*J1599*(1-K1599)</f>
        <v>2850</v>
      </c>
      <c r="N1599" s="11" t="n">
        <f aca="false">M1599-I1599*L1599</f>
        <v>850</v>
      </c>
    </row>
    <row r="1600" customFormat="false" ht="15" hidden="false" customHeight="false" outlineLevel="0" collapsed="false">
      <c r="A1600" s="2" t="s">
        <v>1482</v>
      </c>
      <c r="B1600" s="2" t="s">
        <v>1477</v>
      </c>
      <c r="C1600" s="10" t="n">
        <v>45957</v>
      </c>
      <c r="D1600" s="2" t="n">
        <f aca="false">MONTH(C1600)</f>
        <v>10</v>
      </c>
      <c r="E1600" s="2" t="s">
        <v>63</v>
      </c>
      <c r="F1600" s="2" t="s">
        <v>92</v>
      </c>
      <c r="G1600" s="2" t="s">
        <v>65</v>
      </c>
      <c r="H1600" s="2" t="s">
        <v>78</v>
      </c>
      <c r="I1600" s="2" t="n">
        <v>20</v>
      </c>
      <c r="J1600" s="11" t="n">
        <v>400</v>
      </c>
      <c r="K1600" s="12" t="n">
        <v>0.1</v>
      </c>
      <c r="L1600" s="11" t="n">
        <v>200</v>
      </c>
      <c r="M1600" s="11" t="n">
        <f aca="false">I1600*J1600*(1-K1600)</f>
        <v>7200</v>
      </c>
      <c r="N1600" s="11" t="n">
        <f aca="false">M1600-I1600*L1600</f>
        <v>3200</v>
      </c>
    </row>
    <row r="1601" customFormat="false" ht="15" hidden="false" customHeight="false" outlineLevel="0" collapsed="false">
      <c r="A1601" s="2" t="s">
        <v>1601</v>
      </c>
      <c r="B1601" s="2" t="s">
        <v>1602</v>
      </c>
      <c r="C1601" s="10" t="n">
        <v>45957</v>
      </c>
      <c r="D1601" s="2" t="n">
        <f aca="false">MONTH(C1601)</f>
        <v>10</v>
      </c>
      <c r="E1601" s="2" t="s">
        <v>81</v>
      </c>
      <c r="F1601" s="2" t="s">
        <v>69</v>
      </c>
      <c r="G1601" s="2" t="s">
        <v>65</v>
      </c>
      <c r="H1601" s="2" t="s">
        <v>82</v>
      </c>
      <c r="I1601" s="2" t="n">
        <v>11</v>
      </c>
      <c r="J1601" s="11" t="n">
        <v>250</v>
      </c>
      <c r="K1601" s="12" t="n">
        <v>0.15</v>
      </c>
      <c r="L1601" s="11" t="n">
        <v>100</v>
      </c>
      <c r="M1601" s="11" t="n">
        <f aca="false">I1601*J1601*(1-K1601)</f>
        <v>2337.5</v>
      </c>
      <c r="N1601" s="11" t="n">
        <f aca="false">M1601-I1601*L1601</f>
        <v>1237.5</v>
      </c>
    </row>
    <row r="1602" customFormat="false" ht="15" hidden="false" customHeight="false" outlineLevel="0" collapsed="false">
      <c r="A1602" s="2" t="s">
        <v>2141</v>
      </c>
      <c r="B1602" s="2" t="s">
        <v>2142</v>
      </c>
      <c r="C1602" s="10" t="n">
        <v>45957</v>
      </c>
      <c r="D1602" s="2" t="n">
        <f aca="false">MONTH(C1602)</f>
        <v>10</v>
      </c>
      <c r="E1602" s="2" t="s">
        <v>63</v>
      </c>
      <c r="F1602" s="2" t="s">
        <v>92</v>
      </c>
      <c r="G1602" s="2" t="s">
        <v>70</v>
      </c>
      <c r="H1602" s="2" t="s">
        <v>97</v>
      </c>
      <c r="I1602" s="2" t="n">
        <v>3</v>
      </c>
      <c r="J1602" s="11" t="n">
        <v>3000</v>
      </c>
      <c r="K1602" s="12" t="n">
        <v>0.15</v>
      </c>
      <c r="L1602" s="11" t="n">
        <v>2000</v>
      </c>
      <c r="M1602" s="11" t="n">
        <f aca="false">I1602*J1602*(1-K1602)</f>
        <v>7650</v>
      </c>
      <c r="N1602" s="11" t="n">
        <f aca="false">M1602-I1602*L1602</f>
        <v>1650</v>
      </c>
    </row>
    <row r="1603" customFormat="false" ht="15" hidden="false" customHeight="false" outlineLevel="0" collapsed="false">
      <c r="A1603" s="2" t="s">
        <v>2673</v>
      </c>
      <c r="B1603" s="2" t="s">
        <v>2674</v>
      </c>
      <c r="C1603" s="10" t="n">
        <v>45957</v>
      </c>
      <c r="D1603" s="2" t="n">
        <f aca="false">MONTH(C1603)</f>
        <v>10</v>
      </c>
      <c r="E1603" s="2" t="s">
        <v>77</v>
      </c>
      <c r="F1603" s="2" t="s">
        <v>64</v>
      </c>
      <c r="G1603" s="2" t="s">
        <v>73</v>
      </c>
      <c r="H1603" s="2" t="s">
        <v>74</v>
      </c>
      <c r="I1603" s="2" t="n">
        <v>3</v>
      </c>
      <c r="J1603" s="11" t="n">
        <v>7000</v>
      </c>
      <c r="K1603" s="12" t="n">
        <v>0.1</v>
      </c>
      <c r="L1603" s="11" t="n">
        <v>4800</v>
      </c>
      <c r="M1603" s="11" t="n">
        <f aca="false">I1603*J1603*(1-K1603)</f>
        <v>18900</v>
      </c>
      <c r="N1603" s="11" t="n">
        <f aca="false">M1603-I1603*L1603</f>
        <v>4500</v>
      </c>
    </row>
    <row r="1604" customFormat="false" ht="15" hidden="false" customHeight="false" outlineLevel="0" collapsed="false">
      <c r="A1604" s="2" t="s">
        <v>2910</v>
      </c>
      <c r="B1604" s="2" t="s">
        <v>2907</v>
      </c>
      <c r="C1604" s="10" t="n">
        <v>45957</v>
      </c>
      <c r="D1604" s="2" t="n">
        <f aca="false">MONTH(C1604)</f>
        <v>10</v>
      </c>
      <c r="E1604" s="2" t="s">
        <v>81</v>
      </c>
      <c r="F1604" s="2" t="s">
        <v>64</v>
      </c>
      <c r="G1604" s="2" t="s">
        <v>65</v>
      </c>
      <c r="H1604" s="2" t="s">
        <v>66</v>
      </c>
      <c r="I1604" s="2" t="n">
        <v>2</v>
      </c>
      <c r="J1604" s="11" t="n">
        <v>600</v>
      </c>
      <c r="K1604" s="12" t="n">
        <v>0.05</v>
      </c>
      <c r="L1604" s="11" t="n">
        <v>300</v>
      </c>
      <c r="M1604" s="11" t="n">
        <f aca="false">I1604*J1604*(1-K1604)</f>
        <v>1140</v>
      </c>
      <c r="N1604" s="11" t="n">
        <f aca="false">M1604-I1604*L1604</f>
        <v>540</v>
      </c>
    </row>
    <row r="1605" customFormat="false" ht="15" hidden="false" customHeight="false" outlineLevel="0" collapsed="false">
      <c r="A1605" s="2" t="s">
        <v>2984</v>
      </c>
      <c r="B1605" s="2" t="s">
        <v>2985</v>
      </c>
      <c r="C1605" s="10" t="n">
        <v>45957</v>
      </c>
      <c r="D1605" s="2" t="n">
        <f aca="false">MONTH(C1605)</f>
        <v>10</v>
      </c>
      <c r="E1605" s="2" t="s">
        <v>77</v>
      </c>
      <c r="F1605" s="2" t="s">
        <v>69</v>
      </c>
      <c r="G1605" s="2" t="s">
        <v>65</v>
      </c>
      <c r="H1605" s="2" t="s">
        <v>78</v>
      </c>
      <c r="I1605" s="2" t="n">
        <v>7</v>
      </c>
      <c r="J1605" s="11" t="n">
        <v>400</v>
      </c>
      <c r="K1605" s="12" t="n">
        <v>0.15</v>
      </c>
      <c r="L1605" s="11" t="n">
        <v>200</v>
      </c>
      <c r="M1605" s="11" t="n">
        <f aca="false">I1605*J1605*(1-K1605)</f>
        <v>2380</v>
      </c>
      <c r="N1605" s="11" t="n">
        <f aca="false">M1605-I1605*L1605</f>
        <v>980</v>
      </c>
    </row>
    <row r="1606" customFormat="false" ht="15" hidden="false" customHeight="false" outlineLevel="0" collapsed="false">
      <c r="A1606" s="2" t="s">
        <v>114</v>
      </c>
      <c r="B1606" s="2" t="s">
        <v>113</v>
      </c>
      <c r="C1606" s="10" t="n">
        <v>45958</v>
      </c>
      <c r="D1606" s="2" t="n">
        <f aca="false">MONTH(C1606)</f>
        <v>10</v>
      </c>
      <c r="E1606" s="2" t="s">
        <v>63</v>
      </c>
      <c r="F1606" s="2" t="s">
        <v>69</v>
      </c>
      <c r="G1606" s="2" t="s">
        <v>70</v>
      </c>
      <c r="H1606" s="2" t="s">
        <v>97</v>
      </c>
      <c r="I1606" s="2" t="n">
        <v>3</v>
      </c>
      <c r="J1606" s="11" t="n">
        <v>3000</v>
      </c>
      <c r="K1606" s="12" t="n">
        <v>0.1</v>
      </c>
      <c r="L1606" s="11" t="n">
        <v>2000</v>
      </c>
      <c r="M1606" s="11" t="n">
        <f aca="false">I1606*J1606*(1-K1606)</f>
        <v>8100</v>
      </c>
      <c r="N1606" s="11" t="n">
        <f aca="false">M1606-I1606*L1606</f>
        <v>2100</v>
      </c>
    </row>
    <row r="1607" customFormat="false" ht="15" hidden="false" customHeight="false" outlineLevel="0" collapsed="false">
      <c r="A1607" s="2" t="s">
        <v>559</v>
      </c>
      <c r="B1607" s="2" t="s">
        <v>557</v>
      </c>
      <c r="C1607" s="10" t="n">
        <v>45958</v>
      </c>
      <c r="D1607" s="2" t="n">
        <f aca="false">MONTH(C1607)</f>
        <v>10</v>
      </c>
      <c r="E1607" s="2" t="s">
        <v>77</v>
      </c>
      <c r="F1607" s="2" t="s">
        <v>69</v>
      </c>
      <c r="G1607" s="2" t="s">
        <v>70</v>
      </c>
      <c r="H1607" s="2" t="s">
        <v>97</v>
      </c>
      <c r="I1607" s="2" t="n">
        <v>2</v>
      </c>
      <c r="J1607" s="11" t="n">
        <v>3000</v>
      </c>
      <c r="K1607" s="12" t="n">
        <v>0.05</v>
      </c>
      <c r="L1607" s="11" t="n">
        <v>2000</v>
      </c>
      <c r="M1607" s="11" t="n">
        <f aca="false">I1607*J1607*(1-K1607)</f>
        <v>5700</v>
      </c>
      <c r="N1607" s="11" t="n">
        <f aca="false">M1607-I1607*L1607</f>
        <v>1700</v>
      </c>
    </row>
    <row r="1608" customFormat="false" ht="15" hidden="false" customHeight="false" outlineLevel="0" collapsed="false">
      <c r="A1608" s="2" t="s">
        <v>942</v>
      </c>
      <c r="B1608" s="2" t="s">
        <v>943</v>
      </c>
      <c r="C1608" s="10" t="n">
        <v>45958</v>
      </c>
      <c r="D1608" s="2" t="n">
        <f aca="false">MONTH(C1608)</f>
        <v>10</v>
      </c>
      <c r="E1608" s="2" t="s">
        <v>81</v>
      </c>
      <c r="F1608" s="2" t="s">
        <v>69</v>
      </c>
      <c r="G1608" s="2" t="s">
        <v>73</v>
      </c>
      <c r="H1608" s="2" t="s">
        <v>87</v>
      </c>
      <c r="I1608" s="2" t="n">
        <v>1</v>
      </c>
      <c r="J1608" s="11" t="n">
        <v>9000</v>
      </c>
      <c r="K1608" s="12" t="n">
        <v>0.05</v>
      </c>
      <c r="L1608" s="11" t="n">
        <v>6200</v>
      </c>
      <c r="M1608" s="11" t="n">
        <f aca="false">I1608*J1608*(1-K1608)</f>
        <v>8550</v>
      </c>
      <c r="N1608" s="11" t="n">
        <f aca="false">M1608-I1608*L1608</f>
        <v>2350</v>
      </c>
    </row>
    <row r="1609" customFormat="false" ht="15" hidden="false" customHeight="false" outlineLevel="0" collapsed="false">
      <c r="A1609" s="2" t="s">
        <v>1112</v>
      </c>
      <c r="B1609" s="2" t="s">
        <v>1108</v>
      </c>
      <c r="C1609" s="10" t="n">
        <v>45958</v>
      </c>
      <c r="D1609" s="2" t="n">
        <f aca="false">MONTH(C1609)</f>
        <v>10</v>
      </c>
      <c r="E1609" s="2" t="s">
        <v>77</v>
      </c>
      <c r="F1609" s="2" t="s">
        <v>64</v>
      </c>
      <c r="G1609" s="2" t="s">
        <v>70</v>
      </c>
      <c r="H1609" s="2" t="s">
        <v>97</v>
      </c>
      <c r="I1609" s="2" t="n">
        <v>1</v>
      </c>
      <c r="J1609" s="11" t="n">
        <v>3000</v>
      </c>
      <c r="K1609" s="12" t="n">
        <v>0.05</v>
      </c>
      <c r="L1609" s="11" t="n">
        <v>2000</v>
      </c>
      <c r="M1609" s="11" t="n">
        <f aca="false">I1609*J1609*(1-K1609)</f>
        <v>2850</v>
      </c>
      <c r="N1609" s="11" t="n">
        <f aca="false">M1609-I1609*L1609</f>
        <v>850</v>
      </c>
    </row>
    <row r="1610" customFormat="false" ht="15" hidden="false" customHeight="false" outlineLevel="0" collapsed="false">
      <c r="A1610" s="2" t="s">
        <v>1722</v>
      </c>
      <c r="B1610" s="2" t="s">
        <v>1723</v>
      </c>
      <c r="C1610" s="10" t="n">
        <v>45958</v>
      </c>
      <c r="D1610" s="2" t="n">
        <f aca="false">MONTH(C1610)</f>
        <v>10</v>
      </c>
      <c r="E1610" s="2" t="s">
        <v>77</v>
      </c>
      <c r="F1610" s="2" t="s">
        <v>92</v>
      </c>
      <c r="G1610" s="2" t="s">
        <v>73</v>
      </c>
      <c r="H1610" s="2" t="s">
        <v>104</v>
      </c>
      <c r="I1610" s="2" t="n">
        <v>4</v>
      </c>
      <c r="J1610" s="11" t="n">
        <v>5500</v>
      </c>
      <c r="K1610" s="12" t="n">
        <v>0.05</v>
      </c>
      <c r="L1610" s="11" t="n">
        <v>3600</v>
      </c>
      <c r="M1610" s="11" t="n">
        <f aca="false">I1610*J1610*(1-K1610)</f>
        <v>20900</v>
      </c>
      <c r="N1610" s="11" t="n">
        <f aca="false">M1610-I1610*L1610</f>
        <v>6500</v>
      </c>
    </row>
    <row r="1611" customFormat="false" ht="15" hidden="false" customHeight="false" outlineLevel="0" collapsed="false">
      <c r="A1611" s="2" t="s">
        <v>157</v>
      </c>
      <c r="B1611" s="2" t="s">
        <v>156</v>
      </c>
      <c r="C1611" s="10" t="n">
        <v>45962</v>
      </c>
      <c r="D1611" s="2" t="n">
        <f aca="false">MONTH(C1611)</f>
        <v>11</v>
      </c>
      <c r="E1611" s="2" t="s">
        <v>91</v>
      </c>
      <c r="F1611" s="2" t="s">
        <v>92</v>
      </c>
      <c r="G1611" s="2" t="s">
        <v>73</v>
      </c>
      <c r="H1611" s="2" t="s">
        <v>85</v>
      </c>
      <c r="I1611" s="2" t="n">
        <v>3</v>
      </c>
      <c r="J1611" s="11" t="n">
        <v>1200</v>
      </c>
      <c r="K1611" s="12" t="n">
        <v>0.1</v>
      </c>
      <c r="L1611" s="11" t="n">
        <v>600</v>
      </c>
      <c r="M1611" s="11" t="n">
        <f aca="false">I1611*J1611*(1-K1611)</f>
        <v>3240</v>
      </c>
      <c r="N1611" s="11" t="n">
        <f aca="false">M1611-I1611*L1611</f>
        <v>1440</v>
      </c>
    </row>
    <row r="1612" customFormat="false" ht="15" hidden="false" customHeight="false" outlineLevel="0" collapsed="false">
      <c r="A1612" s="2" t="s">
        <v>285</v>
      </c>
      <c r="B1612" s="2" t="s">
        <v>286</v>
      </c>
      <c r="C1612" s="10" t="n">
        <v>45962</v>
      </c>
      <c r="D1612" s="2" t="n">
        <f aca="false">MONTH(C1612)</f>
        <v>11</v>
      </c>
      <c r="E1612" s="2" t="s">
        <v>77</v>
      </c>
      <c r="F1612" s="2" t="s">
        <v>64</v>
      </c>
      <c r="G1612" s="2" t="s">
        <v>70</v>
      </c>
      <c r="H1612" s="2" t="s">
        <v>71</v>
      </c>
      <c r="I1612" s="2" t="n">
        <v>2</v>
      </c>
      <c r="J1612" s="11" t="n">
        <v>2500</v>
      </c>
      <c r="K1612" s="12" t="n">
        <v>0.1</v>
      </c>
      <c r="L1612" s="11" t="n">
        <v>1600</v>
      </c>
      <c r="M1612" s="11" t="n">
        <f aca="false">I1612*J1612*(1-K1612)</f>
        <v>4500</v>
      </c>
      <c r="N1612" s="11" t="n">
        <f aca="false">M1612-I1612*L1612</f>
        <v>1300</v>
      </c>
    </row>
    <row r="1613" customFormat="false" ht="15" hidden="false" customHeight="false" outlineLevel="0" collapsed="false">
      <c r="A1613" s="2" t="s">
        <v>316</v>
      </c>
      <c r="B1613" s="2" t="s">
        <v>310</v>
      </c>
      <c r="C1613" s="10" t="n">
        <v>45962</v>
      </c>
      <c r="D1613" s="2" t="n">
        <f aca="false">MONTH(C1613)</f>
        <v>11</v>
      </c>
      <c r="E1613" s="2" t="s">
        <v>91</v>
      </c>
      <c r="F1613" s="2" t="s">
        <v>69</v>
      </c>
      <c r="G1613" s="2" t="s">
        <v>73</v>
      </c>
      <c r="H1613" s="2" t="s">
        <v>104</v>
      </c>
      <c r="I1613" s="2" t="n">
        <v>4</v>
      </c>
      <c r="J1613" s="11" t="n">
        <v>5500</v>
      </c>
      <c r="K1613" s="12" t="n">
        <v>0.05</v>
      </c>
      <c r="L1613" s="11" t="n">
        <v>3600</v>
      </c>
      <c r="M1613" s="11" t="n">
        <f aca="false">I1613*J1613*(1-K1613)</f>
        <v>20900</v>
      </c>
      <c r="N1613" s="11" t="n">
        <f aca="false">M1613-I1613*L1613</f>
        <v>6500</v>
      </c>
    </row>
    <row r="1614" customFormat="false" ht="15" hidden="false" customHeight="false" outlineLevel="0" collapsed="false">
      <c r="A1614" s="2" t="s">
        <v>854</v>
      </c>
      <c r="B1614" s="2" t="s">
        <v>855</v>
      </c>
      <c r="C1614" s="10" t="n">
        <v>45962</v>
      </c>
      <c r="D1614" s="2" t="n">
        <f aca="false">MONTH(C1614)</f>
        <v>11</v>
      </c>
      <c r="E1614" s="2" t="s">
        <v>63</v>
      </c>
      <c r="F1614" s="2" t="s">
        <v>69</v>
      </c>
      <c r="G1614" s="2" t="s">
        <v>73</v>
      </c>
      <c r="H1614" s="2" t="s">
        <v>85</v>
      </c>
      <c r="I1614" s="2" t="n">
        <v>4</v>
      </c>
      <c r="J1614" s="11" t="n">
        <v>1200</v>
      </c>
      <c r="K1614" s="12" t="n">
        <v>0.05</v>
      </c>
      <c r="L1614" s="11" t="n">
        <v>600</v>
      </c>
      <c r="M1614" s="11" t="n">
        <f aca="false">I1614*J1614*(1-K1614)</f>
        <v>4560</v>
      </c>
      <c r="N1614" s="11" t="n">
        <f aca="false">M1614-I1614*L1614</f>
        <v>2160</v>
      </c>
    </row>
    <row r="1615" customFormat="false" ht="15" hidden="false" customHeight="false" outlineLevel="0" collapsed="false">
      <c r="A1615" s="2" t="s">
        <v>1258</v>
      </c>
      <c r="B1615" s="2" t="s">
        <v>1259</v>
      </c>
      <c r="C1615" s="10" t="n">
        <v>45962</v>
      </c>
      <c r="D1615" s="2" t="n">
        <f aca="false">MONTH(C1615)</f>
        <v>11</v>
      </c>
      <c r="E1615" s="2" t="s">
        <v>77</v>
      </c>
      <c r="F1615" s="2" t="s">
        <v>64</v>
      </c>
      <c r="G1615" s="2" t="s">
        <v>70</v>
      </c>
      <c r="H1615" s="2" t="s">
        <v>71</v>
      </c>
      <c r="I1615" s="2" t="n">
        <v>1</v>
      </c>
      <c r="J1615" s="11" t="n">
        <v>2500</v>
      </c>
      <c r="K1615" s="12" t="n">
        <v>0.1</v>
      </c>
      <c r="L1615" s="11" t="n">
        <v>1600</v>
      </c>
      <c r="M1615" s="11" t="n">
        <f aca="false">I1615*J1615*(1-K1615)</f>
        <v>2250</v>
      </c>
      <c r="N1615" s="11" t="n">
        <f aca="false">M1615-I1615*L1615</f>
        <v>650</v>
      </c>
    </row>
    <row r="1616" customFormat="false" ht="15" hidden="false" customHeight="false" outlineLevel="0" collapsed="false">
      <c r="A1616" s="2" t="s">
        <v>2073</v>
      </c>
      <c r="B1616" s="2" t="s">
        <v>2069</v>
      </c>
      <c r="C1616" s="10" t="n">
        <v>45962</v>
      </c>
      <c r="D1616" s="2" t="n">
        <f aca="false">MONTH(C1616)</f>
        <v>11</v>
      </c>
      <c r="E1616" s="2" t="s">
        <v>63</v>
      </c>
      <c r="F1616" s="2" t="s">
        <v>64</v>
      </c>
      <c r="G1616" s="2" t="s">
        <v>70</v>
      </c>
      <c r="H1616" s="2" t="s">
        <v>71</v>
      </c>
      <c r="I1616" s="2" t="n">
        <v>3</v>
      </c>
      <c r="J1616" s="11" t="n">
        <v>2500</v>
      </c>
      <c r="K1616" s="12" t="n">
        <v>0.05</v>
      </c>
      <c r="L1616" s="11" t="n">
        <v>1600</v>
      </c>
      <c r="M1616" s="11" t="n">
        <f aca="false">I1616*J1616*(1-K1616)</f>
        <v>7125</v>
      </c>
      <c r="N1616" s="11" t="n">
        <f aca="false">M1616-I1616*L1616</f>
        <v>2325</v>
      </c>
    </row>
    <row r="1617" customFormat="false" ht="15" hidden="false" customHeight="false" outlineLevel="0" collapsed="false">
      <c r="A1617" s="2" t="s">
        <v>2410</v>
      </c>
      <c r="B1617" s="2" t="s">
        <v>2406</v>
      </c>
      <c r="C1617" s="10" t="n">
        <v>45962</v>
      </c>
      <c r="D1617" s="2" t="n">
        <f aca="false">MONTH(C1617)</f>
        <v>11</v>
      </c>
      <c r="E1617" s="2" t="s">
        <v>81</v>
      </c>
      <c r="F1617" s="2" t="s">
        <v>69</v>
      </c>
      <c r="G1617" s="2" t="s">
        <v>73</v>
      </c>
      <c r="H1617" s="2" t="s">
        <v>85</v>
      </c>
      <c r="I1617" s="2" t="n">
        <v>2</v>
      </c>
      <c r="J1617" s="11" t="n">
        <v>1200</v>
      </c>
      <c r="K1617" s="12" t="n">
        <v>0.05</v>
      </c>
      <c r="L1617" s="11" t="n">
        <v>600</v>
      </c>
      <c r="M1617" s="11" t="n">
        <f aca="false">I1617*J1617*(1-K1617)</f>
        <v>2280</v>
      </c>
      <c r="N1617" s="11" t="n">
        <f aca="false">M1617-I1617*L1617</f>
        <v>1080</v>
      </c>
    </row>
    <row r="1618" customFormat="false" ht="15" hidden="false" customHeight="false" outlineLevel="0" collapsed="false">
      <c r="A1618" s="2" t="s">
        <v>687</v>
      </c>
      <c r="B1618" s="2" t="s">
        <v>688</v>
      </c>
      <c r="C1618" s="10" t="n">
        <v>45963</v>
      </c>
      <c r="D1618" s="2" t="n">
        <f aca="false">MONTH(C1618)</f>
        <v>11</v>
      </c>
      <c r="E1618" s="2" t="s">
        <v>63</v>
      </c>
      <c r="F1618" s="2" t="s">
        <v>64</v>
      </c>
      <c r="G1618" s="2" t="s">
        <v>65</v>
      </c>
      <c r="H1618" s="2" t="s">
        <v>66</v>
      </c>
      <c r="I1618" s="2" t="n">
        <v>3</v>
      </c>
      <c r="J1618" s="11" t="n">
        <v>600</v>
      </c>
      <c r="K1618" s="12" t="n">
        <v>0.05</v>
      </c>
      <c r="L1618" s="11" t="n">
        <v>300</v>
      </c>
      <c r="M1618" s="11" t="n">
        <f aca="false">I1618*J1618*(1-K1618)</f>
        <v>1710</v>
      </c>
      <c r="N1618" s="11" t="n">
        <f aca="false">M1618-I1618*L1618</f>
        <v>810</v>
      </c>
    </row>
    <row r="1619" customFormat="false" ht="15" hidden="false" customHeight="false" outlineLevel="0" collapsed="false">
      <c r="A1619" s="2" t="s">
        <v>1101</v>
      </c>
      <c r="B1619" s="2" t="s">
        <v>1102</v>
      </c>
      <c r="C1619" s="10" t="n">
        <v>45963</v>
      </c>
      <c r="D1619" s="2" t="n">
        <f aca="false">MONTH(C1619)</f>
        <v>11</v>
      </c>
      <c r="E1619" s="2" t="s">
        <v>63</v>
      </c>
      <c r="F1619" s="2" t="s">
        <v>69</v>
      </c>
      <c r="G1619" s="2" t="s">
        <v>65</v>
      </c>
      <c r="H1619" s="2" t="s">
        <v>107</v>
      </c>
      <c r="I1619" s="2" t="n">
        <v>6</v>
      </c>
      <c r="J1619" s="11" t="n">
        <v>500</v>
      </c>
      <c r="K1619" s="12" t="n">
        <v>0.05</v>
      </c>
      <c r="L1619" s="11" t="n">
        <v>250</v>
      </c>
      <c r="M1619" s="11" t="n">
        <f aca="false">I1619*J1619*(1-K1619)</f>
        <v>2850</v>
      </c>
      <c r="N1619" s="11" t="n">
        <f aca="false">M1619-I1619*L1619</f>
        <v>1350</v>
      </c>
    </row>
    <row r="1620" customFormat="false" ht="15" hidden="false" customHeight="false" outlineLevel="0" collapsed="false">
      <c r="A1620" s="2" t="s">
        <v>1291</v>
      </c>
      <c r="B1620" s="2" t="s">
        <v>1292</v>
      </c>
      <c r="C1620" s="10" t="n">
        <v>45963</v>
      </c>
      <c r="D1620" s="2" t="n">
        <f aca="false">MONTH(C1620)</f>
        <v>11</v>
      </c>
      <c r="E1620" s="2" t="s">
        <v>77</v>
      </c>
      <c r="F1620" s="2" t="s">
        <v>69</v>
      </c>
      <c r="G1620" s="2" t="s">
        <v>70</v>
      </c>
      <c r="H1620" s="2" t="s">
        <v>71</v>
      </c>
      <c r="I1620" s="2" t="n">
        <v>1</v>
      </c>
      <c r="J1620" s="11" t="n">
        <v>2500</v>
      </c>
      <c r="K1620" s="12" t="n">
        <v>0.1</v>
      </c>
      <c r="L1620" s="11" t="n">
        <v>1600</v>
      </c>
      <c r="M1620" s="11" t="n">
        <f aca="false">I1620*J1620*(1-K1620)</f>
        <v>2250</v>
      </c>
      <c r="N1620" s="11" t="n">
        <f aca="false">M1620-I1620*L1620</f>
        <v>650</v>
      </c>
    </row>
    <row r="1621" customFormat="false" ht="15" hidden="false" customHeight="false" outlineLevel="0" collapsed="false">
      <c r="A1621" s="2" t="s">
        <v>1494</v>
      </c>
      <c r="B1621" s="2" t="s">
        <v>1495</v>
      </c>
      <c r="C1621" s="10" t="n">
        <v>45963</v>
      </c>
      <c r="D1621" s="2" t="n">
        <f aca="false">MONTH(C1621)</f>
        <v>11</v>
      </c>
      <c r="E1621" s="2" t="s">
        <v>63</v>
      </c>
      <c r="F1621" s="2" t="s">
        <v>64</v>
      </c>
      <c r="G1621" s="2" t="s">
        <v>65</v>
      </c>
      <c r="H1621" s="2" t="s">
        <v>66</v>
      </c>
      <c r="I1621" s="2" t="n">
        <v>7</v>
      </c>
      <c r="J1621" s="11" t="n">
        <v>600</v>
      </c>
      <c r="K1621" s="12" t="n">
        <v>0.1</v>
      </c>
      <c r="L1621" s="11" t="n">
        <v>300</v>
      </c>
      <c r="M1621" s="11" t="n">
        <f aca="false">I1621*J1621*(1-K1621)</f>
        <v>3780</v>
      </c>
      <c r="N1621" s="11" t="n">
        <f aca="false">M1621-I1621*L1621</f>
        <v>1680</v>
      </c>
    </row>
    <row r="1622" customFormat="false" ht="15" hidden="false" customHeight="false" outlineLevel="0" collapsed="false">
      <c r="A1622" s="2" t="s">
        <v>2253</v>
      </c>
      <c r="B1622" s="2" t="s">
        <v>2254</v>
      </c>
      <c r="C1622" s="10" t="n">
        <v>45963</v>
      </c>
      <c r="D1622" s="2" t="n">
        <f aca="false">MONTH(C1622)</f>
        <v>11</v>
      </c>
      <c r="E1622" s="2" t="s">
        <v>77</v>
      </c>
      <c r="F1622" s="2" t="s">
        <v>69</v>
      </c>
      <c r="G1622" s="2" t="s">
        <v>70</v>
      </c>
      <c r="H1622" s="2" t="s">
        <v>71</v>
      </c>
      <c r="I1622" s="2" t="n">
        <v>3</v>
      </c>
      <c r="J1622" s="11" t="n">
        <v>2500</v>
      </c>
      <c r="K1622" s="12" t="n">
        <v>0.05</v>
      </c>
      <c r="L1622" s="11" t="n">
        <v>1600</v>
      </c>
      <c r="M1622" s="11" t="n">
        <f aca="false">I1622*J1622*(1-K1622)</f>
        <v>7125</v>
      </c>
      <c r="N1622" s="11" t="n">
        <f aca="false">M1622-I1622*L1622</f>
        <v>2325</v>
      </c>
    </row>
    <row r="1623" customFormat="false" ht="15" hidden="false" customHeight="false" outlineLevel="0" collapsed="false">
      <c r="A1623" s="2" t="s">
        <v>2992</v>
      </c>
      <c r="B1623" s="2" t="s">
        <v>2993</v>
      </c>
      <c r="C1623" s="10" t="n">
        <v>45963</v>
      </c>
      <c r="D1623" s="2" t="n">
        <f aca="false">MONTH(C1623)</f>
        <v>11</v>
      </c>
      <c r="E1623" s="2" t="s">
        <v>91</v>
      </c>
      <c r="F1623" s="2" t="s">
        <v>92</v>
      </c>
      <c r="G1623" s="2" t="s">
        <v>70</v>
      </c>
      <c r="H1623" s="2" t="s">
        <v>122</v>
      </c>
      <c r="I1623" s="2" t="n">
        <v>6</v>
      </c>
      <c r="J1623" s="11" t="n">
        <v>1500</v>
      </c>
      <c r="K1623" s="12" t="n">
        <v>0.15</v>
      </c>
      <c r="L1623" s="11" t="n">
        <v>900</v>
      </c>
      <c r="M1623" s="11" t="n">
        <f aca="false">I1623*J1623*(1-K1623)</f>
        <v>7650</v>
      </c>
      <c r="N1623" s="11" t="n">
        <f aca="false">M1623-I1623*L1623</f>
        <v>2250</v>
      </c>
    </row>
    <row r="1624" customFormat="false" ht="15" hidden="false" customHeight="false" outlineLevel="0" collapsed="false">
      <c r="A1624" s="2" t="s">
        <v>215</v>
      </c>
      <c r="B1624" s="2" t="s">
        <v>216</v>
      </c>
      <c r="C1624" s="10" t="n">
        <v>45964</v>
      </c>
      <c r="D1624" s="2" t="n">
        <f aca="false">MONTH(C1624)</f>
        <v>11</v>
      </c>
      <c r="E1624" s="2" t="s">
        <v>91</v>
      </c>
      <c r="F1624" s="2" t="s">
        <v>64</v>
      </c>
      <c r="G1624" s="2" t="s">
        <v>73</v>
      </c>
      <c r="H1624" s="2" t="s">
        <v>87</v>
      </c>
      <c r="I1624" s="2" t="n">
        <v>1</v>
      </c>
      <c r="J1624" s="11" t="n">
        <v>9000</v>
      </c>
      <c r="K1624" s="12" t="n">
        <v>0.05</v>
      </c>
      <c r="L1624" s="11" t="n">
        <v>6200</v>
      </c>
      <c r="M1624" s="11" t="n">
        <f aca="false">I1624*J1624*(1-K1624)</f>
        <v>8550</v>
      </c>
      <c r="N1624" s="11" t="n">
        <f aca="false">M1624-I1624*L1624</f>
        <v>2350</v>
      </c>
    </row>
    <row r="1625" customFormat="false" ht="15" hidden="false" customHeight="false" outlineLevel="0" collapsed="false">
      <c r="A1625" s="2" t="s">
        <v>256</v>
      </c>
      <c r="B1625" s="2" t="s">
        <v>254</v>
      </c>
      <c r="C1625" s="10" t="n">
        <v>45964</v>
      </c>
      <c r="D1625" s="2" t="n">
        <f aca="false">MONTH(C1625)</f>
        <v>11</v>
      </c>
      <c r="E1625" s="2" t="s">
        <v>77</v>
      </c>
      <c r="F1625" s="2" t="s">
        <v>64</v>
      </c>
      <c r="G1625" s="2" t="s">
        <v>65</v>
      </c>
      <c r="H1625" s="2" t="s">
        <v>66</v>
      </c>
      <c r="I1625" s="2" t="n">
        <v>2</v>
      </c>
      <c r="J1625" s="11" t="n">
        <v>600</v>
      </c>
      <c r="K1625" s="12" t="n">
        <v>0.15</v>
      </c>
      <c r="L1625" s="11" t="n">
        <v>300</v>
      </c>
      <c r="M1625" s="11" t="n">
        <f aca="false">I1625*J1625*(1-K1625)</f>
        <v>1020</v>
      </c>
      <c r="N1625" s="11" t="n">
        <f aca="false">M1625-I1625*L1625</f>
        <v>420</v>
      </c>
    </row>
    <row r="1626" customFormat="false" ht="15" hidden="false" customHeight="false" outlineLevel="0" collapsed="false">
      <c r="A1626" s="2" t="s">
        <v>611</v>
      </c>
      <c r="B1626" s="2" t="s">
        <v>612</v>
      </c>
      <c r="C1626" s="10" t="n">
        <v>45964</v>
      </c>
      <c r="D1626" s="2" t="n">
        <f aca="false">MONTH(C1626)</f>
        <v>11</v>
      </c>
      <c r="E1626" s="2" t="s">
        <v>77</v>
      </c>
      <c r="F1626" s="2" t="s">
        <v>64</v>
      </c>
      <c r="G1626" s="2" t="s">
        <v>65</v>
      </c>
      <c r="H1626" s="2" t="s">
        <v>66</v>
      </c>
      <c r="I1626" s="2" t="n">
        <v>8</v>
      </c>
      <c r="J1626" s="11" t="n">
        <v>600</v>
      </c>
      <c r="K1626" s="12" t="n">
        <v>0.15</v>
      </c>
      <c r="L1626" s="11" t="n">
        <v>300</v>
      </c>
      <c r="M1626" s="11" t="n">
        <f aca="false">I1626*J1626*(1-K1626)</f>
        <v>4080</v>
      </c>
      <c r="N1626" s="11" t="n">
        <f aca="false">M1626-I1626*L1626</f>
        <v>1680</v>
      </c>
    </row>
    <row r="1627" customFormat="false" ht="15" hidden="false" customHeight="false" outlineLevel="0" collapsed="false">
      <c r="A1627" s="2" t="s">
        <v>655</v>
      </c>
      <c r="B1627" s="2" t="s">
        <v>656</v>
      </c>
      <c r="C1627" s="10" t="n">
        <v>45964</v>
      </c>
      <c r="D1627" s="2" t="n">
        <f aca="false">MONTH(C1627)</f>
        <v>11</v>
      </c>
      <c r="E1627" s="2" t="s">
        <v>91</v>
      </c>
      <c r="F1627" s="2" t="s">
        <v>64</v>
      </c>
      <c r="G1627" s="2" t="s">
        <v>70</v>
      </c>
      <c r="H1627" s="2" t="s">
        <v>126</v>
      </c>
      <c r="I1627" s="2" t="n">
        <v>1</v>
      </c>
      <c r="J1627" s="11" t="n">
        <v>4500</v>
      </c>
      <c r="K1627" s="12" t="n">
        <v>0.05</v>
      </c>
      <c r="L1627" s="11" t="n">
        <v>3300</v>
      </c>
      <c r="M1627" s="11" t="n">
        <f aca="false">I1627*J1627*(1-K1627)</f>
        <v>4275</v>
      </c>
      <c r="N1627" s="11" t="n">
        <f aca="false">M1627-I1627*L1627</f>
        <v>975</v>
      </c>
    </row>
    <row r="1628" customFormat="false" ht="15" hidden="false" customHeight="false" outlineLevel="0" collapsed="false">
      <c r="A1628" s="2" t="s">
        <v>824</v>
      </c>
      <c r="B1628" s="2" t="s">
        <v>822</v>
      </c>
      <c r="C1628" s="10" t="n">
        <v>45964</v>
      </c>
      <c r="D1628" s="2" t="n">
        <f aca="false">MONTH(C1628)</f>
        <v>11</v>
      </c>
      <c r="E1628" s="2" t="s">
        <v>91</v>
      </c>
      <c r="F1628" s="2" t="s">
        <v>69</v>
      </c>
      <c r="G1628" s="2" t="s">
        <v>73</v>
      </c>
      <c r="H1628" s="2" t="s">
        <v>87</v>
      </c>
      <c r="I1628" s="2" t="n">
        <v>3</v>
      </c>
      <c r="J1628" s="11" t="n">
        <v>9000</v>
      </c>
      <c r="K1628" s="12" t="n">
        <v>0.05</v>
      </c>
      <c r="L1628" s="11" t="n">
        <v>6200</v>
      </c>
      <c r="M1628" s="11" t="n">
        <f aca="false">I1628*J1628*(1-K1628)</f>
        <v>25650</v>
      </c>
      <c r="N1628" s="11" t="n">
        <f aca="false">M1628-I1628*L1628</f>
        <v>7050</v>
      </c>
    </row>
    <row r="1629" customFormat="false" ht="15" hidden="false" customHeight="false" outlineLevel="0" collapsed="false">
      <c r="A1629" s="2" t="s">
        <v>1018</v>
      </c>
      <c r="B1629" s="2" t="s">
        <v>1016</v>
      </c>
      <c r="C1629" s="10" t="n">
        <v>45964</v>
      </c>
      <c r="D1629" s="2" t="n">
        <f aca="false">MONTH(C1629)</f>
        <v>11</v>
      </c>
      <c r="E1629" s="2" t="s">
        <v>81</v>
      </c>
      <c r="F1629" s="2" t="s">
        <v>64</v>
      </c>
      <c r="G1629" s="2" t="s">
        <v>70</v>
      </c>
      <c r="H1629" s="2" t="s">
        <v>71</v>
      </c>
      <c r="I1629" s="2" t="n">
        <v>3</v>
      </c>
      <c r="J1629" s="11" t="n">
        <v>2500</v>
      </c>
      <c r="K1629" s="12" t="n">
        <v>0.1</v>
      </c>
      <c r="L1629" s="11" t="n">
        <v>1600</v>
      </c>
      <c r="M1629" s="11" t="n">
        <f aca="false">I1629*J1629*(1-K1629)</f>
        <v>6750</v>
      </c>
      <c r="N1629" s="11" t="n">
        <f aca="false">M1629-I1629*L1629</f>
        <v>1950</v>
      </c>
    </row>
    <row r="1630" customFormat="false" ht="15" hidden="false" customHeight="false" outlineLevel="0" collapsed="false">
      <c r="A1630" s="2" t="s">
        <v>1341</v>
      </c>
      <c r="B1630" s="2" t="s">
        <v>1340</v>
      </c>
      <c r="C1630" s="10" t="n">
        <v>45964</v>
      </c>
      <c r="D1630" s="2" t="n">
        <f aca="false">MONTH(C1630)</f>
        <v>11</v>
      </c>
      <c r="E1630" s="2" t="s">
        <v>77</v>
      </c>
      <c r="F1630" s="2" t="s">
        <v>64</v>
      </c>
      <c r="G1630" s="2" t="s">
        <v>73</v>
      </c>
      <c r="H1630" s="2" t="s">
        <v>74</v>
      </c>
      <c r="I1630" s="2" t="n">
        <v>1</v>
      </c>
      <c r="J1630" s="11" t="n">
        <v>7000</v>
      </c>
      <c r="K1630" s="12" t="n">
        <v>0.05</v>
      </c>
      <c r="L1630" s="11" t="n">
        <v>4800</v>
      </c>
      <c r="M1630" s="11" t="n">
        <f aca="false">I1630*J1630*(1-K1630)</f>
        <v>6650</v>
      </c>
      <c r="N1630" s="11" t="n">
        <f aca="false">M1630-I1630*L1630</f>
        <v>1850</v>
      </c>
    </row>
    <row r="1631" customFormat="false" ht="15" hidden="false" customHeight="false" outlineLevel="0" collapsed="false">
      <c r="A1631" s="2" t="s">
        <v>1412</v>
      </c>
      <c r="B1631" s="2" t="s">
        <v>1413</v>
      </c>
      <c r="C1631" s="10" t="n">
        <v>45964</v>
      </c>
      <c r="D1631" s="2" t="n">
        <f aca="false">MONTH(C1631)</f>
        <v>11</v>
      </c>
      <c r="E1631" s="2" t="s">
        <v>91</v>
      </c>
      <c r="F1631" s="2" t="s">
        <v>64</v>
      </c>
      <c r="G1631" s="2" t="s">
        <v>70</v>
      </c>
      <c r="H1631" s="2" t="s">
        <v>122</v>
      </c>
      <c r="I1631" s="2" t="n">
        <v>3</v>
      </c>
      <c r="J1631" s="11" t="n">
        <v>1500</v>
      </c>
      <c r="K1631" s="12" t="n">
        <v>0.1</v>
      </c>
      <c r="L1631" s="11" t="n">
        <v>900</v>
      </c>
      <c r="M1631" s="11" t="n">
        <f aca="false">I1631*J1631*(1-K1631)</f>
        <v>4050</v>
      </c>
      <c r="N1631" s="11" t="n">
        <f aca="false">M1631-I1631*L1631</f>
        <v>1350</v>
      </c>
    </row>
    <row r="1632" customFormat="false" ht="15" hidden="false" customHeight="false" outlineLevel="0" collapsed="false">
      <c r="A1632" s="2" t="s">
        <v>2434</v>
      </c>
      <c r="B1632" s="2" t="s">
        <v>2433</v>
      </c>
      <c r="C1632" s="10" t="n">
        <v>45964</v>
      </c>
      <c r="D1632" s="2" t="n">
        <f aca="false">MONTH(C1632)</f>
        <v>11</v>
      </c>
      <c r="E1632" s="2" t="s">
        <v>81</v>
      </c>
      <c r="F1632" s="2" t="s">
        <v>64</v>
      </c>
      <c r="G1632" s="2" t="s">
        <v>70</v>
      </c>
      <c r="H1632" s="2" t="s">
        <v>122</v>
      </c>
      <c r="I1632" s="2" t="n">
        <v>3</v>
      </c>
      <c r="J1632" s="11" t="n">
        <v>1500</v>
      </c>
      <c r="K1632" s="12" t="n">
        <v>0.05</v>
      </c>
      <c r="L1632" s="11" t="n">
        <v>900</v>
      </c>
      <c r="M1632" s="11" t="n">
        <f aca="false">I1632*J1632*(1-K1632)</f>
        <v>4275</v>
      </c>
      <c r="N1632" s="11" t="n">
        <f aca="false">M1632-I1632*L1632</f>
        <v>1575</v>
      </c>
    </row>
    <row r="1633" customFormat="false" ht="15" hidden="false" customHeight="false" outlineLevel="0" collapsed="false">
      <c r="A1633" s="2" t="s">
        <v>519</v>
      </c>
      <c r="B1633" s="2" t="s">
        <v>520</v>
      </c>
      <c r="C1633" s="10" t="n">
        <v>45965</v>
      </c>
      <c r="D1633" s="2" t="n">
        <f aca="false">MONTH(C1633)</f>
        <v>11</v>
      </c>
      <c r="E1633" s="2" t="s">
        <v>77</v>
      </c>
      <c r="F1633" s="2" t="s">
        <v>92</v>
      </c>
      <c r="G1633" s="2" t="s">
        <v>73</v>
      </c>
      <c r="H1633" s="2" t="s">
        <v>85</v>
      </c>
      <c r="I1633" s="2" t="n">
        <v>6</v>
      </c>
      <c r="J1633" s="11" t="n">
        <v>1200</v>
      </c>
      <c r="K1633" s="12" t="n">
        <v>0.15</v>
      </c>
      <c r="L1633" s="11" t="n">
        <v>600</v>
      </c>
      <c r="M1633" s="11" t="n">
        <f aca="false">I1633*J1633*(1-K1633)</f>
        <v>6120</v>
      </c>
      <c r="N1633" s="11" t="n">
        <f aca="false">M1633-I1633*L1633</f>
        <v>2520</v>
      </c>
    </row>
    <row r="1634" customFormat="false" ht="15" hidden="false" customHeight="false" outlineLevel="0" collapsed="false">
      <c r="A1634" s="2" t="s">
        <v>921</v>
      </c>
      <c r="B1634" s="2" t="s">
        <v>922</v>
      </c>
      <c r="C1634" s="10" t="n">
        <v>45965</v>
      </c>
      <c r="D1634" s="2" t="n">
        <f aca="false">MONTH(C1634)</f>
        <v>11</v>
      </c>
      <c r="E1634" s="2" t="s">
        <v>63</v>
      </c>
      <c r="F1634" s="2" t="s">
        <v>64</v>
      </c>
      <c r="G1634" s="2" t="s">
        <v>65</v>
      </c>
      <c r="H1634" s="2" t="s">
        <v>78</v>
      </c>
      <c r="I1634" s="2" t="n">
        <v>4</v>
      </c>
      <c r="J1634" s="11" t="n">
        <v>400</v>
      </c>
      <c r="K1634" s="12" t="n">
        <v>0.15</v>
      </c>
      <c r="L1634" s="11" t="n">
        <v>200</v>
      </c>
      <c r="M1634" s="11" t="n">
        <f aca="false">I1634*J1634*(1-K1634)</f>
        <v>1360</v>
      </c>
      <c r="N1634" s="11" t="n">
        <f aca="false">M1634-I1634*L1634</f>
        <v>560</v>
      </c>
    </row>
    <row r="1635" customFormat="false" ht="15" hidden="false" customHeight="false" outlineLevel="0" collapsed="false">
      <c r="A1635" s="2" t="s">
        <v>1128</v>
      </c>
      <c r="B1635" s="2" t="s">
        <v>1126</v>
      </c>
      <c r="C1635" s="10" t="n">
        <v>45965</v>
      </c>
      <c r="D1635" s="2" t="n">
        <f aca="false">MONTH(C1635)</f>
        <v>11</v>
      </c>
      <c r="E1635" s="2" t="s">
        <v>77</v>
      </c>
      <c r="F1635" s="2" t="s">
        <v>92</v>
      </c>
      <c r="G1635" s="2" t="s">
        <v>70</v>
      </c>
      <c r="H1635" s="2" t="s">
        <v>97</v>
      </c>
      <c r="I1635" s="2" t="n">
        <v>4</v>
      </c>
      <c r="J1635" s="11" t="n">
        <v>3000</v>
      </c>
      <c r="K1635" s="12" t="n">
        <v>0.05</v>
      </c>
      <c r="L1635" s="11" t="n">
        <v>2000</v>
      </c>
      <c r="M1635" s="11" t="n">
        <f aca="false">I1635*J1635*(1-K1635)</f>
        <v>11400</v>
      </c>
      <c r="N1635" s="11" t="n">
        <f aca="false">M1635-I1635*L1635</f>
        <v>3400</v>
      </c>
    </row>
    <row r="1636" customFormat="false" ht="15" hidden="false" customHeight="false" outlineLevel="0" collapsed="false">
      <c r="A1636" s="2" t="s">
        <v>1144</v>
      </c>
      <c r="B1636" s="2" t="s">
        <v>1143</v>
      </c>
      <c r="C1636" s="10" t="n">
        <v>45965</v>
      </c>
      <c r="D1636" s="2" t="n">
        <f aca="false">MONTH(C1636)</f>
        <v>11</v>
      </c>
      <c r="E1636" s="2" t="s">
        <v>91</v>
      </c>
      <c r="F1636" s="2" t="s">
        <v>64</v>
      </c>
      <c r="G1636" s="2" t="s">
        <v>70</v>
      </c>
      <c r="H1636" s="2" t="s">
        <v>71</v>
      </c>
      <c r="I1636" s="2" t="n">
        <v>1</v>
      </c>
      <c r="J1636" s="11" t="n">
        <v>2500</v>
      </c>
      <c r="K1636" s="12" t="n">
        <v>0.05</v>
      </c>
      <c r="L1636" s="11" t="n">
        <v>1600</v>
      </c>
      <c r="M1636" s="11" t="n">
        <f aca="false">I1636*J1636*(1-K1636)</f>
        <v>2375</v>
      </c>
      <c r="N1636" s="11" t="n">
        <f aca="false">M1636-I1636*L1636</f>
        <v>775</v>
      </c>
    </row>
    <row r="1637" customFormat="false" ht="15" hidden="false" customHeight="false" outlineLevel="0" collapsed="false">
      <c r="A1637" s="2" t="s">
        <v>1824</v>
      </c>
      <c r="B1637" s="2" t="s">
        <v>1823</v>
      </c>
      <c r="C1637" s="10" t="n">
        <v>45965</v>
      </c>
      <c r="D1637" s="2" t="n">
        <f aca="false">MONTH(C1637)</f>
        <v>11</v>
      </c>
      <c r="E1637" s="2" t="s">
        <v>63</v>
      </c>
      <c r="F1637" s="2" t="s">
        <v>64</v>
      </c>
      <c r="G1637" s="2" t="s">
        <v>65</v>
      </c>
      <c r="H1637" s="2" t="s">
        <v>82</v>
      </c>
      <c r="I1637" s="2" t="n">
        <v>4</v>
      </c>
      <c r="J1637" s="11" t="n">
        <v>250</v>
      </c>
      <c r="K1637" s="12" t="n">
        <v>0.1</v>
      </c>
      <c r="L1637" s="11" t="n">
        <v>100</v>
      </c>
      <c r="M1637" s="11" t="n">
        <f aca="false">I1637*J1637*(1-K1637)</f>
        <v>900</v>
      </c>
      <c r="N1637" s="11" t="n">
        <f aca="false">M1637-I1637*L1637</f>
        <v>500</v>
      </c>
    </row>
    <row r="1638" customFormat="false" ht="15" hidden="false" customHeight="false" outlineLevel="0" collapsed="false">
      <c r="A1638" s="2" t="s">
        <v>2109</v>
      </c>
      <c r="B1638" s="2" t="s">
        <v>2110</v>
      </c>
      <c r="C1638" s="10" t="n">
        <v>45965</v>
      </c>
      <c r="D1638" s="2" t="n">
        <f aca="false">MONTH(C1638)</f>
        <v>11</v>
      </c>
      <c r="E1638" s="2" t="s">
        <v>91</v>
      </c>
      <c r="F1638" s="2" t="s">
        <v>64</v>
      </c>
      <c r="G1638" s="2" t="s">
        <v>70</v>
      </c>
      <c r="H1638" s="2" t="s">
        <v>122</v>
      </c>
      <c r="I1638" s="2" t="n">
        <v>3</v>
      </c>
      <c r="J1638" s="11" t="n">
        <v>1500</v>
      </c>
      <c r="K1638" s="12" t="n">
        <v>0.1</v>
      </c>
      <c r="L1638" s="11" t="n">
        <v>900</v>
      </c>
      <c r="M1638" s="11" t="n">
        <f aca="false">I1638*J1638*(1-K1638)</f>
        <v>4050</v>
      </c>
      <c r="N1638" s="11" t="n">
        <f aca="false">M1638-I1638*L1638</f>
        <v>1350</v>
      </c>
    </row>
    <row r="1639" customFormat="false" ht="15" hidden="false" customHeight="false" outlineLevel="0" collapsed="false">
      <c r="A1639" s="2" t="s">
        <v>2179</v>
      </c>
      <c r="B1639" s="2" t="s">
        <v>2177</v>
      </c>
      <c r="C1639" s="10" t="n">
        <v>45965</v>
      </c>
      <c r="D1639" s="2" t="n">
        <f aca="false">MONTH(C1639)</f>
        <v>11</v>
      </c>
      <c r="E1639" s="2" t="s">
        <v>63</v>
      </c>
      <c r="F1639" s="2" t="s">
        <v>64</v>
      </c>
      <c r="G1639" s="2" t="s">
        <v>70</v>
      </c>
      <c r="H1639" s="2" t="s">
        <v>71</v>
      </c>
      <c r="I1639" s="2" t="n">
        <v>2</v>
      </c>
      <c r="J1639" s="11" t="n">
        <v>2500</v>
      </c>
      <c r="K1639" s="12" t="n">
        <v>0.15</v>
      </c>
      <c r="L1639" s="11" t="n">
        <v>1600</v>
      </c>
      <c r="M1639" s="11" t="n">
        <f aca="false">I1639*J1639*(1-K1639)</f>
        <v>4250</v>
      </c>
      <c r="N1639" s="11" t="n">
        <f aca="false">M1639-I1639*L1639</f>
        <v>1050</v>
      </c>
    </row>
    <row r="1640" customFormat="false" ht="15" hidden="false" customHeight="false" outlineLevel="0" collapsed="false">
      <c r="A1640" s="2" t="s">
        <v>2255</v>
      </c>
      <c r="B1640" s="2" t="s">
        <v>2254</v>
      </c>
      <c r="C1640" s="10" t="n">
        <v>45965</v>
      </c>
      <c r="D1640" s="2" t="n">
        <f aca="false">MONTH(C1640)</f>
        <v>11</v>
      </c>
      <c r="E1640" s="2" t="s">
        <v>77</v>
      </c>
      <c r="F1640" s="2" t="s">
        <v>69</v>
      </c>
      <c r="G1640" s="2" t="s">
        <v>73</v>
      </c>
      <c r="H1640" s="2" t="s">
        <v>85</v>
      </c>
      <c r="I1640" s="2" t="n">
        <v>2</v>
      </c>
      <c r="J1640" s="11" t="n">
        <v>1200</v>
      </c>
      <c r="K1640" s="12" t="n">
        <v>0.15</v>
      </c>
      <c r="L1640" s="11" t="n">
        <v>600</v>
      </c>
      <c r="M1640" s="11" t="n">
        <f aca="false">I1640*J1640*(1-K1640)</f>
        <v>2040</v>
      </c>
      <c r="N1640" s="11" t="n">
        <f aca="false">M1640-I1640*L1640</f>
        <v>840</v>
      </c>
    </row>
    <row r="1641" customFormat="false" ht="15" hidden="false" customHeight="false" outlineLevel="0" collapsed="false">
      <c r="A1641" s="2" t="s">
        <v>2343</v>
      </c>
      <c r="B1641" s="2" t="s">
        <v>2342</v>
      </c>
      <c r="C1641" s="10" t="n">
        <v>45965</v>
      </c>
      <c r="D1641" s="2" t="n">
        <f aca="false">MONTH(C1641)</f>
        <v>11</v>
      </c>
      <c r="E1641" s="2" t="s">
        <v>63</v>
      </c>
      <c r="F1641" s="2" t="s">
        <v>69</v>
      </c>
      <c r="G1641" s="2" t="s">
        <v>70</v>
      </c>
      <c r="H1641" s="2" t="s">
        <v>71</v>
      </c>
      <c r="I1641" s="2" t="n">
        <v>5</v>
      </c>
      <c r="J1641" s="11" t="n">
        <v>2500</v>
      </c>
      <c r="K1641" s="12" t="n">
        <v>0.05</v>
      </c>
      <c r="L1641" s="11" t="n">
        <v>1600</v>
      </c>
      <c r="M1641" s="11" t="n">
        <f aca="false">I1641*J1641*(1-K1641)</f>
        <v>11875</v>
      </c>
      <c r="N1641" s="11" t="n">
        <f aca="false">M1641-I1641*L1641</f>
        <v>3875</v>
      </c>
    </row>
    <row r="1642" customFormat="false" ht="15" hidden="false" customHeight="false" outlineLevel="0" collapsed="false">
      <c r="A1642" s="2" t="s">
        <v>497</v>
      </c>
      <c r="B1642" s="2" t="s">
        <v>492</v>
      </c>
      <c r="C1642" s="10" t="n">
        <v>45966</v>
      </c>
      <c r="D1642" s="2" t="n">
        <f aca="false">MONTH(C1642)</f>
        <v>11</v>
      </c>
      <c r="E1642" s="2" t="s">
        <v>77</v>
      </c>
      <c r="F1642" s="2" t="s">
        <v>64</v>
      </c>
      <c r="G1642" s="2" t="s">
        <v>65</v>
      </c>
      <c r="H1642" s="2" t="s">
        <v>82</v>
      </c>
      <c r="I1642" s="2" t="n">
        <v>6</v>
      </c>
      <c r="J1642" s="11" t="n">
        <v>250</v>
      </c>
      <c r="K1642" s="12" t="n">
        <v>0.05</v>
      </c>
      <c r="L1642" s="11" t="n">
        <v>100</v>
      </c>
      <c r="M1642" s="11" t="n">
        <f aca="false">I1642*J1642*(1-K1642)</f>
        <v>1425</v>
      </c>
      <c r="N1642" s="11" t="n">
        <f aca="false">M1642-I1642*L1642</f>
        <v>825</v>
      </c>
    </row>
    <row r="1643" customFormat="false" ht="15" hidden="false" customHeight="false" outlineLevel="0" collapsed="false">
      <c r="A1643" s="2" t="s">
        <v>693</v>
      </c>
      <c r="B1643" s="2" t="s">
        <v>694</v>
      </c>
      <c r="C1643" s="10" t="n">
        <v>45966</v>
      </c>
      <c r="D1643" s="2" t="n">
        <f aca="false">MONTH(C1643)</f>
        <v>11</v>
      </c>
      <c r="E1643" s="2" t="s">
        <v>91</v>
      </c>
      <c r="F1643" s="2" t="s">
        <v>64</v>
      </c>
      <c r="G1643" s="2" t="s">
        <v>65</v>
      </c>
      <c r="H1643" s="2" t="s">
        <v>107</v>
      </c>
      <c r="I1643" s="2" t="n">
        <v>5</v>
      </c>
      <c r="J1643" s="11" t="n">
        <v>500</v>
      </c>
      <c r="K1643" s="12" t="n">
        <v>0.15</v>
      </c>
      <c r="L1643" s="11" t="n">
        <v>250</v>
      </c>
      <c r="M1643" s="11" t="n">
        <f aca="false">I1643*J1643*(1-K1643)</f>
        <v>2125</v>
      </c>
      <c r="N1643" s="11" t="n">
        <f aca="false">M1643-I1643*L1643</f>
        <v>875</v>
      </c>
    </row>
    <row r="1644" customFormat="false" ht="15" hidden="false" customHeight="false" outlineLevel="0" collapsed="false">
      <c r="A1644" s="2" t="s">
        <v>744</v>
      </c>
      <c r="B1644" s="2" t="s">
        <v>741</v>
      </c>
      <c r="C1644" s="10" t="n">
        <v>45966</v>
      </c>
      <c r="D1644" s="2" t="n">
        <f aca="false">MONTH(C1644)</f>
        <v>11</v>
      </c>
      <c r="E1644" s="2" t="s">
        <v>81</v>
      </c>
      <c r="F1644" s="2" t="s">
        <v>64</v>
      </c>
      <c r="G1644" s="2" t="s">
        <v>65</v>
      </c>
      <c r="H1644" s="2" t="s">
        <v>82</v>
      </c>
      <c r="I1644" s="2" t="n">
        <v>5</v>
      </c>
      <c r="J1644" s="11" t="n">
        <v>250</v>
      </c>
      <c r="K1644" s="12" t="n">
        <v>0.05</v>
      </c>
      <c r="L1644" s="11" t="n">
        <v>100</v>
      </c>
      <c r="M1644" s="11" t="n">
        <f aca="false">I1644*J1644*(1-K1644)</f>
        <v>1187.5</v>
      </c>
      <c r="N1644" s="11" t="n">
        <f aca="false">M1644-I1644*L1644</f>
        <v>687.5</v>
      </c>
    </row>
    <row r="1645" customFormat="false" ht="15" hidden="false" customHeight="false" outlineLevel="0" collapsed="false">
      <c r="A1645" s="2" t="s">
        <v>1086</v>
      </c>
      <c r="B1645" s="2" t="s">
        <v>1084</v>
      </c>
      <c r="C1645" s="10" t="n">
        <v>45966</v>
      </c>
      <c r="D1645" s="2" t="n">
        <f aca="false">MONTH(C1645)</f>
        <v>11</v>
      </c>
      <c r="E1645" s="2" t="s">
        <v>77</v>
      </c>
      <c r="F1645" s="2" t="s">
        <v>64</v>
      </c>
      <c r="G1645" s="2" t="s">
        <v>73</v>
      </c>
      <c r="H1645" s="2" t="s">
        <v>104</v>
      </c>
      <c r="I1645" s="2" t="n">
        <v>2</v>
      </c>
      <c r="J1645" s="11" t="n">
        <v>5500</v>
      </c>
      <c r="K1645" s="12" t="n">
        <v>0.15</v>
      </c>
      <c r="L1645" s="11" t="n">
        <v>3600</v>
      </c>
      <c r="M1645" s="11" t="n">
        <f aca="false">I1645*J1645*(1-K1645)</f>
        <v>9350</v>
      </c>
      <c r="N1645" s="11" t="n">
        <f aca="false">M1645-I1645*L1645</f>
        <v>2150</v>
      </c>
    </row>
    <row r="1646" customFormat="false" ht="15" hidden="false" customHeight="false" outlineLevel="0" collapsed="false">
      <c r="A1646" s="2" t="s">
        <v>1360</v>
      </c>
      <c r="B1646" s="2" t="s">
        <v>1358</v>
      </c>
      <c r="C1646" s="10" t="n">
        <v>45966</v>
      </c>
      <c r="D1646" s="2" t="n">
        <f aca="false">MONTH(C1646)</f>
        <v>11</v>
      </c>
      <c r="E1646" s="2" t="s">
        <v>77</v>
      </c>
      <c r="F1646" s="2" t="s">
        <v>64</v>
      </c>
      <c r="G1646" s="2" t="s">
        <v>70</v>
      </c>
      <c r="H1646" s="2" t="s">
        <v>126</v>
      </c>
      <c r="I1646" s="2" t="n">
        <v>2</v>
      </c>
      <c r="J1646" s="11" t="n">
        <v>4500</v>
      </c>
      <c r="K1646" s="12" t="n">
        <v>0.05</v>
      </c>
      <c r="L1646" s="11" t="n">
        <v>3300</v>
      </c>
      <c r="M1646" s="11" t="n">
        <f aca="false">I1646*J1646*(1-K1646)</f>
        <v>8550</v>
      </c>
      <c r="N1646" s="11" t="n">
        <f aca="false">M1646-I1646*L1646</f>
        <v>1950</v>
      </c>
    </row>
    <row r="1647" customFormat="false" ht="15" hidden="false" customHeight="false" outlineLevel="0" collapsed="false">
      <c r="A1647" s="2" t="s">
        <v>1699</v>
      </c>
      <c r="B1647" s="2" t="s">
        <v>1698</v>
      </c>
      <c r="C1647" s="10" t="n">
        <v>45966</v>
      </c>
      <c r="D1647" s="2" t="n">
        <f aca="false">MONTH(C1647)</f>
        <v>11</v>
      </c>
      <c r="E1647" s="2" t="s">
        <v>63</v>
      </c>
      <c r="F1647" s="2" t="s">
        <v>64</v>
      </c>
      <c r="G1647" s="2" t="s">
        <v>65</v>
      </c>
      <c r="H1647" s="2" t="s">
        <v>82</v>
      </c>
      <c r="I1647" s="2" t="n">
        <v>4</v>
      </c>
      <c r="J1647" s="11" t="n">
        <v>250</v>
      </c>
      <c r="K1647" s="12" t="n">
        <v>0.05</v>
      </c>
      <c r="L1647" s="11" t="n">
        <v>100</v>
      </c>
      <c r="M1647" s="11" t="n">
        <f aca="false">I1647*J1647*(1-K1647)</f>
        <v>950</v>
      </c>
      <c r="N1647" s="11" t="n">
        <f aca="false">M1647-I1647*L1647</f>
        <v>550</v>
      </c>
    </row>
    <row r="1648" customFormat="false" ht="15" hidden="false" customHeight="false" outlineLevel="0" collapsed="false">
      <c r="A1648" s="2" t="s">
        <v>1724</v>
      </c>
      <c r="B1648" s="2" t="s">
        <v>1723</v>
      </c>
      <c r="C1648" s="10" t="n">
        <v>45966</v>
      </c>
      <c r="D1648" s="2" t="n">
        <f aca="false">MONTH(C1648)</f>
        <v>11</v>
      </c>
      <c r="E1648" s="2" t="s">
        <v>77</v>
      </c>
      <c r="F1648" s="2" t="s">
        <v>92</v>
      </c>
      <c r="G1648" s="2" t="s">
        <v>73</v>
      </c>
      <c r="H1648" s="2" t="s">
        <v>87</v>
      </c>
      <c r="I1648" s="2" t="n">
        <v>5</v>
      </c>
      <c r="J1648" s="11" t="n">
        <v>9000</v>
      </c>
      <c r="K1648" s="12" t="n">
        <v>0.1</v>
      </c>
      <c r="L1648" s="11" t="n">
        <v>6200</v>
      </c>
      <c r="M1648" s="11" t="n">
        <f aca="false">I1648*J1648*(1-K1648)</f>
        <v>40500</v>
      </c>
      <c r="N1648" s="11" t="n">
        <f aca="false">M1648-I1648*L1648</f>
        <v>9500</v>
      </c>
    </row>
    <row r="1649" customFormat="false" ht="15" hidden="false" customHeight="false" outlineLevel="0" collapsed="false">
      <c r="A1649" s="2" t="s">
        <v>1807</v>
      </c>
      <c r="B1649" s="2" t="s">
        <v>1805</v>
      </c>
      <c r="C1649" s="10" t="n">
        <v>45966</v>
      </c>
      <c r="D1649" s="2" t="n">
        <f aca="false">MONTH(C1649)</f>
        <v>11</v>
      </c>
      <c r="E1649" s="2" t="s">
        <v>91</v>
      </c>
      <c r="F1649" s="2" t="s">
        <v>64</v>
      </c>
      <c r="G1649" s="2" t="s">
        <v>73</v>
      </c>
      <c r="H1649" s="2" t="s">
        <v>74</v>
      </c>
      <c r="I1649" s="2" t="n">
        <v>1</v>
      </c>
      <c r="J1649" s="11" t="n">
        <v>7000</v>
      </c>
      <c r="K1649" s="12" t="n">
        <v>0.15</v>
      </c>
      <c r="L1649" s="11" t="n">
        <v>4800</v>
      </c>
      <c r="M1649" s="11" t="n">
        <f aca="false">I1649*J1649*(1-K1649)</f>
        <v>5950</v>
      </c>
      <c r="N1649" s="11" t="n">
        <f aca="false">M1649-I1649*L1649</f>
        <v>1150</v>
      </c>
    </row>
    <row r="1650" customFormat="false" ht="15" hidden="false" customHeight="false" outlineLevel="0" collapsed="false">
      <c r="A1650" s="2" t="s">
        <v>2046</v>
      </c>
      <c r="B1650" s="2" t="s">
        <v>2047</v>
      </c>
      <c r="C1650" s="10" t="n">
        <v>45966</v>
      </c>
      <c r="D1650" s="2" t="n">
        <f aca="false">MONTH(C1650)</f>
        <v>11</v>
      </c>
      <c r="E1650" s="2" t="s">
        <v>77</v>
      </c>
      <c r="F1650" s="2" t="s">
        <v>64</v>
      </c>
      <c r="G1650" s="2" t="s">
        <v>65</v>
      </c>
      <c r="H1650" s="2" t="s">
        <v>66</v>
      </c>
      <c r="I1650" s="2" t="n">
        <v>4</v>
      </c>
      <c r="J1650" s="11" t="n">
        <v>600</v>
      </c>
      <c r="K1650" s="12" t="n">
        <v>0.05</v>
      </c>
      <c r="L1650" s="11" t="n">
        <v>300</v>
      </c>
      <c r="M1650" s="11" t="n">
        <f aca="false">I1650*J1650*(1-K1650)</f>
        <v>2280</v>
      </c>
      <c r="N1650" s="11" t="n">
        <f aca="false">M1650-I1650*L1650</f>
        <v>1080</v>
      </c>
    </row>
    <row r="1651" customFormat="false" ht="15" hidden="false" customHeight="false" outlineLevel="0" collapsed="false">
      <c r="A1651" s="2" t="s">
        <v>2456</v>
      </c>
      <c r="B1651" s="2" t="s">
        <v>2457</v>
      </c>
      <c r="C1651" s="10" t="n">
        <v>45966</v>
      </c>
      <c r="D1651" s="2" t="n">
        <f aca="false">MONTH(C1651)</f>
        <v>11</v>
      </c>
      <c r="E1651" s="2" t="s">
        <v>63</v>
      </c>
      <c r="F1651" s="2" t="s">
        <v>64</v>
      </c>
      <c r="G1651" s="2" t="s">
        <v>65</v>
      </c>
      <c r="H1651" s="2" t="s">
        <v>107</v>
      </c>
      <c r="I1651" s="2" t="n">
        <v>2</v>
      </c>
      <c r="J1651" s="11" t="n">
        <v>500</v>
      </c>
      <c r="K1651" s="12" t="n">
        <v>0.05</v>
      </c>
      <c r="L1651" s="11" t="n">
        <v>250</v>
      </c>
      <c r="M1651" s="11" t="n">
        <f aca="false">I1651*J1651*(1-K1651)</f>
        <v>950</v>
      </c>
      <c r="N1651" s="11" t="n">
        <f aca="false">M1651-I1651*L1651</f>
        <v>450</v>
      </c>
    </row>
    <row r="1652" customFormat="false" ht="15" hidden="false" customHeight="false" outlineLevel="0" collapsed="false">
      <c r="A1652" s="2" t="s">
        <v>1405</v>
      </c>
      <c r="B1652" s="2" t="s">
        <v>1404</v>
      </c>
      <c r="C1652" s="10" t="n">
        <v>45967</v>
      </c>
      <c r="D1652" s="2" t="n">
        <f aca="false">MONTH(C1652)</f>
        <v>11</v>
      </c>
      <c r="E1652" s="2" t="s">
        <v>77</v>
      </c>
      <c r="F1652" s="2" t="s">
        <v>64</v>
      </c>
      <c r="G1652" s="2" t="s">
        <v>70</v>
      </c>
      <c r="H1652" s="2" t="s">
        <v>122</v>
      </c>
      <c r="I1652" s="2" t="n">
        <v>1</v>
      </c>
      <c r="J1652" s="11" t="n">
        <v>1500</v>
      </c>
      <c r="K1652" s="12" t="n">
        <v>0.1</v>
      </c>
      <c r="L1652" s="11" t="n">
        <v>900</v>
      </c>
      <c r="M1652" s="11" t="n">
        <f aca="false">I1652*J1652*(1-K1652)</f>
        <v>1350</v>
      </c>
      <c r="N1652" s="11" t="n">
        <f aca="false">M1652-I1652*L1652</f>
        <v>450</v>
      </c>
    </row>
    <row r="1653" customFormat="false" ht="15" hidden="false" customHeight="false" outlineLevel="0" collapsed="false">
      <c r="A1653" s="2" t="s">
        <v>1583</v>
      </c>
      <c r="B1653" s="2" t="s">
        <v>1579</v>
      </c>
      <c r="C1653" s="10" t="n">
        <v>45967</v>
      </c>
      <c r="D1653" s="2" t="n">
        <f aca="false">MONTH(C1653)</f>
        <v>11</v>
      </c>
      <c r="E1653" s="2" t="s">
        <v>77</v>
      </c>
      <c r="F1653" s="2" t="s">
        <v>92</v>
      </c>
      <c r="G1653" s="2" t="s">
        <v>70</v>
      </c>
      <c r="H1653" s="2" t="s">
        <v>126</v>
      </c>
      <c r="I1653" s="2" t="n">
        <v>2</v>
      </c>
      <c r="J1653" s="11" t="n">
        <v>4500</v>
      </c>
      <c r="K1653" s="12" t="n">
        <v>0.05</v>
      </c>
      <c r="L1653" s="11" t="n">
        <v>3300</v>
      </c>
      <c r="M1653" s="11" t="n">
        <f aca="false">I1653*J1653*(1-K1653)</f>
        <v>8550</v>
      </c>
      <c r="N1653" s="11" t="n">
        <f aca="false">M1653-I1653*L1653</f>
        <v>1950</v>
      </c>
    </row>
    <row r="1654" customFormat="false" ht="15" hidden="false" customHeight="false" outlineLevel="0" collapsed="false">
      <c r="A1654" s="2" t="s">
        <v>1742</v>
      </c>
      <c r="B1654" s="2" t="s">
        <v>1741</v>
      </c>
      <c r="C1654" s="10" t="n">
        <v>45967</v>
      </c>
      <c r="D1654" s="2" t="n">
        <f aca="false">MONTH(C1654)</f>
        <v>11</v>
      </c>
      <c r="E1654" s="2" t="s">
        <v>63</v>
      </c>
      <c r="F1654" s="2" t="s">
        <v>64</v>
      </c>
      <c r="G1654" s="2" t="s">
        <v>65</v>
      </c>
      <c r="H1654" s="2" t="s">
        <v>82</v>
      </c>
      <c r="I1654" s="2" t="n">
        <v>8</v>
      </c>
      <c r="J1654" s="11" t="n">
        <v>250</v>
      </c>
      <c r="K1654" s="12" t="n">
        <v>0.1</v>
      </c>
      <c r="L1654" s="11" t="n">
        <v>100</v>
      </c>
      <c r="M1654" s="11" t="n">
        <f aca="false">I1654*J1654*(1-K1654)</f>
        <v>1800</v>
      </c>
      <c r="N1654" s="11" t="n">
        <f aca="false">M1654-I1654*L1654</f>
        <v>1000</v>
      </c>
    </row>
    <row r="1655" customFormat="false" ht="15" hidden="false" customHeight="false" outlineLevel="0" collapsed="false">
      <c r="A1655" s="2" t="s">
        <v>1815</v>
      </c>
      <c r="B1655" s="2" t="s">
        <v>1816</v>
      </c>
      <c r="C1655" s="10" t="n">
        <v>45967</v>
      </c>
      <c r="D1655" s="2" t="n">
        <f aca="false">MONTH(C1655)</f>
        <v>11</v>
      </c>
      <c r="E1655" s="2" t="s">
        <v>63</v>
      </c>
      <c r="F1655" s="2" t="s">
        <v>64</v>
      </c>
      <c r="G1655" s="2" t="s">
        <v>65</v>
      </c>
      <c r="H1655" s="2" t="s">
        <v>66</v>
      </c>
      <c r="I1655" s="2" t="n">
        <v>7</v>
      </c>
      <c r="J1655" s="11" t="n">
        <v>600</v>
      </c>
      <c r="K1655" s="12" t="n">
        <v>0.15</v>
      </c>
      <c r="L1655" s="11" t="n">
        <v>300</v>
      </c>
      <c r="M1655" s="11" t="n">
        <f aca="false">I1655*J1655*(1-K1655)</f>
        <v>3570</v>
      </c>
      <c r="N1655" s="11" t="n">
        <f aca="false">M1655-I1655*L1655</f>
        <v>1470</v>
      </c>
    </row>
    <row r="1656" customFormat="false" ht="15" hidden="false" customHeight="false" outlineLevel="0" collapsed="false">
      <c r="A1656" s="2" t="s">
        <v>1921</v>
      </c>
      <c r="B1656" s="2" t="s">
        <v>1920</v>
      </c>
      <c r="C1656" s="10" t="n">
        <v>45967</v>
      </c>
      <c r="D1656" s="2" t="n">
        <f aca="false">MONTH(C1656)</f>
        <v>11</v>
      </c>
      <c r="E1656" s="2" t="s">
        <v>77</v>
      </c>
      <c r="F1656" s="2" t="s">
        <v>92</v>
      </c>
      <c r="G1656" s="2" t="s">
        <v>70</v>
      </c>
      <c r="H1656" s="2" t="s">
        <v>71</v>
      </c>
      <c r="I1656" s="2" t="n">
        <v>8</v>
      </c>
      <c r="J1656" s="11" t="n">
        <v>2500</v>
      </c>
      <c r="K1656" s="12" t="n">
        <v>0.05</v>
      </c>
      <c r="L1656" s="11" t="n">
        <v>1600</v>
      </c>
      <c r="M1656" s="11" t="n">
        <f aca="false">I1656*J1656*(1-K1656)</f>
        <v>19000</v>
      </c>
      <c r="N1656" s="11" t="n">
        <f aca="false">M1656-I1656*L1656</f>
        <v>6200</v>
      </c>
    </row>
    <row r="1657" customFormat="false" ht="15" hidden="false" customHeight="false" outlineLevel="0" collapsed="false">
      <c r="A1657" s="2" t="s">
        <v>2012</v>
      </c>
      <c r="B1657" s="2" t="s">
        <v>2013</v>
      </c>
      <c r="C1657" s="10" t="n">
        <v>45967</v>
      </c>
      <c r="D1657" s="2" t="n">
        <f aca="false">MONTH(C1657)</f>
        <v>11</v>
      </c>
      <c r="E1657" s="2" t="s">
        <v>81</v>
      </c>
      <c r="F1657" s="2" t="s">
        <v>64</v>
      </c>
      <c r="G1657" s="2" t="s">
        <v>70</v>
      </c>
      <c r="H1657" s="2" t="s">
        <v>97</v>
      </c>
      <c r="I1657" s="2" t="n">
        <v>3</v>
      </c>
      <c r="J1657" s="11" t="n">
        <v>3000</v>
      </c>
      <c r="K1657" s="12" t="n">
        <v>0.05</v>
      </c>
      <c r="L1657" s="11" t="n">
        <v>2000</v>
      </c>
      <c r="M1657" s="11" t="n">
        <f aca="false">I1657*J1657*(1-K1657)</f>
        <v>8550</v>
      </c>
      <c r="N1657" s="11" t="n">
        <f aca="false">M1657-I1657*L1657</f>
        <v>2550</v>
      </c>
    </row>
    <row r="1658" customFormat="false" ht="15" hidden="false" customHeight="false" outlineLevel="0" collapsed="false">
      <c r="A1658" s="2" t="s">
        <v>2037</v>
      </c>
      <c r="B1658" s="2" t="s">
        <v>2034</v>
      </c>
      <c r="C1658" s="10" t="n">
        <v>45967</v>
      </c>
      <c r="D1658" s="2" t="n">
        <f aca="false">MONTH(C1658)</f>
        <v>11</v>
      </c>
      <c r="E1658" s="2" t="s">
        <v>63</v>
      </c>
      <c r="F1658" s="2" t="s">
        <v>69</v>
      </c>
      <c r="G1658" s="2" t="s">
        <v>73</v>
      </c>
      <c r="H1658" s="2" t="s">
        <v>87</v>
      </c>
      <c r="I1658" s="2" t="n">
        <v>5</v>
      </c>
      <c r="J1658" s="11" t="n">
        <v>9000</v>
      </c>
      <c r="K1658" s="12" t="n">
        <v>0.15</v>
      </c>
      <c r="L1658" s="11" t="n">
        <v>6200</v>
      </c>
      <c r="M1658" s="11" t="n">
        <f aca="false">I1658*J1658*(1-K1658)</f>
        <v>38250</v>
      </c>
      <c r="N1658" s="11" t="n">
        <f aca="false">M1658-I1658*L1658</f>
        <v>7250</v>
      </c>
    </row>
    <row r="1659" customFormat="false" ht="15" hidden="false" customHeight="false" outlineLevel="0" collapsed="false">
      <c r="A1659" s="2" t="s">
        <v>2338</v>
      </c>
      <c r="B1659" s="2" t="s">
        <v>2337</v>
      </c>
      <c r="C1659" s="10" t="n">
        <v>45967</v>
      </c>
      <c r="D1659" s="2" t="n">
        <f aca="false">MONTH(C1659)</f>
        <v>11</v>
      </c>
      <c r="E1659" s="2" t="s">
        <v>63</v>
      </c>
      <c r="F1659" s="2" t="s">
        <v>69</v>
      </c>
      <c r="G1659" s="2" t="s">
        <v>73</v>
      </c>
      <c r="H1659" s="2" t="s">
        <v>87</v>
      </c>
      <c r="I1659" s="2" t="n">
        <v>2</v>
      </c>
      <c r="J1659" s="11" t="n">
        <v>9000</v>
      </c>
      <c r="K1659" s="12" t="n">
        <v>0.15</v>
      </c>
      <c r="L1659" s="11" t="n">
        <v>6200</v>
      </c>
      <c r="M1659" s="11" t="n">
        <f aca="false">I1659*J1659*(1-K1659)</f>
        <v>15300</v>
      </c>
      <c r="N1659" s="11" t="n">
        <f aca="false">M1659-I1659*L1659</f>
        <v>2900</v>
      </c>
    </row>
    <row r="1660" customFormat="false" ht="15" hidden="false" customHeight="false" outlineLevel="0" collapsed="false">
      <c r="A1660" s="2" t="s">
        <v>2453</v>
      </c>
      <c r="B1660" s="2" t="s">
        <v>2454</v>
      </c>
      <c r="C1660" s="10" t="n">
        <v>45967</v>
      </c>
      <c r="D1660" s="2" t="n">
        <f aca="false">MONTH(C1660)</f>
        <v>11</v>
      </c>
      <c r="E1660" s="2" t="s">
        <v>81</v>
      </c>
      <c r="F1660" s="2" t="s">
        <v>69</v>
      </c>
      <c r="G1660" s="2" t="s">
        <v>73</v>
      </c>
      <c r="H1660" s="2" t="s">
        <v>85</v>
      </c>
      <c r="I1660" s="2" t="n">
        <v>3</v>
      </c>
      <c r="J1660" s="11" t="n">
        <v>1200</v>
      </c>
      <c r="K1660" s="12" t="n">
        <v>0.05</v>
      </c>
      <c r="L1660" s="11" t="n">
        <v>600</v>
      </c>
      <c r="M1660" s="11" t="n">
        <f aca="false">I1660*J1660*(1-K1660)</f>
        <v>3420</v>
      </c>
      <c r="N1660" s="11" t="n">
        <f aca="false">M1660-I1660*L1660</f>
        <v>1620</v>
      </c>
    </row>
    <row r="1661" customFormat="false" ht="15" hidden="false" customHeight="false" outlineLevel="0" collapsed="false">
      <c r="A1661" s="2" t="s">
        <v>2729</v>
      </c>
      <c r="B1661" s="2" t="s">
        <v>2730</v>
      </c>
      <c r="C1661" s="10" t="n">
        <v>45967</v>
      </c>
      <c r="D1661" s="2" t="n">
        <f aca="false">MONTH(C1661)</f>
        <v>11</v>
      </c>
      <c r="E1661" s="2" t="s">
        <v>63</v>
      </c>
      <c r="F1661" s="2" t="s">
        <v>64</v>
      </c>
      <c r="G1661" s="2" t="s">
        <v>65</v>
      </c>
      <c r="H1661" s="2" t="s">
        <v>78</v>
      </c>
      <c r="I1661" s="2" t="n">
        <v>4</v>
      </c>
      <c r="J1661" s="11" t="n">
        <v>400</v>
      </c>
      <c r="K1661" s="12" t="n">
        <v>0.15</v>
      </c>
      <c r="L1661" s="11" t="n">
        <v>200</v>
      </c>
      <c r="M1661" s="11" t="n">
        <f aca="false">I1661*J1661*(1-K1661)</f>
        <v>1360</v>
      </c>
      <c r="N1661" s="11" t="n">
        <f aca="false">M1661-I1661*L1661</f>
        <v>560</v>
      </c>
    </row>
    <row r="1662" customFormat="false" ht="15" hidden="false" customHeight="false" outlineLevel="0" collapsed="false">
      <c r="A1662" s="2" t="s">
        <v>135</v>
      </c>
      <c r="B1662" s="2" t="s">
        <v>136</v>
      </c>
      <c r="C1662" s="10" t="n">
        <v>45968</v>
      </c>
      <c r="D1662" s="2" t="n">
        <f aca="false">MONTH(C1662)</f>
        <v>11</v>
      </c>
      <c r="E1662" s="2" t="s">
        <v>63</v>
      </c>
      <c r="F1662" s="2" t="s">
        <v>92</v>
      </c>
      <c r="G1662" s="2" t="s">
        <v>70</v>
      </c>
      <c r="H1662" s="2" t="s">
        <v>122</v>
      </c>
      <c r="I1662" s="2" t="n">
        <v>6</v>
      </c>
      <c r="J1662" s="11" t="n">
        <v>1500</v>
      </c>
      <c r="K1662" s="12" t="n">
        <v>0.05</v>
      </c>
      <c r="L1662" s="11" t="n">
        <v>900</v>
      </c>
      <c r="M1662" s="11" t="n">
        <f aca="false">I1662*J1662*(1-K1662)</f>
        <v>8550</v>
      </c>
      <c r="N1662" s="11" t="n">
        <f aca="false">M1662-I1662*L1662</f>
        <v>3150</v>
      </c>
    </row>
    <row r="1663" customFormat="false" ht="15" hidden="false" customHeight="false" outlineLevel="0" collapsed="false">
      <c r="A1663" s="2" t="s">
        <v>456</v>
      </c>
      <c r="B1663" s="2" t="s">
        <v>450</v>
      </c>
      <c r="C1663" s="10" t="n">
        <v>45968</v>
      </c>
      <c r="D1663" s="2" t="n">
        <f aca="false">MONTH(C1663)</f>
        <v>11</v>
      </c>
      <c r="E1663" s="2" t="s">
        <v>77</v>
      </c>
      <c r="F1663" s="2" t="s">
        <v>64</v>
      </c>
      <c r="G1663" s="2" t="s">
        <v>73</v>
      </c>
      <c r="H1663" s="2" t="s">
        <v>74</v>
      </c>
      <c r="I1663" s="2" t="n">
        <v>1</v>
      </c>
      <c r="J1663" s="11" t="n">
        <v>7000</v>
      </c>
      <c r="K1663" s="12" t="n">
        <v>0.05</v>
      </c>
      <c r="L1663" s="11" t="n">
        <v>4800</v>
      </c>
      <c r="M1663" s="11" t="n">
        <f aca="false">I1663*J1663*(1-K1663)</f>
        <v>6650</v>
      </c>
      <c r="N1663" s="11" t="n">
        <f aca="false">M1663-I1663*L1663</f>
        <v>1850</v>
      </c>
    </row>
    <row r="1664" customFormat="false" ht="15" hidden="false" customHeight="false" outlineLevel="0" collapsed="false">
      <c r="A1664" s="2" t="s">
        <v>470</v>
      </c>
      <c r="B1664" s="2" t="s">
        <v>471</v>
      </c>
      <c r="C1664" s="10" t="n">
        <v>45968</v>
      </c>
      <c r="D1664" s="2" t="n">
        <f aca="false">MONTH(C1664)</f>
        <v>11</v>
      </c>
      <c r="E1664" s="2" t="s">
        <v>91</v>
      </c>
      <c r="F1664" s="2" t="s">
        <v>64</v>
      </c>
      <c r="G1664" s="2" t="s">
        <v>65</v>
      </c>
      <c r="H1664" s="2" t="s">
        <v>66</v>
      </c>
      <c r="I1664" s="2" t="n">
        <v>3</v>
      </c>
      <c r="J1664" s="11" t="n">
        <v>600</v>
      </c>
      <c r="K1664" s="12" t="n">
        <v>0.15</v>
      </c>
      <c r="L1664" s="11" t="n">
        <v>300</v>
      </c>
      <c r="M1664" s="11" t="n">
        <f aca="false">I1664*J1664*(1-K1664)</f>
        <v>1530</v>
      </c>
      <c r="N1664" s="11" t="n">
        <f aca="false">M1664-I1664*L1664</f>
        <v>630</v>
      </c>
    </row>
    <row r="1665" customFormat="false" ht="15" hidden="false" customHeight="false" outlineLevel="0" collapsed="false">
      <c r="A1665" s="2" t="s">
        <v>509</v>
      </c>
      <c r="B1665" s="2" t="s">
        <v>510</v>
      </c>
      <c r="C1665" s="10" t="n">
        <v>45968</v>
      </c>
      <c r="D1665" s="2" t="n">
        <f aca="false">MONTH(C1665)</f>
        <v>11</v>
      </c>
      <c r="E1665" s="2" t="s">
        <v>81</v>
      </c>
      <c r="F1665" s="2" t="s">
        <v>69</v>
      </c>
      <c r="G1665" s="2" t="s">
        <v>65</v>
      </c>
      <c r="H1665" s="2" t="s">
        <v>107</v>
      </c>
      <c r="I1665" s="2" t="n">
        <v>6</v>
      </c>
      <c r="J1665" s="11" t="n">
        <v>500</v>
      </c>
      <c r="K1665" s="12" t="n">
        <v>0.15</v>
      </c>
      <c r="L1665" s="11" t="n">
        <v>250</v>
      </c>
      <c r="M1665" s="11" t="n">
        <f aca="false">I1665*J1665*(1-K1665)</f>
        <v>2550</v>
      </c>
      <c r="N1665" s="11" t="n">
        <f aca="false">M1665-I1665*L1665</f>
        <v>1050</v>
      </c>
    </row>
    <row r="1666" customFormat="false" ht="15" hidden="false" customHeight="false" outlineLevel="0" collapsed="false">
      <c r="A1666" s="2" t="s">
        <v>903</v>
      </c>
      <c r="B1666" s="2" t="s">
        <v>904</v>
      </c>
      <c r="C1666" s="10" t="n">
        <v>45968</v>
      </c>
      <c r="D1666" s="2" t="n">
        <f aca="false">MONTH(C1666)</f>
        <v>11</v>
      </c>
      <c r="E1666" s="2" t="s">
        <v>77</v>
      </c>
      <c r="F1666" s="2" t="s">
        <v>64</v>
      </c>
      <c r="G1666" s="2" t="s">
        <v>70</v>
      </c>
      <c r="H1666" s="2" t="s">
        <v>97</v>
      </c>
      <c r="I1666" s="2" t="n">
        <v>2</v>
      </c>
      <c r="J1666" s="11" t="n">
        <v>3000</v>
      </c>
      <c r="K1666" s="12" t="n">
        <v>0.05</v>
      </c>
      <c r="L1666" s="11" t="n">
        <v>2000</v>
      </c>
      <c r="M1666" s="11" t="n">
        <f aca="false">I1666*J1666*(1-K1666)</f>
        <v>5700</v>
      </c>
      <c r="N1666" s="11" t="n">
        <f aca="false">M1666-I1666*L1666</f>
        <v>1700</v>
      </c>
    </row>
    <row r="1667" customFormat="false" ht="15" hidden="false" customHeight="false" outlineLevel="0" collapsed="false">
      <c r="A1667" s="2" t="s">
        <v>966</v>
      </c>
      <c r="B1667" s="2" t="s">
        <v>967</v>
      </c>
      <c r="C1667" s="10" t="n">
        <v>45968</v>
      </c>
      <c r="D1667" s="2" t="n">
        <f aca="false">MONTH(C1667)</f>
        <v>11</v>
      </c>
      <c r="E1667" s="2" t="s">
        <v>77</v>
      </c>
      <c r="F1667" s="2" t="s">
        <v>69</v>
      </c>
      <c r="G1667" s="2" t="s">
        <v>65</v>
      </c>
      <c r="H1667" s="2" t="s">
        <v>78</v>
      </c>
      <c r="I1667" s="2" t="n">
        <v>15</v>
      </c>
      <c r="J1667" s="11" t="n">
        <v>400</v>
      </c>
      <c r="K1667" s="12" t="n">
        <v>0.05</v>
      </c>
      <c r="L1667" s="11" t="n">
        <v>200</v>
      </c>
      <c r="M1667" s="11" t="n">
        <f aca="false">I1667*J1667*(1-K1667)</f>
        <v>5700</v>
      </c>
      <c r="N1667" s="11" t="n">
        <f aca="false">M1667-I1667*L1667</f>
        <v>2700</v>
      </c>
    </row>
    <row r="1668" customFormat="false" ht="15" hidden="false" customHeight="false" outlineLevel="0" collapsed="false">
      <c r="A1668" s="2" t="s">
        <v>1011</v>
      </c>
      <c r="B1668" s="2" t="s">
        <v>1009</v>
      </c>
      <c r="C1668" s="10" t="n">
        <v>45968</v>
      </c>
      <c r="D1668" s="2" t="n">
        <f aca="false">MONTH(C1668)</f>
        <v>11</v>
      </c>
      <c r="E1668" s="2" t="s">
        <v>63</v>
      </c>
      <c r="F1668" s="2" t="s">
        <v>92</v>
      </c>
      <c r="G1668" s="2" t="s">
        <v>73</v>
      </c>
      <c r="H1668" s="2" t="s">
        <v>85</v>
      </c>
      <c r="I1668" s="2" t="n">
        <v>6</v>
      </c>
      <c r="J1668" s="11" t="n">
        <v>1200</v>
      </c>
      <c r="K1668" s="12" t="n">
        <v>0.1</v>
      </c>
      <c r="L1668" s="11" t="n">
        <v>600</v>
      </c>
      <c r="M1668" s="11" t="n">
        <f aca="false">I1668*J1668*(1-K1668)</f>
        <v>6480</v>
      </c>
      <c r="N1668" s="11" t="n">
        <f aca="false">M1668-I1668*L1668</f>
        <v>2880</v>
      </c>
    </row>
    <row r="1669" customFormat="false" ht="15" hidden="false" customHeight="false" outlineLevel="0" collapsed="false">
      <c r="A1669" s="2" t="s">
        <v>1168</v>
      </c>
      <c r="B1669" s="2" t="s">
        <v>1165</v>
      </c>
      <c r="C1669" s="10" t="n">
        <v>45968</v>
      </c>
      <c r="D1669" s="2" t="n">
        <f aca="false">MONTH(C1669)</f>
        <v>11</v>
      </c>
      <c r="E1669" s="2" t="s">
        <v>91</v>
      </c>
      <c r="F1669" s="2" t="s">
        <v>64</v>
      </c>
      <c r="G1669" s="2" t="s">
        <v>65</v>
      </c>
      <c r="H1669" s="2" t="s">
        <v>66</v>
      </c>
      <c r="I1669" s="2" t="n">
        <v>5</v>
      </c>
      <c r="J1669" s="11" t="n">
        <v>600</v>
      </c>
      <c r="K1669" s="12" t="n">
        <v>0.15</v>
      </c>
      <c r="L1669" s="11" t="n">
        <v>300</v>
      </c>
      <c r="M1669" s="11" t="n">
        <f aca="false">I1669*J1669*(1-K1669)</f>
        <v>2550</v>
      </c>
      <c r="N1669" s="11" t="n">
        <f aca="false">M1669-I1669*L1669</f>
        <v>1050</v>
      </c>
    </row>
    <row r="1670" customFormat="false" ht="15" hidden="false" customHeight="false" outlineLevel="0" collapsed="false">
      <c r="A1670" s="2" t="s">
        <v>1234</v>
      </c>
      <c r="B1670" s="2" t="s">
        <v>1233</v>
      </c>
      <c r="C1670" s="10" t="n">
        <v>45968</v>
      </c>
      <c r="D1670" s="2" t="n">
        <f aca="false">MONTH(C1670)</f>
        <v>11</v>
      </c>
      <c r="E1670" s="2" t="s">
        <v>77</v>
      </c>
      <c r="F1670" s="2" t="s">
        <v>64</v>
      </c>
      <c r="G1670" s="2" t="s">
        <v>65</v>
      </c>
      <c r="H1670" s="2" t="s">
        <v>78</v>
      </c>
      <c r="I1670" s="2" t="n">
        <v>7</v>
      </c>
      <c r="J1670" s="11" t="n">
        <v>400</v>
      </c>
      <c r="K1670" s="12" t="n">
        <v>0.05</v>
      </c>
      <c r="L1670" s="11" t="n">
        <v>200</v>
      </c>
      <c r="M1670" s="11" t="n">
        <f aca="false">I1670*J1670*(1-K1670)</f>
        <v>2660</v>
      </c>
      <c r="N1670" s="11" t="n">
        <f aca="false">M1670-I1670*L1670</f>
        <v>1260</v>
      </c>
    </row>
    <row r="1671" customFormat="false" ht="15" hidden="false" customHeight="false" outlineLevel="0" collapsed="false">
      <c r="A1671" s="2" t="s">
        <v>1885</v>
      </c>
      <c r="B1671" s="2" t="s">
        <v>1883</v>
      </c>
      <c r="C1671" s="10" t="n">
        <v>45968</v>
      </c>
      <c r="D1671" s="2" t="n">
        <f aca="false">MONTH(C1671)</f>
        <v>11</v>
      </c>
      <c r="E1671" s="2" t="s">
        <v>63</v>
      </c>
      <c r="F1671" s="2" t="s">
        <v>64</v>
      </c>
      <c r="G1671" s="2" t="s">
        <v>65</v>
      </c>
      <c r="H1671" s="2" t="s">
        <v>82</v>
      </c>
      <c r="I1671" s="2" t="n">
        <v>5</v>
      </c>
      <c r="J1671" s="11" t="n">
        <v>250</v>
      </c>
      <c r="K1671" s="12" t="n">
        <v>0.1</v>
      </c>
      <c r="L1671" s="11" t="n">
        <v>100</v>
      </c>
      <c r="M1671" s="11" t="n">
        <f aca="false">I1671*J1671*(1-K1671)</f>
        <v>1125</v>
      </c>
      <c r="N1671" s="11" t="n">
        <f aca="false">M1671-I1671*L1671</f>
        <v>625</v>
      </c>
    </row>
    <row r="1672" customFormat="false" ht="15" hidden="false" customHeight="false" outlineLevel="0" collapsed="false">
      <c r="A1672" s="2" t="s">
        <v>2543</v>
      </c>
      <c r="B1672" s="2" t="s">
        <v>2544</v>
      </c>
      <c r="C1672" s="10" t="n">
        <v>45968</v>
      </c>
      <c r="D1672" s="2" t="n">
        <f aca="false">MONTH(C1672)</f>
        <v>11</v>
      </c>
      <c r="E1672" s="2" t="s">
        <v>63</v>
      </c>
      <c r="F1672" s="2" t="s">
        <v>64</v>
      </c>
      <c r="G1672" s="2" t="s">
        <v>70</v>
      </c>
      <c r="H1672" s="2" t="s">
        <v>122</v>
      </c>
      <c r="I1672" s="2" t="n">
        <v>3</v>
      </c>
      <c r="J1672" s="11" t="n">
        <v>1500</v>
      </c>
      <c r="K1672" s="12" t="n">
        <v>0.05</v>
      </c>
      <c r="L1672" s="11" t="n">
        <v>900</v>
      </c>
      <c r="M1672" s="11" t="n">
        <f aca="false">I1672*J1672*(1-K1672)</f>
        <v>4275</v>
      </c>
      <c r="N1672" s="11" t="n">
        <f aca="false">M1672-I1672*L1672</f>
        <v>1575</v>
      </c>
    </row>
    <row r="1673" customFormat="false" ht="15" hidden="false" customHeight="false" outlineLevel="0" collapsed="false">
      <c r="A1673" s="2" t="s">
        <v>2589</v>
      </c>
      <c r="B1673" s="2" t="s">
        <v>2590</v>
      </c>
      <c r="C1673" s="10" t="n">
        <v>45968</v>
      </c>
      <c r="D1673" s="2" t="n">
        <f aca="false">MONTH(C1673)</f>
        <v>11</v>
      </c>
      <c r="E1673" s="2" t="s">
        <v>77</v>
      </c>
      <c r="F1673" s="2" t="s">
        <v>64</v>
      </c>
      <c r="G1673" s="2" t="s">
        <v>65</v>
      </c>
      <c r="H1673" s="2" t="s">
        <v>66</v>
      </c>
      <c r="I1673" s="2" t="n">
        <v>4</v>
      </c>
      <c r="J1673" s="11" t="n">
        <v>600</v>
      </c>
      <c r="K1673" s="12" t="n">
        <v>0.05</v>
      </c>
      <c r="L1673" s="11" t="n">
        <v>300</v>
      </c>
      <c r="M1673" s="11" t="n">
        <f aca="false">I1673*J1673*(1-K1673)</f>
        <v>2280</v>
      </c>
      <c r="N1673" s="11" t="n">
        <f aca="false">M1673-I1673*L1673</f>
        <v>1080</v>
      </c>
    </row>
    <row r="1674" customFormat="false" ht="15" hidden="false" customHeight="false" outlineLevel="0" collapsed="false">
      <c r="A1674" s="2" t="s">
        <v>178</v>
      </c>
      <c r="B1674" s="2" t="s">
        <v>175</v>
      </c>
      <c r="C1674" s="10" t="n">
        <v>45969</v>
      </c>
      <c r="D1674" s="2" t="n">
        <f aca="false">MONTH(C1674)</f>
        <v>11</v>
      </c>
      <c r="E1674" s="2" t="s">
        <v>77</v>
      </c>
      <c r="F1674" s="2" t="s">
        <v>64</v>
      </c>
      <c r="G1674" s="2" t="s">
        <v>70</v>
      </c>
      <c r="H1674" s="2" t="s">
        <v>122</v>
      </c>
      <c r="I1674" s="2" t="n">
        <v>1</v>
      </c>
      <c r="J1674" s="11" t="n">
        <v>1500</v>
      </c>
      <c r="K1674" s="12" t="n">
        <v>0.1</v>
      </c>
      <c r="L1674" s="11" t="n">
        <v>900</v>
      </c>
      <c r="M1674" s="11" t="n">
        <f aca="false">I1674*J1674*(1-K1674)</f>
        <v>1350</v>
      </c>
      <c r="N1674" s="11" t="n">
        <f aca="false">M1674-I1674*L1674</f>
        <v>450</v>
      </c>
    </row>
    <row r="1675" customFormat="false" ht="15" hidden="false" customHeight="false" outlineLevel="0" collapsed="false">
      <c r="A1675" s="2" t="s">
        <v>429</v>
      </c>
      <c r="B1675" s="2" t="s">
        <v>430</v>
      </c>
      <c r="C1675" s="10" t="n">
        <v>45969</v>
      </c>
      <c r="D1675" s="2" t="n">
        <f aca="false">MONTH(C1675)</f>
        <v>11</v>
      </c>
      <c r="E1675" s="2" t="s">
        <v>77</v>
      </c>
      <c r="F1675" s="2" t="s">
        <v>92</v>
      </c>
      <c r="G1675" s="2" t="s">
        <v>73</v>
      </c>
      <c r="H1675" s="2" t="s">
        <v>104</v>
      </c>
      <c r="I1675" s="2" t="n">
        <v>5</v>
      </c>
      <c r="J1675" s="11" t="n">
        <v>5500</v>
      </c>
      <c r="K1675" s="12" t="n">
        <v>0.15</v>
      </c>
      <c r="L1675" s="11" t="n">
        <v>3600</v>
      </c>
      <c r="M1675" s="11" t="n">
        <f aca="false">I1675*J1675*(1-K1675)</f>
        <v>23375</v>
      </c>
      <c r="N1675" s="11" t="n">
        <f aca="false">M1675-I1675*L1675</f>
        <v>5375</v>
      </c>
    </row>
    <row r="1676" customFormat="false" ht="15" hidden="false" customHeight="false" outlineLevel="0" collapsed="false">
      <c r="A1676" s="2" t="s">
        <v>439</v>
      </c>
      <c r="B1676" s="2" t="s">
        <v>440</v>
      </c>
      <c r="C1676" s="10" t="n">
        <v>45969</v>
      </c>
      <c r="D1676" s="2" t="n">
        <f aca="false">MONTH(C1676)</f>
        <v>11</v>
      </c>
      <c r="E1676" s="2" t="s">
        <v>63</v>
      </c>
      <c r="F1676" s="2" t="s">
        <v>64</v>
      </c>
      <c r="G1676" s="2" t="s">
        <v>70</v>
      </c>
      <c r="H1676" s="2" t="s">
        <v>97</v>
      </c>
      <c r="I1676" s="2" t="n">
        <v>1</v>
      </c>
      <c r="J1676" s="11" t="n">
        <v>3000</v>
      </c>
      <c r="K1676" s="12" t="n">
        <v>0.05</v>
      </c>
      <c r="L1676" s="11" t="n">
        <v>2000</v>
      </c>
      <c r="M1676" s="11" t="n">
        <f aca="false">I1676*J1676*(1-K1676)</f>
        <v>2850</v>
      </c>
      <c r="N1676" s="11" t="n">
        <f aca="false">M1676-I1676*L1676</f>
        <v>850</v>
      </c>
    </row>
    <row r="1677" customFormat="false" ht="15" hidden="false" customHeight="false" outlineLevel="0" collapsed="false">
      <c r="A1677" s="2" t="s">
        <v>716</v>
      </c>
      <c r="B1677" s="2" t="s">
        <v>717</v>
      </c>
      <c r="C1677" s="10" t="n">
        <v>45969</v>
      </c>
      <c r="D1677" s="2" t="n">
        <f aca="false">MONTH(C1677)</f>
        <v>11</v>
      </c>
      <c r="E1677" s="2" t="s">
        <v>81</v>
      </c>
      <c r="F1677" s="2" t="s">
        <v>64</v>
      </c>
      <c r="G1677" s="2" t="s">
        <v>65</v>
      </c>
      <c r="H1677" s="2" t="s">
        <v>66</v>
      </c>
      <c r="I1677" s="2" t="n">
        <v>5</v>
      </c>
      <c r="J1677" s="11" t="n">
        <v>600</v>
      </c>
      <c r="K1677" s="12" t="n">
        <v>0.05</v>
      </c>
      <c r="L1677" s="11" t="n">
        <v>300</v>
      </c>
      <c r="M1677" s="11" t="n">
        <f aca="false">I1677*J1677*(1-K1677)</f>
        <v>2850</v>
      </c>
      <c r="N1677" s="11" t="n">
        <f aca="false">M1677-I1677*L1677</f>
        <v>1350</v>
      </c>
    </row>
    <row r="1678" customFormat="false" ht="15" hidden="false" customHeight="false" outlineLevel="0" collapsed="false">
      <c r="A1678" s="2" t="s">
        <v>796</v>
      </c>
      <c r="B1678" s="2" t="s">
        <v>797</v>
      </c>
      <c r="C1678" s="10" t="n">
        <v>45969</v>
      </c>
      <c r="D1678" s="2" t="n">
        <f aca="false">MONTH(C1678)</f>
        <v>11</v>
      </c>
      <c r="E1678" s="2" t="s">
        <v>77</v>
      </c>
      <c r="F1678" s="2" t="s">
        <v>69</v>
      </c>
      <c r="G1678" s="2" t="s">
        <v>70</v>
      </c>
      <c r="H1678" s="2" t="s">
        <v>71</v>
      </c>
      <c r="I1678" s="2" t="n">
        <v>1</v>
      </c>
      <c r="J1678" s="11" t="n">
        <v>2500</v>
      </c>
      <c r="K1678" s="12" t="n">
        <v>0.05</v>
      </c>
      <c r="L1678" s="11" t="n">
        <v>1600</v>
      </c>
      <c r="M1678" s="11" t="n">
        <f aca="false">I1678*J1678*(1-K1678)</f>
        <v>2375</v>
      </c>
      <c r="N1678" s="11" t="n">
        <f aca="false">M1678-I1678*L1678</f>
        <v>775</v>
      </c>
    </row>
    <row r="1679" customFormat="false" ht="15" hidden="false" customHeight="false" outlineLevel="0" collapsed="false">
      <c r="A1679" s="2" t="s">
        <v>1443</v>
      </c>
      <c r="B1679" s="2" t="s">
        <v>1442</v>
      </c>
      <c r="C1679" s="10" t="n">
        <v>45969</v>
      </c>
      <c r="D1679" s="2" t="n">
        <f aca="false">MONTH(C1679)</f>
        <v>11</v>
      </c>
      <c r="E1679" s="2" t="s">
        <v>91</v>
      </c>
      <c r="F1679" s="2" t="s">
        <v>64</v>
      </c>
      <c r="G1679" s="2" t="s">
        <v>65</v>
      </c>
      <c r="H1679" s="2" t="s">
        <v>82</v>
      </c>
      <c r="I1679" s="2" t="n">
        <v>2</v>
      </c>
      <c r="J1679" s="11" t="n">
        <v>250</v>
      </c>
      <c r="K1679" s="12" t="n">
        <v>0.05</v>
      </c>
      <c r="L1679" s="11" t="n">
        <v>100</v>
      </c>
      <c r="M1679" s="11" t="n">
        <f aca="false">I1679*J1679*(1-K1679)</f>
        <v>475</v>
      </c>
      <c r="N1679" s="11" t="n">
        <f aca="false">M1679-I1679*L1679</f>
        <v>275</v>
      </c>
    </row>
    <row r="1680" customFormat="false" ht="15" hidden="false" customHeight="false" outlineLevel="0" collapsed="false">
      <c r="A1680" s="2" t="s">
        <v>1541</v>
      </c>
      <c r="B1680" s="2" t="s">
        <v>1542</v>
      </c>
      <c r="C1680" s="10" t="n">
        <v>45969</v>
      </c>
      <c r="D1680" s="2" t="n">
        <f aca="false">MONTH(C1680)</f>
        <v>11</v>
      </c>
      <c r="E1680" s="2" t="s">
        <v>91</v>
      </c>
      <c r="F1680" s="2" t="s">
        <v>64</v>
      </c>
      <c r="G1680" s="2" t="s">
        <v>70</v>
      </c>
      <c r="H1680" s="2" t="s">
        <v>122</v>
      </c>
      <c r="I1680" s="2" t="n">
        <v>1</v>
      </c>
      <c r="J1680" s="11" t="n">
        <v>1500</v>
      </c>
      <c r="K1680" s="12" t="n">
        <v>0.05</v>
      </c>
      <c r="L1680" s="11" t="n">
        <v>900</v>
      </c>
      <c r="M1680" s="11" t="n">
        <f aca="false">I1680*J1680*(1-K1680)</f>
        <v>1425</v>
      </c>
      <c r="N1680" s="11" t="n">
        <f aca="false">M1680-I1680*L1680</f>
        <v>525</v>
      </c>
    </row>
    <row r="1681" customFormat="false" ht="15" hidden="false" customHeight="false" outlineLevel="0" collapsed="false">
      <c r="A1681" s="2" t="s">
        <v>1731</v>
      </c>
      <c r="B1681" s="2" t="s">
        <v>1729</v>
      </c>
      <c r="C1681" s="10" t="n">
        <v>45969</v>
      </c>
      <c r="D1681" s="2" t="n">
        <f aca="false">MONTH(C1681)</f>
        <v>11</v>
      </c>
      <c r="E1681" s="2" t="s">
        <v>91</v>
      </c>
      <c r="F1681" s="2" t="s">
        <v>69</v>
      </c>
      <c r="G1681" s="2" t="s">
        <v>70</v>
      </c>
      <c r="H1681" s="2" t="s">
        <v>126</v>
      </c>
      <c r="I1681" s="2" t="n">
        <v>1</v>
      </c>
      <c r="J1681" s="11" t="n">
        <v>4500</v>
      </c>
      <c r="K1681" s="12" t="n">
        <v>0.05</v>
      </c>
      <c r="L1681" s="11" t="n">
        <v>3300</v>
      </c>
      <c r="M1681" s="11" t="n">
        <f aca="false">I1681*J1681*(1-K1681)</f>
        <v>4275</v>
      </c>
      <c r="N1681" s="11" t="n">
        <f aca="false">M1681-I1681*L1681</f>
        <v>975</v>
      </c>
    </row>
    <row r="1682" customFormat="false" ht="15" hidden="false" customHeight="false" outlineLevel="0" collapsed="false">
      <c r="A1682" s="2" t="s">
        <v>1827</v>
      </c>
      <c r="B1682" s="2" t="s">
        <v>1826</v>
      </c>
      <c r="C1682" s="10" t="n">
        <v>45969</v>
      </c>
      <c r="D1682" s="2" t="n">
        <f aca="false">MONTH(C1682)</f>
        <v>11</v>
      </c>
      <c r="E1682" s="2" t="s">
        <v>63</v>
      </c>
      <c r="F1682" s="2" t="s">
        <v>64</v>
      </c>
      <c r="G1682" s="2" t="s">
        <v>65</v>
      </c>
      <c r="H1682" s="2" t="s">
        <v>78</v>
      </c>
      <c r="I1682" s="2" t="n">
        <v>5</v>
      </c>
      <c r="J1682" s="11" t="n">
        <v>400</v>
      </c>
      <c r="K1682" s="12" t="n">
        <v>0.05</v>
      </c>
      <c r="L1682" s="11" t="n">
        <v>200</v>
      </c>
      <c r="M1682" s="11" t="n">
        <f aca="false">I1682*J1682*(1-K1682)</f>
        <v>1900</v>
      </c>
      <c r="N1682" s="11" t="n">
        <f aca="false">M1682-I1682*L1682</f>
        <v>900</v>
      </c>
    </row>
    <row r="1683" customFormat="false" ht="15" hidden="false" customHeight="false" outlineLevel="0" collapsed="false">
      <c r="A1683" s="2" t="s">
        <v>2647</v>
      </c>
      <c r="B1683" s="2" t="s">
        <v>2648</v>
      </c>
      <c r="C1683" s="10" t="n">
        <v>45969</v>
      </c>
      <c r="D1683" s="2" t="n">
        <f aca="false">MONTH(C1683)</f>
        <v>11</v>
      </c>
      <c r="E1683" s="2" t="s">
        <v>81</v>
      </c>
      <c r="F1683" s="2" t="s">
        <v>64</v>
      </c>
      <c r="G1683" s="2" t="s">
        <v>70</v>
      </c>
      <c r="H1683" s="2" t="s">
        <v>71</v>
      </c>
      <c r="I1683" s="2" t="n">
        <v>3</v>
      </c>
      <c r="J1683" s="11" t="n">
        <v>2500</v>
      </c>
      <c r="K1683" s="12" t="n">
        <v>0.05</v>
      </c>
      <c r="L1683" s="11" t="n">
        <v>1600</v>
      </c>
      <c r="M1683" s="11" t="n">
        <f aca="false">I1683*J1683*(1-K1683)</f>
        <v>7125</v>
      </c>
      <c r="N1683" s="11" t="n">
        <f aca="false">M1683-I1683*L1683</f>
        <v>2325</v>
      </c>
    </row>
    <row r="1684" customFormat="false" ht="15" hidden="false" customHeight="false" outlineLevel="0" collapsed="false">
      <c r="A1684" s="2" t="s">
        <v>245</v>
      </c>
      <c r="B1684" s="2" t="s">
        <v>246</v>
      </c>
      <c r="C1684" s="10" t="n">
        <v>45970</v>
      </c>
      <c r="D1684" s="2" t="n">
        <f aca="false">MONTH(C1684)</f>
        <v>11</v>
      </c>
      <c r="E1684" s="2" t="s">
        <v>77</v>
      </c>
      <c r="F1684" s="2" t="s">
        <v>64</v>
      </c>
      <c r="G1684" s="2" t="s">
        <v>73</v>
      </c>
      <c r="H1684" s="2" t="s">
        <v>104</v>
      </c>
      <c r="I1684" s="2" t="n">
        <v>2</v>
      </c>
      <c r="J1684" s="11" t="n">
        <v>5500</v>
      </c>
      <c r="K1684" s="12" t="n">
        <v>0.15</v>
      </c>
      <c r="L1684" s="11" t="n">
        <v>3600</v>
      </c>
      <c r="M1684" s="11" t="n">
        <f aca="false">I1684*J1684*(1-K1684)</f>
        <v>9350</v>
      </c>
      <c r="N1684" s="11" t="n">
        <f aca="false">M1684-I1684*L1684</f>
        <v>2150</v>
      </c>
    </row>
    <row r="1685" customFormat="false" ht="15" hidden="false" customHeight="false" outlineLevel="0" collapsed="false">
      <c r="A1685" s="2" t="s">
        <v>527</v>
      </c>
      <c r="B1685" s="2" t="s">
        <v>525</v>
      </c>
      <c r="C1685" s="10" t="n">
        <v>45970</v>
      </c>
      <c r="D1685" s="2" t="n">
        <f aca="false">MONTH(C1685)</f>
        <v>11</v>
      </c>
      <c r="E1685" s="2" t="s">
        <v>81</v>
      </c>
      <c r="F1685" s="2" t="s">
        <v>64</v>
      </c>
      <c r="G1685" s="2" t="s">
        <v>65</v>
      </c>
      <c r="H1685" s="2" t="s">
        <v>82</v>
      </c>
      <c r="I1685" s="2" t="n">
        <v>8</v>
      </c>
      <c r="J1685" s="11" t="n">
        <v>250</v>
      </c>
      <c r="K1685" s="12" t="n">
        <v>0.05</v>
      </c>
      <c r="L1685" s="11" t="n">
        <v>100</v>
      </c>
      <c r="M1685" s="11" t="n">
        <f aca="false">I1685*J1685*(1-K1685)</f>
        <v>1900</v>
      </c>
      <c r="N1685" s="11" t="n">
        <f aca="false">M1685-I1685*L1685</f>
        <v>1100</v>
      </c>
    </row>
    <row r="1686" customFormat="false" ht="15" hidden="false" customHeight="false" outlineLevel="0" collapsed="false">
      <c r="A1686" s="2" t="s">
        <v>601</v>
      </c>
      <c r="B1686" s="2" t="s">
        <v>602</v>
      </c>
      <c r="C1686" s="10" t="n">
        <v>45970</v>
      </c>
      <c r="D1686" s="2" t="n">
        <f aca="false">MONTH(C1686)</f>
        <v>11</v>
      </c>
      <c r="E1686" s="2" t="s">
        <v>77</v>
      </c>
      <c r="F1686" s="2" t="s">
        <v>64</v>
      </c>
      <c r="G1686" s="2" t="s">
        <v>73</v>
      </c>
      <c r="H1686" s="2" t="s">
        <v>85</v>
      </c>
      <c r="I1686" s="2" t="n">
        <v>2</v>
      </c>
      <c r="J1686" s="11" t="n">
        <v>1200</v>
      </c>
      <c r="K1686" s="12" t="n">
        <v>0.05</v>
      </c>
      <c r="L1686" s="11" t="n">
        <v>600</v>
      </c>
      <c r="M1686" s="11" t="n">
        <f aca="false">I1686*J1686*(1-K1686)</f>
        <v>2280</v>
      </c>
      <c r="N1686" s="11" t="n">
        <f aca="false">M1686-I1686*L1686</f>
        <v>1080</v>
      </c>
    </row>
    <row r="1687" customFormat="false" ht="15" hidden="false" customHeight="false" outlineLevel="0" collapsed="false">
      <c r="A1687" s="2" t="s">
        <v>1322</v>
      </c>
      <c r="B1687" s="2" t="s">
        <v>1319</v>
      </c>
      <c r="C1687" s="10" t="n">
        <v>45970</v>
      </c>
      <c r="D1687" s="2" t="n">
        <f aca="false">MONTH(C1687)</f>
        <v>11</v>
      </c>
      <c r="E1687" s="2" t="s">
        <v>77</v>
      </c>
      <c r="F1687" s="2" t="s">
        <v>92</v>
      </c>
      <c r="G1687" s="2" t="s">
        <v>73</v>
      </c>
      <c r="H1687" s="2" t="s">
        <v>85</v>
      </c>
      <c r="I1687" s="2" t="n">
        <v>8</v>
      </c>
      <c r="J1687" s="11" t="n">
        <v>1200</v>
      </c>
      <c r="K1687" s="12" t="n">
        <v>0.15</v>
      </c>
      <c r="L1687" s="11" t="n">
        <v>600</v>
      </c>
      <c r="M1687" s="11" t="n">
        <f aca="false">I1687*J1687*(1-K1687)</f>
        <v>8160</v>
      </c>
      <c r="N1687" s="11" t="n">
        <f aca="false">M1687-I1687*L1687</f>
        <v>3360</v>
      </c>
    </row>
    <row r="1688" customFormat="false" ht="15" hidden="false" customHeight="false" outlineLevel="0" collapsed="false">
      <c r="A1688" s="2" t="s">
        <v>1427</v>
      </c>
      <c r="B1688" s="2" t="s">
        <v>1426</v>
      </c>
      <c r="C1688" s="10" t="n">
        <v>45970</v>
      </c>
      <c r="D1688" s="2" t="n">
        <f aca="false">MONTH(C1688)</f>
        <v>11</v>
      </c>
      <c r="E1688" s="2" t="s">
        <v>91</v>
      </c>
      <c r="F1688" s="2" t="s">
        <v>92</v>
      </c>
      <c r="G1688" s="2" t="s">
        <v>73</v>
      </c>
      <c r="H1688" s="2" t="s">
        <v>104</v>
      </c>
      <c r="I1688" s="2" t="n">
        <v>7</v>
      </c>
      <c r="J1688" s="11" t="n">
        <v>5500</v>
      </c>
      <c r="K1688" s="12" t="n">
        <v>0.1</v>
      </c>
      <c r="L1688" s="11" t="n">
        <v>3600</v>
      </c>
      <c r="M1688" s="11" t="n">
        <f aca="false">I1688*J1688*(1-K1688)</f>
        <v>34650</v>
      </c>
      <c r="N1688" s="11" t="n">
        <f aca="false">M1688-I1688*L1688</f>
        <v>9450</v>
      </c>
    </row>
    <row r="1689" customFormat="false" ht="15" hidden="false" customHeight="false" outlineLevel="0" collapsed="false">
      <c r="A1689" s="2" t="s">
        <v>1578</v>
      </c>
      <c r="B1689" s="2" t="s">
        <v>1579</v>
      </c>
      <c r="C1689" s="10" t="n">
        <v>45970</v>
      </c>
      <c r="D1689" s="2" t="n">
        <f aca="false">MONTH(C1689)</f>
        <v>11</v>
      </c>
      <c r="E1689" s="2" t="s">
        <v>77</v>
      </c>
      <c r="F1689" s="2" t="s">
        <v>92</v>
      </c>
      <c r="G1689" s="2" t="s">
        <v>70</v>
      </c>
      <c r="H1689" s="2" t="s">
        <v>122</v>
      </c>
      <c r="I1689" s="2" t="n">
        <v>2</v>
      </c>
      <c r="J1689" s="11" t="n">
        <v>1500</v>
      </c>
      <c r="K1689" s="12" t="n">
        <v>0.15</v>
      </c>
      <c r="L1689" s="11" t="n">
        <v>900</v>
      </c>
      <c r="M1689" s="11" t="n">
        <f aca="false">I1689*J1689*(1-K1689)</f>
        <v>2550</v>
      </c>
      <c r="N1689" s="11" t="n">
        <f aca="false">M1689-I1689*L1689</f>
        <v>750</v>
      </c>
    </row>
    <row r="1690" customFormat="false" ht="15" hidden="false" customHeight="false" outlineLevel="0" collapsed="false">
      <c r="A1690" s="2" t="s">
        <v>1603</v>
      </c>
      <c r="B1690" s="2" t="s">
        <v>1602</v>
      </c>
      <c r="C1690" s="10" t="n">
        <v>45970</v>
      </c>
      <c r="D1690" s="2" t="n">
        <f aca="false">MONTH(C1690)</f>
        <v>11</v>
      </c>
      <c r="E1690" s="2" t="s">
        <v>81</v>
      </c>
      <c r="F1690" s="2" t="s">
        <v>69</v>
      </c>
      <c r="G1690" s="2" t="s">
        <v>65</v>
      </c>
      <c r="H1690" s="2" t="s">
        <v>78</v>
      </c>
      <c r="I1690" s="2" t="n">
        <v>15</v>
      </c>
      <c r="J1690" s="11" t="n">
        <v>400</v>
      </c>
      <c r="K1690" s="12" t="n">
        <v>0.15</v>
      </c>
      <c r="L1690" s="11" t="n">
        <v>200</v>
      </c>
      <c r="M1690" s="11" t="n">
        <f aca="false">I1690*J1690*(1-K1690)</f>
        <v>5100</v>
      </c>
      <c r="N1690" s="11" t="n">
        <f aca="false">M1690-I1690*L1690</f>
        <v>2100</v>
      </c>
    </row>
    <row r="1691" customFormat="false" ht="15" hidden="false" customHeight="false" outlineLevel="0" collapsed="false">
      <c r="A1691" s="2" t="s">
        <v>1875</v>
      </c>
      <c r="B1691" s="2" t="s">
        <v>1870</v>
      </c>
      <c r="C1691" s="10" t="n">
        <v>45970</v>
      </c>
      <c r="D1691" s="2" t="n">
        <f aca="false">MONTH(C1691)</f>
        <v>11</v>
      </c>
      <c r="E1691" s="2" t="s">
        <v>63</v>
      </c>
      <c r="F1691" s="2" t="s">
        <v>64</v>
      </c>
      <c r="G1691" s="2" t="s">
        <v>73</v>
      </c>
      <c r="H1691" s="2" t="s">
        <v>104</v>
      </c>
      <c r="I1691" s="2" t="n">
        <v>2</v>
      </c>
      <c r="J1691" s="11" t="n">
        <v>5500</v>
      </c>
      <c r="K1691" s="12" t="n">
        <v>0.15</v>
      </c>
      <c r="L1691" s="11" t="n">
        <v>3600</v>
      </c>
      <c r="M1691" s="11" t="n">
        <f aca="false">I1691*J1691*(1-K1691)</f>
        <v>9350</v>
      </c>
      <c r="N1691" s="11" t="n">
        <f aca="false">M1691-I1691*L1691</f>
        <v>2150</v>
      </c>
    </row>
    <row r="1692" customFormat="false" ht="15" hidden="false" customHeight="false" outlineLevel="0" collapsed="false">
      <c r="A1692" s="2" t="s">
        <v>2138</v>
      </c>
      <c r="B1692" s="2" t="s">
        <v>2137</v>
      </c>
      <c r="C1692" s="10" t="n">
        <v>45970</v>
      </c>
      <c r="D1692" s="2" t="n">
        <f aca="false">MONTH(C1692)</f>
        <v>11</v>
      </c>
      <c r="E1692" s="2" t="s">
        <v>77</v>
      </c>
      <c r="F1692" s="2" t="s">
        <v>64</v>
      </c>
      <c r="G1692" s="2" t="s">
        <v>65</v>
      </c>
      <c r="H1692" s="2" t="s">
        <v>66</v>
      </c>
      <c r="I1692" s="2" t="n">
        <v>2</v>
      </c>
      <c r="J1692" s="11" t="n">
        <v>600</v>
      </c>
      <c r="K1692" s="12" t="n">
        <v>0.05</v>
      </c>
      <c r="L1692" s="11" t="n">
        <v>300</v>
      </c>
      <c r="M1692" s="11" t="n">
        <f aca="false">I1692*J1692*(1-K1692)</f>
        <v>1140</v>
      </c>
      <c r="N1692" s="11" t="n">
        <f aca="false">M1692-I1692*L1692</f>
        <v>540</v>
      </c>
    </row>
    <row r="1693" customFormat="false" ht="15" hidden="false" customHeight="false" outlineLevel="0" collapsed="false">
      <c r="A1693" s="2" t="s">
        <v>898</v>
      </c>
      <c r="B1693" s="2" t="s">
        <v>899</v>
      </c>
      <c r="C1693" s="10" t="n">
        <v>45971</v>
      </c>
      <c r="D1693" s="2" t="n">
        <f aca="false">MONTH(C1693)</f>
        <v>11</v>
      </c>
      <c r="E1693" s="2" t="s">
        <v>63</v>
      </c>
      <c r="F1693" s="2" t="s">
        <v>69</v>
      </c>
      <c r="G1693" s="2" t="s">
        <v>73</v>
      </c>
      <c r="H1693" s="2" t="s">
        <v>85</v>
      </c>
      <c r="I1693" s="2" t="n">
        <v>4</v>
      </c>
      <c r="J1693" s="11" t="n">
        <v>1200</v>
      </c>
      <c r="K1693" s="12" t="n">
        <v>0.05</v>
      </c>
      <c r="L1693" s="11" t="n">
        <v>600</v>
      </c>
      <c r="M1693" s="11" t="n">
        <f aca="false">I1693*J1693*(1-K1693)</f>
        <v>4560</v>
      </c>
      <c r="N1693" s="11" t="n">
        <f aca="false">M1693-I1693*L1693</f>
        <v>2160</v>
      </c>
    </row>
    <row r="1694" customFormat="false" ht="15" hidden="false" customHeight="false" outlineLevel="0" collapsed="false">
      <c r="A1694" s="2" t="s">
        <v>1104</v>
      </c>
      <c r="B1694" s="2" t="s">
        <v>1102</v>
      </c>
      <c r="C1694" s="10" t="n">
        <v>45971</v>
      </c>
      <c r="D1694" s="2" t="n">
        <f aca="false">MONTH(C1694)</f>
        <v>11</v>
      </c>
      <c r="E1694" s="2" t="s">
        <v>63</v>
      </c>
      <c r="F1694" s="2" t="s">
        <v>69</v>
      </c>
      <c r="G1694" s="2" t="s">
        <v>70</v>
      </c>
      <c r="H1694" s="2" t="s">
        <v>122</v>
      </c>
      <c r="I1694" s="2" t="n">
        <v>5</v>
      </c>
      <c r="J1694" s="11" t="n">
        <v>1500</v>
      </c>
      <c r="K1694" s="12" t="n">
        <v>0.05</v>
      </c>
      <c r="L1694" s="11" t="n">
        <v>900</v>
      </c>
      <c r="M1694" s="11" t="n">
        <f aca="false">I1694*J1694*(1-K1694)</f>
        <v>7125</v>
      </c>
      <c r="N1694" s="11" t="n">
        <f aca="false">M1694-I1694*L1694</f>
        <v>2625</v>
      </c>
    </row>
    <row r="1695" customFormat="false" ht="15" hidden="false" customHeight="false" outlineLevel="0" collapsed="false">
      <c r="A1695" s="2" t="s">
        <v>1339</v>
      </c>
      <c r="B1695" s="2" t="s">
        <v>1340</v>
      </c>
      <c r="C1695" s="10" t="n">
        <v>45971</v>
      </c>
      <c r="D1695" s="2" t="n">
        <f aca="false">MONTH(C1695)</f>
        <v>11</v>
      </c>
      <c r="E1695" s="2" t="s">
        <v>77</v>
      </c>
      <c r="F1695" s="2" t="s">
        <v>64</v>
      </c>
      <c r="G1695" s="2" t="s">
        <v>70</v>
      </c>
      <c r="H1695" s="2" t="s">
        <v>71</v>
      </c>
      <c r="I1695" s="2" t="n">
        <v>3</v>
      </c>
      <c r="J1695" s="11" t="n">
        <v>2500</v>
      </c>
      <c r="K1695" s="12" t="n">
        <v>0.1</v>
      </c>
      <c r="L1695" s="11" t="n">
        <v>1600</v>
      </c>
      <c r="M1695" s="11" t="n">
        <f aca="false">I1695*J1695*(1-K1695)</f>
        <v>6750</v>
      </c>
      <c r="N1695" s="11" t="n">
        <f aca="false">M1695-I1695*L1695</f>
        <v>1950</v>
      </c>
    </row>
    <row r="1696" customFormat="false" ht="15" hidden="false" customHeight="false" outlineLevel="0" collapsed="false">
      <c r="A1696" s="2" t="s">
        <v>1865</v>
      </c>
      <c r="B1696" s="2" t="s">
        <v>1861</v>
      </c>
      <c r="C1696" s="10" t="n">
        <v>45971</v>
      </c>
      <c r="D1696" s="2" t="n">
        <f aca="false">MONTH(C1696)</f>
        <v>11</v>
      </c>
      <c r="E1696" s="2" t="s">
        <v>81</v>
      </c>
      <c r="F1696" s="2" t="s">
        <v>92</v>
      </c>
      <c r="G1696" s="2" t="s">
        <v>70</v>
      </c>
      <c r="H1696" s="2" t="s">
        <v>126</v>
      </c>
      <c r="I1696" s="2" t="n">
        <v>2</v>
      </c>
      <c r="J1696" s="11" t="n">
        <v>4500</v>
      </c>
      <c r="K1696" s="12" t="n">
        <v>0.1</v>
      </c>
      <c r="L1696" s="11" t="n">
        <v>3300</v>
      </c>
      <c r="M1696" s="11" t="n">
        <f aca="false">I1696*J1696*(1-K1696)</f>
        <v>8100</v>
      </c>
      <c r="N1696" s="11" t="n">
        <f aca="false">M1696-I1696*L1696</f>
        <v>1500</v>
      </c>
    </row>
    <row r="1697" customFormat="false" ht="15" hidden="false" customHeight="false" outlineLevel="0" collapsed="false">
      <c r="A1697" s="2" t="s">
        <v>1992</v>
      </c>
      <c r="B1697" s="2" t="s">
        <v>1990</v>
      </c>
      <c r="C1697" s="10" t="n">
        <v>45971</v>
      </c>
      <c r="D1697" s="2" t="n">
        <f aca="false">MONTH(C1697)</f>
        <v>11</v>
      </c>
      <c r="E1697" s="2" t="s">
        <v>77</v>
      </c>
      <c r="F1697" s="2" t="s">
        <v>92</v>
      </c>
      <c r="G1697" s="2" t="s">
        <v>73</v>
      </c>
      <c r="H1697" s="2" t="s">
        <v>74</v>
      </c>
      <c r="I1697" s="2" t="n">
        <v>5</v>
      </c>
      <c r="J1697" s="11" t="n">
        <v>7000</v>
      </c>
      <c r="K1697" s="12" t="n">
        <v>0.1</v>
      </c>
      <c r="L1697" s="11" t="n">
        <v>4800</v>
      </c>
      <c r="M1697" s="11" t="n">
        <f aca="false">I1697*J1697*(1-K1697)</f>
        <v>31500</v>
      </c>
      <c r="N1697" s="11" t="n">
        <f aca="false">M1697-I1697*L1697</f>
        <v>7500</v>
      </c>
    </row>
    <row r="1698" customFormat="false" ht="15" hidden="false" customHeight="false" outlineLevel="0" collapsed="false">
      <c r="A1698" s="2" t="s">
        <v>2027</v>
      </c>
      <c r="B1698" s="2" t="s">
        <v>2028</v>
      </c>
      <c r="C1698" s="10" t="n">
        <v>45971</v>
      </c>
      <c r="D1698" s="2" t="n">
        <f aca="false">MONTH(C1698)</f>
        <v>11</v>
      </c>
      <c r="E1698" s="2" t="s">
        <v>81</v>
      </c>
      <c r="F1698" s="2" t="s">
        <v>64</v>
      </c>
      <c r="G1698" s="2" t="s">
        <v>73</v>
      </c>
      <c r="H1698" s="2" t="s">
        <v>85</v>
      </c>
      <c r="I1698" s="2" t="n">
        <v>1</v>
      </c>
      <c r="J1698" s="11" t="n">
        <v>1200</v>
      </c>
      <c r="K1698" s="12" t="n">
        <v>0.05</v>
      </c>
      <c r="L1698" s="11" t="n">
        <v>600</v>
      </c>
      <c r="M1698" s="11" t="n">
        <f aca="false">I1698*J1698*(1-K1698)</f>
        <v>1140</v>
      </c>
      <c r="N1698" s="11" t="n">
        <f aca="false">M1698-I1698*L1698</f>
        <v>540</v>
      </c>
    </row>
    <row r="1699" customFormat="false" ht="15" hidden="false" customHeight="false" outlineLevel="0" collapsed="false">
      <c r="A1699" s="2" t="s">
        <v>2070</v>
      </c>
      <c r="B1699" s="2" t="s">
        <v>2069</v>
      </c>
      <c r="C1699" s="10" t="n">
        <v>45971</v>
      </c>
      <c r="D1699" s="2" t="n">
        <f aca="false">MONTH(C1699)</f>
        <v>11</v>
      </c>
      <c r="E1699" s="2" t="s">
        <v>63</v>
      </c>
      <c r="F1699" s="2" t="s">
        <v>64</v>
      </c>
      <c r="G1699" s="2" t="s">
        <v>70</v>
      </c>
      <c r="H1699" s="2" t="s">
        <v>97</v>
      </c>
      <c r="I1699" s="2" t="n">
        <v>2</v>
      </c>
      <c r="J1699" s="11" t="n">
        <v>3000</v>
      </c>
      <c r="K1699" s="12" t="n">
        <v>0.05</v>
      </c>
      <c r="L1699" s="11" t="n">
        <v>2000</v>
      </c>
      <c r="M1699" s="11" t="n">
        <f aca="false">I1699*J1699*(1-K1699)</f>
        <v>5700</v>
      </c>
      <c r="N1699" s="11" t="n">
        <f aca="false">M1699-I1699*L1699</f>
        <v>1700</v>
      </c>
    </row>
    <row r="1700" customFormat="false" ht="15" hidden="false" customHeight="false" outlineLevel="0" collapsed="false">
      <c r="A1700" s="2" t="s">
        <v>2347</v>
      </c>
      <c r="B1700" s="2" t="s">
        <v>2348</v>
      </c>
      <c r="C1700" s="10" t="n">
        <v>45971</v>
      </c>
      <c r="D1700" s="2" t="n">
        <f aca="false">MONTH(C1700)</f>
        <v>11</v>
      </c>
      <c r="E1700" s="2" t="s">
        <v>77</v>
      </c>
      <c r="F1700" s="2" t="s">
        <v>64</v>
      </c>
      <c r="G1700" s="2" t="s">
        <v>70</v>
      </c>
      <c r="H1700" s="2" t="s">
        <v>126</v>
      </c>
      <c r="I1700" s="2" t="n">
        <v>3</v>
      </c>
      <c r="J1700" s="11" t="n">
        <v>4500</v>
      </c>
      <c r="K1700" s="12" t="n">
        <v>0.05</v>
      </c>
      <c r="L1700" s="11" t="n">
        <v>3300</v>
      </c>
      <c r="M1700" s="11" t="n">
        <f aca="false">I1700*J1700*(1-K1700)</f>
        <v>12825</v>
      </c>
      <c r="N1700" s="11" t="n">
        <f aca="false">M1700-I1700*L1700</f>
        <v>2925</v>
      </c>
    </row>
    <row r="1701" customFormat="false" ht="15" hidden="false" customHeight="false" outlineLevel="0" collapsed="false">
      <c r="A1701" s="2" t="s">
        <v>2991</v>
      </c>
      <c r="B1701" s="2" t="s">
        <v>2987</v>
      </c>
      <c r="C1701" s="10" t="n">
        <v>45971</v>
      </c>
      <c r="D1701" s="2" t="n">
        <f aca="false">MONTH(C1701)</f>
        <v>11</v>
      </c>
      <c r="E1701" s="2" t="s">
        <v>91</v>
      </c>
      <c r="F1701" s="2" t="s">
        <v>92</v>
      </c>
      <c r="G1701" s="2" t="s">
        <v>73</v>
      </c>
      <c r="H1701" s="2" t="s">
        <v>74</v>
      </c>
      <c r="I1701" s="2" t="n">
        <v>8</v>
      </c>
      <c r="J1701" s="11" t="n">
        <v>7000</v>
      </c>
      <c r="K1701" s="12" t="n">
        <v>0.05</v>
      </c>
      <c r="L1701" s="11" t="n">
        <v>4800</v>
      </c>
      <c r="M1701" s="11" t="n">
        <f aca="false">I1701*J1701*(1-K1701)</f>
        <v>53200</v>
      </c>
      <c r="N1701" s="11" t="n">
        <f aca="false">M1701-I1701*L1701</f>
        <v>14800</v>
      </c>
    </row>
    <row r="1702" customFormat="false" ht="15" hidden="false" customHeight="false" outlineLevel="0" collapsed="false">
      <c r="A1702" s="2" t="s">
        <v>567</v>
      </c>
      <c r="B1702" s="2" t="s">
        <v>568</v>
      </c>
      <c r="C1702" s="10" t="n">
        <v>45972</v>
      </c>
      <c r="D1702" s="2" t="n">
        <f aca="false">MONTH(C1702)</f>
        <v>11</v>
      </c>
      <c r="E1702" s="2" t="s">
        <v>77</v>
      </c>
      <c r="F1702" s="2" t="s">
        <v>69</v>
      </c>
      <c r="G1702" s="2" t="s">
        <v>65</v>
      </c>
      <c r="H1702" s="2" t="s">
        <v>82</v>
      </c>
      <c r="I1702" s="2" t="n">
        <v>20</v>
      </c>
      <c r="J1702" s="11" t="n">
        <v>250</v>
      </c>
      <c r="K1702" s="12" t="n">
        <v>0.05</v>
      </c>
      <c r="L1702" s="11" t="n">
        <v>100</v>
      </c>
      <c r="M1702" s="11" t="n">
        <f aca="false">I1702*J1702*(1-K1702)</f>
        <v>4750</v>
      </c>
      <c r="N1702" s="11" t="n">
        <f aca="false">M1702-I1702*L1702</f>
        <v>2750</v>
      </c>
    </row>
    <row r="1703" customFormat="false" ht="15" hidden="false" customHeight="false" outlineLevel="0" collapsed="false">
      <c r="A1703" s="2" t="s">
        <v>674</v>
      </c>
      <c r="B1703" s="2" t="s">
        <v>673</v>
      </c>
      <c r="C1703" s="10" t="n">
        <v>45972</v>
      </c>
      <c r="D1703" s="2" t="n">
        <f aca="false">MONTH(C1703)</f>
        <v>11</v>
      </c>
      <c r="E1703" s="2" t="s">
        <v>77</v>
      </c>
      <c r="F1703" s="2" t="s">
        <v>69</v>
      </c>
      <c r="G1703" s="2" t="s">
        <v>70</v>
      </c>
      <c r="H1703" s="2" t="s">
        <v>122</v>
      </c>
      <c r="I1703" s="2" t="n">
        <v>1</v>
      </c>
      <c r="J1703" s="11" t="n">
        <v>1500</v>
      </c>
      <c r="K1703" s="12" t="n">
        <v>0.15</v>
      </c>
      <c r="L1703" s="11" t="n">
        <v>900</v>
      </c>
      <c r="M1703" s="11" t="n">
        <f aca="false">I1703*J1703*(1-K1703)</f>
        <v>1275</v>
      </c>
      <c r="N1703" s="11" t="n">
        <f aca="false">M1703-I1703*L1703</f>
        <v>375</v>
      </c>
    </row>
    <row r="1704" customFormat="false" ht="15" hidden="false" customHeight="false" outlineLevel="0" collapsed="false">
      <c r="A1704" s="2" t="s">
        <v>1145</v>
      </c>
      <c r="B1704" s="2" t="s">
        <v>1146</v>
      </c>
      <c r="C1704" s="10" t="n">
        <v>45972</v>
      </c>
      <c r="D1704" s="2" t="n">
        <f aca="false">MONTH(C1704)</f>
        <v>11</v>
      </c>
      <c r="E1704" s="2" t="s">
        <v>63</v>
      </c>
      <c r="F1704" s="2" t="s">
        <v>64</v>
      </c>
      <c r="G1704" s="2" t="s">
        <v>65</v>
      </c>
      <c r="H1704" s="2" t="s">
        <v>78</v>
      </c>
      <c r="I1704" s="2" t="n">
        <v>3</v>
      </c>
      <c r="J1704" s="11" t="n">
        <v>400</v>
      </c>
      <c r="K1704" s="12" t="n">
        <v>0.05</v>
      </c>
      <c r="L1704" s="11" t="n">
        <v>200</v>
      </c>
      <c r="M1704" s="11" t="n">
        <f aca="false">I1704*J1704*(1-K1704)</f>
        <v>1140</v>
      </c>
      <c r="N1704" s="11" t="n">
        <f aca="false">M1704-I1704*L1704</f>
        <v>540</v>
      </c>
    </row>
    <row r="1705" customFormat="false" ht="15" hidden="false" customHeight="false" outlineLevel="0" collapsed="false">
      <c r="A1705" s="2" t="s">
        <v>1574</v>
      </c>
      <c r="B1705" s="2" t="s">
        <v>1573</v>
      </c>
      <c r="C1705" s="10" t="n">
        <v>45972</v>
      </c>
      <c r="D1705" s="2" t="n">
        <f aca="false">MONTH(C1705)</f>
        <v>11</v>
      </c>
      <c r="E1705" s="2" t="s">
        <v>77</v>
      </c>
      <c r="F1705" s="2" t="s">
        <v>69</v>
      </c>
      <c r="G1705" s="2" t="s">
        <v>70</v>
      </c>
      <c r="H1705" s="2" t="s">
        <v>122</v>
      </c>
      <c r="I1705" s="2" t="n">
        <v>5</v>
      </c>
      <c r="J1705" s="11" t="n">
        <v>1500</v>
      </c>
      <c r="K1705" s="12" t="n">
        <v>0.05</v>
      </c>
      <c r="L1705" s="11" t="n">
        <v>900</v>
      </c>
      <c r="M1705" s="11" t="n">
        <f aca="false">I1705*J1705*(1-K1705)</f>
        <v>7125</v>
      </c>
      <c r="N1705" s="11" t="n">
        <f aca="false">M1705-I1705*L1705</f>
        <v>2625</v>
      </c>
    </row>
    <row r="1706" customFormat="false" ht="15" hidden="false" customHeight="false" outlineLevel="0" collapsed="false">
      <c r="A1706" s="2" t="s">
        <v>2048</v>
      </c>
      <c r="B1706" s="2" t="s">
        <v>2047</v>
      </c>
      <c r="C1706" s="10" t="n">
        <v>45972</v>
      </c>
      <c r="D1706" s="2" t="n">
        <f aca="false">MONTH(C1706)</f>
        <v>11</v>
      </c>
      <c r="E1706" s="2" t="s">
        <v>77</v>
      </c>
      <c r="F1706" s="2" t="s">
        <v>64</v>
      </c>
      <c r="G1706" s="2" t="s">
        <v>70</v>
      </c>
      <c r="H1706" s="2" t="s">
        <v>126</v>
      </c>
      <c r="I1706" s="2" t="n">
        <v>2</v>
      </c>
      <c r="J1706" s="11" t="n">
        <v>4500</v>
      </c>
      <c r="K1706" s="12" t="n">
        <v>0.05</v>
      </c>
      <c r="L1706" s="11" t="n">
        <v>3300</v>
      </c>
      <c r="M1706" s="11" t="n">
        <f aca="false">I1706*J1706*(1-K1706)</f>
        <v>8550</v>
      </c>
      <c r="N1706" s="11" t="n">
        <f aca="false">M1706-I1706*L1706</f>
        <v>1950</v>
      </c>
    </row>
    <row r="1707" customFormat="false" ht="15" hidden="false" customHeight="false" outlineLevel="0" collapsed="false">
      <c r="A1707" s="2" t="s">
        <v>2132</v>
      </c>
      <c r="B1707" s="2" t="s">
        <v>2133</v>
      </c>
      <c r="C1707" s="10" t="n">
        <v>45972</v>
      </c>
      <c r="D1707" s="2" t="n">
        <f aca="false">MONTH(C1707)</f>
        <v>11</v>
      </c>
      <c r="E1707" s="2" t="s">
        <v>63</v>
      </c>
      <c r="F1707" s="2" t="s">
        <v>64</v>
      </c>
      <c r="G1707" s="2" t="s">
        <v>65</v>
      </c>
      <c r="H1707" s="2" t="s">
        <v>107</v>
      </c>
      <c r="I1707" s="2" t="n">
        <v>8</v>
      </c>
      <c r="J1707" s="11" t="n">
        <v>500</v>
      </c>
      <c r="K1707" s="12" t="n">
        <v>0.15</v>
      </c>
      <c r="L1707" s="11" t="n">
        <v>250</v>
      </c>
      <c r="M1707" s="11" t="n">
        <f aca="false">I1707*J1707*(1-K1707)</f>
        <v>3400</v>
      </c>
      <c r="N1707" s="11" t="n">
        <f aca="false">M1707-I1707*L1707</f>
        <v>1400</v>
      </c>
    </row>
    <row r="1708" customFormat="false" ht="15" hidden="false" customHeight="false" outlineLevel="0" collapsed="false">
      <c r="A1708" s="2" t="s">
        <v>2154</v>
      </c>
      <c r="B1708" s="2" t="s">
        <v>2151</v>
      </c>
      <c r="C1708" s="10" t="n">
        <v>45972</v>
      </c>
      <c r="D1708" s="2" t="n">
        <f aca="false">MONTH(C1708)</f>
        <v>11</v>
      </c>
      <c r="E1708" s="2" t="s">
        <v>63</v>
      </c>
      <c r="F1708" s="2" t="s">
        <v>64</v>
      </c>
      <c r="G1708" s="2" t="s">
        <v>65</v>
      </c>
      <c r="H1708" s="2" t="s">
        <v>66</v>
      </c>
      <c r="I1708" s="2" t="n">
        <v>6</v>
      </c>
      <c r="J1708" s="11" t="n">
        <v>600</v>
      </c>
      <c r="K1708" s="12" t="n">
        <v>0.1</v>
      </c>
      <c r="L1708" s="11" t="n">
        <v>300</v>
      </c>
      <c r="M1708" s="11" t="n">
        <f aca="false">I1708*J1708*(1-K1708)</f>
        <v>3240</v>
      </c>
      <c r="N1708" s="11" t="n">
        <f aca="false">M1708-I1708*L1708</f>
        <v>1440</v>
      </c>
    </row>
    <row r="1709" customFormat="false" ht="15" hidden="false" customHeight="false" outlineLevel="0" collapsed="false">
      <c r="A1709" s="2" t="s">
        <v>478</v>
      </c>
      <c r="B1709" s="2" t="s">
        <v>479</v>
      </c>
      <c r="C1709" s="10" t="n">
        <v>45973</v>
      </c>
      <c r="D1709" s="2" t="n">
        <f aca="false">MONTH(C1709)</f>
        <v>11</v>
      </c>
      <c r="E1709" s="2" t="s">
        <v>77</v>
      </c>
      <c r="F1709" s="2" t="s">
        <v>69</v>
      </c>
      <c r="G1709" s="2" t="s">
        <v>73</v>
      </c>
      <c r="H1709" s="2" t="s">
        <v>85</v>
      </c>
      <c r="I1709" s="2" t="n">
        <v>1</v>
      </c>
      <c r="J1709" s="11" t="n">
        <v>1200</v>
      </c>
      <c r="K1709" s="12" t="n">
        <v>0.05</v>
      </c>
      <c r="L1709" s="11" t="n">
        <v>600</v>
      </c>
      <c r="M1709" s="11" t="n">
        <f aca="false">I1709*J1709*(1-K1709)</f>
        <v>1140</v>
      </c>
      <c r="N1709" s="11" t="n">
        <f aca="false">M1709-I1709*L1709</f>
        <v>540</v>
      </c>
    </row>
    <row r="1710" customFormat="false" ht="15" hidden="false" customHeight="false" outlineLevel="0" collapsed="false">
      <c r="A1710" s="2" t="s">
        <v>814</v>
      </c>
      <c r="B1710" s="2" t="s">
        <v>812</v>
      </c>
      <c r="C1710" s="10" t="n">
        <v>45973</v>
      </c>
      <c r="D1710" s="2" t="n">
        <f aca="false">MONTH(C1710)</f>
        <v>11</v>
      </c>
      <c r="E1710" s="2" t="s">
        <v>63</v>
      </c>
      <c r="F1710" s="2" t="s">
        <v>69</v>
      </c>
      <c r="G1710" s="2" t="s">
        <v>73</v>
      </c>
      <c r="H1710" s="2" t="s">
        <v>85</v>
      </c>
      <c r="I1710" s="2" t="n">
        <v>2</v>
      </c>
      <c r="J1710" s="11" t="n">
        <v>1200</v>
      </c>
      <c r="K1710" s="12" t="n">
        <v>0.05</v>
      </c>
      <c r="L1710" s="11" t="n">
        <v>600</v>
      </c>
      <c r="M1710" s="11" t="n">
        <f aca="false">I1710*J1710*(1-K1710)</f>
        <v>2280</v>
      </c>
      <c r="N1710" s="11" t="n">
        <f aca="false">M1710-I1710*L1710</f>
        <v>1080</v>
      </c>
    </row>
    <row r="1711" customFormat="false" ht="15" hidden="false" customHeight="false" outlineLevel="0" collapsed="false">
      <c r="A1711" s="2" t="s">
        <v>941</v>
      </c>
      <c r="B1711" s="2" t="s">
        <v>939</v>
      </c>
      <c r="C1711" s="10" t="n">
        <v>45973</v>
      </c>
      <c r="D1711" s="2" t="n">
        <f aca="false">MONTH(C1711)</f>
        <v>11</v>
      </c>
      <c r="E1711" s="2" t="s">
        <v>81</v>
      </c>
      <c r="F1711" s="2" t="s">
        <v>64</v>
      </c>
      <c r="G1711" s="2" t="s">
        <v>73</v>
      </c>
      <c r="H1711" s="2" t="s">
        <v>85</v>
      </c>
      <c r="I1711" s="2" t="n">
        <v>2</v>
      </c>
      <c r="J1711" s="11" t="n">
        <v>1200</v>
      </c>
      <c r="K1711" s="12" t="n">
        <v>0.05</v>
      </c>
      <c r="L1711" s="11" t="n">
        <v>600</v>
      </c>
      <c r="M1711" s="11" t="n">
        <f aca="false">I1711*J1711*(1-K1711)</f>
        <v>2280</v>
      </c>
      <c r="N1711" s="11" t="n">
        <f aca="false">M1711-I1711*L1711</f>
        <v>1080</v>
      </c>
    </row>
    <row r="1712" customFormat="false" ht="15" hidden="false" customHeight="false" outlineLevel="0" collapsed="false">
      <c r="A1712" s="2" t="s">
        <v>1125</v>
      </c>
      <c r="B1712" s="2" t="s">
        <v>1126</v>
      </c>
      <c r="C1712" s="10" t="n">
        <v>45973</v>
      </c>
      <c r="D1712" s="2" t="n">
        <f aca="false">MONTH(C1712)</f>
        <v>11</v>
      </c>
      <c r="E1712" s="2" t="s">
        <v>77</v>
      </c>
      <c r="F1712" s="2" t="s">
        <v>92</v>
      </c>
      <c r="G1712" s="2" t="s">
        <v>70</v>
      </c>
      <c r="H1712" s="2" t="s">
        <v>122</v>
      </c>
      <c r="I1712" s="2" t="n">
        <v>7</v>
      </c>
      <c r="J1712" s="11" t="n">
        <v>1500</v>
      </c>
      <c r="K1712" s="12" t="n">
        <v>0.1</v>
      </c>
      <c r="L1712" s="11" t="n">
        <v>900</v>
      </c>
      <c r="M1712" s="11" t="n">
        <f aca="false">I1712*J1712*(1-K1712)</f>
        <v>9450</v>
      </c>
      <c r="N1712" s="11" t="n">
        <f aca="false">M1712-I1712*L1712</f>
        <v>3150</v>
      </c>
    </row>
    <row r="1713" customFormat="false" ht="15" hidden="false" customHeight="false" outlineLevel="0" collapsed="false">
      <c r="A1713" s="2" t="s">
        <v>1715</v>
      </c>
      <c r="B1713" s="2" t="s">
        <v>1712</v>
      </c>
      <c r="C1713" s="10" t="n">
        <v>45973</v>
      </c>
      <c r="D1713" s="2" t="n">
        <f aca="false">MONTH(C1713)</f>
        <v>11</v>
      </c>
      <c r="E1713" s="2" t="s">
        <v>81</v>
      </c>
      <c r="F1713" s="2" t="s">
        <v>64</v>
      </c>
      <c r="G1713" s="2" t="s">
        <v>70</v>
      </c>
      <c r="H1713" s="2" t="s">
        <v>71</v>
      </c>
      <c r="I1713" s="2" t="n">
        <v>2</v>
      </c>
      <c r="J1713" s="11" t="n">
        <v>2500</v>
      </c>
      <c r="K1713" s="12" t="n">
        <v>0.05</v>
      </c>
      <c r="L1713" s="11" t="n">
        <v>1600</v>
      </c>
      <c r="M1713" s="11" t="n">
        <f aca="false">I1713*J1713*(1-K1713)</f>
        <v>4750</v>
      </c>
      <c r="N1713" s="11" t="n">
        <f aca="false">M1713-I1713*L1713</f>
        <v>1550</v>
      </c>
    </row>
    <row r="1714" customFormat="false" ht="15" hidden="false" customHeight="false" outlineLevel="0" collapsed="false">
      <c r="A1714" s="2" t="s">
        <v>1749</v>
      </c>
      <c r="B1714" s="2" t="s">
        <v>1745</v>
      </c>
      <c r="C1714" s="10" t="n">
        <v>45973</v>
      </c>
      <c r="D1714" s="2" t="n">
        <f aca="false">MONTH(C1714)</f>
        <v>11</v>
      </c>
      <c r="E1714" s="2" t="s">
        <v>81</v>
      </c>
      <c r="F1714" s="2" t="s">
        <v>64</v>
      </c>
      <c r="G1714" s="2" t="s">
        <v>65</v>
      </c>
      <c r="H1714" s="2" t="s">
        <v>66</v>
      </c>
      <c r="I1714" s="2" t="n">
        <v>4</v>
      </c>
      <c r="J1714" s="11" t="n">
        <v>600</v>
      </c>
      <c r="K1714" s="12" t="n">
        <v>0.1</v>
      </c>
      <c r="L1714" s="11" t="n">
        <v>300</v>
      </c>
      <c r="M1714" s="11" t="n">
        <f aca="false">I1714*J1714*(1-K1714)</f>
        <v>2160</v>
      </c>
      <c r="N1714" s="11" t="n">
        <f aca="false">M1714-I1714*L1714</f>
        <v>960</v>
      </c>
    </row>
    <row r="1715" customFormat="false" ht="15" hidden="false" customHeight="false" outlineLevel="0" collapsed="false">
      <c r="A1715" s="2" t="s">
        <v>2018</v>
      </c>
      <c r="B1715" s="2" t="s">
        <v>2019</v>
      </c>
      <c r="C1715" s="10" t="n">
        <v>45973</v>
      </c>
      <c r="D1715" s="2" t="n">
        <f aca="false">MONTH(C1715)</f>
        <v>11</v>
      </c>
      <c r="E1715" s="2" t="s">
        <v>81</v>
      </c>
      <c r="F1715" s="2" t="s">
        <v>92</v>
      </c>
      <c r="G1715" s="2" t="s">
        <v>73</v>
      </c>
      <c r="H1715" s="2" t="s">
        <v>104</v>
      </c>
      <c r="I1715" s="2" t="n">
        <v>7</v>
      </c>
      <c r="J1715" s="11" t="n">
        <v>5500</v>
      </c>
      <c r="K1715" s="12" t="n">
        <v>0.15</v>
      </c>
      <c r="L1715" s="11" t="n">
        <v>3600</v>
      </c>
      <c r="M1715" s="11" t="n">
        <f aca="false">I1715*J1715*(1-K1715)</f>
        <v>32725</v>
      </c>
      <c r="N1715" s="11" t="n">
        <f aca="false">M1715-I1715*L1715</f>
        <v>7525</v>
      </c>
    </row>
    <row r="1716" customFormat="false" ht="15" hidden="false" customHeight="false" outlineLevel="0" collapsed="false">
      <c r="A1716" s="2" t="s">
        <v>2768</v>
      </c>
      <c r="B1716" s="2" t="s">
        <v>2766</v>
      </c>
      <c r="C1716" s="10" t="n">
        <v>45973</v>
      </c>
      <c r="D1716" s="2" t="n">
        <f aca="false">MONTH(C1716)</f>
        <v>11</v>
      </c>
      <c r="E1716" s="2" t="s">
        <v>77</v>
      </c>
      <c r="F1716" s="2" t="s">
        <v>64</v>
      </c>
      <c r="G1716" s="2" t="s">
        <v>65</v>
      </c>
      <c r="H1716" s="2" t="s">
        <v>107</v>
      </c>
      <c r="I1716" s="2" t="n">
        <v>6</v>
      </c>
      <c r="J1716" s="11" t="n">
        <v>500</v>
      </c>
      <c r="K1716" s="12" t="n">
        <v>0.15</v>
      </c>
      <c r="L1716" s="11" t="n">
        <v>250</v>
      </c>
      <c r="M1716" s="11" t="n">
        <f aca="false">I1716*J1716*(1-K1716)</f>
        <v>2550</v>
      </c>
      <c r="N1716" s="11" t="n">
        <f aca="false">M1716-I1716*L1716</f>
        <v>1050</v>
      </c>
    </row>
    <row r="1717" customFormat="false" ht="15" hidden="false" customHeight="false" outlineLevel="0" collapsed="false">
      <c r="A1717" s="2" t="s">
        <v>111</v>
      </c>
      <c r="B1717" s="2" t="s">
        <v>106</v>
      </c>
      <c r="C1717" s="10" t="n">
        <v>45974</v>
      </c>
      <c r="D1717" s="2" t="n">
        <f aca="false">MONTH(C1717)</f>
        <v>11</v>
      </c>
      <c r="E1717" s="2" t="s">
        <v>63</v>
      </c>
      <c r="F1717" s="2" t="s">
        <v>64</v>
      </c>
      <c r="G1717" s="2" t="s">
        <v>70</v>
      </c>
      <c r="H1717" s="2" t="s">
        <v>71</v>
      </c>
      <c r="I1717" s="2" t="n">
        <v>1</v>
      </c>
      <c r="J1717" s="11" t="n">
        <v>2500</v>
      </c>
      <c r="K1717" s="12" t="n">
        <v>0.05</v>
      </c>
      <c r="L1717" s="11" t="n">
        <v>1600</v>
      </c>
      <c r="M1717" s="11" t="n">
        <f aca="false">I1717*J1717*(1-K1717)</f>
        <v>2375</v>
      </c>
      <c r="N1717" s="11" t="n">
        <f aca="false">M1717-I1717*L1717</f>
        <v>775</v>
      </c>
    </row>
    <row r="1718" customFormat="false" ht="15" hidden="false" customHeight="false" outlineLevel="0" collapsed="false">
      <c r="A1718" s="2" t="s">
        <v>402</v>
      </c>
      <c r="B1718" s="2" t="s">
        <v>401</v>
      </c>
      <c r="C1718" s="10" t="n">
        <v>45974</v>
      </c>
      <c r="D1718" s="2" t="n">
        <f aca="false">MONTH(C1718)</f>
        <v>11</v>
      </c>
      <c r="E1718" s="2" t="s">
        <v>77</v>
      </c>
      <c r="F1718" s="2" t="s">
        <v>64</v>
      </c>
      <c r="G1718" s="2" t="s">
        <v>65</v>
      </c>
      <c r="H1718" s="2" t="s">
        <v>107</v>
      </c>
      <c r="I1718" s="2" t="n">
        <v>3</v>
      </c>
      <c r="J1718" s="11" t="n">
        <v>500</v>
      </c>
      <c r="K1718" s="12" t="n">
        <v>0.05</v>
      </c>
      <c r="L1718" s="11" t="n">
        <v>250</v>
      </c>
      <c r="M1718" s="11" t="n">
        <f aca="false">I1718*J1718*(1-K1718)</f>
        <v>1425</v>
      </c>
      <c r="N1718" s="11" t="n">
        <f aca="false">M1718-I1718*L1718</f>
        <v>675</v>
      </c>
    </row>
    <row r="1719" customFormat="false" ht="15" hidden="false" customHeight="false" outlineLevel="0" collapsed="false">
      <c r="A1719" s="2" t="s">
        <v>495</v>
      </c>
      <c r="B1719" s="2" t="s">
        <v>492</v>
      </c>
      <c r="C1719" s="10" t="n">
        <v>45974</v>
      </c>
      <c r="D1719" s="2" t="n">
        <f aca="false">MONTH(C1719)</f>
        <v>11</v>
      </c>
      <c r="E1719" s="2" t="s">
        <v>77</v>
      </c>
      <c r="F1719" s="2" t="s">
        <v>64</v>
      </c>
      <c r="G1719" s="2" t="s">
        <v>70</v>
      </c>
      <c r="H1719" s="2" t="s">
        <v>71</v>
      </c>
      <c r="I1719" s="2" t="n">
        <v>3</v>
      </c>
      <c r="J1719" s="11" t="n">
        <v>2500</v>
      </c>
      <c r="K1719" s="12" t="n">
        <v>0.05</v>
      </c>
      <c r="L1719" s="11" t="n">
        <v>1600</v>
      </c>
      <c r="M1719" s="11" t="n">
        <f aca="false">I1719*J1719*(1-K1719)</f>
        <v>7125</v>
      </c>
      <c r="N1719" s="11" t="n">
        <f aca="false">M1719-I1719*L1719</f>
        <v>2325</v>
      </c>
    </row>
    <row r="1720" customFormat="false" ht="15" hidden="false" customHeight="false" outlineLevel="0" collapsed="false">
      <c r="A1720" s="2" t="s">
        <v>968</v>
      </c>
      <c r="B1720" s="2" t="s">
        <v>969</v>
      </c>
      <c r="C1720" s="10" t="n">
        <v>45974</v>
      </c>
      <c r="D1720" s="2" t="n">
        <f aca="false">MONTH(C1720)</f>
        <v>11</v>
      </c>
      <c r="E1720" s="2" t="s">
        <v>77</v>
      </c>
      <c r="F1720" s="2" t="s">
        <v>64</v>
      </c>
      <c r="G1720" s="2" t="s">
        <v>73</v>
      </c>
      <c r="H1720" s="2" t="s">
        <v>104</v>
      </c>
      <c r="I1720" s="2" t="n">
        <v>2</v>
      </c>
      <c r="J1720" s="11" t="n">
        <v>5500</v>
      </c>
      <c r="K1720" s="12" t="n">
        <v>0.1</v>
      </c>
      <c r="L1720" s="11" t="n">
        <v>3600</v>
      </c>
      <c r="M1720" s="11" t="n">
        <f aca="false">I1720*J1720*(1-K1720)</f>
        <v>9900</v>
      </c>
      <c r="N1720" s="11" t="n">
        <f aca="false">M1720-I1720*L1720</f>
        <v>2700</v>
      </c>
    </row>
    <row r="1721" customFormat="false" ht="15" hidden="false" customHeight="false" outlineLevel="0" collapsed="false">
      <c r="A1721" s="2" t="s">
        <v>1975</v>
      </c>
      <c r="B1721" s="2" t="s">
        <v>1976</v>
      </c>
      <c r="C1721" s="10" t="n">
        <v>45974</v>
      </c>
      <c r="D1721" s="2" t="n">
        <f aca="false">MONTH(C1721)</f>
        <v>11</v>
      </c>
      <c r="E1721" s="2" t="s">
        <v>63</v>
      </c>
      <c r="F1721" s="2" t="s">
        <v>92</v>
      </c>
      <c r="G1721" s="2" t="s">
        <v>65</v>
      </c>
      <c r="H1721" s="2" t="s">
        <v>82</v>
      </c>
      <c r="I1721" s="2" t="n">
        <v>12</v>
      </c>
      <c r="J1721" s="11" t="n">
        <v>250</v>
      </c>
      <c r="K1721" s="12" t="n">
        <v>0.15</v>
      </c>
      <c r="L1721" s="11" t="n">
        <v>100</v>
      </c>
      <c r="M1721" s="11" t="n">
        <f aca="false">I1721*J1721*(1-K1721)</f>
        <v>2550</v>
      </c>
      <c r="N1721" s="11" t="n">
        <f aca="false">M1721-I1721*L1721</f>
        <v>1350</v>
      </c>
    </row>
    <row r="1722" customFormat="false" ht="15" hidden="false" customHeight="false" outlineLevel="0" collapsed="false">
      <c r="A1722" s="2" t="s">
        <v>2306</v>
      </c>
      <c r="B1722" s="2" t="s">
        <v>2305</v>
      </c>
      <c r="C1722" s="10" t="n">
        <v>45974</v>
      </c>
      <c r="D1722" s="2" t="n">
        <f aca="false">MONTH(C1722)</f>
        <v>11</v>
      </c>
      <c r="E1722" s="2" t="s">
        <v>81</v>
      </c>
      <c r="F1722" s="2" t="s">
        <v>64</v>
      </c>
      <c r="G1722" s="2" t="s">
        <v>73</v>
      </c>
      <c r="H1722" s="2" t="s">
        <v>85</v>
      </c>
      <c r="I1722" s="2" t="n">
        <v>3</v>
      </c>
      <c r="J1722" s="11" t="n">
        <v>1200</v>
      </c>
      <c r="K1722" s="12" t="n">
        <v>0.15</v>
      </c>
      <c r="L1722" s="11" t="n">
        <v>600</v>
      </c>
      <c r="M1722" s="11" t="n">
        <f aca="false">I1722*J1722*(1-K1722)</f>
        <v>3060</v>
      </c>
      <c r="N1722" s="11" t="n">
        <f aca="false">M1722-I1722*L1722</f>
        <v>1260</v>
      </c>
    </row>
    <row r="1723" customFormat="false" ht="15" hidden="false" customHeight="false" outlineLevel="0" collapsed="false">
      <c r="A1723" s="2" t="s">
        <v>2896</v>
      </c>
      <c r="B1723" s="2" t="s">
        <v>2893</v>
      </c>
      <c r="C1723" s="10" t="n">
        <v>45974</v>
      </c>
      <c r="D1723" s="2" t="n">
        <f aca="false">MONTH(C1723)</f>
        <v>11</v>
      </c>
      <c r="E1723" s="2" t="s">
        <v>81</v>
      </c>
      <c r="F1723" s="2" t="s">
        <v>64</v>
      </c>
      <c r="G1723" s="2" t="s">
        <v>73</v>
      </c>
      <c r="H1723" s="2" t="s">
        <v>85</v>
      </c>
      <c r="I1723" s="2" t="n">
        <v>2</v>
      </c>
      <c r="J1723" s="11" t="n">
        <v>1200</v>
      </c>
      <c r="K1723" s="12" t="n">
        <v>0.05</v>
      </c>
      <c r="L1723" s="11" t="n">
        <v>600</v>
      </c>
      <c r="M1723" s="11" t="n">
        <f aca="false">I1723*J1723*(1-K1723)</f>
        <v>2280</v>
      </c>
      <c r="N1723" s="11" t="n">
        <f aca="false">M1723-I1723*L1723</f>
        <v>1080</v>
      </c>
    </row>
    <row r="1724" customFormat="false" ht="15" hidden="false" customHeight="false" outlineLevel="0" collapsed="false">
      <c r="A1724" s="2" t="s">
        <v>421</v>
      </c>
      <c r="B1724" s="2" t="s">
        <v>422</v>
      </c>
      <c r="C1724" s="10" t="n">
        <v>45975</v>
      </c>
      <c r="D1724" s="2" t="n">
        <f aca="false">MONTH(C1724)</f>
        <v>11</v>
      </c>
      <c r="E1724" s="2" t="s">
        <v>77</v>
      </c>
      <c r="F1724" s="2" t="s">
        <v>92</v>
      </c>
      <c r="G1724" s="2" t="s">
        <v>73</v>
      </c>
      <c r="H1724" s="2" t="s">
        <v>104</v>
      </c>
      <c r="I1724" s="2" t="n">
        <v>4</v>
      </c>
      <c r="J1724" s="11" t="n">
        <v>5500</v>
      </c>
      <c r="K1724" s="12" t="n">
        <v>0.1</v>
      </c>
      <c r="L1724" s="11" t="n">
        <v>3600</v>
      </c>
      <c r="M1724" s="11" t="n">
        <f aca="false">I1724*J1724*(1-K1724)</f>
        <v>19800</v>
      </c>
      <c r="N1724" s="11" t="n">
        <f aca="false">M1724-I1724*L1724</f>
        <v>5400</v>
      </c>
    </row>
    <row r="1725" customFormat="false" ht="15" hidden="false" customHeight="false" outlineLevel="0" collapsed="false">
      <c r="A1725" s="2" t="s">
        <v>784</v>
      </c>
      <c r="B1725" s="2" t="s">
        <v>783</v>
      </c>
      <c r="C1725" s="10" t="n">
        <v>45975</v>
      </c>
      <c r="D1725" s="2" t="n">
        <f aca="false">MONTH(C1725)</f>
        <v>11</v>
      </c>
      <c r="E1725" s="2" t="s">
        <v>77</v>
      </c>
      <c r="F1725" s="2" t="s">
        <v>64</v>
      </c>
      <c r="G1725" s="2" t="s">
        <v>65</v>
      </c>
      <c r="H1725" s="2" t="s">
        <v>66</v>
      </c>
      <c r="I1725" s="2" t="n">
        <v>8</v>
      </c>
      <c r="J1725" s="11" t="n">
        <v>600</v>
      </c>
      <c r="K1725" s="12" t="n">
        <v>0.05</v>
      </c>
      <c r="L1725" s="11" t="n">
        <v>300</v>
      </c>
      <c r="M1725" s="11" t="n">
        <f aca="false">I1725*J1725*(1-K1725)</f>
        <v>4560</v>
      </c>
      <c r="N1725" s="11" t="n">
        <f aca="false">M1725-I1725*L1725</f>
        <v>2160</v>
      </c>
    </row>
    <row r="1726" customFormat="false" ht="15" hidden="false" customHeight="false" outlineLevel="0" collapsed="false">
      <c r="A1726" s="2" t="s">
        <v>914</v>
      </c>
      <c r="B1726" s="2" t="s">
        <v>915</v>
      </c>
      <c r="C1726" s="10" t="n">
        <v>45975</v>
      </c>
      <c r="D1726" s="2" t="n">
        <f aca="false">MONTH(C1726)</f>
        <v>11</v>
      </c>
      <c r="E1726" s="2" t="s">
        <v>63</v>
      </c>
      <c r="F1726" s="2" t="s">
        <v>64</v>
      </c>
      <c r="G1726" s="2" t="s">
        <v>73</v>
      </c>
      <c r="H1726" s="2" t="s">
        <v>87</v>
      </c>
      <c r="I1726" s="2" t="n">
        <v>2</v>
      </c>
      <c r="J1726" s="11" t="n">
        <v>9000</v>
      </c>
      <c r="K1726" s="12" t="n">
        <v>0.05</v>
      </c>
      <c r="L1726" s="11" t="n">
        <v>6200</v>
      </c>
      <c r="M1726" s="11" t="n">
        <f aca="false">I1726*J1726*(1-K1726)</f>
        <v>17100</v>
      </c>
      <c r="N1726" s="11" t="n">
        <f aca="false">M1726-I1726*L1726</f>
        <v>4700</v>
      </c>
    </row>
    <row r="1727" customFormat="false" ht="15" hidden="false" customHeight="false" outlineLevel="0" collapsed="false">
      <c r="A1727" s="2" t="s">
        <v>1218</v>
      </c>
      <c r="B1727" s="2" t="s">
        <v>1219</v>
      </c>
      <c r="C1727" s="10" t="n">
        <v>45975</v>
      </c>
      <c r="D1727" s="2" t="n">
        <f aca="false">MONTH(C1727)</f>
        <v>11</v>
      </c>
      <c r="E1727" s="2" t="s">
        <v>63</v>
      </c>
      <c r="F1727" s="2" t="s">
        <v>69</v>
      </c>
      <c r="G1727" s="2" t="s">
        <v>65</v>
      </c>
      <c r="H1727" s="2" t="s">
        <v>66</v>
      </c>
      <c r="I1727" s="2" t="n">
        <v>11</v>
      </c>
      <c r="J1727" s="11" t="n">
        <v>600</v>
      </c>
      <c r="K1727" s="12" t="n">
        <v>0.05</v>
      </c>
      <c r="L1727" s="11" t="n">
        <v>300</v>
      </c>
      <c r="M1727" s="11" t="n">
        <f aca="false">I1727*J1727*(1-K1727)</f>
        <v>6270</v>
      </c>
      <c r="N1727" s="11" t="n">
        <f aca="false">M1727-I1727*L1727</f>
        <v>2970</v>
      </c>
    </row>
    <row r="1728" customFormat="false" ht="15" hidden="false" customHeight="false" outlineLevel="0" collapsed="false">
      <c r="A1728" s="2" t="s">
        <v>1446</v>
      </c>
      <c r="B1728" s="2" t="s">
        <v>1442</v>
      </c>
      <c r="C1728" s="10" t="n">
        <v>45975</v>
      </c>
      <c r="D1728" s="2" t="n">
        <f aca="false">MONTH(C1728)</f>
        <v>11</v>
      </c>
      <c r="E1728" s="2" t="s">
        <v>91</v>
      </c>
      <c r="F1728" s="2" t="s">
        <v>64</v>
      </c>
      <c r="G1728" s="2" t="s">
        <v>73</v>
      </c>
      <c r="H1728" s="2" t="s">
        <v>74</v>
      </c>
      <c r="I1728" s="2" t="n">
        <v>3</v>
      </c>
      <c r="J1728" s="11" t="n">
        <v>7000</v>
      </c>
      <c r="K1728" s="12" t="n">
        <v>0.05</v>
      </c>
      <c r="L1728" s="11" t="n">
        <v>4800</v>
      </c>
      <c r="M1728" s="11" t="n">
        <f aca="false">I1728*J1728*(1-K1728)</f>
        <v>19950</v>
      </c>
      <c r="N1728" s="11" t="n">
        <f aca="false">M1728-I1728*L1728</f>
        <v>5550</v>
      </c>
    </row>
    <row r="1729" customFormat="false" ht="15" hidden="false" customHeight="false" outlineLevel="0" collapsed="false">
      <c r="A1729" s="2" t="s">
        <v>1521</v>
      </c>
      <c r="B1729" s="2" t="s">
        <v>1516</v>
      </c>
      <c r="C1729" s="10" t="n">
        <v>45975</v>
      </c>
      <c r="D1729" s="2" t="n">
        <f aca="false">MONTH(C1729)</f>
        <v>11</v>
      </c>
      <c r="E1729" s="2" t="s">
        <v>81</v>
      </c>
      <c r="F1729" s="2" t="s">
        <v>64</v>
      </c>
      <c r="G1729" s="2" t="s">
        <v>65</v>
      </c>
      <c r="H1729" s="2" t="s">
        <v>107</v>
      </c>
      <c r="I1729" s="2" t="n">
        <v>6</v>
      </c>
      <c r="J1729" s="11" t="n">
        <v>500</v>
      </c>
      <c r="K1729" s="12" t="n">
        <v>0.05</v>
      </c>
      <c r="L1729" s="11" t="n">
        <v>250</v>
      </c>
      <c r="M1729" s="11" t="n">
        <f aca="false">I1729*J1729*(1-K1729)</f>
        <v>2850</v>
      </c>
      <c r="N1729" s="11" t="n">
        <f aca="false">M1729-I1729*L1729</f>
        <v>1350</v>
      </c>
    </row>
    <row r="1730" customFormat="false" ht="15" hidden="false" customHeight="false" outlineLevel="0" collapsed="false">
      <c r="A1730" s="2" t="s">
        <v>1858</v>
      </c>
      <c r="B1730" s="2" t="s">
        <v>1856</v>
      </c>
      <c r="C1730" s="10" t="n">
        <v>45975</v>
      </c>
      <c r="D1730" s="2" t="n">
        <f aca="false">MONTH(C1730)</f>
        <v>11</v>
      </c>
      <c r="E1730" s="2" t="s">
        <v>81</v>
      </c>
      <c r="F1730" s="2" t="s">
        <v>92</v>
      </c>
      <c r="G1730" s="2" t="s">
        <v>73</v>
      </c>
      <c r="H1730" s="2" t="s">
        <v>87</v>
      </c>
      <c r="I1730" s="2" t="n">
        <v>2</v>
      </c>
      <c r="J1730" s="11" t="n">
        <v>9000</v>
      </c>
      <c r="K1730" s="12" t="n">
        <v>0.05</v>
      </c>
      <c r="L1730" s="11" t="n">
        <v>6200</v>
      </c>
      <c r="M1730" s="11" t="n">
        <f aca="false">I1730*J1730*(1-K1730)</f>
        <v>17100</v>
      </c>
      <c r="N1730" s="11" t="n">
        <f aca="false">M1730-I1730*L1730</f>
        <v>4700</v>
      </c>
    </row>
    <row r="1731" customFormat="false" ht="15" hidden="false" customHeight="false" outlineLevel="0" collapsed="false">
      <c r="A1731" s="2" t="s">
        <v>2374</v>
      </c>
      <c r="B1731" s="2" t="s">
        <v>2369</v>
      </c>
      <c r="C1731" s="10" t="n">
        <v>45975</v>
      </c>
      <c r="D1731" s="2" t="n">
        <f aca="false">MONTH(C1731)</f>
        <v>11</v>
      </c>
      <c r="E1731" s="2" t="s">
        <v>91</v>
      </c>
      <c r="F1731" s="2" t="s">
        <v>92</v>
      </c>
      <c r="G1731" s="2" t="s">
        <v>70</v>
      </c>
      <c r="H1731" s="2" t="s">
        <v>71</v>
      </c>
      <c r="I1731" s="2" t="n">
        <v>8</v>
      </c>
      <c r="J1731" s="11" t="n">
        <v>2500</v>
      </c>
      <c r="K1731" s="12" t="n">
        <v>0.05</v>
      </c>
      <c r="L1731" s="11" t="n">
        <v>1600</v>
      </c>
      <c r="M1731" s="11" t="n">
        <f aca="false">I1731*J1731*(1-K1731)</f>
        <v>19000</v>
      </c>
      <c r="N1731" s="11" t="n">
        <f aca="false">M1731-I1731*L1731</f>
        <v>6200</v>
      </c>
    </row>
    <row r="1732" customFormat="false" ht="15" hidden="false" customHeight="false" outlineLevel="0" collapsed="false">
      <c r="A1732" s="2" t="s">
        <v>2466</v>
      </c>
      <c r="B1732" s="2" t="s">
        <v>2465</v>
      </c>
      <c r="C1732" s="10" t="n">
        <v>45975</v>
      </c>
      <c r="D1732" s="2" t="n">
        <f aca="false">MONTH(C1732)</f>
        <v>11</v>
      </c>
      <c r="E1732" s="2" t="s">
        <v>91</v>
      </c>
      <c r="F1732" s="2" t="s">
        <v>92</v>
      </c>
      <c r="G1732" s="2" t="s">
        <v>73</v>
      </c>
      <c r="H1732" s="2" t="s">
        <v>104</v>
      </c>
      <c r="I1732" s="2" t="n">
        <v>5</v>
      </c>
      <c r="J1732" s="11" t="n">
        <v>5500</v>
      </c>
      <c r="K1732" s="12" t="n">
        <v>0.15</v>
      </c>
      <c r="L1732" s="11" t="n">
        <v>3600</v>
      </c>
      <c r="M1732" s="11" t="n">
        <f aca="false">I1732*J1732*(1-K1732)</f>
        <v>23375</v>
      </c>
      <c r="N1732" s="11" t="n">
        <f aca="false">M1732-I1732*L1732</f>
        <v>5375</v>
      </c>
    </row>
    <row r="1733" customFormat="false" ht="15" hidden="false" customHeight="false" outlineLevel="0" collapsed="false">
      <c r="A1733" s="2" t="s">
        <v>2586</v>
      </c>
      <c r="B1733" s="2" t="s">
        <v>2585</v>
      </c>
      <c r="C1733" s="10" t="n">
        <v>45975</v>
      </c>
      <c r="D1733" s="2" t="n">
        <f aca="false">MONTH(C1733)</f>
        <v>11</v>
      </c>
      <c r="E1733" s="2" t="s">
        <v>77</v>
      </c>
      <c r="F1733" s="2" t="s">
        <v>92</v>
      </c>
      <c r="G1733" s="2" t="s">
        <v>73</v>
      </c>
      <c r="H1733" s="2" t="s">
        <v>74</v>
      </c>
      <c r="I1733" s="2" t="n">
        <v>3</v>
      </c>
      <c r="J1733" s="11" t="n">
        <v>7000</v>
      </c>
      <c r="K1733" s="12" t="n">
        <v>0.15</v>
      </c>
      <c r="L1733" s="11" t="n">
        <v>4800</v>
      </c>
      <c r="M1733" s="11" t="n">
        <f aca="false">I1733*J1733*(1-K1733)</f>
        <v>17850</v>
      </c>
      <c r="N1733" s="11" t="n">
        <f aca="false">M1733-I1733*L1733</f>
        <v>3450</v>
      </c>
    </row>
    <row r="1734" customFormat="false" ht="15" hidden="false" customHeight="false" outlineLevel="0" collapsed="false">
      <c r="A1734" s="2" t="s">
        <v>333</v>
      </c>
      <c r="B1734" s="2" t="s">
        <v>328</v>
      </c>
      <c r="C1734" s="10" t="n">
        <v>45976</v>
      </c>
      <c r="D1734" s="2" t="n">
        <f aca="false">MONTH(C1734)</f>
        <v>11</v>
      </c>
      <c r="E1734" s="2" t="s">
        <v>63</v>
      </c>
      <c r="F1734" s="2" t="s">
        <v>64</v>
      </c>
      <c r="G1734" s="2" t="s">
        <v>65</v>
      </c>
      <c r="H1734" s="2" t="s">
        <v>82</v>
      </c>
      <c r="I1734" s="2" t="n">
        <v>6</v>
      </c>
      <c r="J1734" s="11" t="n">
        <v>250</v>
      </c>
      <c r="K1734" s="12" t="n">
        <v>0.05</v>
      </c>
      <c r="L1734" s="11" t="n">
        <v>100</v>
      </c>
      <c r="M1734" s="11" t="n">
        <f aca="false">I1734*J1734*(1-K1734)</f>
        <v>1425</v>
      </c>
      <c r="N1734" s="11" t="n">
        <f aca="false">M1734-I1734*L1734</f>
        <v>825</v>
      </c>
    </row>
    <row r="1735" customFormat="false" ht="15" hidden="false" customHeight="false" outlineLevel="0" collapsed="false">
      <c r="A1735" s="2" t="s">
        <v>809</v>
      </c>
      <c r="B1735" s="2" t="s">
        <v>807</v>
      </c>
      <c r="C1735" s="10" t="n">
        <v>45976</v>
      </c>
      <c r="D1735" s="2" t="n">
        <f aca="false">MONTH(C1735)</f>
        <v>11</v>
      </c>
      <c r="E1735" s="2" t="s">
        <v>77</v>
      </c>
      <c r="F1735" s="2" t="s">
        <v>64</v>
      </c>
      <c r="G1735" s="2" t="s">
        <v>73</v>
      </c>
      <c r="H1735" s="2" t="s">
        <v>104</v>
      </c>
      <c r="I1735" s="2" t="n">
        <v>3</v>
      </c>
      <c r="J1735" s="11" t="n">
        <v>5500</v>
      </c>
      <c r="K1735" s="12" t="n">
        <v>0.05</v>
      </c>
      <c r="L1735" s="11" t="n">
        <v>3600</v>
      </c>
      <c r="M1735" s="11" t="n">
        <f aca="false">I1735*J1735*(1-K1735)</f>
        <v>15675</v>
      </c>
      <c r="N1735" s="11" t="n">
        <f aca="false">M1735-I1735*L1735</f>
        <v>4875</v>
      </c>
    </row>
    <row r="1736" customFormat="false" ht="15" hidden="false" customHeight="false" outlineLevel="0" collapsed="false">
      <c r="A1736" s="2" t="s">
        <v>902</v>
      </c>
      <c r="B1736" s="2" t="s">
        <v>899</v>
      </c>
      <c r="C1736" s="10" t="n">
        <v>45976</v>
      </c>
      <c r="D1736" s="2" t="n">
        <f aca="false">MONTH(C1736)</f>
        <v>11</v>
      </c>
      <c r="E1736" s="2" t="s">
        <v>63</v>
      </c>
      <c r="F1736" s="2" t="s">
        <v>69</v>
      </c>
      <c r="G1736" s="2" t="s">
        <v>70</v>
      </c>
      <c r="H1736" s="2" t="s">
        <v>97</v>
      </c>
      <c r="I1736" s="2" t="n">
        <v>5</v>
      </c>
      <c r="J1736" s="11" t="n">
        <v>3000</v>
      </c>
      <c r="K1736" s="12" t="n">
        <v>0.15</v>
      </c>
      <c r="L1736" s="11" t="n">
        <v>2000</v>
      </c>
      <c r="M1736" s="11" t="n">
        <f aca="false">I1736*J1736*(1-K1736)</f>
        <v>12750</v>
      </c>
      <c r="N1736" s="11" t="n">
        <f aca="false">M1736-I1736*L1736</f>
        <v>2750</v>
      </c>
    </row>
    <row r="1737" customFormat="false" ht="15" hidden="false" customHeight="false" outlineLevel="0" collapsed="false">
      <c r="A1737" s="2" t="s">
        <v>1274</v>
      </c>
      <c r="B1737" s="2" t="s">
        <v>1271</v>
      </c>
      <c r="C1737" s="10" t="n">
        <v>45976</v>
      </c>
      <c r="D1737" s="2" t="n">
        <f aca="false">MONTH(C1737)</f>
        <v>11</v>
      </c>
      <c r="E1737" s="2" t="s">
        <v>77</v>
      </c>
      <c r="F1737" s="2" t="s">
        <v>92</v>
      </c>
      <c r="G1737" s="2" t="s">
        <v>65</v>
      </c>
      <c r="H1737" s="2" t="s">
        <v>107</v>
      </c>
      <c r="I1737" s="2" t="n">
        <v>36</v>
      </c>
      <c r="J1737" s="11" t="n">
        <v>500</v>
      </c>
      <c r="K1737" s="12" t="n">
        <v>0.05</v>
      </c>
      <c r="L1737" s="11" t="n">
        <v>250</v>
      </c>
      <c r="M1737" s="11" t="n">
        <f aca="false">I1737*J1737*(1-K1737)</f>
        <v>17100</v>
      </c>
      <c r="N1737" s="11" t="n">
        <f aca="false">M1737-I1737*L1737</f>
        <v>8100</v>
      </c>
    </row>
    <row r="1738" customFormat="false" ht="15" hidden="false" customHeight="false" outlineLevel="0" collapsed="false">
      <c r="A1738" s="2" t="s">
        <v>1318</v>
      </c>
      <c r="B1738" s="2" t="s">
        <v>1319</v>
      </c>
      <c r="C1738" s="10" t="n">
        <v>45976</v>
      </c>
      <c r="D1738" s="2" t="n">
        <f aca="false">MONTH(C1738)</f>
        <v>11</v>
      </c>
      <c r="E1738" s="2" t="s">
        <v>77</v>
      </c>
      <c r="F1738" s="2" t="s">
        <v>92</v>
      </c>
      <c r="G1738" s="2" t="s">
        <v>73</v>
      </c>
      <c r="H1738" s="2" t="s">
        <v>85</v>
      </c>
      <c r="I1738" s="2" t="n">
        <v>6</v>
      </c>
      <c r="J1738" s="11" t="n">
        <v>1200</v>
      </c>
      <c r="K1738" s="12" t="n">
        <v>0.15</v>
      </c>
      <c r="L1738" s="11" t="n">
        <v>600</v>
      </c>
      <c r="M1738" s="11" t="n">
        <f aca="false">I1738*J1738*(1-K1738)</f>
        <v>6120</v>
      </c>
      <c r="N1738" s="11" t="n">
        <f aca="false">M1738-I1738*L1738</f>
        <v>2520</v>
      </c>
    </row>
    <row r="1739" customFormat="false" ht="15" hidden="false" customHeight="false" outlineLevel="0" collapsed="false">
      <c r="A1739" s="2" t="s">
        <v>1611</v>
      </c>
      <c r="B1739" s="2" t="s">
        <v>1609</v>
      </c>
      <c r="C1739" s="10" t="n">
        <v>45976</v>
      </c>
      <c r="D1739" s="2" t="n">
        <f aca="false">MONTH(C1739)</f>
        <v>11</v>
      </c>
      <c r="E1739" s="2" t="s">
        <v>81</v>
      </c>
      <c r="F1739" s="2" t="s">
        <v>92</v>
      </c>
      <c r="G1739" s="2" t="s">
        <v>70</v>
      </c>
      <c r="H1739" s="2" t="s">
        <v>97</v>
      </c>
      <c r="I1739" s="2" t="n">
        <v>6</v>
      </c>
      <c r="J1739" s="11" t="n">
        <v>3000</v>
      </c>
      <c r="K1739" s="12" t="n">
        <v>0.15</v>
      </c>
      <c r="L1739" s="11" t="n">
        <v>2000</v>
      </c>
      <c r="M1739" s="11" t="n">
        <f aca="false">I1739*J1739*(1-K1739)</f>
        <v>15300</v>
      </c>
      <c r="N1739" s="11" t="n">
        <f aca="false">M1739-I1739*L1739</f>
        <v>3300</v>
      </c>
    </row>
    <row r="1740" customFormat="false" ht="15" hidden="false" customHeight="false" outlineLevel="0" collapsed="false">
      <c r="A1740" s="2" t="s">
        <v>1739</v>
      </c>
      <c r="B1740" s="2" t="s">
        <v>1734</v>
      </c>
      <c r="C1740" s="10" t="n">
        <v>45976</v>
      </c>
      <c r="D1740" s="2" t="n">
        <f aca="false">MONTH(C1740)</f>
        <v>11</v>
      </c>
      <c r="E1740" s="2" t="s">
        <v>63</v>
      </c>
      <c r="F1740" s="2" t="s">
        <v>64</v>
      </c>
      <c r="G1740" s="2" t="s">
        <v>70</v>
      </c>
      <c r="H1740" s="2" t="s">
        <v>122</v>
      </c>
      <c r="I1740" s="2" t="n">
        <v>2</v>
      </c>
      <c r="J1740" s="11" t="n">
        <v>1500</v>
      </c>
      <c r="K1740" s="12" t="n">
        <v>0.1</v>
      </c>
      <c r="L1740" s="11" t="n">
        <v>900</v>
      </c>
      <c r="M1740" s="11" t="n">
        <f aca="false">I1740*J1740*(1-K1740)</f>
        <v>2700</v>
      </c>
      <c r="N1740" s="11" t="n">
        <f aca="false">M1740-I1740*L1740</f>
        <v>900</v>
      </c>
    </row>
    <row r="1741" customFormat="false" ht="15" hidden="false" customHeight="false" outlineLevel="0" collapsed="false">
      <c r="A1741" s="2" t="s">
        <v>1836</v>
      </c>
      <c r="B1741" s="2" t="s">
        <v>1837</v>
      </c>
      <c r="C1741" s="10" t="n">
        <v>45976</v>
      </c>
      <c r="D1741" s="2" t="n">
        <f aca="false">MONTH(C1741)</f>
        <v>11</v>
      </c>
      <c r="E1741" s="2" t="s">
        <v>63</v>
      </c>
      <c r="F1741" s="2" t="s">
        <v>64</v>
      </c>
      <c r="G1741" s="2" t="s">
        <v>70</v>
      </c>
      <c r="H1741" s="2" t="s">
        <v>97</v>
      </c>
      <c r="I1741" s="2" t="n">
        <v>1</v>
      </c>
      <c r="J1741" s="11" t="n">
        <v>3000</v>
      </c>
      <c r="K1741" s="12" t="n">
        <v>0.05</v>
      </c>
      <c r="L1741" s="11" t="n">
        <v>2000</v>
      </c>
      <c r="M1741" s="11" t="n">
        <f aca="false">I1741*J1741*(1-K1741)</f>
        <v>2850</v>
      </c>
      <c r="N1741" s="11" t="n">
        <f aca="false">M1741-I1741*L1741</f>
        <v>850</v>
      </c>
    </row>
    <row r="1742" customFormat="false" ht="15" hidden="false" customHeight="false" outlineLevel="0" collapsed="false">
      <c r="A1742" s="2" t="s">
        <v>1881</v>
      </c>
      <c r="B1742" s="2" t="s">
        <v>1879</v>
      </c>
      <c r="C1742" s="10" t="n">
        <v>45976</v>
      </c>
      <c r="D1742" s="2" t="n">
        <f aca="false">MONTH(C1742)</f>
        <v>11</v>
      </c>
      <c r="E1742" s="2" t="s">
        <v>81</v>
      </c>
      <c r="F1742" s="2" t="s">
        <v>92</v>
      </c>
      <c r="G1742" s="2" t="s">
        <v>73</v>
      </c>
      <c r="H1742" s="2" t="s">
        <v>104</v>
      </c>
      <c r="I1742" s="2" t="n">
        <v>3</v>
      </c>
      <c r="J1742" s="11" t="n">
        <v>5500</v>
      </c>
      <c r="K1742" s="12" t="n">
        <v>0.15</v>
      </c>
      <c r="L1742" s="11" t="n">
        <v>3600</v>
      </c>
      <c r="M1742" s="11" t="n">
        <f aca="false">I1742*J1742*(1-K1742)</f>
        <v>14025</v>
      </c>
      <c r="N1742" s="11" t="n">
        <f aca="false">M1742-I1742*L1742</f>
        <v>3225</v>
      </c>
    </row>
    <row r="1743" customFormat="false" ht="15" hidden="false" customHeight="false" outlineLevel="0" collapsed="false">
      <c r="A1743" s="2" t="s">
        <v>2010</v>
      </c>
      <c r="B1743" s="2" t="s">
        <v>2011</v>
      </c>
      <c r="C1743" s="10" t="n">
        <v>45976</v>
      </c>
      <c r="D1743" s="2" t="n">
        <f aca="false">MONTH(C1743)</f>
        <v>11</v>
      </c>
      <c r="E1743" s="2" t="s">
        <v>77</v>
      </c>
      <c r="F1743" s="2" t="s">
        <v>69</v>
      </c>
      <c r="G1743" s="2" t="s">
        <v>65</v>
      </c>
      <c r="H1743" s="2" t="s">
        <v>78</v>
      </c>
      <c r="I1743" s="2" t="n">
        <v>12</v>
      </c>
      <c r="J1743" s="11" t="n">
        <v>400</v>
      </c>
      <c r="K1743" s="12" t="n">
        <v>0.05</v>
      </c>
      <c r="L1743" s="11" t="n">
        <v>200</v>
      </c>
      <c r="M1743" s="11" t="n">
        <f aca="false">I1743*J1743*(1-K1743)</f>
        <v>4560</v>
      </c>
      <c r="N1743" s="11" t="n">
        <f aca="false">M1743-I1743*L1743</f>
        <v>2160</v>
      </c>
    </row>
    <row r="1744" customFormat="false" ht="15" hidden="false" customHeight="false" outlineLevel="0" collapsed="false">
      <c r="A1744" s="2" t="s">
        <v>2107</v>
      </c>
      <c r="B1744" s="2" t="s">
        <v>2108</v>
      </c>
      <c r="C1744" s="10" t="n">
        <v>45976</v>
      </c>
      <c r="D1744" s="2" t="n">
        <f aca="false">MONTH(C1744)</f>
        <v>11</v>
      </c>
      <c r="E1744" s="2" t="s">
        <v>63</v>
      </c>
      <c r="F1744" s="2" t="s">
        <v>64</v>
      </c>
      <c r="G1744" s="2" t="s">
        <v>65</v>
      </c>
      <c r="H1744" s="2" t="s">
        <v>66</v>
      </c>
      <c r="I1744" s="2" t="n">
        <v>2</v>
      </c>
      <c r="J1744" s="11" t="n">
        <v>600</v>
      </c>
      <c r="K1744" s="12" t="n">
        <v>0.05</v>
      </c>
      <c r="L1744" s="11" t="n">
        <v>300</v>
      </c>
      <c r="M1744" s="11" t="n">
        <f aca="false">I1744*J1744*(1-K1744)</f>
        <v>1140</v>
      </c>
      <c r="N1744" s="11" t="n">
        <f aca="false">M1744-I1744*L1744</f>
        <v>540</v>
      </c>
    </row>
    <row r="1745" customFormat="false" ht="15" hidden="false" customHeight="false" outlineLevel="0" collapsed="false">
      <c r="A1745" s="2" t="s">
        <v>2117</v>
      </c>
      <c r="B1745" s="2" t="s">
        <v>2118</v>
      </c>
      <c r="C1745" s="10" t="n">
        <v>45976</v>
      </c>
      <c r="D1745" s="2" t="n">
        <f aca="false">MONTH(C1745)</f>
        <v>11</v>
      </c>
      <c r="E1745" s="2" t="s">
        <v>91</v>
      </c>
      <c r="F1745" s="2" t="s">
        <v>92</v>
      </c>
      <c r="G1745" s="2" t="s">
        <v>70</v>
      </c>
      <c r="H1745" s="2" t="s">
        <v>122</v>
      </c>
      <c r="I1745" s="2" t="n">
        <v>4</v>
      </c>
      <c r="J1745" s="11" t="n">
        <v>1500</v>
      </c>
      <c r="K1745" s="12" t="n">
        <v>0.05</v>
      </c>
      <c r="L1745" s="11" t="n">
        <v>900</v>
      </c>
      <c r="M1745" s="11" t="n">
        <f aca="false">I1745*J1745*(1-K1745)</f>
        <v>5700</v>
      </c>
      <c r="N1745" s="11" t="n">
        <f aca="false">M1745-I1745*L1745</f>
        <v>2100</v>
      </c>
    </row>
    <row r="1746" customFormat="false" ht="15" hidden="false" customHeight="false" outlineLevel="0" collapsed="false">
      <c r="A1746" s="2" t="s">
        <v>2205</v>
      </c>
      <c r="B1746" s="2" t="s">
        <v>2206</v>
      </c>
      <c r="C1746" s="10" t="n">
        <v>45976</v>
      </c>
      <c r="D1746" s="2" t="n">
        <f aca="false">MONTH(C1746)</f>
        <v>11</v>
      </c>
      <c r="E1746" s="2" t="s">
        <v>63</v>
      </c>
      <c r="F1746" s="2" t="s">
        <v>64</v>
      </c>
      <c r="G1746" s="2" t="s">
        <v>65</v>
      </c>
      <c r="H1746" s="2" t="s">
        <v>66</v>
      </c>
      <c r="I1746" s="2" t="n">
        <v>7</v>
      </c>
      <c r="J1746" s="11" t="n">
        <v>600</v>
      </c>
      <c r="K1746" s="12" t="n">
        <v>0.05</v>
      </c>
      <c r="L1746" s="11" t="n">
        <v>300</v>
      </c>
      <c r="M1746" s="11" t="n">
        <f aca="false">I1746*J1746*(1-K1746)</f>
        <v>3990</v>
      </c>
      <c r="N1746" s="11" t="n">
        <f aca="false">M1746-I1746*L1746</f>
        <v>1890</v>
      </c>
    </row>
    <row r="1747" customFormat="false" ht="15" hidden="false" customHeight="false" outlineLevel="0" collapsed="false">
      <c r="A1747" s="2" t="s">
        <v>2263</v>
      </c>
      <c r="B1747" s="2" t="s">
        <v>2264</v>
      </c>
      <c r="C1747" s="10" t="n">
        <v>45976</v>
      </c>
      <c r="D1747" s="2" t="n">
        <f aca="false">MONTH(C1747)</f>
        <v>11</v>
      </c>
      <c r="E1747" s="2" t="s">
        <v>91</v>
      </c>
      <c r="F1747" s="2" t="s">
        <v>64</v>
      </c>
      <c r="G1747" s="2" t="s">
        <v>70</v>
      </c>
      <c r="H1747" s="2" t="s">
        <v>97</v>
      </c>
      <c r="I1747" s="2" t="n">
        <v>1</v>
      </c>
      <c r="J1747" s="11" t="n">
        <v>3000</v>
      </c>
      <c r="K1747" s="12" t="n">
        <v>0.05</v>
      </c>
      <c r="L1747" s="11" t="n">
        <v>2000</v>
      </c>
      <c r="M1747" s="11" t="n">
        <f aca="false">I1747*J1747*(1-K1747)</f>
        <v>2850</v>
      </c>
      <c r="N1747" s="11" t="n">
        <f aca="false">M1747-I1747*L1747</f>
        <v>850</v>
      </c>
    </row>
    <row r="1748" customFormat="false" ht="15" hidden="false" customHeight="false" outlineLevel="0" collapsed="false">
      <c r="A1748" s="2" t="s">
        <v>105</v>
      </c>
      <c r="B1748" s="2" t="s">
        <v>106</v>
      </c>
      <c r="C1748" s="10" t="n">
        <v>45977</v>
      </c>
      <c r="D1748" s="2" t="n">
        <f aca="false">MONTH(C1748)</f>
        <v>11</v>
      </c>
      <c r="E1748" s="2" t="s">
        <v>63</v>
      </c>
      <c r="F1748" s="2" t="s">
        <v>64</v>
      </c>
      <c r="G1748" s="2" t="s">
        <v>65</v>
      </c>
      <c r="H1748" s="2" t="s">
        <v>107</v>
      </c>
      <c r="I1748" s="2" t="n">
        <v>2</v>
      </c>
      <c r="J1748" s="11" t="n">
        <v>500</v>
      </c>
      <c r="K1748" s="12" t="n">
        <v>0.05</v>
      </c>
      <c r="L1748" s="11" t="n">
        <v>250</v>
      </c>
      <c r="M1748" s="11" t="n">
        <f aca="false">I1748*J1748*(1-K1748)</f>
        <v>950</v>
      </c>
      <c r="N1748" s="11" t="n">
        <f aca="false">M1748-I1748*L1748</f>
        <v>450</v>
      </c>
    </row>
    <row r="1749" customFormat="false" ht="15" hidden="false" customHeight="false" outlineLevel="0" collapsed="false">
      <c r="A1749" s="2" t="s">
        <v>372</v>
      </c>
      <c r="B1749" s="2" t="s">
        <v>361</v>
      </c>
      <c r="C1749" s="10" t="n">
        <v>45977</v>
      </c>
      <c r="D1749" s="2" t="n">
        <f aca="false">MONTH(C1749)</f>
        <v>11</v>
      </c>
      <c r="E1749" s="2" t="s">
        <v>77</v>
      </c>
      <c r="F1749" s="2" t="s">
        <v>64</v>
      </c>
      <c r="G1749" s="2" t="s">
        <v>70</v>
      </c>
      <c r="H1749" s="2" t="s">
        <v>97</v>
      </c>
      <c r="I1749" s="2" t="n">
        <v>1</v>
      </c>
      <c r="J1749" s="11" t="n">
        <v>3000</v>
      </c>
      <c r="K1749" s="12" t="n">
        <v>0.05</v>
      </c>
      <c r="L1749" s="11" t="n">
        <v>2000</v>
      </c>
      <c r="M1749" s="11" t="n">
        <f aca="false">I1749*J1749*(1-K1749)</f>
        <v>2850</v>
      </c>
      <c r="N1749" s="11" t="n">
        <f aca="false">M1749-I1749*L1749</f>
        <v>850</v>
      </c>
    </row>
    <row r="1750" customFormat="false" ht="15" hidden="false" customHeight="false" outlineLevel="0" collapsed="false">
      <c r="A1750" s="2" t="s">
        <v>393</v>
      </c>
      <c r="B1750" s="2" t="s">
        <v>394</v>
      </c>
      <c r="C1750" s="10" t="n">
        <v>45977</v>
      </c>
      <c r="D1750" s="2" t="n">
        <f aca="false">MONTH(C1750)</f>
        <v>11</v>
      </c>
      <c r="E1750" s="2" t="s">
        <v>91</v>
      </c>
      <c r="F1750" s="2" t="s">
        <v>64</v>
      </c>
      <c r="G1750" s="2" t="s">
        <v>73</v>
      </c>
      <c r="H1750" s="2" t="s">
        <v>74</v>
      </c>
      <c r="I1750" s="2" t="n">
        <v>3</v>
      </c>
      <c r="J1750" s="11" t="n">
        <v>7000</v>
      </c>
      <c r="K1750" s="12" t="n">
        <v>0.05</v>
      </c>
      <c r="L1750" s="11" t="n">
        <v>4800</v>
      </c>
      <c r="M1750" s="11" t="n">
        <f aca="false">I1750*J1750*(1-K1750)</f>
        <v>19950</v>
      </c>
      <c r="N1750" s="11" t="n">
        <f aca="false">M1750-I1750*L1750</f>
        <v>5550</v>
      </c>
    </row>
    <row r="1751" customFormat="false" ht="15" hidden="false" customHeight="false" outlineLevel="0" collapsed="false">
      <c r="A1751" s="2" t="s">
        <v>472</v>
      </c>
      <c r="B1751" s="2" t="s">
        <v>471</v>
      </c>
      <c r="C1751" s="10" t="n">
        <v>45977</v>
      </c>
      <c r="D1751" s="2" t="n">
        <f aca="false">MONTH(C1751)</f>
        <v>11</v>
      </c>
      <c r="E1751" s="2" t="s">
        <v>91</v>
      </c>
      <c r="F1751" s="2" t="s">
        <v>64</v>
      </c>
      <c r="G1751" s="2" t="s">
        <v>65</v>
      </c>
      <c r="H1751" s="2" t="s">
        <v>66</v>
      </c>
      <c r="I1751" s="2" t="n">
        <v>8</v>
      </c>
      <c r="J1751" s="11" t="n">
        <v>600</v>
      </c>
      <c r="K1751" s="12" t="n">
        <v>0.05</v>
      </c>
      <c r="L1751" s="11" t="n">
        <v>300</v>
      </c>
      <c r="M1751" s="11" t="n">
        <f aca="false">I1751*J1751*(1-K1751)</f>
        <v>4560</v>
      </c>
      <c r="N1751" s="11" t="n">
        <f aca="false">M1751-I1751*L1751</f>
        <v>2160</v>
      </c>
    </row>
    <row r="1752" customFormat="false" ht="15" hidden="false" customHeight="false" outlineLevel="0" collapsed="false">
      <c r="A1752" s="2" t="s">
        <v>528</v>
      </c>
      <c r="B1752" s="2" t="s">
        <v>525</v>
      </c>
      <c r="C1752" s="10" t="n">
        <v>45977</v>
      </c>
      <c r="D1752" s="2" t="n">
        <f aca="false">MONTH(C1752)</f>
        <v>11</v>
      </c>
      <c r="E1752" s="2" t="s">
        <v>81</v>
      </c>
      <c r="F1752" s="2" t="s">
        <v>64</v>
      </c>
      <c r="G1752" s="2" t="s">
        <v>73</v>
      </c>
      <c r="H1752" s="2" t="s">
        <v>85</v>
      </c>
      <c r="I1752" s="2" t="n">
        <v>3</v>
      </c>
      <c r="J1752" s="11" t="n">
        <v>1200</v>
      </c>
      <c r="K1752" s="12" t="n">
        <v>0.05</v>
      </c>
      <c r="L1752" s="11" t="n">
        <v>600</v>
      </c>
      <c r="M1752" s="11" t="n">
        <f aca="false">I1752*J1752*(1-K1752)</f>
        <v>3420</v>
      </c>
      <c r="N1752" s="11" t="n">
        <f aca="false">M1752-I1752*L1752</f>
        <v>1620</v>
      </c>
    </row>
    <row r="1753" customFormat="false" ht="15" hidden="false" customHeight="false" outlineLevel="0" collapsed="false">
      <c r="A1753" s="2" t="s">
        <v>885</v>
      </c>
      <c r="B1753" s="2" t="s">
        <v>884</v>
      </c>
      <c r="C1753" s="10" t="n">
        <v>45977</v>
      </c>
      <c r="D1753" s="2" t="n">
        <f aca="false">MONTH(C1753)</f>
        <v>11</v>
      </c>
      <c r="E1753" s="2" t="s">
        <v>77</v>
      </c>
      <c r="F1753" s="2" t="s">
        <v>64</v>
      </c>
      <c r="G1753" s="2" t="s">
        <v>65</v>
      </c>
      <c r="H1753" s="2" t="s">
        <v>107</v>
      </c>
      <c r="I1753" s="2" t="n">
        <v>2</v>
      </c>
      <c r="J1753" s="11" t="n">
        <v>500</v>
      </c>
      <c r="K1753" s="12" t="n">
        <v>0.1</v>
      </c>
      <c r="L1753" s="11" t="n">
        <v>250</v>
      </c>
      <c r="M1753" s="11" t="n">
        <f aca="false">I1753*J1753*(1-K1753)</f>
        <v>900</v>
      </c>
      <c r="N1753" s="11" t="n">
        <f aca="false">M1753-I1753*L1753</f>
        <v>400</v>
      </c>
    </row>
    <row r="1754" customFormat="false" ht="15" hidden="false" customHeight="false" outlineLevel="0" collapsed="false">
      <c r="A1754" s="2" t="s">
        <v>892</v>
      </c>
      <c r="B1754" s="2" t="s">
        <v>893</v>
      </c>
      <c r="C1754" s="10" t="n">
        <v>45977</v>
      </c>
      <c r="D1754" s="2" t="n">
        <f aca="false">MONTH(C1754)</f>
        <v>11</v>
      </c>
      <c r="E1754" s="2" t="s">
        <v>81</v>
      </c>
      <c r="F1754" s="2" t="s">
        <v>69</v>
      </c>
      <c r="G1754" s="2" t="s">
        <v>73</v>
      </c>
      <c r="H1754" s="2" t="s">
        <v>85</v>
      </c>
      <c r="I1754" s="2" t="n">
        <v>3</v>
      </c>
      <c r="J1754" s="11" t="n">
        <v>1200</v>
      </c>
      <c r="K1754" s="12" t="n">
        <v>0.05</v>
      </c>
      <c r="L1754" s="11" t="n">
        <v>600</v>
      </c>
      <c r="M1754" s="11" t="n">
        <f aca="false">I1754*J1754*(1-K1754)</f>
        <v>3420</v>
      </c>
      <c r="N1754" s="11" t="n">
        <f aca="false">M1754-I1754*L1754</f>
        <v>1620</v>
      </c>
    </row>
    <row r="1755" customFormat="false" ht="15" hidden="false" customHeight="false" outlineLevel="0" collapsed="false">
      <c r="A1755" s="2" t="s">
        <v>1161</v>
      </c>
      <c r="B1755" s="2" t="s">
        <v>1160</v>
      </c>
      <c r="C1755" s="10" t="n">
        <v>45977</v>
      </c>
      <c r="D1755" s="2" t="n">
        <f aca="false">MONTH(C1755)</f>
        <v>11</v>
      </c>
      <c r="E1755" s="2" t="s">
        <v>77</v>
      </c>
      <c r="F1755" s="2" t="s">
        <v>92</v>
      </c>
      <c r="G1755" s="2" t="s">
        <v>65</v>
      </c>
      <c r="H1755" s="2" t="s">
        <v>82</v>
      </c>
      <c r="I1755" s="2" t="n">
        <v>27</v>
      </c>
      <c r="J1755" s="11" t="n">
        <v>250</v>
      </c>
      <c r="K1755" s="12" t="n">
        <v>0.1</v>
      </c>
      <c r="L1755" s="11" t="n">
        <v>100</v>
      </c>
      <c r="M1755" s="11" t="n">
        <f aca="false">I1755*J1755*(1-K1755)</f>
        <v>6075</v>
      </c>
      <c r="N1755" s="11" t="n">
        <f aca="false">M1755-I1755*L1755</f>
        <v>3375</v>
      </c>
    </row>
    <row r="1756" customFormat="false" ht="15" hidden="false" customHeight="false" outlineLevel="0" collapsed="false">
      <c r="A1756" s="2" t="s">
        <v>1166</v>
      </c>
      <c r="B1756" s="2" t="s">
        <v>1165</v>
      </c>
      <c r="C1756" s="10" t="n">
        <v>45977</v>
      </c>
      <c r="D1756" s="2" t="n">
        <f aca="false">MONTH(C1756)</f>
        <v>11</v>
      </c>
      <c r="E1756" s="2" t="s">
        <v>91</v>
      </c>
      <c r="F1756" s="2" t="s">
        <v>64</v>
      </c>
      <c r="G1756" s="2" t="s">
        <v>65</v>
      </c>
      <c r="H1756" s="2" t="s">
        <v>107</v>
      </c>
      <c r="I1756" s="2" t="n">
        <v>8</v>
      </c>
      <c r="J1756" s="11" t="n">
        <v>500</v>
      </c>
      <c r="K1756" s="12" t="n">
        <v>0.05</v>
      </c>
      <c r="L1756" s="11" t="n">
        <v>250</v>
      </c>
      <c r="M1756" s="11" t="n">
        <f aca="false">I1756*J1756*(1-K1756)</f>
        <v>3800</v>
      </c>
      <c r="N1756" s="11" t="n">
        <f aca="false">M1756-I1756*L1756</f>
        <v>1800</v>
      </c>
    </row>
    <row r="1757" customFormat="false" ht="15" hidden="false" customHeight="false" outlineLevel="0" collapsed="false">
      <c r="A1757" s="2" t="s">
        <v>1555</v>
      </c>
      <c r="B1757" s="2" t="s">
        <v>1553</v>
      </c>
      <c r="C1757" s="10" t="n">
        <v>45977</v>
      </c>
      <c r="D1757" s="2" t="n">
        <f aca="false">MONTH(C1757)</f>
        <v>11</v>
      </c>
      <c r="E1757" s="2" t="s">
        <v>91</v>
      </c>
      <c r="F1757" s="2" t="s">
        <v>92</v>
      </c>
      <c r="G1757" s="2" t="s">
        <v>73</v>
      </c>
      <c r="H1757" s="2" t="s">
        <v>85</v>
      </c>
      <c r="I1757" s="2" t="n">
        <v>5</v>
      </c>
      <c r="J1757" s="11" t="n">
        <v>1200</v>
      </c>
      <c r="K1757" s="12" t="n">
        <v>0.1</v>
      </c>
      <c r="L1757" s="11" t="n">
        <v>600</v>
      </c>
      <c r="M1757" s="11" t="n">
        <f aca="false">I1757*J1757*(1-K1757)</f>
        <v>5400</v>
      </c>
      <c r="N1757" s="11" t="n">
        <f aca="false">M1757-I1757*L1757</f>
        <v>2400</v>
      </c>
    </row>
    <row r="1758" customFormat="false" ht="15" hidden="false" customHeight="false" outlineLevel="0" collapsed="false">
      <c r="A1758" s="2" t="s">
        <v>1604</v>
      </c>
      <c r="B1758" s="2" t="s">
        <v>1605</v>
      </c>
      <c r="C1758" s="10" t="n">
        <v>45977</v>
      </c>
      <c r="D1758" s="2" t="n">
        <f aca="false">MONTH(C1758)</f>
        <v>11</v>
      </c>
      <c r="E1758" s="2" t="s">
        <v>91</v>
      </c>
      <c r="F1758" s="2" t="s">
        <v>64</v>
      </c>
      <c r="G1758" s="2" t="s">
        <v>70</v>
      </c>
      <c r="H1758" s="2" t="s">
        <v>122</v>
      </c>
      <c r="I1758" s="2" t="n">
        <v>1</v>
      </c>
      <c r="J1758" s="11" t="n">
        <v>1500</v>
      </c>
      <c r="K1758" s="12" t="n">
        <v>0.15</v>
      </c>
      <c r="L1758" s="11" t="n">
        <v>900</v>
      </c>
      <c r="M1758" s="11" t="n">
        <f aca="false">I1758*J1758*(1-K1758)</f>
        <v>1275</v>
      </c>
      <c r="N1758" s="11" t="n">
        <f aca="false">M1758-I1758*L1758</f>
        <v>375</v>
      </c>
    </row>
    <row r="1759" customFormat="false" ht="15" hidden="false" customHeight="false" outlineLevel="0" collapsed="false">
      <c r="A1759" s="2" t="s">
        <v>2007</v>
      </c>
      <c r="B1759" s="2" t="s">
        <v>2000</v>
      </c>
      <c r="C1759" s="10" t="n">
        <v>45977</v>
      </c>
      <c r="D1759" s="2" t="n">
        <f aca="false">MONTH(C1759)</f>
        <v>11</v>
      </c>
      <c r="E1759" s="2" t="s">
        <v>91</v>
      </c>
      <c r="F1759" s="2" t="s">
        <v>64</v>
      </c>
      <c r="G1759" s="2" t="s">
        <v>73</v>
      </c>
      <c r="H1759" s="2" t="s">
        <v>85</v>
      </c>
      <c r="I1759" s="2" t="n">
        <v>2</v>
      </c>
      <c r="J1759" s="11" t="n">
        <v>1200</v>
      </c>
      <c r="K1759" s="12" t="n">
        <v>0.05</v>
      </c>
      <c r="L1759" s="11" t="n">
        <v>600</v>
      </c>
      <c r="M1759" s="11" t="n">
        <f aca="false">I1759*J1759*(1-K1759)</f>
        <v>2280</v>
      </c>
      <c r="N1759" s="11" t="n">
        <f aca="false">M1759-I1759*L1759</f>
        <v>1080</v>
      </c>
    </row>
    <row r="1760" customFormat="false" ht="15" hidden="false" customHeight="false" outlineLevel="0" collapsed="false">
      <c r="A1760" s="2" t="s">
        <v>2032</v>
      </c>
      <c r="B1760" s="2" t="s">
        <v>2031</v>
      </c>
      <c r="C1760" s="10" t="n">
        <v>45977</v>
      </c>
      <c r="D1760" s="2" t="n">
        <f aca="false">MONTH(C1760)</f>
        <v>11</v>
      </c>
      <c r="E1760" s="2" t="s">
        <v>63</v>
      </c>
      <c r="F1760" s="2" t="s">
        <v>69</v>
      </c>
      <c r="G1760" s="2" t="s">
        <v>65</v>
      </c>
      <c r="H1760" s="2" t="s">
        <v>78</v>
      </c>
      <c r="I1760" s="2" t="n">
        <v>17</v>
      </c>
      <c r="J1760" s="11" t="n">
        <v>400</v>
      </c>
      <c r="K1760" s="12" t="n">
        <v>0.05</v>
      </c>
      <c r="L1760" s="11" t="n">
        <v>200</v>
      </c>
      <c r="M1760" s="11" t="n">
        <f aca="false">I1760*J1760*(1-K1760)</f>
        <v>6460</v>
      </c>
      <c r="N1760" s="11" t="n">
        <f aca="false">M1760-I1760*L1760</f>
        <v>3060</v>
      </c>
    </row>
    <row r="1761" customFormat="false" ht="15" hidden="false" customHeight="false" outlineLevel="0" collapsed="false">
      <c r="A1761" s="2" t="s">
        <v>2442</v>
      </c>
      <c r="B1761" s="2" t="s">
        <v>2440</v>
      </c>
      <c r="C1761" s="10" t="n">
        <v>45977</v>
      </c>
      <c r="D1761" s="2" t="n">
        <f aca="false">MONTH(C1761)</f>
        <v>11</v>
      </c>
      <c r="E1761" s="2" t="s">
        <v>91</v>
      </c>
      <c r="F1761" s="2" t="s">
        <v>69</v>
      </c>
      <c r="G1761" s="2" t="s">
        <v>73</v>
      </c>
      <c r="H1761" s="2" t="s">
        <v>104</v>
      </c>
      <c r="I1761" s="2" t="n">
        <v>1</v>
      </c>
      <c r="J1761" s="11" t="n">
        <v>5500</v>
      </c>
      <c r="K1761" s="12" t="n">
        <v>0.05</v>
      </c>
      <c r="L1761" s="11" t="n">
        <v>3600</v>
      </c>
      <c r="M1761" s="11" t="n">
        <f aca="false">I1761*J1761*(1-K1761)</f>
        <v>5225</v>
      </c>
      <c r="N1761" s="11" t="n">
        <f aca="false">M1761-I1761*L1761</f>
        <v>1625</v>
      </c>
    </row>
    <row r="1762" customFormat="false" ht="15" hidden="false" customHeight="false" outlineLevel="0" collapsed="false">
      <c r="A1762" s="2" t="s">
        <v>2620</v>
      </c>
      <c r="B1762" s="2" t="s">
        <v>2621</v>
      </c>
      <c r="C1762" s="10" t="n">
        <v>45977</v>
      </c>
      <c r="D1762" s="2" t="n">
        <f aca="false">MONTH(C1762)</f>
        <v>11</v>
      </c>
      <c r="E1762" s="2" t="s">
        <v>91</v>
      </c>
      <c r="F1762" s="2" t="s">
        <v>69</v>
      </c>
      <c r="G1762" s="2" t="s">
        <v>65</v>
      </c>
      <c r="H1762" s="2" t="s">
        <v>78</v>
      </c>
      <c r="I1762" s="2" t="n">
        <v>5</v>
      </c>
      <c r="J1762" s="11" t="n">
        <v>400</v>
      </c>
      <c r="K1762" s="12" t="n">
        <v>0.15</v>
      </c>
      <c r="L1762" s="11" t="n">
        <v>200</v>
      </c>
      <c r="M1762" s="11" t="n">
        <f aca="false">I1762*J1762*(1-K1762)</f>
        <v>1700</v>
      </c>
      <c r="N1762" s="11" t="n">
        <f aca="false">M1762-I1762*L1762</f>
        <v>700</v>
      </c>
    </row>
    <row r="1763" customFormat="false" ht="15" hidden="false" customHeight="false" outlineLevel="0" collapsed="false">
      <c r="A1763" s="2" t="s">
        <v>2700</v>
      </c>
      <c r="B1763" s="2" t="s">
        <v>2699</v>
      </c>
      <c r="C1763" s="10" t="n">
        <v>45977</v>
      </c>
      <c r="D1763" s="2" t="n">
        <f aca="false">MONTH(C1763)</f>
        <v>11</v>
      </c>
      <c r="E1763" s="2" t="s">
        <v>77</v>
      </c>
      <c r="F1763" s="2" t="s">
        <v>69</v>
      </c>
      <c r="G1763" s="2" t="s">
        <v>70</v>
      </c>
      <c r="H1763" s="2" t="s">
        <v>126</v>
      </c>
      <c r="I1763" s="2" t="n">
        <v>3</v>
      </c>
      <c r="J1763" s="11" t="n">
        <v>4500</v>
      </c>
      <c r="K1763" s="12" t="n">
        <v>0.1</v>
      </c>
      <c r="L1763" s="11" t="n">
        <v>3300</v>
      </c>
      <c r="M1763" s="11" t="n">
        <f aca="false">I1763*J1763*(1-K1763)</f>
        <v>12150</v>
      </c>
      <c r="N1763" s="11" t="n">
        <f aca="false">M1763-I1763*L1763</f>
        <v>2250</v>
      </c>
    </row>
    <row r="1764" customFormat="false" ht="15" hidden="false" customHeight="false" outlineLevel="0" collapsed="false">
      <c r="A1764" s="2" t="s">
        <v>2835</v>
      </c>
      <c r="B1764" s="2" t="s">
        <v>2834</v>
      </c>
      <c r="C1764" s="10" t="n">
        <v>45977</v>
      </c>
      <c r="D1764" s="2" t="n">
        <f aca="false">MONTH(C1764)</f>
        <v>11</v>
      </c>
      <c r="E1764" s="2" t="s">
        <v>77</v>
      </c>
      <c r="F1764" s="2" t="s">
        <v>64</v>
      </c>
      <c r="G1764" s="2" t="s">
        <v>70</v>
      </c>
      <c r="H1764" s="2" t="s">
        <v>122</v>
      </c>
      <c r="I1764" s="2" t="n">
        <v>3</v>
      </c>
      <c r="J1764" s="11" t="n">
        <v>1500</v>
      </c>
      <c r="K1764" s="12" t="n">
        <v>0.15</v>
      </c>
      <c r="L1764" s="11" t="n">
        <v>900</v>
      </c>
      <c r="M1764" s="11" t="n">
        <f aca="false">I1764*J1764*(1-K1764)</f>
        <v>3825</v>
      </c>
      <c r="N1764" s="11" t="n">
        <f aca="false">M1764-I1764*L1764</f>
        <v>1125</v>
      </c>
    </row>
    <row r="1765" customFormat="false" ht="15" hidden="false" customHeight="false" outlineLevel="0" collapsed="false">
      <c r="A1765" s="2" t="s">
        <v>556</v>
      </c>
      <c r="B1765" s="2" t="s">
        <v>557</v>
      </c>
      <c r="C1765" s="10" t="n">
        <v>45978</v>
      </c>
      <c r="D1765" s="2" t="n">
        <f aca="false">MONTH(C1765)</f>
        <v>11</v>
      </c>
      <c r="E1765" s="2" t="s">
        <v>77</v>
      </c>
      <c r="F1765" s="2" t="s">
        <v>69</v>
      </c>
      <c r="G1765" s="2" t="s">
        <v>65</v>
      </c>
      <c r="H1765" s="2" t="s">
        <v>78</v>
      </c>
      <c r="I1765" s="2" t="n">
        <v>15</v>
      </c>
      <c r="J1765" s="11" t="n">
        <v>400</v>
      </c>
      <c r="K1765" s="12" t="n">
        <v>0.05</v>
      </c>
      <c r="L1765" s="11" t="n">
        <v>200</v>
      </c>
      <c r="M1765" s="11" t="n">
        <f aca="false">I1765*J1765*(1-K1765)</f>
        <v>5700</v>
      </c>
      <c r="N1765" s="11" t="n">
        <f aca="false">M1765-I1765*L1765</f>
        <v>2700</v>
      </c>
    </row>
    <row r="1766" customFormat="false" ht="15" hidden="false" customHeight="false" outlineLevel="0" collapsed="false">
      <c r="A1766" s="2" t="s">
        <v>773</v>
      </c>
      <c r="B1766" s="2" t="s">
        <v>772</v>
      </c>
      <c r="C1766" s="10" t="n">
        <v>45978</v>
      </c>
      <c r="D1766" s="2" t="n">
        <f aca="false">MONTH(C1766)</f>
        <v>11</v>
      </c>
      <c r="E1766" s="2" t="s">
        <v>81</v>
      </c>
      <c r="F1766" s="2" t="s">
        <v>64</v>
      </c>
      <c r="G1766" s="2" t="s">
        <v>70</v>
      </c>
      <c r="H1766" s="2" t="s">
        <v>122</v>
      </c>
      <c r="I1766" s="2" t="n">
        <v>2</v>
      </c>
      <c r="J1766" s="11" t="n">
        <v>1500</v>
      </c>
      <c r="K1766" s="12" t="n">
        <v>0.05</v>
      </c>
      <c r="L1766" s="11" t="n">
        <v>900</v>
      </c>
      <c r="M1766" s="11" t="n">
        <f aca="false">I1766*J1766*(1-K1766)</f>
        <v>2850</v>
      </c>
      <c r="N1766" s="11" t="n">
        <f aca="false">M1766-I1766*L1766</f>
        <v>1050</v>
      </c>
    </row>
    <row r="1767" customFormat="false" ht="15" hidden="false" customHeight="false" outlineLevel="0" collapsed="false">
      <c r="A1767" s="2" t="s">
        <v>929</v>
      </c>
      <c r="B1767" s="2" t="s">
        <v>924</v>
      </c>
      <c r="C1767" s="10" t="n">
        <v>45978</v>
      </c>
      <c r="D1767" s="2" t="n">
        <f aca="false">MONTH(C1767)</f>
        <v>11</v>
      </c>
      <c r="E1767" s="2" t="s">
        <v>81</v>
      </c>
      <c r="F1767" s="2" t="s">
        <v>64</v>
      </c>
      <c r="G1767" s="2" t="s">
        <v>73</v>
      </c>
      <c r="H1767" s="2" t="s">
        <v>74</v>
      </c>
      <c r="I1767" s="2" t="n">
        <v>1</v>
      </c>
      <c r="J1767" s="11" t="n">
        <v>7000</v>
      </c>
      <c r="K1767" s="12" t="n">
        <v>0.1</v>
      </c>
      <c r="L1767" s="11" t="n">
        <v>4800</v>
      </c>
      <c r="M1767" s="11" t="n">
        <f aca="false">I1767*J1767*(1-K1767)</f>
        <v>6300</v>
      </c>
      <c r="N1767" s="11" t="n">
        <f aca="false">M1767-I1767*L1767</f>
        <v>1500</v>
      </c>
    </row>
    <row r="1768" customFormat="false" ht="15" hidden="false" customHeight="false" outlineLevel="0" collapsed="false">
      <c r="A1768" s="2" t="s">
        <v>1140</v>
      </c>
      <c r="B1768" s="2" t="s">
        <v>1139</v>
      </c>
      <c r="C1768" s="10" t="n">
        <v>45978</v>
      </c>
      <c r="D1768" s="2" t="n">
        <f aca="false">MONTH(C1768)</f>
        <v>11</v>
      </c>
      <c r="E1768" s="2" t="s">
        <v>81</v>
      </c>
      <c r="F1768" s="2" t="s">
        <v>64</v>
      </c>
      <c r="G1768" s="2" t="s">
        <v>70</v>
      </c>
      <c r="H1768" s="2" t="s">
        <v>122</v>
      </c>
      <c r="I1768" s="2" t="n">
        <v>1</v>
      </c>
      <c r="J1768" s="11" t="n">
        <v>1500</v>
      </c>
      <c r="K1768" s="12" t="n">
        <v>0.15</v>
      </c>
      <c r="L1768" s="11" t="n">
        <v>900</v>
      </c>
      <c r="M1768" s="11" t="n">
        <f aca="false">I1768*J1768*(1-K1768)</f>
        <v>1275</v>
      </c>
      <c r="N1768" s="11" t="n">
        <f aca="false">M1768-I1768*L1768</f>
        <v>375</v>
      </c>
    </row>
    <row r="1769" customFormat="false" ht="15" hidden="false" customHeight="false" outlineLevel="0" collapsed="false">
      <c r="A1769" s="2" t="s">
        <v>2441</v>
      </c>
      <c r="B1769" s="2" t="s">
        <v>2440</v>
      </c>
      <c r="C1769" s="10" t="n">
        <v>45978</v>
      </c>
      <c r="D1769" s="2" t="n">
        <f aca="false">MONTH(C1769)</f>
        <v>11</v>
      </c>
      <c r="E1769" s="2" t="s">
        <v>91</v>
      </c>
      <c r="F1769" s="2" t="s">
        <v>69</v>
      </c>
      <c r="G1769" s="2" t="s">
        <v>65</v>
      </c>
      <c r="H1769" s="2" t="s">
        <v>107</v>
      </c>
      <c r="I1769" s="2" t="n">
        <v>18</v>
      </c>
      <c r="J1769" s="11" t="n">
        <v>500</v>
      </c>
      <c r="K1769" s="12" t="n">
        <v>0.05</v>
      </c>
      <c r="L1769" s="11" t="n">
        <v>250</v>
      </c>
      <c r="M1769" s="11" t="n">
        <f aca="false">I1769*J1769*(1-K1769)</f>
        <v>8550</v>
      </c>
      <c r="N1769" s="11" t="n">
        <f aca="false">M1769-I1769*L1769</f>
        <v>4050</v>
      </c>
    </row>
    <row r="1770" customFormat="false" ht="15" hidden="false" customHeight="false" outlineLevel="0" collapsed="false">
      <c r="A1770" s="2" t="s">
        <v>2511</v>
      </c>
      <c r="B1770" s="2" t="s">
        <v>2507</v>
      </c>
      <c r="C1770" s="10" t="n">
        <v>45978</v>
      </c>
      <c r="D1770" s="2" t="n">
        <f aca="false">MONTH(C1770)</f>
        <v>11</v>
      </c>
      <c r="E1770" s="2" t="s">
        <v>77</v>
      </c>
      <c r="F1770" s="2" t="s">
        <v>64</v>
      </c>
      <c r="G1770" s="2" t="s">
        <v>65</v>
      </c>
      <c r="H1770" s="2" t="s">
        <v>107</v>
      </c>
      <c r="I1770" s="2" t="n">
        <v>3</v>
      </c>
      <c r="J1770" s="11" t="n">
        <v>500</v>
      </c>
      <c r="K1770" s="12" t="n">
        <v>0.15</v>
      </c>
      <c r="L1770" s="11" t="n">
        <v>250</v>
      </c>
      <c r="M1770" s="11" t="n">
        <f aca="false">I1770*J1770*(1-K1770)</f>
        <v>1275</v>
      </c>
      <c r="N1770" s="11" t="n">
        <f aca="false">M1770-I1770*L1770</f>
        <v>525</v>
      </c>
    </row>
    <row r="1771" customFormat="false" ht="15" hidden="false" customHeight="false" outlineLevel="0" collapsed="false">
      <c r="A1771" s="2" t="s">
        <v>2636</v>
      </c>
      <c r="B1771" s="2" t="s">
        <v>2629</v>
      </c>
      <c r="C1771" s="10" t="n">
        <v>45978</v>
      </c>
      <c r="D1771" s="2" t="n">
        <f aca="false">MONTH(C1771)</f>
        <v>11</v>
      </c>
      <c r="E1771" s="2" t="s">
        <v>91</v>
      </c>
      <c r="F1771" s="2" t="s">
        <v>69</v>
      </c>
      <c r="G1771" s="2" t="s">
        <v>73</v>
      </c>
      <c r="H1771" s="2" t="s">
        <v>104</v>
      </c>
      <c r="I1771" s="2" t="n">
        <v>3</v>
      </c>
      <c r="J1771" s="11" t="n">
        <v>5500</v>
      </c>
      <c r="K1771" s="12" t="n">
        <v>0.05</v>
      </c>
      <c r="L1771" s="11" t="n">
        <v>3600</v>
      </c>
      <c r="M1771" s="11" t="n">
        <f aca="false">I1771*J1771*(1-K1771)</f>
        <v>15675</v>
      </c>
      <c r="N1771" s="11" t="n">
        <f aca="false">M1771-I1771*L1771</f>
        <v>4875</v>
      </c>
    </row>
    <row r="1772" customFormat="false" ht="15" hidden="false" customHeight="false" outlineLevel="0" collapsed="false">
      <c r="A1772" s="2" t="s">
        <v>634</v>
      </c>
      <c r="B1772" s="2" t="s">
        <v>633</v>
      </c>
      <c r="C1772" s="10" t="n">
        <v>45979</v>
      </c>
      <c r="D1772" s="2" t="n">
        <f aca="false">MONTH(C1772)</f>
        <v>11</v>
      </c>
      <c r="E1772" s="2" t="s">
        <v>77</v>
      </c>
      <c r="F1772" s="2" t="s">
        <v>64</v>
      </c>
      <c r="G1772" s="2" t="s">
        <v>73</v>
      </c>
      <c r="H1772" s="2" t="s">
        <v>85</v>
      </c>
      <c r="I1772" s="2" t="n">
        <v>1</v>
      </c>
      <c r="J1772" s="11" t="n">
        <v>1200</v>
      </c>
      <c r="K1772" s="12" t="n">
        <v>0.05</v>
      </c>
      <c r="L1772" s="11" t="n">
        <v>600</v>
      </c>
      <c r="M1772" s="11" t="n">
        <f aca="false">I1772*J1772*(1-K1772)</f>
        <v>1140</v>
      </c>
      <c r="N1772" s="11" t="n">
        <f aca="false">M1772-I1772*L1772</f>
        <v>540</v>
      </c>
    </row>
    <row r="1773" customFormat="false" ht="15" hidden="false" customHeight="false" outlineLevel="0" collapsed="false">
      <c r="A1773" s="2" t="s">
        <v>1158</v>
      </c>
      <c r="B1773" s="2" t="s">
        <v>1157</v>
      </c>
      <c r="C1773" s="10" t="n">
        <v>45979</v>
      </c>
      <c r="D1773" s="2" t="n">
        <f aca="false">MONTH(C1773)</f>
        <v>11</v>
      </c>
      <c r="E1773" s="2" t="s">
        <v>77</v>
      </c>
      <c r="F1773" s="2" t="s">
        <v>64</v>
      </c>
      <c r="G1773" s="2" t="s">
        <v>70</v>
      </c>
      <c r="H1773" s="2" t="s">
        <v>97</v>
      </c>
      <c r="I1773" s="2" t="n">
        <v>2</v>
      </c>
      <c r="J1773" s="11" t="n">
        <v>3000</v>
      </c>
      <c r="K1773" s="12" t="n">
        <v>0.15</v>
      </c>
      <c r="L1773" s="11" t="n">
        <v>2000</v>
      </c>
      <c r="M1773" s="11" t="n">
        <f aca="false">I1773*J1773*(1-K1773)</f>
        <v>5100</v>
      </c>
      <c r="N1773" s="11" t="n">
        <f aca="false">M1773-I1773*L1773</f>
        <v>1100</v>
      </c>
    </row>
    <row r="1774" customFormat="false" ht="15" hidden="false" customHeight="false" outlineLevel="0" collapsed="false">
      <c r="A1774" s="2" t="s">
        <v>1533</v>
      </c>
      <c r="B1774" s="2" t="s">
        <v>1534</v>
      </c>
      <c r="C1774" s="10" t="n">
        <v>45979</v>
      </c>
      <c r="D1774" s="2" t="n">
        <f aca="false">MONTH(C1774)</f>
        <v>11</v>
      </c>
      <c r="E1774" s="2" t="s">
        <v>81</v>
      </c>
      <c r="F1774" s="2" t="s">
        <v>64</v>
      </c>
      <c r="G1774" s="2" t="s">
        <v>65</v>
      </c>
      <c r="H1774" s="2" t="s">
        <v>82</v>
      </c>
      <c r="I1774" s="2" t="n">
        <v>6</v>
      </c>
      <c r="J1774" s="11" t="n">
        <v>250</v>
      </c>
      <c r="K1774" s="12" t="n">
        <v>0.05</v>
      </c>
      <c r="L1774" s="11" t="n">
        <v>100</v>
      </c>
      <c r="M1774" s="11" t="n">
        <f aca="false">I1774*J1774*(1-K1774)</f>
        <v>1425</v>
      </c>
      <c r="N1774" s="11" t="n">
        <f aca="false">M1774-I1774*L1774</f>
        <v>825</v>
      </c>
    </row>
    <row r="1775" customFormat="false" ht="15" hidden="false" customHeight="false" outlineLevel="0" collapsed="false">
      <c r="A1775" s="2" t="s">
        <v>2485</v>
      </c>
      <c r="B1775" s="2" t="s">
        <v>2486</v>
      </c>
      <c r="C1775" s="10" t="n">
        <v>45979</v>
      </c>
      <c r="D1775" s="2" t="n">
        <f aca="false">MONTH(C1775)</f>
        <v>11</v>
      </c>
      <c r="E1775" s="2" t="s">
        <v>63</v>
      </c>
      <c r="F1775" s="2" t="s">
        <v>64</v>
      </c>
      <c r="G1775" s="2" t="s">
        <v>65</v>
      </c>
      <c r="H1775" s="2" t="s">
        <v>78</v>
      </c>
      <c r="I1775" s="2" t="n">
        <v>2</v>
      </c>
      <c r="J1775" s="11" t="n">
        <v>400</v>
      </c>
      <c r="K1775" s="12" t="n">
        <v>0.05</v>
      </c>
      <c r="L1775" s="11" t="n">
        <v>200</v>
      </c>
      <c r="M1775" s="11" t="n">
        <f aca="false">I1775*J1775*(1-K1775)</f>
        <v>760</v>
      </c>
      <c r="N1775" s="11" t="n">
        <f aca="false">M1775-I1775*L1775</f>
        <v>360</v>
      </c>
    </row>
    <row r="1776" customFormat="false" ht="15" hidden="false" customHeight="false" outlineLevel="0" collapsed="false">
      <c r="A1776" s="2" t="s">
        <v>2501</v>
      </c>
      <c r="B1776" s="2" t="s">
        <v>2499</v>
      </c>
      <c r="C1776" s="10" t="n">
        <v>45979</v>
      </c>
      <c r="D1776" s="2" t="n">
        <f aca="false">MONTH(C1776)</f>
        <v>11</v>
      </c>
      <c r="E1776" s="2" t="s">
        <v>63</v>
      </c>
      <c r="F1776" s="2" t="s">
        <v>92</v>
      </c>
      <c r="G1776" s="2" t="s">
        <v>73</v>
      </c>
      <c r="H1776" s="2" t="s">
        <v>104</v>
      </c>
      <c r="I1776" s="2" t="n">
        <v>7</v>
      </c>
      <c r="J1776" s="11" t="n">
        <v>5500</v>
      </c>
      <c r="K1776" s="12" t="n">
        <v>0.1</v>
      </c>
      <c r="L1776" s="11" t="n">
        <v>3600</v>
      </c>
      <c r="M1776" s="11" t="n">
        <f aca="false">I1776*J1776*(1-K1776)</f>
        <v>34650</v>
      </c>
      <c r="N1776" s="11" t="n">
        <f aca="false">M1776-I1776*L1776</f>
        <v>9450</v>
      </c>
    </row>
    <row r="1777" customFormat="false" ht="15" hidden="false" customHeight="false" outlineLevel="0" collapsed="false">
      <c r="A1777" s="2" t="s">
        <v>127</v>
      </c>
      <c r="B1777" s="2" t="s">
        <v>120</v>
      </c>
      <c r="C1777" s="10" t="n">
        <v>45980</v>
      </c>
      <c r="D1777" s="2" t="n">
        <f aca="false">MONTH(C1777)</f>
        <v>11</v>
      </c>
      <c r="E1777" s="2" t="s">
        <v>81</v>
      </c>
      <c r="F1777" s="2" t="s">
        <v>64</v>
      </c>
      <c r="G1777" s="2" t="s">
        <v>73</v>
      </c>
      <c r="H1777" s="2" t="s">
        <v>104</v>
      </c>
      <c r="I1777" s="2" t="n">
        <v>3</v>
      </c>
      <c r="J1777" s="11" t="n">
        <v>5500</v>
      </c>
      <c r="K1777" s="12" t="n">
        <v>0.05</v>
      </c>
      <c r="L1777" s="11" t="n">
        <v>3600</v>
      </c>
      <c r="M1777" s="11" t="n">
        <f aca="false">I1777*J1777*(1-K1777)</f>
        <v>15675</v>
      </c>
      <c r="N1777" s="11" t="n">
        <f aca="false">M1777-I1777*L1777</f>
        <v>4875</v>
      </c>
    </row>
    <row r="1778" customFormat="false" ht="15" hidden="false" customHeight="false" outlineLevel="0" collapsed="false">
      <c r="A1778" s="2" t="s">
        <v>770</v>
      </c>
      <c r="B1778" s="2" t="s">
        <v>769</v>
      </c>
      <c r="C1778" s="10" t="n">
        <v>45980</v>
      </c>
      <c r="D1778" s="2" t="n">
        <f aca="false">MONTH(C1778)</f>
        <v>11</v>
      </c>
      <c r="E1778" s="2" t="s">
        <v>63</v>
      </c>
      <c r="F1778" s="2" t="s">
        <v>64</v>
      </c>
      <c r="G1778" s="2" t="s">
        <v>65</v>
      </c>
      <c r="H1778" s="2" t="s">
        <v>107</v>
      </c>
      <c r="I1778" s="2" t="n">
        <v>5</v>
      </c>
      <c r="J1778" s="11" t="n">
        <v>500</v>
      </c>
      <c r="K1778" s="12" t="n">
        <v>0.15</v>
      </c>
      <c r="L1778" s="11" t="n">
        <v>250</v>
      </c>
      <c r="M1778" s="11" t="n">
        <f aca="false">I1778*J1778*(1-K1778)</f>
        <v>2125</v>
      </c>
      <c r="N1778" s="11" t="n">
        <f aca="false">M1778-I1778*L1778</f>
        <v>875</v>
      </c>
    </row>
    <row r="1779" customFormat="false" ht="15" hidden="false" customHeight="false" outlineLevel="0" collapsed="false">
      <c r="A1779" s="2" t="s">
        <v>897</v>
      </c>
      <c r="B1779" s="2" t="s">
        <v>896</v>
      </c>
      <c r="C1779" s="10" t="n">
        <v>45980</v>
      </c>
      <c r="D1779" s="2" t="n">
        <f aca="false">MONTH(C1779)</f>
        <v>11</v>
      </c>
      <c r="E1779" s="2" t="s">
        <v>91</v>
      </c>
      <c r="F1779" s="2" t="s">
        <v>69</v>
      </c>
      <c r="G1779" s="2" t="s">
        <v>70</v>
      </c>
      <c r="H1779" s="2" t="s">
        <v>71</v>
      </c>
      <c r="I1779" s="2" t="n">
        <v>3</v>
      </c>
      <c r="J1779" s="11" t="n">
        <v>2500</v>
      </c>
      <c r="K1779" s="12" t="n">
        <v>0.05</v>
      </c>
      <c r="L1779" s="11" t="n">
        <v>1600</v>
      </c>
      <c r="M1779" s="11" t="n">
        <f aca="false">I1779*J1779*(1-K1779)</f>
        <v>7125</v>
      </c>
      <c r="N1779" s="11" t="n">
        <f aca="false">M1779-I1779*L1779</f>
        <v>2325</v>
      </c>
    </row>
    <row r="1780" customFormat="false" ht="15" hidden="false" customHeight="false" outlineLevel="0" collapsed="false">
      <c r="A1780" s="2" t="s">
        <v>955</v>
      </c>
      <c r="B1780" s="2" t="s">
        <v>956</v>
      </c>
      <c r="C1780" s="10" t="n">
        <v>45980</v>
      </c>
      <c r="D1780" s="2" t="n">
        <f aca="false">MONTH(C1780)</f>
        <v>11</v>
      </c>
      <c r="E1780" s="2" t="s">
        <v>91</v>
      </c>
      <c r="F1780" s="2" t="s">
        <v>69</v>
      </c>
      <c r="G1780" s="2" t="s">
        <v>73</v>
      </c>
      <c r="H1780" s="2" t="s">
        <v>104</v>
      </c>
      <c r="I1780" s="2" t="n">
        <v>2</v>
      </c>
      <c r="J1780" s="11" t="n">
        <v>5500</v>
      </c>
      <c r="K1780" s="12" t="n">
        <v>0.05</v>
      </c>
      <c r="L1780" s="11" t="n">
        <v>3600</v>
      </c>
      <c r="M1780" s="11" t="n">
        <f aca="false">I1780*J1780*(1-K1780)</f>
        <v>10450</v>
      </c>
      <c r="N1780" s="11" t="n">
        <f aca="false">M1780-I1780*L1780</f>
        <v>3250</v>
      </c>
    </row>
    <row r="1781" customFormat="false" ht="15" hidden="false" customHeight="false" outlineLevel="0" collapsed="false">
      <c r="A1781" s="2" t="s">
        <v>1114</v>
      </c>
      <c r="B1781" s="2" t="s">
        <v>1115</v>
      </c>
      <c r="C1781" s="10" t="n">
        <v>45980</v>
      </c>
      <c r="D1781" s="2" t="n">
        <f aca="false">MONTH(C1781)</f>
        <v>11</v>
      </c>
      <c r="E1781" s="2" t="s">
        <v>81</v>
      </c>
      <c r="F1781" s="2" t="s">
        <v>92</v>
      </c>
      <c r="G1781" s="2" t="s">
        <v>73</v>
      </c>
      <c r="H1781" s="2" t="s">
        <v>104</v>
      </c>
      <c r="I1781" s="2" t="n">
        <v>4</v>
      </c>
      <c r="J1781" s="11" t="n">
        <v>5500</v>
      </c>
      <c r="K1781" s="12" t="n">
        <v>0.05</v>
      </c>
      <c r="L1781" s="11" t="n">
        <v>3600</v>
      </c>
      <c r="M1781" s="11" t="n">
        <f aca="false">I1781*J1781*(1-K1781)</f>
        <v>20900</v>
      </c>
      <c r="N1781" s="11" t="n">
        <f aca="false">M1781-I1781*L1781</f>
        <v>6500</v>
      </c>
    </row>
    <row r="1782" customFormat="false" ht="15" hidden="false" customHeight="false" outlineLevel="0" collapsed="false">
      <c r="A1782" s="2" t="s">
        <v>1131</v>
      </c>
      <c r="B1782" s="2" t="s">
        <v>1132</v>
      </c>
      <c r="C1782" s="10" t="n">
        <v>45980</v>
      </c>
      <c r="D1782" s="2" t="n">
        <f aca="false">MONTH(C1782)</f>
        <v>11</v>
      </c>
      <c r="E1782" s="2" t="s">
        <v>91</v>
      </c>
      <c r="F1782" s="2" t="s">
        <v>69</v>
      </c>
      <c r="G1782" s="2" t="s">
        <v>65</v>
      </c>
      <c r="H1782" s="2" t="s">
        <v>78</v>
      </c>
      <c r="I1782" s="2" t="n">
        <v>19</v>
      </c>
      <c r="J1782" s="11" t="n">
        <v>400</v>
      </c>
      <c r="K1782" s="12" t="n">
        <v>0.05</v>
      </c>
      <c r="L1782" s="11" t="n">
        <v>200</v>
      </c>
      <c r="M1782" s="11" t="n">
        <f aca="false">I1782*J1782*(1-K1782)</f>
        <v>7220</v>
      </c>
      <c r="N1782" s="11" t="n">
        <f aca="false">M1782-I1782*L1782</f>
        <v>3420</v>
      </c>
    </row>
    <row r="1783" customFormat="false" ht="15" hidden="false" customHeight="false" outlineLevel="0" collapsed="false">
      <c r="A1783" s="2" t="s">
        <v>1634</v>
      </c>
      <c r="B1783" s="2" t="s">
        <v>1633</v>
      </c>
      <c r="C1783" s="10" t="n">
        <v>45980</v>
      </c>
      <c r="D1783" s="2" t="n">
        <f aca="false">MONTH(C1783)</f>
        <v>11</v>
      </c>
      <c r="E1783" s="2" t="s">
        <v>63</v>
      </c>
      <c r="F1783" s="2" t="s">
        <v>92</v>
      </c>
      <c r="G1783" s="2" t="s">
        <v>70</v>
      </c>
      <c r="H1783" s="2" t="s">
        <v>122</v>
      </c>
      <c r="I1783" s="2" t="n">
        <v>3</v>
      </c>
      <c r="J1783" s="11" t="n">
        <v>1500</v>
      </c>
      <c r="K1783" s="12" t="n">
        <v>0.15</v>
      </c>
      <c r="L1783" s="11" t="n">
        <v>900</v>
      </c>
      <c r="M1783" s="11" t="n">
        <f aca="false">I1783*J1783*(1-K1783)</f>
        <v>3825</v>
      </c>
      <c r="N1783" s="11" t="n">
        <f aca="false">M1783-I1783*L1783</f>
        <v>1125</v>
      </c>
    </row>
    <row r="1784" customFormat="false" ht="15" hidden="false" customHeight="false" outlineLevel="0" collapsed="false">
      <c r="A1784" s="2" t="s">
        <v>1646</v>
      </c>
      <c r="B1784" s="2" t="s">
        <v>1647</v>
      </c>
      <c r="C1784" s="10" t="n">
        <v>45980</v>
      </c>
      <c r="D1784" s="2" t="n">
        <f aca="false">MONTH(C1784)</f>
        <v>11</v>
      </c>
      <c r="E1784" s="2" t="s">
        <v>63</v>
      </c>
      <c r="F1784" s="2" t="s">
        <v>64</v>
      </c>
      <c r="G1784" s="2" t="s">
        <v>73</v>
      </c>
      <c r="H1784" s="2" t="s">
        <v>74</v>
      </c>
      <c r="I1784" s="2" t="n">
        <v>2</v>
      </c>
      <c r="J1784" s="11" t="n">
        <v>7000</v>
      </c>
      <c r="K1784" s="12" t="n">
        <v>0.05</v>
      </c>
      <c r="L1784" s="11" t="n">
        <v>4800</v>
      </c>
      <c r="M1784" s="11" t="n">
        <f aca="false">I1784*J1784*(1-K1784)</f>
        <v>13300</v>
      </c>
      <c r="N1784" s="11" t="n">
        <f aca="false">M1784-I1784*L1784</f>
        <v>3700</v>
      </c>
    </row>
    <row r="1785" customFormat="false" ht="15" hidden="false" customHeight="false" outlineLevel="0" collapsed="false">
      <c r="A1785" s="2" t="s">
        <v>1684</v>
      </c>
      <c r="B1785" s="2" t="s">
        <v>1682</v>
      </c>
      <c r="C1785" s="10" t="n">
        <v>45980</v>
      </c>
      <c r="D1785" s="2" t="n">
        <f aca="false">MONTH(C1785)</f>
        <v>11</v>
      </c>
      <c r="E1785" s="2" t="s">
        <v>91</v>
      </c>
      <c r="F1785" s="2" t="s">
        <v>64</v>
      </c>
      <c r="G1785" s="2" t="s">
        <v>65</v>
      </c>
      <c r="H1785" s="2" t="s">
        <v>107</v>
      </c>
      <c r="I1785" s="2" t="n">
        <v>4</v>
      </c>
      <c r="J1785" s="11" t="n">
        <v>500</v>
      </c>
      <c r="K1785" s="12" t="n">
        <v>0.1</v>
      </c>
      <c r="L1785" s="11" t="n">
        <v>250</v>
      </c>
      <c r="M1785" s="11" t="n">
        <f aca="false">I1785*J1785*(1-K1785)</f>
        <v>1800</v>
      </c>
      <c r="N1785" s="11" t="n">
        <f aca="false">M1785-I1785*L1785</f>
        <v>800</v>
      </c>
    </row>
    <row r="1786" customFormat="false" ht="15" hidden="false" customHeight="false" outlineLevel="0" collapsed="false">
      <c r="A1786" s="2" t="s">
        <v>2004</v>
      </c>
      <c r="B1786" s="2" t="s">
        <v>2000</v>
      </c>
      <c r="C1786" s="10" t="n">
        <v>45980</v>
      </c>
      <c r="D1786" s="2" t="n">
        <f aca="false">MONTH(C1786)</f>
        <v>11</v>
      </c>
      <c r="E1786" s="2" t="s">
        <v>91</v>
      </c>
      <c r="F1786" s="2" t="s">
        <v>64</v>
      </c>
      <c r="G1786" s="2" t="s">
        <v>73</v>
      </c>
      <c r="H1786" s="2" t="s">
        <v>87</v>
      </c>
      <c r="I1786" s="2" t="n">
        <v>1</v>
      </c>
      <c r="J1786" s="11" t="n">
        <v>9000</v>
      </c>
      <c r="K1786" s="12" t="n">
        <v>0.05</v>
      </c>
      <c r="L1786" s="11" t="n">
        <v>6200</v>
      </c>
      <c r="M1786" s="11" t="n">
        <f aca="false">I1786*J1786*(1-K1786)</f>
        <v>8550</v>
      </c>
      <c r="N1786" s="11" t="n">
        <f aca="false">M1786-I1786*L1786</f>
        <v>2350</v>
      </c>
    </row>
    <row r="1787" customFormat="false" ht="15" hidden="false" customHeight="false" outlineLevel="0" collapsed="false">
      <c r="A1787" s="2" t="s">
        <v>2715</v>
      </c>
      <c r="B1787" s="2" t="s">
        <v>2716</v>
      </c>
      <c r="C1787" s="10" t="n">
        <v>45980</v>
      </c>
      <c r="D1787" s="2" t="n">
        <f aca="false">MONTH(C1787)</f>
        <v>11</v>
      </c>
      <c r="E1787" s="2" t="s">
        <v>77</v>
      </c>
      <c r="F1787" s="2" t="s">
        <v>64</v>
      </c>
      <c r="G1787" s="2" t="s">
        <v>73</v>
      </c>
      <c r="H1787" s="2" t="s">
        <v>74</v>
      </c>
      <c r="I1787" s="2" t="n">
        <v>1</v>
      </c>
      <c r="J1787" s="11" t="n">
        <v>7000</v>
      </c>
      <c r="K1787" s="12" t="n">
        <v>0.05</v>
      </c>
      <c r="L1787" s="11" t="n">
        <v>4800</v>
      </c>
      <c r="M1787" s="11" t="n">
        <f aca="false">I1787*J1787*(1-K1787)</f>
        <v>6650</v>
      </c>
      <c r="N1787" s="11" t="n">
        <f aca="false">M1787-I1787*L1787</f>
        <v>1850</v>
      </c>
    </row>
    <row r="1788" customFormat="false" ht="15" hidden="false" customHeight="false" outlineLevel="0" collapsed="false">
      <c r="A1788" s="2" t="s">
        <v>375</v>
      </c>
      <c r="B1788" s="2" t="s">
        <v>376</v>
      </c>
      <c r="C1788" s="10" t="n">
        <v>45981</v>
      </c>
      <c r="D1788" s="2" t="n">
        <f aca="false">MONTH(C1788)</f>
        <v>11</v>
      </c>
      <c r="E1788" s="2" t="s">
        <v>77</v>
      </c>
      <c r="F1788" s="2" t="s">
        <v>64</v>
      </c>
      <c r="G1788" s="2" t="s">
        <v>70</v>
      </c>
      <c r="H1788" s="2" t="s">
        <v>126</v>
      </c>
      <c r="I1788" s="2" t="n">
        <v>3</v>
      </c>
      <c r="J1788" s="11" t="n">
        <v>4500</v>
      </c>
      <c r="K1788" s="12" t="n">
        <v>0.1</v>
      </c>
      <c r="L1788" s="11" t="n">
        <v>3300</v>
      </c>
      <c r="M1788" s="11" t="n">
        <f aca="false">I1788*J1788*(1-K1788)</f>
        <v>12150</v>
      </c>
      <c r="N1788" s="11" t="n">
        <f aca="false">M1788-I1788*L1788</f>
        <v>2250</v>
      </c>
    </row>
    <row r="1789" customFormat="false" ht="15" hidden="false" customHeight="false" outlineLevel="0" collapsed="false">
      <c r="A1789" s="2" t="s">
        <v>740</v>
      </c>
      <c r="B1789" s="2" t="s">
        <v>741</v>
      </c>
      <c r="C1789" s="10" t="n">
        <v>45981</v>
      </c>
      <c r="D1789" s="2" t="n">
        <f aca="false">MONTH(C1789)</f>
        <v>11</v>
      </c>
      <c r="E1789" s="2" t="s">
        <v>81</v>
      </c>
      <c r="F1789" s="2" t="s">
        <v>64</v>
      </c>
      <c r="G1789" s="2" t="s">
        <v>70</v>
      </c>
      <c r="H1789" s="2" t="s">
        <v>71</v>
      </c>
      <c r="I1789" s="2" t="n">
        <v>1</v>
      </c>
      <c r="J1789" s="11" t="n">
        <v>2500</v>
      </c>
      <c r="K1789" s="12" t="n">
        <v>0.05</v>
      </c>
      <c r="L1789" s="11" t="n">
        <v>1600</v>
      </c>
      <c r="M1789" s="11" t="n">
        <f aca="false">I1789*J1789*(1-K1789)</f>
        <v>2375</v>
      </c>
      <c r="N1789" s="11" t="n">
        <f aca="false">M1789-I1789*L1789</f>
        <v>775</v>
      </c>
    </row>
    <row r="1790" customFormat="false" ht="15" hidden="false" customHeight="false" outlineLevel="0" collapsed="false">
      <c r="A1790" s="2" t="s">
        <v>1428</v>
      </c>
      <c r="B1790" s="2" t="s">
        <v>1426</v>
      </c>
      <c r="C1790" s="10" t="n">
        <v>45981</v>
      </c>
      <c r="D1790" s="2" t="n">
        <f aca="false">MONTH(C1790)</f>
        <v>11</v>
      </c>
      <c r="E1790" s="2" t="s">
        <v>91</v>
      </c>
      <c r="F1790" s="2" t="s">
        <v>92</v>
      </c>
      <c r="G1790" s="2" t="s">
        <v>65</v>
      </c>
      <c r="H1790" s="2" t="s">
        <v>78</v>
      </c>
      <c r="I1790" s="2" t="n">
        <v>38</v>
      </c>
      <c r="J1790" s="11" t="n">
        <v>400</v>
      </c>
      <c r="K1790" s="12" t="n">
        <v>0.15</v>
      </c>
      <c r="L1790" s="11" t="n">
        <v>200</v>
      </c>
      <c r="M1790" s="11" t="n">
        <f aca="false">I1790*J1790*(1-K1790)</f>
        <v>12920</v>
      </c>
      <c r="N1790" s="11" t="n">
        <f aca="false">M1790-I1790*L1790</f>
        <v>5320</v>
      </c>
    </row>
    <row r="1791" customFormat="false" ht="15" hidden="false" customHeight="false" outlineLevel="0" collapsed="false">
      <c r="A1791" s="2" t="s">
        <v>1994</v>
      </c>
      <c r="B1791" s="2" t="s">
        <v>1995</v>
      </c>
      <c r="C1791" s="10" t="n">
        <v>45981</v>
      </c>
      <c r="D1791" s="2" t="n">
        <f aca="false">MONTH(C1791)</f>
        <v>11</v>
      </c>
      <c r="E1791" s="2" t="s">
        <v>77</v>
      </c>
      <c r="F1791" s="2" t="s">
        <v>69</v>
      </c>
      <c r="G1791" s="2" t="s">
        <v>73</v>
      </c>
      <c r="H1791" s="2" t="s">
        <v>85</v>
      </c>
      <c r="I1791" s="2" t="n">
        <v>5</v>
      </c>
      <c r="J1791" s="11" t="n">
        <v>1200</v>
      </c>
      <c r="K1791" s="12" t="n">
        <v>0.15</v>
      </c>
      <c r="L1791" s="11" t="n">
        <v>600</v>
      </c>
      <c r="M1791" s="11" t="n">
        <f aca="false">I1791*J1791*(1-K1791)</f>
        <v>5100</v>
      </c>
      <c r="N1791" s="11" t="n">
        <f aca="false">M1791-I1791*L1791</f>
        <v>2100</v>
      </c>
    </row>
    <row r="1792" customFormat="false" ht="15" hidden="false" customHeight="false" outlineLevel="0" collapsed="false">
      <c r="A1792" s="2" t="s">
        <v>2553</v>
      </c>
      <c r="B1792" s="2" t="s">
        <v>2549</v>
      </c>
      <c r="C1792" s="10" t="n">
        <v>45981</v>
      </c>
      <c r="D1792" s="2" t="n">
        <f aca="false">MONTH(C1792)</f>
        <v>11</v>
      </c>
      <c r="E1792" s="2" t="s">
        <v>91</v>
      </c>
      <c r="F1792" s="2" t="s">
        <v>64</v>
      </c>
      <c r="G1792" s="2" t="s">
        <v>70</v>
      </c>
      <c r="H1792" s="2" t="s">
        <v>122</v>
      </c>
      <c r="I1792" s="2" t="n">
        <v>1</v>
      </c>
      <c r="J1792" s="11" t="n">
        <v>1500</v>
      </c>
      <c r="K1792" s="12" t="n">
        <v>0.1</v>
      </c>
      <c r="L1792" s="11" t="n">
        <v>900</v>
      </c>
      <c r="M1792" s="11" t="n">
        <f aca="false">I1792*J1792*(1-K1792)</f>
        <v>1350</v>
      </c>
      <c r="N1792" s="11" t="n">
        <f aca="false">M1792-I1792*L1792</f>
        <v>450</v>
      </c>
    </row>
    <row r="1793" customFormat="false" ht="15" hidden="false" customHeight="false" outlineLevel="0" collapsed="false">
      <c r="A1793" s="2" t="s">
        <v>2655</v>
      </c>
      <c r="B1793" s="2" t="s">
        <v>2656</v>
      </c>
      <c r="C1793" s="10" t="n">
        <v>45981</v>
      </c>
      <c r="D1793" s="2" t="n">
        <f aca="false">MONTH(C1793)</f>
        <v>11</v>
      </c>
      <c r="E1793" s="2" t="s">
        <v>77</v>
      </c>
      <c r="F1793" s="2" t="s">
        <v>64</v>
      </c>
      <c r="G1793" s="2" t="s">
        <v>70</v>
      </c>
      <c r="H1793" s="2" t="s">
        <v>71</v>
      </c>
      <c r="I1793" s="2" t="n">
        <v>3</v>
      </c>
      <c r="J1793" s="11" t="n">
        <v>2500</v>
      </c>
      <c r="K1793" s="12" t="n">
        <v>0.15</v>
      </c>
      <c r="L1793" s="11" t="n">
        <v>1600</v>
      </c>
      <c r="M1793" s="11" t="n">
        <f aca="false">I1793*J1793*(1-K1793)</f>
        <v>6375</v>
      </c>
      <c r="N1793" s="11" t="n">
        <f aca="false">M1793-I1793*L1793</f>
        <v>1575</v>
      </c>
    </row>
    <row r="1794" customFormat="false" ht="15" hidden="false" customHeight="false" outlineLevel="0" collapsed="false">
      <c r="A1794" s="2" t="s">
        <v>2705</v>
      </c>
      <c r="B1794" s="2" t="s">
        <v>2699</v>
      </c>
      <c r="C1794" s="10" t="n">
        <v>45981</v>
      </c>
      <c r="D1794" s="2" t="n">
        <f aca="false">MONTH(C1794)</f>
        <v>11</v>
      </c>
      <c r="E1794" s="2" t="s">
        <v>77</v>
      </c>
      <c r="F1794" s="2" t="s">
        <v>69</v>
      </c>
      <c r="G1794" s="2" t="s">
        <v>73</v>
      </c>
      <c r="H1794" s="2" t="s">
        <v>74</v>
      </c>
      <c r="I1794" s="2" t="n">
        <v>4</v>
      </c>
      <c r="J1794" s="11" t="n">
        <v>7000</v>
      </c>
      <c r="K1794" s="12" t="n">
        <v>0.05</v>
      </c>
      <c r="L1794" s="11" t="n">
        <v>4800</v>
      </c>
      <c r="M1794" s="11" t="n">
        <f aca="false">I1794*J1794*(1-K1794)</f>
        <v>26600</v>
      </c>
      <c r="N1794" s="11" t="n">
        <f aca="false">M1794-I1794*L1794</f>
        <v>7400</v>
      </c>
    </row>
    <row r="1795" customFormat="false" ht="15" hidden="false" customHeight="false" outlineLevel="0" collapsed="false">
      <c r="A1795" s="2" t="s">
        <v>225</v>
      </c>
      <c r="B1795" s="2" t="s">
        <v>224</v>
      </c>
      <c r="C1795" s="10" t="n">
        <v>45982</v>
      </c>
      <c r="D1795" s="2" t="n">
        <f aca="false">MONTH(C1795)</f>
        <v>11</v>
      </c>
      <c r="E1795" s="2" t="s">
        <v>77</v>
      </c>
      <c r="F1795" s="2" t="s">
        <v>69</v>
      </c>
      <c r="G1795" s="2" t="s">
        <v>70</v>
      </c>
      <c r="H1795" s="2" t="s">
        <v>126</v>
      </c>
      <c r="I1795" s="2" t="n">
        <v>1</v>
      </c>
      <c r="J1795" s="11" t="n">
        <v>4500</v>
      </c>
      <c r="K1795" s="12" t="n">
        <v>0.05</v>
      </c>
      <c r="L1795" s="11" t="n">
        <v>3300</v>
      </c>
      <c r="M1795" s="11" t="n">
        <f aca="false">I1795*J1795*(1-K1795)</f>
        <v>4275</v>
      </c>
      <c r="N1795" s="11" t="n">
        <f aca="false">M1795-I1795*L1795</f>
        <v>975</v>
      </c>
    </row>
    <row r="1796" customFormat="false" ht="15" hidden="false" customHeight="false" outlineLevel="0" collapsed="false">
      <c r="A1796" s="2" t="s">
        <v>1191</v>
      </c>
      <c r="B1796" s="2" t="s">
        <v>1190</v>
      </c>
      <c r="C1796" s="10" t="n">
        <v>45982</v>
      </c>
      <c r="D1796" s="2" t="n">
        <f aca="false">MONTH(C1796)</f>
        <v>11</v>
      </c>
      <c r="E1796" s="2" t="s">
        <v>63</v>
      </c>
      <c r="F1796" s="2" t="s">
        <v>64</v>
      </c>
      <c r="G1796" s="2" t="s">
        <v>65</v>
      </c>
      <c r="H1796" s="2" t="s">
        <v>78</v>
      </c>
      <c r="I1796" s="2" t="n">
        <v>5</v>
      </c>
      <c r="J1796" s="11" t="n">
        <v>400</v>
      </c>
      <c r="K1796" s="12" t="n">
        <v>0.15</v>
      </c>
      <c r="L1796" s="11" t="n">
        <v>200</v>
      </c>
      <c r="M1796" s="11" t="n">
        <f aca="false">I1796*J1796*(1-K1796)</f>
        <v>1700</v>
      </c>
      <c r="N1796" s="11" t="n">
        <f aca="false">M1796-I1796*L1796</f>
        <v>700</v>
      </c>
    </row>
    <row r="1797" customFormat="false" ht="15" hidden="false" customHeight="false" outlineLevel="0" collapsed="false">
      <c r="A1797" s="2" t="s">
        <v>2277</v>
      </c>
      <c r="B1797" s="2" t="s">
        <v>2275</v>
      </c>
      <c r="C1797" s="10" t="n">
        <v>45982</v>
      </c>
      <c r="D1797" s="2" t="n">
        <f aca="false">MONTH(C1797)</f>
        <v>11</v>
      </c>
      <c r="E1797" s="2" t="s">
        <v>77</v>
      </c>
      <c r="F1797" s="2" t="s">
        <v>64</v>
      </c>
      <c r="G1797" s="2" t="s">
        <v>70</v>
      </c>
      <c r="H1797" s="2" t="s">
        <v>71</v>
      </c>
      <c r="I1797" s="2" t="n">
        <v>2</v>
      </c>
      <c r="J1797" s="11" t="n">
        <v>2500</v>
      </c>
      <c r="K1797" s="12" t="n">
        <v>0.1</v>
      </c>
      <c r="L1797" s="11" t="n">
        <v>1600</v>
      </c>
      <c r="M1797" s="11" t="n">
        <f aca="false">I1797*J1797*(1-K1797)</f>
        <v>4500</v>
      </c>
      <c r="N1797" s="11" t="n">
        <f aca="false">M1797-I1797*L1797</f>
        <v>1300</v>
      </c>
    </row>
    <row r="1798" customFormat="false" ht="15" hidden="false" customHeight="false" outlineLevel="0" collapsed="false">
      <c r="A1798" s="2" t="s">
        <v>2312</v>
      </c>
      <c r="B1798" s="2" t="s">
        <v>2310</v>
      </c>
      <c r="C1798" s="10" t="n">
        <v>45982</v>
      </c>
      <c r="D1798" s="2" t="n">
        <f aca="false">MONTH(C1798)</f>
        <v>11</v>
      </c>
      <c r="E1798" s="2" t="s">
        <v>63</v>
      </c>
      <c r="F1798" s="2" t="s">
        <v>69</v>
      </c>
      <c r="G1798" s="2" t="s">
        <v>73</v>
      </c>
      <c r="H1798" s="2" t="s">
        <v>104</v>
      </c>
      <c r="I1798" s="2" t="n">
        <v>2</v>
      </c>
      <c r="J1798" s="11" t="n">
        <v>5500</v>
      </c>
      <c r="K1798" s="12" t="n">
        <v>0.05</v>
      </c>
      <c r="L1798" s="11" t="n">
        <v>3600</v>
      </c>
      <c r="M1798" s="11" t="n">
        <f aca="false">I1798*J1798*(1-K1798)</f>
        <v>10450</v>
      </c>
      <c r="N1798" s="11" t="n">
        <f aca="false">M1798-I1798*L1798</f>
        <v>3250</v>
      </c>
    </row>
    <row r="1799" customFormat="false" ht="15" hidden="false" customHeight="false" outlineLevel="0" collapsed="false">
      <c r="A1799" s="2" t="s">
        <v>2666</v>
      </c>
      <c r="B1799" s="2" t="s">
        <v>2667</v>
      </c>
      <c r="C1799" s="10" t="n">
        <v>45982</v>
      </c>
      <c r="D1799" s="2" t="n">
        <f aca="false">MONTH(C1799)</f>
        <v>11</v>
      </c>
      <c r="E1799" s="2" t="s">
        <v>63</v>
      </c>
      <c r="F1799" s="2" t="s">
        <v>64</v>
      </c>
      <c r="G1799" s="2" t="s">
        <v>73</v>
      </c>
      <c r="H1799" s="2" t="s">
        <v>85</v>
      </c>
      <c r="I1799" s="2" t="n">
        <v>2</v>
      </c>
      <c r="J1799" s="11" t="n">
        <v>1200</v>
      </c>
      <c r="K1799" s="12" t="n">
        <v>0.05</v>
      </c>
      <c r="L1799" s="11" t="n">
        <v>600</v>
      </c>
      <c r="M1799" s="11" t="n">
        <f aca="false">I1799*J1799*(1-K1799)</f>
        <v>2280</v>
      </c>
      <c r="N1799" s="11" t="n">
        <f aca="false">M1799-I1799*L1799</f>
        <v>1080</v>
      </c>
    </row>
    <row r="1800" customFormat="false" ht="15" hidden="false" customHeight="false" outlineLevel="0" collapsed="false">
      <c r="A1800" s="2" t="s">
        <v>228</v>
      </c>
      <c r="B1800" s="2" t="s">
        <v>227</v>
      </c>
      <c r="C1800" s="10" t="n">
        <v>45983</v>
      </c>
      <c r="D1800" s="2" t="n">
        <f aca="false">MONTH(C1800)</f>
        <v>11</v>
      </c>
      <c r="E1800" s="2" t="s">
        <v>91</v>
      </c>
      <c r="F1800" s="2" t="s">
        <v>64</v>
      </c>
      <c r="G1800" s="2" t="s">
        <v>70</v>
      </c>
      <c r="H1800" s="2" t="s">
        <v>71</v>
      </c>
      <c r="I1800" s="2" t="n">
        <v>3</v>
      </c>
      <c r="J1800" s="11" t="n">
        <v>2500</v>
      </c>
      <c r="K1800" s="12" t="n">
        <v>0.15</v>
      </c>
      <c r="L1800" s="11" t="n">
        <v>1600</v>
      </c>
      <c r="M1800" s="11" t="n">
        <f aca="false">I1800*J1800*(1-K1800)</f>
        <v>6375</v>
      </c>
      <c r="N1800" s="11" t="n">
        <f aca="false">M1800-I1800*L1800</f>
        <v>1575</v>
      </c>
    </row>
    <row r="1801" customFormat="false" ht="15" hidden="false" customHeight="false" outlineLevel="0" collapsed="false">
      <c r="A1801" s="2" t="s">
        <v>248</v>
      </c>
      <c r="B1801" s="2" t="s">
        <v>246</v>
      </c>
      <c r="C1801" s="10" t="n">
        <v>45983</v>
      </c>
      <c r="D1801" s="2" t="n">
        <f aca="false">MONTH(C1801)</f>
        <v>11</v>
      </c>
      <c r="E1801" s="2" t="s">
        <v>77</v>
      </c>
      <c r="F1801" s="2" t="s">
        <v>64</v>
      </c>
      <c r="G1801" s="2" t="s">
        <v>73</v>
      </c>
      <c r="H1801" s="2" t="s">
        <v>85</v>
      </c>
      <c r="I1801" s="2" t="n">
        <v>1</v>
      </c>
      <c r="J1801" s="11" t="n">
        <v>1200</v>
      </c>
      <c r="K1801" s="12" t="n">
        <v>0.1</v>
      </c>
      <c r="L1801" s="11" t="n">
        <v>600</v>
      </c>
      <c r="M1801" s="11" t="n">
        <f aca="false">I1801*J1801*(1-K1801)</f>
        <v>1080</v>
      </c>
      <c r="N1801" s="11" t="n">
        <f aca="false">M1801-I1801*L1801</f>
        <v>480</v>
      </c>
    </row>
    <row r="1802" customFormat="false" ht="15" hidden="false" customHeight="false" outlineLevel="0" collapsed="false">
      <c r="A1802" s="2" t="s">
        <v>993</v>
      </c>
      <c r="B1802" s="2" t="s">
        <v>991</v>
      </c>
      <c r="C1802" s="10" t="n">
        <v>45983</v>
      </c>
      <c r="D1802" s="2" t="n">
        <f aca="false">MONTH(C1802)</f>
        <v>11</v>
      </c>
      <c r="E1802" s="2" t="s">
        <v>77</v>
      </c>
      <c r="F1802" s="2" t="s">
        <v>64</v>
      </c>
      <c r="G1802" s="2" t="s">
        <v>73</v>
      </c>
      <c r="H1802" s="2" t="s">
        <v>87</v>
      </c>
      <c r="I1802" s="2" t="n">
        <v>3</v>
      </c>
      <c r="J1802" s="11" t="n">
        <v>9000</v>
      </c>
      <c r="K1802" s="12" t="n">
        <v>0.1</v>
      </c>
      <c r="L1802" s="11" t="n">
        <v>6200</v>
      </c>
      <c r="M1802" s="11" t="n">
        <f aca="false">I1802*J1802*(1-K1802)</f>
        <v>24300</v>
      </c>
      <c r="N1802" s="11" t="n">
        <f aca="false">M1802-I1802*L1802</f>
        <v>5700</v>
      </c>
    </row>
    <row r="1803" customFormat="false" ht="15" hidden="false" customHeight="false" outlineLevel="0" collapsed="false">
      <c r="A1803" s="2" t="s">
        <v>1029</v>
      </c>
      <c r="B1803" s="2" t="s">
        <v>1030</v>
      </c>
      <c r="C1803" s="10" t="n">
        <v>45983</v>
      </c>
      <c r="D1803" s="2" t="n">
        <f aca="false">MONTH(C1803)</f>
        <v>11</v>
      </c>
      <c r="E1803" s="2" t="s">
        <v>77</v>
      </c>
      <c r="F1803" s="2" t="s">
        <v>64</v>
      </c>
      <c r="G1803" s="2" t="s">
        <v>65</v>
      </c>
      <c r="H1803" s="2" t="s">
        <v>66</v>
      </c>
      <c r="I1803" s="2" t="n">
        <v>7</v>
      </c>
      <c r="J1803" s="11" t="n">
        <v>600</v>
      </c>
      <c r="K1803" s="12" t="n">
        <v>0.05</v>
      </c>
      <c r="L1803" s="11" t="n">
        <v>300</v>
      </c>
      <c r="M1803" s="11" t="n">
        <f aca="false">I1803*J1803*(1-K1803)</f>
        <v>3990</v>
      </c>
      <c r="N1803" s="11" t="n">
        <f aca="false">M1803-I1803*L1803</f>
        <v>1890</v>
      </c>
    </row>
    <row r="1804" customFormat="false" ht="15" hidden="false" customHeight="false" outlineLevel="0" collapsed="false">
      <c r="A1804" s="2" t="s">
        <v>1070</v>
      </c>
      <c r="B1804" s="2" t="s">
        <v>1071</v>
      </c>
      <c r="C1804" s="10" t="n">
        <v>45983</v>
      </c>
      <c r="D1804" s="2" t="n">
        <f aca="false">MONTH(C1804)</f>
        <v>11</v>
      </c>
      <c r="E1804" s="2" t="s">
        <v>77</v>
      </c>
      <c r="F1804" s="2" t="s">
        <v>92</v>
      </c>
      <c r="G1804" s="2" t="s">
        <v>70</v>
      </c>
      <c r="H1804" s="2" t="s">
        <v>97</v>
      </c>
      <c r="I1804" s="2" t="n">
        <v>6</v>
      </c>
      <c r="J1804" s="11" t="n">
        <v>3000</v>
      </c>
      <c r="K1804" s="12" t="n">
        <v>0.05</v>
      </c>
      <c r="L1804" s="11" t="n">
        <v>2000</v>
      </c>
      <c r="M1804" s="11" t="n">
        <f aca="false">I1804*J1804*(1-K1804)</f>
        <v>17100</v>
      </c>
      <c r="N1804" s="11" t="n">
        <f aca="false">M1804-I1804*L1804</f>
        <v>5100</v>
      </c>
    </row>
    <row r="1805" customFormat="false" ht="15" hidden="false" customHeight="false" outlineLevel="0" collapsed="false">
      <c r="A1805" s="2" t="s">
        <v>1416</v>
      </c>
      <c r="B1805" s="2" t="s">
        <v>1417</v>
      </c>
      <c r="C1805" s="10" t="n">
        <v>45983</v>
      </c>
      <c r="D1805" s="2" t="n">
        <f aca="false">MONTH(C1805)</f>
        <v>11</v>
      </c>
      <c r="E1805" s="2" t="s">
        <v>63</v>
      </c>
      <c r="F1805" s="2" t="s">
        <v>64</v>
      </c>
      <c r="G1805" s="2" t="s">
        <v>70</v>
      </c>
      <c r="H1805" s="2" t="s">
        <v>126</v>
      </c>
      <c r="I1805" s="2" t="n">
        <v>2</v>
      </c>
      <c r="J1805" s="11" t="n">
        <v>4500</v>
      </c>
      <c r="K1805" s="12" t="n">
        <v>0.05</v>
      </c>
      <c r="L1805" s="11" t="n">
        <v>3300</v>
      </c>
      <c r="M1805" s="11" t="n">
        <f aca="false">I1805*J1805*(1-K1805)</f>
        <v>8550</v>
      </c>
      <c r="N1805" s="11" t="n">
        <f aca="false">M1805-I1805*L1805</f>
        <v>1950</v>
      </c>
    </row>
    <row r="1806" customFormat="false" ht="15" hidden="false" customHeight="false" outlineLevel="0" collapsed="false">
      <c r="A1806" s="2" t="s">
        <v>2106</v>
      </c>
      <c r="B1806" s="2" t="s">
        <v>2098</v>
      </c>
      <c r="C1806" s="10" t="n">
        <v>45983</v>
      </c>
      <c r="D1806" s="2" t="n">
        <f aca="false">MONTH(C1806)</f>
        <v>11</v>
      </c>
      <c r="E1806" s="2" t="s">
        <v>91</v>
      </c>
      <c r="F1806" s="2" t="s">
        <v>92</v>
      </c>
      <c r="G1806" s="2" t="s">
        <v>65</v>
      </c>
      <c r="H1806" s="2" t="s">
        <v>78</v>
      </c>
      <c r="I1806" s="2" t="n">
        <v>37</v>
      </c>
      <c r="J1806" s="11" t="n">
        <v>400</v>
      </c>
      <c r="K1806" s="12" t="n">
        <v>0.15</v>
      </c>
      <c r="L1806" s="11" t="n">
        <v>200</v>
      </c>
      <c r="M1806" s="11" t="n">
        <f aca="false">I1806*J1806*(1-K1806)</f>
        <v>12580</v>
      </c>
      <c r="N1806" s="11" t="n">
        <f aca="false">M1806-I1806*L1806</f>
        <v>5180</v>
      </c>
    </row>
    <row r="1807" customFormat="false" ht="15" hidden="false" customHeight="false" outlineLevel="0" collapsed="false">
      <c r="A1807" s="2" t="s">
        <v>2475</v>
      </c>
      <c r="B1807" s="2" t="s">
        <v>2469</v>
      </c>
      <c r="C1807" s="10" t="n">
        <v>45983</v>
      </c>
      <c r="D1807" s="2" t="n">
        <f aca="false">MONTH(C1807)</f>
        <v>11</v>
      </c>
      <c r="E1807" s="2" t="s">
        <v>81</v>
      </c>
      <c r="F1807" s="2" t="s">
        <v>64</v>
      </c>
      <c r="G1807" s="2" t="s">
        <v>70</v>
      </c>
      <c r="H1807" s="2" t="s">
        <v>126</v>
      </c>
      <c r="I1807" s="2" t="n">
        <v>2</v>
      </c>
      <c r="J1807" s="11" t="n">
        <v>4500</v>
      </c>
      <c r="K1807" s="12" t="n">
        <v>0.05</v>
      </c>
      <c r="L1807" s="11" t="n">
        <v>3300</v>
      </c>
      <c r="M1807" s="11" t="n">
        <f aca="false">I1807*J1807*(1-K1807)</f>
        <v>8550</v>
      </c>
      <c r="N1807" s="11" t="n">
        <f aca="false">M1807-I1807*L1807</f>
        <v>1950</v>
      </c>
    </row>
    <row r="1808" customFormat="false" ht="15" hidden="false" customHeight="false" outlineLevel="0" collapsed="false">
      <c r="A1808" s="2" t="s">
        <v>2793</v>
      </c>
      <c r="B1808" s="2" t="s">
        <v>2791</v>
      </c>
      <c r="C1808" s="10" t="n">
        <v>45983</v>
      </c>
      <c r="D1808" s="2" t="n">
        <f aca="false">MONTH(C1808)</f>
        <v>11</v>
      </c>
      <c r="E1808" s="2" t="s">
        <v>81</v>
      </c>
      <c r="F1808" s="2" t="s">
        <v>92</v>
      </c>
      <c r="G1808" s="2" t="s">
        <v>70</v>
      </c>
      <c r="H1808" s="2" t="s">
        <v>71</v>
      </c>
      <c r="I1808" s="2" t="n">
        <v>8</v>
      </c>
      <c r="J1808" s="11" t="n">
        <v>2500</v>
      </c>
      <c r="K1808" s="12" t="n">
        <v>0.05</v>
      </c>
      <c r="L1808" s="11" t="n">
        <v>1600</v>
      </c>
      <c r="M1808" s="11" t="n">
        <f aca="false">I1808*J1808*(1-K1808)</f>
        <v>19000</v>
      </c>
      <c r="N1808" s="11" t="n">
        <f aca="false">M1808-I1808*L1808</f>
        <v>6200</v>
      </c>
    </row>
    <row r="1809" customFormat="false" ht="15" hidden="false" customHeight="false" outlineLevel="0" collapsed="false">
      <c r="A1809" s="2" t="s">
        <v>2823</v>
      </c>
      <c r="B1809" s="2" t="s">
        <v>2824</v>
      </c>
      <c r="C1809" s="10" t="n">
        <v>45983</v>
      </c>
      <c r="D1809" s="2" t="n">
        <f aca="false">MONTH(C1809)</f>
        <v>11</v>
      </c>
      <c r="E1809" s="2" t="s">
        <v>91</v>
      </c>
      <c r="F1809" s="2" t="s">
        <v>64</v>
      </c>
      <c r="G1809" s="2" t="s">
        <v>70</v>
      </c>
      <c r="H1809" s="2" t="s">
        <v>97</v>
      </c>
      <c r="I1809" s="2" t="n">
        <v>2</v>
      </c>
      <c r="J1809" s="11" t="n">
        <v>3000</v>
      </c>
      <c r="K1809" s="12" t="n">
        <v>0.15</v>
      </c>
      <c r="L1809" s="11" t="n">
        <v>2000</v>
      </c>
      <c r="M1809" s="11" t="n">
        <f aca="false">I1809*J1809*(1-K1809)</f>
        <v>5100</v>
      </c>
      <c r="N1809" s="11" t="n">
        <f aca="false">M1809-I1809*L1809</f>
        <v>1100</v>
      </c>
    </row>
    <row r="1810" customFormat="false" ht="15" hidden="false" customHeight="false" outlineLevel="0" collapsed="false">
      <c r="A1810" s="2" t="s">
        <v>330</v>
      </c>
      <c r="B1810" s="2" t="s">
        <v>328</v>
      </c>
      <c r="C1810" s="10" t="n">
        <v>45984</v>
      </c>
      <c r="D1810" s="2" t="n">
        <f aca="false">MONTH(C1810)</f>
        <v>11</v>
      </c>
      <c r="E1810" s="2" t="s">
        <v>63</v>
      </c>
      <c r="F1810" s="2" t="s">
        <v>64</v>
      </c>
      <c r="G1810" s="2" t="s">
        <v>70</v>
      </c>
      <c r="H1810" s="2" t="s">
        <v>71</v>
      </c>
      <c r="I1810" s="2" t="n">
        <v>1</v>
      </c>
      <c r="J1810" s="11" t="n">
        <v>2500</v>
      </c>
      <c r="K1810" s="12" t="n">
        <v>0.1</v>
      </c>
      <c r="L1810" s="11" t="n">
        <v>1600</v>
      </c>
      <c r="M1810" s="11" t="n">
        <f aca="false">I1810*J1810*(1-K1810)</f>
        <v>2250</v>
      </c>
      <c r="N1810" s="11" t="n">
        <f aca="false">M1810-I1810*L1810</f>
        <v>650</v>
      </c>
    </row>
    <row r="1811" customFormat="false" ht="15" hidden="false" customHeight="false" outlineLevel="0" collapsed="false">
      <c r="A1811" s="2" t="s">
        <v>496</v>
      </c>
      <c r="B1811" s="2" t="s">
        <v>492</v>
      </c>
      <c r="C1811" s="10" t="n">
        <v>45984</v>
      </c>
      <c r="D1811" s="2" t="n">
        <f aca="false">MONTH(C1811)</f>
        <v>11</v>
      </c>
      <c r="E1811" s="2" t="s">
        <v>77</v>
      </c>
      <c r="F1811" s="2" t="s">
        <v>64</v>
      </c>
      <c r="G1811" s="2" t="s">
        <v>65</v>
      </c>
      <c r="H1811" s="2" t="s">
        <v>107</v>
      </c>
      <c r="I1811" s="2" t="n">
        <v>2</v>
      </c>
      <c r="J1811" s="11" t="n">
        <v>500</v>
      </c>
      <c r="K1811" s="12" t="n">
        <v>0.1</v>
      </c>
      <c r="L1811" s="11" t="n">
        <v>250</v>
      </c>
      <c r="M1811" s="11" t="n">
        <f aca="false">I1811*J1811*(1-K1811)</f>
        <v>900</v>
      </c>
      <c r="N1811" s="11" t="n">
        <f aca="false">M1811-I1811*L1811</f>
        <v>400</v>
      </c>
    </row>
    <row r="1812" customFormat="false" ht="15" hidden="false" customHeight="false" outlineLevel="0" collapsed="false">
      <c r="A1812" s="2" t="s">
        <v>589</v>
      </c>
      <c r="B1812" s="2" t="s">
        <v>584</v>
      </c>
      <c r="C1812" s="10" t="n">
        <v>45984</v>
      </c>
      <c r="D1812" s="2" t="n">
        <f aca="false">MONTH(C1812)</f>
        <v>11</v>
      </c>
      <c r="E1812" s="2" t="s">
        <v>63</v>
      </c>
      <c r="F1812" s="2" t="s">
        <v>64</v>
      </c>
      <c r="G1812" s="2" t="s">
        <v>73</v>
      </c>
      <c r="H1812" s="2" t="s">
        <v>87</v>
      </c>
      <c r="I1812" s="2" t="n">
        <v>3</v>
      </c>
      <c r="J1812" s="11" t="n">
        <v>9000</v>
      </c>
      <c r="K1812" s="12" t="n">
        <v>0.15</v>
      </c>
      <c r="L1812" s="11" t="n">
        <v>6200</v>
      </c>
      <c r="M1812" s="11" t="n">
        <f aca="false">I1812*J1812*(1-K1812)</f>
        <v>22950</v>
      </c>
      <c r="N1812" s="11" t="n">
        <f aca="false">M1812-I1812*L1812</f>
        <v>4350</v>
      </c>
    </row>
    <row r="1813" customFormat="false" ht="15" hidden="false" customHeight="false" outlineLevel="0" collapsed="false">
      <c r="A1813" s="2" t="s">
        <v>1031</v>
      </c>
      <c r="B1813" s="2" t="s">
        <v>1030</v>
      </c>
      <c r="C1813" s="10" t="n">
        <v>45984</v>
      </c>
      <c r="D1813" s="2" t="n">
        <f aca="false">MONTH(C1813)</f>
        <v>11</v>
      </c>
      <c r="E1813" s="2" t="s">
        <v>77</v>
      </c>
      <c r="F1813" s="2" t="s">
        <v>64</v>
      </c>
      <c r="G1813" s="2" t="s">
        <v>70</v>
      </c>
      <c r="H1813" s="2" t="s">
        <v>71</v>
      </c>
      <c r="I1813" s="2" t="n">
        <v>1</v>
      </c>
      <c r="J1813" s="11" t="n">
        <v>2500</v>
      </c>
      <c r="K1813" s="12" t="n">
        <v>0.05</v>
      </c>
      <c r="L1813" s="11" t="n">
        <v>1600</v>
      </c>
      <c r="M1813" s="11" t="n">
        <f aca="false">I1813*J1813*(1-K1813)</f>
        <v>2375</v>
      </c>
      <c r="N1813" s="11" t="n">
        <f aca="false">M1813-I1813*L1813</f>
        <v>775</v>
      </c>
    </row>
    <row r="1814" customFormat="false" ht="15" hidden="false" customHeight="false" outlineLevel="0" collapsed="false">
      <c r="A1814" s="2" t="s">
        <v>1184</v>
      </c>
      <c r="B1814" s="2" t="s">
        <v>1185</v>
      </c>
      <c r="C1814" s="10" t="n">
        <v>45984</v>
      </c>
      <c r="D1814" s="2" t="n">
        <f aca="false">MONTH(C1814)</f>
        <v>11</v>
      </c>
      <c r="E1814" s="2" t="s">
        <v>63</v>
      </c>
      <c r="F1814" s="2" t="s">
        <v>64</v>
      </c>
      <c r="G1814" s="2" t="s">
        <v>65</v>
      </c>
      <c r="H1814" s="2" t="s">
        <v>78</v>
      </c>
      <c r="I1814" s="2" t="n">
        <v>7</v>
      </c>
      <c r="J1814" s="11" t="n">
        <v>400</v>
      </c>
      <c r="K1814" s="12" t="n">
        <v>0.05</v>
      </c>
      <c r="L1814" s="11" t="n">
        <v>200</v>
      </c>
      <c r="M1814" s="11" t="n">
        <f aca="false">I1814*J1814*(1-K1814)</f>
        <v>2660</v>
      </c>
      <c r="N1814" s="11" t="n">
        <f aca="false">M1814-I1814*L1814</f>
        <v>1260</v>
      </c>
    </row>
    <row r="1815" customFormat="false" ht="15" hidden="false" customHeight="false" outlineLevel="0" collapsed="false">
      <c r="A1815" s="2" t="s">
        <v>1747</v>
      </c>
      <c r="B1815" s="2" t="s">
        <v>1745</v>
      </c>
      <c r="C1815" s="10" t="n">
        <v>45984</v>
      </c>
      <c r="D1815" s="2" t="n">
        <f aca="false">MONTH(C1815)</f>
        <v>11</v>
      </c>
      <c r="E1815" s="2" t="s">
        <v>81</v>
      </c>
      <c r="F1815" s="2" t="s">
        <v>64</v>
      </c>
      <c r="G1815" s="2" t="s">
        <v>73</v>
      </c>
      <c r="H1815" s="2" t="s">
        <v>85</v>
      </c>
      <c r="I1815" s="2" t="n">
        <v>2</v>
      </c>
      <c r="J1815" s="11" t="n">
        <v>1200</v>
      </c>
      <c r="K1815" s="12" t="n">
        <v>0.05</v>
      </c>
      <c r="L1815" s="11" t="n">
        <v>600</v>
      </c>
      <c r="M1815" s="11" t="n">
        <f aca="false">I1815*J1815*(1-K1815)</f>
        <v>2280</v>
      </c>
      <c r="N1815" s="11" t="n">
        <f aca="false">M1815-I1815*L1815</f>
        <v>1080</v>
      </c>
    </row>
    <row r="1816" customFormat="false" ht="15" hidden="false" customHeight="false" outlineLevel="0" collapsed="false">
      <c r="A1816" s="2" t="s">
        <v>1782</v>
      </c>
      <c r="B1816" s="2" t="s">
        <v>1783</v>
      </c>
      <c r="C1816" s="10" t="n">
        <v>45984</v>
      </c>
      <c r="D1816" s="2" t="n">
        <f aca="false">MONTH(C1816)</f>
        <v>11</v>
      </c>
      <c r="E1816" s="2" t="s">
        <v>77</v>
      </c>
      <c r="F1816" s="2" t="s">
        <v>64</v>
      </c>
      <c r="G1816" s="2" t="s">
        <v>73</v>
      </c>
      <c r="H1816" s="2" t="s">
        <v>74</v>
      </c>
      <c r="I1816" s="2" t="n">
        <v>3</v>
      </c>
      <c r="J1816" s="11" t="n">
        <v>7000</v>
      </c>
      <c r="K1816" s="12" t="n">
        <v>0.05</v>
      </c>
      <c r="L1816" s="11" t="n">
        <v>4800</v>
      </c>
      <c r="M1816" s="11" t="n">
        <f aca="false">I1816*J1816*(1-K1816)</f>
        <v>19950</v>
      </c>
      <c r="N1816" s="11" t="n">
        <f aca="false">M1816-I1816*L1816</f>
        <v>5550</v>
      </c>
    </row>
    <row r="1817" customFormat="false" ht="15" hidden="false" customHeight="false" outlineLevel="0" collapsed="false">
      <c r="A1817" s="2" t="s">
        <v>2035</v>
      </c>
      <c r="B1817" s="2" t="s">
        <v>2034</v>
      </c>
      <c r="C1817" s="10" t="n">
        <v>45984</v>
      </c>
      <c r="D1817" s="2" t="n">
        <f aca="false">MONTH(C1817)</f>
        <v>11</v>
      </c>
      <c r="E1817" s="2" t="s">
        <v>63</v>
      </c>
      <c r="F1817" s="2" t="s">
        <v>69</v>
      </c>
      <c r="G1817" s="2" t="s">
        <v>73</v>
      </c>
      <c r="H1817" s="2" t="s">
        <v>87</v>
      </c>
      <c r="I1817" s="2" t="n">
        <v>4</v>
      </c>
      <c r="J1817" s="11" t="n">
        <v>9000</v>
      </c>
      <c r="K1817" s="12" t="n">
        <v>0.05</v>
      </c>
      <c r="L1817" s="11" t="n">
        <v>6200</v>
      </c>
      <c r="M1817" s="11" t="n">
        <f aca="false">I1817*J1817*(1-K1817)</f>
        <v>34200</v>
      </c>
      <c r="N1817" s="11" t="n">
        <f aca="false">M1817-I1817*L1817</f>
        <v>9400</v>
      </c>
    </row>
    <row r="1818" customFormat="false" ht="15" hidden="false" customHeight="false" outlineLevel="0" collapsed="false">
      <c r="A1818" s="2" t="s">
        <v>455</v>
      </c>
      <c r="B1818" s="2" t="s">
        <v>450</v>
      </c>
      <c r="C1818" s="10" t="n">
        <v>45985</v>
      </c>
      <c r="D1818" s="2" t="n">
        <f aca="false">MONTH(C1818)</f>
        <v>11</v>
      </c>
      <c r="E1818" s="2" t="s">
        <v>77</v>
      </c>
      <c r="F1818" s="2" t="s">
        <v>64</v>
      </c>
      <c r="G1818" s="2" t="s">
        <v>70</v>
      </c>
      <c r="H1818" s="2" t="s">
        <v>71</v>
      </c>
      <c r="I1818" s="2" t="n">
        <v>1</v>
      </c>
      <c r="J1818" s="11" t="n">
        <v>2500</v>
      </c>
      <c r="K1818" s="12" t="n">
        <v>0.05</v>
      </c>
      <c r="L1818" s="11" t="n">
        <v>1600</v>
      </c>
      <c r="M1818" s="11" t="n">
        <f aca="false">I1818*J1818*(1-K1818)</f>
        <v>2375</v>
      </c>
      <c r="N1818" s="11" t="n">
        <f aca="false">M1818-I1818*L1818</f>
        <v>775</v>
      </c>
    </row>
    <row r="1819" customFormat="false" ht="15" hidden="false" customHeight="false" outlineLevel="0" collapsed="false">
      <c r="A1819" s="2" t="s">
        <v>1244</v>
      </c>
      <c r="B1819" s="2" t="s">
        <v>1243</v>
      </c>
      <c r="C1819" s="10" t="n">
        <v>45985</v>
      </c>
      <c r="D1819" s="2" t="n">
        <f aca="false">MONTH(C1819)</f>
        <v>11</v>
      </c>
      <c r="E1819" s="2" t="s">
        <v>77</v>
      </c>
      <c r="F1819" s="2" t="s">
        <v>69</v>
      </c>
      <c r="G1819" s="2" t="s">
        <v>65</v>
      </c>
      <c r="H1819" s="2" t="s">
        <v>66</v>
      </c>
      <c r="I1819" s="2" t="n">
        <v>16</v>
      </c>
      <c r="J1819" s="11" t="n">
        <v>600</v>
      </c>
      <c r="K1819" s="12" t="n">
        <v>0.05</v>
      </c>
      <c r="L1819" s="11" t="n">
        <v>300</v>
      </c>
      <c r="M1819" s="11" t="n">
        <f aca="false">I1819*J1819*(1-K1819)</f>
        <v>9120</v>
      </c>
      <c r="N1819" s="11" t="n">
        <f aca="false">M1819-I1819*L1819</f>
        <v>4320</v>
      </c>
    </row>
    <row r="1820" customFormat="false" ht="15" hidden="false" customHeight="false" outlineLevel="0" collapsed="false">
      <c r="A1820" s="2" t="s">
        <v>1261</v>
      </c>
      <c r="B1820" s="2" t="s">
        <v>1262</v>
      </c>
      <c r="C1820" s="10" t="n">
        <v>45985</v>
      </c>
      <c r="D1820" s="2" t="n">
        <f aca="false">MONTH(C1820)</f>
        <v>11</v>
      </c>
      <c r="E1820" s="2" t="s">
        <v>77</v>
      </c>
      <c r="F1820" s="2" t="s">
        <v>64</v>
      </c>
      <c r="G1820" s="2" t="s">
        <v>73</v>
      </c>
      <c r="H1820" s="2" t="s">
        <v>104</v>
      </c>
      <c r="I1820" s="2" t="n">
        <v>2</v>
      </c>
      <c r="J1820" s="11" t="n">
        <v>5500</v>
      </c>
      <c r="K1820" s="12" t="n">
        <v>0.05</v>
      </c>
      <c r="L1820" s="11" t="n">
        <v>3600</v>
      </c>
      <c r="M1820" s="11" t="n">
        <f aca="false">I1820*J1820*(1-K1820)</f>
        <v>10450</v>
      </c>
      <c r="N1820" s="11" t="n">
        <f aca="false">M1820-I1820*L1820</f>
        <v>3250</v>
      </c>
    </row>
    <row r="1821" customFormat="false" ht="15" hidden="false" customHeight="false" outlineLevel="0" collapsed="false">
      <c r="A1821" s="2" t="s">
        <v>1850</v>
      </c>
      <c r="B1821" s="2" t="s">
        <v>1843</v>
      </c>
      <c r="C1821" s="10" t="n">
        <v>45985</v>
      </c>
      <c r="D1821" s="2" t="n">
        <f aca="false">MONTH(C1821)</f>
        <v>11</v>
      </c>
      <c r="E1821" s="2" t="s">
        <v>63</v>
      </c>
      <c r="F1821" s="2" t="s">
        <v>64</v>
      </c>
      <c r="G1821" s="2" t="s">
        <v>65</v>
      </c>
      <c r="H1821" s="2" t="s">
        <v>82</v>
      </c>
      <c r="I1821" s="2" t="n">
        <v>6</v>
      </c>
      <c r="J1821" s="11" t="n">
        <v>250</v>
      </c>
      <c r="K1821" s="12" t="n">
        <v>0.15</v>
      </c>
      <c r="L1821" s="11" t="n">
        <v>100</v>
      </c>
      <c r="M1821" s="11" t="n">
        <f aca="false">I1821*J1821*(1-K1821)</f>
        <v>1275</v>
      </c>
      <c r="N1821" s="11" t="n">
        <f aca="false">M1821-I1821*L1821</f>
        <v>675</v>
      </c>
    </row>
    <row r="1822" customFormat="false" ht="15" hidden="false" customHeight="false" outlineLevel="0" collapsed="false">
      <c r="A1822" s="2" t="s">
        <v>2316</v>
      </c>
      <c r="B1822" s="2" t="s">
        <v>2315</v>
      </c>
      <c r="C1822" s="10" t="n">
        <v>45985</v>
      </c>
      <c r="D1822" s="2" t="n">
        <f aca="false">MONTH(C1822)</f>
        <v>11</v>
      </c>
      <c r="E1822" s="2" t="s">
        <v>91</v>
      </c>
      <c r="F1822" s="2" t="s">
        <v>64</v>
      </c>
      <c r="G1822" s="2" t="s">
        <v>65</v>
      </c>
      <c r="H1822" s="2" t="s">
        <v>107</v>
      </c>
      <c r="I1822" s="2" t="n">
        <v>4</v>
      </c>
      <c r="J1822" s="11" t="n">
        <v>500</v>
      </c>
      <c r="K1822" s="12" t="n">
        <v>0.05</v>
      </c>
      <c r="L1822" s="11" t="n">
        <v>250</v>
      </c>
      <c r="M1822" s="11" t="n">
        <f aca="false">I1822*J1822*(1-K1822)</f>
        <v>1900</v>
      </c>
      <c r="N1822" s="11" t="n">
        <f aca="false">M1822-I1822*L1822</f>
        <v>900</v>
      </c>
    </row>
    <row r="1823" customFormat="false" ht="15" hidden="false" customHeight="false" outlineLevel="0" collapsed="false">
      <c r="A1823" s="2" t="s">
        <v>2911</v>
      </c>
      <c r="B1823" s="2" t="s">
        <v>2912</v>
      </c>
      <c r="C1823" s="10" t="n">
        <v>45985</v>
      </c>
      <c r="D1823" s="2" t="n">
        <f aca="false">MONTH(C1823)</f>
        <v>11</v>
      </c>
      <c r="E1823" s="2" t="s">
        <v>81</v>
      </c>
      <c r="F1823" s="2" t="s">
        <v>69</v>
      </c>
      <c r="G1823" s="2" t="s">
        <v>73</v>
      </c>
      <c r="H1823" s="2" t="s">
        <v>85</v>
      </c>
      <c r="I1823" s="2" t="n">
        <v>4</v>
      </c>
      <c r="J1823" s="11" t="n">
        <v>1200</v>
      </c>
      <c r="K1823" s="12" t="n">
        <v>0.1</v>
      </c>
      <c r="L1823" s="11" t="n">
        <v>600</v>
      </c>
      <c r="M1823" s="11" t="n">
        <f aca="false">I1823*J1823*(1-K1823)</f>
        <v>4320</v>
      </c>
      <c r="N1823" s="11" t="n">
        <f aca="false">M1823-I1823*L1823</f>
        <v>1920</v>
      </c>
    </row>
    <row r="1824" customFormat="false" ht="15" hidden="false" customHeight="false" outlineLevel="0" collapsed="false">
      <c r="A1824" s="2" t="s">
        <v>2920</v>
      </c>
      <c r="B1824" s="2" t="s">
        <v>2916</v>
      </c>
      <c r="C1824" s="10" t="n">
        <v>45985</v>
      </c>
      <c r="D1824" s="2" t="n">
        <f aca="false">MONTH(C1824)</f>
        <v>11</v>
      </c>
      <c r="E1824" s="2" t="s">
        <v>63</v>
      </c>
      <c r="F1824" s="2" t="s">
        <v>69</v>
      </c>
      <c r="G1824" s="2" t="s">
        <v>73</v>
      </c>
      <c r="H1824" s="2" t="s">
        <v>74</v>
      </c>
      <c r="I1824" s="2" t="n">
        <v>3</v>
      </c>
      <c r="J1824" s="11" t="n">
        <v>7000</v>
      </c>
      <c r="K1824" s="12" t="n">
        <v>0.05</v>
      </c>
      <c r="L1824" s="11" t="n">
        <v>4800</v>
      </c>
      <c r="M1824" s="11" t="n">
        <f aca="false">I1824*J1824*(1-K1824)</f>
        <v>19950</v>
      </c>
      <c r="N1824" s="11" t="n">
        <f aca="false">M1824-I1824*L1824</f>
        <v>5550</v>
      </c>
    </row>
    <row r="1825" customFormat="false" ht="15" hidden="false" customHeight="false" outlineLevel="0" collapsed="false">
      <c r="A1825" s="2" t="s">
        <v>139</v>
      </c>
      <c r="B1825" s="2" t="s">
        <v>140</v>
      </c>
      <c r="C1825" s="10" t="n">
        <v>45986</v>
      </c>
      <c r="D1825" s="2" t="n">
        <f aca="false">MONTH(C1825)</f>
        <v>11</v>
      </c>
      <c r="E1825" s="2" t="s">
        <v>91</v>
      </c>
      <c r="F1825" s="2" t="s">
        <v>64</v>
      </c>
      <c r="G1825" s="2" t="s">
        <v>65</v>
      </c>
      <c r="H1825" s="2" t="s">
        <v>66</v>
      </c>
      <c r="I1825" s="2" t="n">
        <v>8</v>
      </c>
      <c r="J1825" s="11" t="n">
        <v>600</v>
      </c>
      <c r="K1825" s="12" t="n">
        <v>0.15</v>
      </c>
      <c r="L1825" s="11" t="n">
        <v>300</v>
      </c>
      <c r="M1825" s="11" t="n">
        <f aca="false">I1825*J1825*(1-K1825)</f>
        <v>4080</v>
      </c>
      <c r="N1825" s="11" t="n">
        <f aca="false">M1825-I1825*L1825</f>
        <v>1680</v>
      </c>
    </row>
    <row r="1826" customFormat="false" ht="15" hidden="false" customHeight="false" outlineLevel="0" collapsed="false">
      <c r="A1826" s="2" t="s">
        <v>165</v>
      </c>
      <c r="B1826" s="2" t="s">
        <v>166</v>
      </c>
      <c r="C1826" s="10" t="n">
        <v>45986</v>
      </c>
      <c r="D1826" s="2" t="n">
        <f aca="false">MONTH(C1826)</f>
        <v>11</v>
      </c>
      <c r="E1826" s="2" t="s">
        <v>63</v>
      </c>
      <c r="F1826" s="2" t="s">
        <v>92</v>
      </c>
      <c r="G1826" s="2" t="s">
        <v>73</v>
      </c>
      <c r="H1826" s="2" t="s">
        <v>74</v>
      </c>
      <c r="I1826" s="2" t="n">
        <v>6</v>
      </c>
      <c r="J1826" s="11" t="n">
        <v>7000</v>
      </c>
      <c r="K1826" s="12" t="n">
        <v>0.05</v>
      </c>
      <c r="L1826" s="11" t="n">
        <v>4800</v>
      </c>
      <c r="M1826" s="11" t="n">
        <f aca="false">I1826*J1826*(1-K1826)</f>
        <v>39900</v>
      </c>
      <c r="N1826" s="11" t="n">
        <f aca="false">M1826-I1826*L1826</f>
        <v>11100</v>
      </c>
    </row>
    <row r="1827" customFormat="false" ht="15" hidden="false" customHeight="false" outlineLevel="0" collapsed="false">
      <c r="A1827" s="2" t="s">
        <v>170</v>
      </c>
      <c r="B1827" s="2" t="s">
        <v>166</v>
      </c>
      <c r="C1827" s="10" t="n">
        <v>45986</v>
      </c>
      <c r="D1827" s="2" t="n">
        <f aca="false">MONTH(C1827)</f>
        <v>11</v>
      </c>
      <c r="E1827" s="2" t="s">
        <v>63</v>
      </c>
      <c r="F1827" s="2" t="s">
        <v>92</v>
      </c>
      <c r="G1827" s="2" t="s">
        <v>70</v>
      </c>
      <c r="H1827" s="2" t="s">
        <v>71</v>
      </c>
      <c r="I1827" s="2" t="n">
        <v>5</v>
      </c>
      <c r="J1827" s="11" t="n">
        <v>2500</v>
      </c>
      <c r="K1827" s="12" t="n">
        <v>0.05</v>
      </c>
      <c r="L1827" s="11" t="n">
        <v>1600</v>
      </c>
      <c r="M1827" s="11" t="n">
        <f aca="false">I1827*J1827*(1-K1827)</f>
        <v>11875</v>
      </c>
      <c r="N1827" s="11" t="n">
        <f aca="false">M1827-I1827*L1827</f>
        <v>3875</v>
      </c>
    </row>
    <row r="1828" customFormat="false" ht="15" hidden="false" customHeight="false" outlineLevel="0" collapsed="false">
      <c r="A1828" s="2" t="s">
        <v>691</v>
      </c>
      <c r="B1828" s="2" t="s">
        <v>688</v>
      </c>
      <c r="C1828" s="10" t="n">
        <v>45986</v>
      </c>
      <c r="D1828" s="2" t="n">
        <f aca="false">MONTH(C1828)</f>
        <v>11</v>
      </c>
      <c r="E1828" s="2" t="s">
        <v>63</v>
      </c>
      <c r="F1828" s="2" t="s">
        <v>64</v>
      </c>
      <c r="G1828" s="2" t="s">
        <v>70</v>
      </c>
      <c r="H1828" s="2" t="s">
        <v>71</v>
      </c>
      <c r="I1828" s="2" t="n">
        <v>2</v>
      </c>
      <c r="J1828" s="11" t="n">
        <v>2500</v>
      </c>
      <c r="K1828" s="12" t="n">
        <v>0.05</v>
      </c>
      <c r="L1828" s="11" t="n">
        <v>1600</v>
      </c>
      <c r="M1828" s="11" t="n">
        <f aca="false">I1828*J1828*(1-K1828)</f>
        <v>4750</v>
      </c>
      <c r="N1828" s="11" t="n">
        <f aca="false">M1828-I1828*L1828</f>
        <v>1550</v>
      </c>
    </row>
    <row r="1829" customFormat="false" ht="15" hidden="false" customHeight="false" outlineLevel="0" collapsed="false">
      <c r="A1829" s="2" t="s">
        <v>828</v>
      </c>
      <c r="B1829" s="2" t="s">
        <v>829</v>
      </c>
      <c r="C1829" s="10" t="n">
        <v>45986</v>
      </c>
      <c r="D1829" s="2" t="n">
        <f aca="false">MONTH(C1829)</f>
        <v>11</v>
      </c>
      <c r="E1829" s="2" t="s">
        <v>81</v>
      </c>
      <c r="F1829" s="2" t="s">
        <v>92</v>
      </c>
      <c r="G1829" s="2" t="s">
        <v>70</v>
      </c>
      <c r="H1829" s="2" t="s">
        <v>97</v>
      </c>
      <c r="I1829" s="2" t="n">
        <v>5</v>
      </c>
      <c r="J1829" s="11" t="n">
        <v>3000</v>
      </c>
      <c r="K1829" s="12" t="n">
        <v>0.15</v>
      </c>
      <c r="L1829" s="11" t="n">
        <v>2000</v>
      </c>
      <c r="M1829" s="11" t="n">
        <f aca="false">I1829*J1829*(1-K1829)</f>
        <v>12750</v>
      </c>
      <c r="N1829" s="11" t="n">
        <f aca="false">M1829-I1829*L1829</f>
        <v>2750</v>
      </c>
    </row>
    <row r="1830" customFormat="false" ht="15" hidden="false" customHeight="false" outlineLevel="0" collapsed="false">
      <c r="A1830" s="2" t="s">
        <v>835</v>
      </c>
      <c r="B1830" s="2" t="s">
        <v>834</v>
      </c>
      <c r="C1830" s="10" t="n">
        <v>45986</v>
      </c>
      <c r="D1830" s="2" t="n">
        <f aca="false">MONTH(C1830)</f>
        <v>11</v>
      </c>
      <c r="E1830" s="2" t="s">
        <v>63</v>
      </c>
      <c r="F1830" s="2" t="s">
        <v>92</v>
      </c>
      <c r="G1830" s="2" t="s">
        <v>73</v>
      </c>
      <c r="H1830" s="2" t="s">
        <v>74</v>
      </c>
      <c r="I1830" s="2" t="n">
        <v>5</v>
      </c>
      <c r="J1830" s="11" t="n">
        <v>7000</v>
      </c>
      <c r="K1830" s="12" t="n">
        <v>0.1</v>
      </c>
      <c r="L1830" s="11" t="n">
        <v>4800</v>
      </c>
      <c r="M1830" s="11" t="n">
        <f aca="false">I1830*J1830*(1-K1830)</f>
        <v>31500</v>
      </c>
      <c r="N1830" s="11" t="n">
        <f aca="false">M1830-I1830*L1830</f>
        <v>7500</v>
      </c>
    </row>
    <row r="1831" customFormat="false" ht="15" hidden="false" customHeight="false" outlineLevel="0" collapsed="false">
      <c r="A1831" s="2" t="s">
        <v>978</v>
      </c>
      <c r="B1831" s="2" t="s">
        <v>976</v>
      </c>
      <c r="C1831" s="10" t="n">
        <v>45986</v>
      </c>
      <c r="D1831" s="2" t="n">
        <f aca="false">MONTH(C1831)</f>
        <v>11</v>
      </c>
      <c r="E1831" s="2" t="s">
        <v>77</v>
      </c>
      <c r="F1831" s="2" t="s">
        <v>69</v>
      </c>
      <c r="G1831" s="2" t="s">
        <v>70</v>
      </c>
      <c r="H1831" s="2" t="s">
        <v>122</v>
      </c>
      <c r="I1831" s="2" t="n">
        <v>5</v>
      </c>
      <c r="J1831" s="11" t="n">
        <v>1500</v>
      </c>
      <c r="K1831" s="12" t="n">
        <v>0.1</v>
      </c>
      <c r="L1831" s="11" t="n">
        <v>900</v>
      </c>
      <c r="M1831" s="11" t="n">
        <f aca="false">I1831*J1831*(1-K1831)</f>
        <v>6750</v>
      </c>
      <c r="N1831" s="11" t="n">
        <f aca="false">M1831-I1831*L1831</f>
        <v>2250</v>
      </c>
    </row>
    <row r="1832" customFormat="false" ht="15" hidden="false" customHeight="false" outlineLevel="0" collapsed="false">
      <c r="A1832" s="2" t="s">
        <v>1038</v>
      </c>
      <c r="B1832" s="2" t="s">
        <v>1039</v>
      </c>
      <c r="C1832" s="10" t="n">
        <v>45986</v>
      </c>
      <c r="D1832" s="2" t="n">
        <f aca="false">MONTH(C1832)</f>
        <v>11</v>
      </c>
      <c r="E1832" s="2" t="s">
        <v>81</v>
      </c>
      <c r="F1832" s="2" t="s">
        <v>69</v>
      </c>
      <c r="G1832" s="2" t="s">
        <v>73</v>
      </c>
      <c r="H1832" s="2" t="s">
        <v>85</v>
      </c>
      <c r="I1832" s="2" t="n">
        <v>2</v>
      </c>
      <c r="J1832" s="11" t="n">
        <v>1200</v>
      </c>
      <c r="K1832" s="12" t="n">
        <v>0.05</v>
      </c>
      <c r="L1832" s="11" t="n">
        <v>600</v>
      </c>
      <c r="M1832" s="11" t="n">
        <f aca="false">I1832*J1832*(1-K1832)</f>
        <v>2280</v>
      </c>
      <c r="N1832" s="11" t="n">
        <f aca="false">M1832-I1832*L1832</f>
        <v>1080</v>
      </c>
    </row>
    <row r="1833" customFormat="false" ht="15" hidden="false" customHeight="false" outlineLevel="0" collapsed="false">
      <c r="A1833" s="2" t="s">
        <v>1212</v>
      </c>
      <c r="B1833" s="2" t="s">
        <v>1210</v>
      </c>
      <c r="C1833" s="10" t="n">
        <v>45986</v>
      </c>
      <c r="D1833" s="2" t="n">
        <f aca="false">MONTH(C1833)</f>
        <v>11</v>
      </c>
      <c r="E1833" s="2" t="s">
        <v>63</v>
      </c>
      <c r="F1833" s="2" t="s">
        <v>92</v>
      </c>
      <c r="G1833" s="2" t="s">
        <v>73</v>
      </c>
      <c r="H1833" s="2" t="s">
        <v>104</v>
      </c>
      <c r="I1833" s="2" t="n">
        <v>2</v>
      </c>
      <c r="J1833" s="11" t="n">
        <v>5500</v>
      </c>
      <c r="K1833" s="12" t="n">
        <v>0.05</v>
      </c>
      <c r="L1833" s="11" t="n">
        <v>3600</v>
      </c>
      <c r="M1833" s="11" t="n">
        <f aca="false">I1833*J1833*(1-K1833)</f>
        <v>10450</v>
      </c>
      <c r="N1833" s="11" t="n">
        <f aca="false">M1833-I1833*L1833</f>
        <v>3250</v>
      </c>
    </row>
    <row r="1834" customFormat="false" ht="15" hidden="false" customHeight="false" outlineLevel="0" collapsed="false">
      <c r="A1834" s="2" t="s">
        <v>1425</v>
      </c>
      <c r="B1834" s="2" t="s">
        <v>1426</v>
      </c>
      <c r="C1834" s="10" t="n">
        <v>45986</v>
      </c>
      <c r="D1834" s="2" t="n">
        <f aca="false">MONTH(C1834)</f>
        <v>11</v>
      </c>
      <c r="E1834" s="2" t="s">
        <v>91</v>
      </c>
      <c r="F1834" s="2" t="s">
        <v>92</v>
      </c>
      <c r="G1834" s="2" t="s">
        <v>65</v>
      </c>
      <c r="H1834" s="2" t="s">
        <v>82</v>
      </c>
      <c r="I1834" s="2" t="n">
        <v>22</v>
      </c>
      <c r="J1834" s="11" t="n">
        <v>250</v>
      </c>
      <c r="K1834" s="12" t="n">
        <v>0.15</v>
      </c>
      <c r="L1834" s="11" t="n">
        <v>100</v>
      </c>
      <c r="M1834" s="11" t="n">
        <f aca="false">I1834*J1834*(1-K1834)</f>
        <v>4675</v>
      </c>
      <c r="N1834" s="11" t="n">
        <f aca="false">M1834-I1834*L1834</f>
        <v>2475</v>
      </c>
    </row>
    <row r="1835" customFormat="false" ht="15" hidden="false" customHeight="false" outlineLevel="0" collapsed="false">
      <c r="A1835" s="2" t="s">
        <v>2517</v>
      </c>
      <c r="B1835" s="2" t="s">
        <v>2518</v>
      </c>
      <c r="C1835" s="10" t="n">
        <v>45986</v>
      </c>
      <c r="D1835" s="2" t="n">
        <f aca="false">MONTH(C1835)</f>
        <v>11</v>
      </c>
      <c r="E1835" s="2" t="s">
        <v>77</v>
      </c>
      <c r="F1835" s="2" t="s">
        <v>64</v>
      </c>
      <c r="G1835" s="2" t="s">
        <v>65</v>
      </c>
      <c r="H1835" s="2" t="s">
        <v>66</v>
      </c>
      <c r="I1835" s="2" t="n">
        <v>2</v>
      </c>
      <c r="J1835" s="11" t="n">
        <v>600</v>
      </c>
      <c r="K1835" s="12" t="n">
        <v>0.05</v>
      </c>
      <c r="L1835" s="11" t="n">
        <v>300</v>
      </c>
      <c r="M1835" s="11" t="n">
        <f aca="false">I1835*J1835*(1-K1835)</f>
        <v>1140</v>
      </c>
      <c r="N1835" s="11" t="n">
        <f aca="false">M1835-I1835*L1835</f>
        <v>540</v>
      </c>
    </row>
    <row r="1836" customFormat="false" ht="15" hidden="false" customHeight="false" outlineLevel="0" collapsed="false">
      <c r="A1836" s="2" t="s">
        <v>2765</v>
      </c>
      <c r="B1836" s="2" t="s">
        <v>2766</v>
      </c>
      <c r="C1836" s="10" t="n">
        <v>45986</v>
      </c>
      <c r="D1836" s="2" t="n">
        <f aca="false">MONTH(C1836)</f>
        <v>11</v>
      </c>
      <c r="E1836" s="2" t="s">
        <v>91</v>
      </c>
      <c r="F1836" s="2" t="s">
        <v>64</v>
      </c>
      <c r="G1836" s="2" t="s">
        <v>70</v>
      </c>
      <c r="H1836" s="2" t="s">
        <v>97</v>
      </c>
      <c r="I1836" s="2" t="n">
        <v>1</v>
      </c>
      <c r="J1836" s="11" t="n">
        <v>3000</v>
      </c>
      <c r="K1836" s="12" t="n">
        <v>0.05</v>
      </c>
      <c r="L1836" s="11" t="n">
        <v>2000</v>
      </c>
      <c r="M1836" s="11" t="n">
        <f aca="false">I1836*J1836*(1-K1836)</f>
        <v>2850</v>
      </c>
      <c r="N1836" s="11" t="n">
        <f aca="false">M1836-I1836*L1836</f>
        <v>850</v>
      </c>
    </row>
    <row r="1837" customFormat="false" ht="15" hidden="false" customHeight="false" outlineLevel="0" collapsed="false">
      <c r="A1837" s="2" t="s">
        <v>2787</v>
      </c>
      <c r="B1837" s="2" t="s">
        <v>2788</v>
      </c>
      <c r="C1837" s="10" t="n">
        <v>45986</v>
      </c>
      <c r="D1837" s="2" t="n">
        <f aca="false">MONTH(C1837)</f>
        <v>11</v>
      </c>
      <c r="E1837" s="2" t="s">
        <v>63</v>
      </c>
      <c r="F1837" s="2" t="s">
        <v>69</v>
      </c>
      <c r="G1837" s="2" t="s">
        <v>70</v>
      </c>
      <c r="H1837" s="2" t="s">
        <v>71</v>
      </c>
      <c r="I1837" s="2" t="n">
        <v>5</v>
      </c>
      <c r="J1837" s="11" t="n">
        <v>2500</v>
      </c>
      <c r="K1837" s="12" t="n">
        <v>0.1</v>
      </c>
      <c r="L1837" s="11" t="n">
        <v>1600</v>
      </c>
      <c r="M1837" s="11" t="n">
        <f aca="false">I1837*J1837*(1-K1837)</f>
        <v>11250</v>
      </c>
      <c r="N1837" s="11" t="n">
        <f aca="false">M1837-I1837*L1837</f>
        <v>3250</v>
      </c>
    </row>
    <row r="1838" customFormat="false" ht="15" hidden="false" customHeight="false" outlineLevel="0" collapsed="false">
      <c r="A1838" s="2" t="s">
        <v>2847</v>
      </c>
      <c r="B1838" s="2" t="s">
        <v>2846</v>
      </c>
      <c r="C1838" s="10" t="n">
        <v>45986</v>
      </c>
      <c r="D1838" s="2" t="n">
        <f aca="false">MONTH(C1838)</f>
        <v>11</v>
      </c>
      <c r="E1838" s="2" t="s">
        <v>63</v>
      </c>
      <c r="F1838" s="2" t="s">
        <v>69</v>
      </c>
      <c r="G1838" s="2" t="s">
        <v>73</v>
      </c>
      <c r="H1838" s="2" t="s">
        <v>87</v>
      </c>
      <c r="I1838" s="2" t="n">
        <v>4</v>
      </c>
      <c r="J1838" s="11" t="n">
        <v>9000</v>
      </c>
      <c r="K1838" s="12" t="n">
        <v>0.05</v>
      </c>
      <c r="L1838" s="11" t="n">
        <v>6200</v>
      </c>
      <c r="M1838" s="11" t="n">
        <f aca="false">I1838*J1838*(1-K1838)</f>
        <v>34200</v>
      </c>
      <c r="N1838" s="11" t="n">
        <f aca="false">M1838-I1838*L1838</f>
        <v>9400</v>
      </c>
    </row>
    <row r="1839" customFormat="false" ht="15" hidden="false" customHeight="false" outlineLevel="0" collapsed="false">
      <c r="A1839" s="2" t="s">
        <v>2976</v>
      </c>
      <c r="B1839" s="2" t="s">
        <v>2977</v>
      </c>
      <c r="C1839" s="10" t="n">
        <v>45986</v>
      </c>
      <c r="D1839" s="2" t="n">
        <f aca="false">MONTH(C1839)</f>
        <v>11</v>
      </c>
      <c r="E1839" s="2" t="s">
        <v>81</v>
      </c>
      <c r="F1839" s="2" t="s">
        <v>69</v>
      </c>
      <c r="G1839" s="2" t="s">
        <v>73</v>
      </c>
      <c r="H1839" s="2" t="s">
        <v>74</v>
      </c>
      <c r="I1839" s="2" t="n">
        <v>3</v>
      </c>
      <c r="J1839" s="11" t="n">
        <v>7000</v>
      </c>
      <c r="K1839" s="12" t="n">
        <v>0.05</v>
      </c>
      <c r="L1839" s="11" t="n">
        <v>4800</v>
      </c>
      <c r="M1839" s="11" t="n">
        <f aca="false">I1839*J1839*(1-K1839)</f>
        <v>19950</v>
      </c>
      <c r="N1839" s="11" t="n">
        <f aca="false">M1839-I1839*L1839</f>
        <v>5550</v>
      </c>
    </row>
    <row r="1840" customFormat="false" ht="15" hidden="false" customHeight="false" outlineLevel="0" collapsed="false">
      <c r="A1840" s="2" t="s">
        <v>229</v>
      </c>
      <c r="B1840" s="2" t="s">
        <v>227</v>
      </c>
      <c r="C1840" s="10" t="n">
        <v>45987</v>
      </c>
      <c r="D1840" s="2" t="n">
        <f aca="false">MONTH(C1840)</f>
        <v>11</v>
      </c>
      <c r="E1840" s="2" t="s">
        <v>91</v>
      </c>
      <c r="F1840" s="2" t="s">
        <v>64</v>
      </c>
      <c r="G1840" s="2" t="s">
        <v>70</v>
      </c>
      <c r="H1840" s="2" t="s">
        <v>126</v>
      </c>
      <c r="I1840" s="2" t="n">
        <v>2</v>
      </c>
      <c r="J1840" s="11" t="n">
        <v>4500</v>
      </c>
      <c r="K1840" s="12" t="n">
        <v>0.1</v>
      </c>
      <c r="L1840" s="11" t="n">
        <v>3300</v>
      </c>
      <c r="M1840" s="11" t="n">
        <f aca="false">I1840*J1840*(1-K1840)</f>
        <v>8100</v>
      </c>
      <c r="N1840" s="11" t="n">
        <f aca="false">M1840-I1840*L1840</f>
        <v>1500</v>
      </c>
    </row>
    <row r="1841" customFormat="false" ht="15" hidden="false" customHeight="false" outlineLevel="0" collapsed="false">
      <c r="A1841" s="2" t="s">
        <v>970</v>
      </c>
      <c r="B1841" s="2" t="s">
        <v>969</v>
      </c>
      <c r="C1841" s="10" t="n">
        <v>45987</v>
      </c>
      <c r="D1841" s="2" t="n">
        <f aca="false">MONTH(C1841)</f>
        <v>11</v>
      </c>
      <c r="E1841" s="2" t="s">
        <v>77</v>
      </c>
      <c r="F1841" s="2" t="s">
        <v>64</v>
      </c>
      <c r="G1841" s="2" t="s">
        <v>70</v>
      </c>
      <c r="H1841" s="2" t="s">
        <v>122</v>
      </c>
      <c r="I1841" s="2" t="n">
        <v>1</v>
      </c>
      <c r="J1841" s="11" t="n">
        <v>1500</v>
      </c>
      <c r="K1841" s="12" t="n">
        <v>0.1</v>
      </c>
      <c r="L1841" s="11" t="n">
        <v>900</v>
      </c>
      <c r="M1841" s="11" t="n">
        <f aca="false">I1841*J1841*(1-K1841)</f>
        <v>1350</v>
      </c>
      <c r="N1841" s="11" t="n">
        <f aca="false">M1841-I1841*L1841</f>
        <v>450</v>
      </c>
    </row>
    <row r="1842" customFormat="false" ht="15" hidden="false" customHeight="false" outlineLevel="0" collapsed="false">
      <c r="A1842" s="2" t="s">
        <v>1090</v>
      </c>
      <c r="B1842" s="2" t="s">
        <v>1084</v>
      </c>
      <c r="C1842" s="10" t="n">
        <v>45987</v>
      </c>
      <c r="D1842" s="2" t="n">
        <f aca="false">MONTH(C1842)</f>
        <v>11</v>
      </c>
      <c r="E1842" s="2" t="s">
        <v>77</v>
      </c>
      <c r="F1842" s="2" t="s">
        <v>64</v>
      </c>
      <c r="G1842" s="2" t="s">
        <v>70</v>
      </c>
      <c r="H1842" s="2" t="s">
        <v>97</v>
      </c>
      <c r="I1842" s="2" t="n">
        <v>2</v>
      </c>
      <c r="J1842" s="11" t="n">
        <v>3000</v>
      </c>
      <c r="K1842" s="12" t="n">
        <v>0.05</v>
      </c>
      <c r="L1842" s="11" t="n">
        <v>2000</v>
      </c>
      <c r="M1842" s="11" t="n">
        <f aca="false">I1842*J1842*(1-K1842)</f>
        <v>5700</v>
      </c>
      <c r="N1842" s="11" t="n">
        <f aca="false">M1842-I1842*L1842</f>
        <v>1700</v>
      </c>
    </row>
    <row r="1843" customFormat="false" ht="15" hidden="false" customHeight="false" outlineLevel="0" collapsed="false">
      <c r="A1843" s="2" t="s">
        <v>1296</v>
      </c>
      <c r="B1843" s="2" t="s">
        <v>1297</v>
      </c>
      <c r="C1843" s="10" t="n">
        <v>45987</v>
      </c>
      <c r="D1843" s="2" t="n">
        <f aca="false">MONTH(C1843)</f>
        <v>11</v>
      </c>
      <c r="E1843" s="2" t="s">
        <v>81</v>
      </c>
      <c r="F1843" s="2" t="s">
        <v>64</v>
      </c>
      <c r="G1843" s="2" t="s">
        <v>73</v>
      </c>
      <c r="H1843" s="2" t="s">
        <v>85</v>
      </c>
      <c r="I1843" s="2" t="n">
        <v>1</v>
      </c>
      <c r="J1843" s="11" t="n">
        <v>1200</v>
      </c>
      <c r="K1843" s="12" t="n">
        <v>0.05</v>
      </c>
      <c r="L1843" s="11" t="n">
        <v>600</v>
      </c>
      <c r="M1843" s="11" t="n">
        <f aca="false">I1843*J1843*(1-K1843)</f>
        <v>1140</v>
      </c>
      <c r="N1843" s="11" t="n">
        <f aca="false">M1843-I1843*L1843</f>
        <v>540</v>
      </c>
    </row>
    <row r="1844" customFormat="false" ht="15" hidden="false" customHeight="false" outlineLevel="0" collapsed="false">
      <c r="A1844" s="2" t="s">
        <v>1349</v>
      </c>
      <c r="B1844" s="2" t="s">
        <v>1350</v>
      </c>
      <c r="C1844" s="10" t="n">
        <v>45987</v>
      </c>
      <c r="D1844" s="2" t="n">
        <f aca="false">MONTH(C1844)</f>
        <v>11</v>
      </c>
      <c r="E1844" s="2" t="s">
        <v>81</v>
      </c>
      <c r="F1844" s="2" t="s">
        <v>64</v>
      </c>
      <c r="G1844" s="2" t="s">
        <v>70</v>
      </c>
      <c r="H1844" s="2" t="s">
        <v>97</v>
      </c>
      <c r="I1844" s="2" t="n">
        <v>1</v>
      </c>
      <c r="J1844" s="11" t="n">
        <v>3000</v>
      </c>
      <c r="K1844" s="12" t="n">
        <v>0.05</v>
      </c>
      <c r="L1844" s="11" t="n">
        <v>2000</v>
      </c>
      <c r="M1844" s="11" t="n">
        <f aca="false">I1844*J1844*(1-K1844)</f>
        <v>2850</v>
      </c>
      <c r="N1844" s="11" t="n">
        <f aca="false">M1844-I1844*L1844</f>
        <v>850</v>
      </c>
    </row>
    <row r="1845" customFormat="false" ht="15" hidden="false" customHeight="false" outlineLevel="0" collapsed="false">
      <c r="A1845" s="2" t="s">
        <v>1399</v>
      </c>
      <c r="B1845" s="2" t="s">
        <v>1397</v>
      </c>
      <c r="C1845" s="10" t="n">
        <v>45987</v>
      </c>
      <c r="D1845" s="2" t="n">
        <f aca="false">MONTH(C1845)</f>
        <v>11</v>
      </c>
      <c r="E1845" s="2" t="s">
        <v>81</v>
      </c>
      <c r="F1845" s="2" t="s">
        <v>64</v>
      </c>
      <c r="G1845" s="2" t="s">
        <v>73</v>
      </c>
      <c r="H1845" s="2" t="s">
        <v>87</v>
      </c>
      <c r="I1845" s="2" t="n">
        <v>1</v>
      </c>
      <c r="J1845" s="11" t="n">
        <v>9000</v>
      </c>
      <c r="K1845" s="12" t="n">
        <v>0.15</v>
      </c>
      <c r="L1845" s="11" t="n">
        <v>6200</v>
      </c>
      <c r="M1845" s="11" t="n">
        <f aca="false">I1845*J1845*(1-K1845)</f>
        <v>7650</v>
      </c>
      <c r="N1845" s="11" t="n">
        <f aca="false">M1845-I1845*L1845</f>
        <v>1450</v>
      </c>
    </row>
    <row r="1846" customFormat="false" ht="15" hidden="false" customHeight="false" outlineLevel="0" collapsed="false">
      <c r="A1846" s="2" t="s">
        <v>1593</v>
      </c>
      <c r="B1846" s="2" t="s">
        <v>1586</v>
      </c>
      <c r="C1846" s="10" t="n">
        <v>45987</v>
      </c>
      <c r="D1846" s="2" t="n">
        <f aca="false">MONTH(C1846)</f>
        <v>11</v>
      </c>
      <c r="E1846" s="2" t="s">
        <v>77</v>
      </c>
      <c r="F1846" s="2" t="s">
        <v>64</v>
      </c>
      <c r="G1846" s="2" t="s">
        <v>65</v>
      </c>
      <c r="H1846" s="2" t="s">
        <v>107</v>
      </c>
      <c r="I1846" s="2" t="n">
        <v>6</v>
      </c>
      <c r="J1846" s="11" t="n">
        <v>500</v>
      </c>
      <c r="K1846" s="12" t="n">
        <v>0.05</v>
      </c>
      <c r="L1846" s="11" t="n">
        <v>250</v>
      </c>
      <c r="M1846" s="11" t="n">
        <f aca="false">I1846*J1846*(1-K1846)</f>
        <v>2850</v>
      </c>
      <c r="N1846" s="11" t="n">
        <f aca="false">M1846-I1846*L1846</f>
        <v>1350</v>
      </c>
    </row>
    <row r="1847" customFormat="false" ht="15" hidden="false" customHeight="false" outlineLevel="0" collapsed="false">
      <c r="A1847" s="2" t="s">
        <v>1889</v>
      </c>
      <c r="B1847" s="2" t="s">
        <v>1883</v>
      </c>
      <c r="C1847" s="10" t="n">
        <v>45987</v>
      </c>
      <c r="D1847" s="2" t="n">
        <f aca="false">MONTH(C1847)</f>
        <v>11</v>
      </c>
      <c r="E1847" s="2" t="s">
        <v>63</v>
      </c>
      <c r="F1847" s="2" t="s">
        <v>64</v>
      </c>
      <c r="G1847" s="2" t="s">
        <v>65</v>
      </c>
      <c r="H1847" s="2" t="s">
        <v>78</v>
      </c>
      <c r="I1847" s="2" t="n">
        <v>7</v>
      </c>
      <c r="J1847" s="11" t="n">
        <v>400</v>
      </c>
      <c r="K1847" s="12" t="n">
        <v>0.05</v>
      </c>
      <c r="L1847" s="11" t="n">
        <v>200</v>
      </c>
      <c r="M1847" s="11" t="n">
        <f aca="false">I1847*J1847*(1-K1847)</f>
        <v>2660</v>
      </c>
      <c r="N1847" s="11" t="n">
        <f aca="false">M1847-I1847*L1847</f>
        <v>1260</v>
      </c>
    </row>
    <row r="1848" customFormat="false" ht="15" hidden="false" customHeight="false" outlineLevel="0" collapsed="false">
      <c r="A1848" s="2" t="s">
        <v>2437</v>
      </c>
      <c r="B1848" s="2" t="s">
        <v>2436</v>
      </c>
      <c r="C1848" s="10" t="n">
        <v>45987</v>
      </c>
      <c r="D1848" s="2" t="n">
        <f aca="false">MONTH(C1848)</f>
        <v>11</v>
      </c>
      <c r="E1848" s="2" t="s">
        <v>77</v>
      </c>
      <c r="F1848" s="2" t="s">
        <v>92</v>
      </c>
      <c r="G1848" s="2" t="s">
        <v>73</v>
      </c>
      <c r="H1848" s="2" t="s">
        <v>104</v>
      </c>
      <c r="I1848" s="2" t="n">
        <v>4</v>
      </c>
      <c r="J1848" s="11" t="n">
        <v>5500</v>
      </c>
      <c r="K1848" s="12" t="n">
        <v>0.1</v>
      </c>
      <c r="L1848" s="11" t="n">
        <v>3600</v>
      </c>
      <c r="M1848" s="11" t="n">
        <f aca="false">I1848*J1848*(1-K1848)</f>
        <v>19800</v>
      </c>
      <c r="N1848" s="11" t="n">
        <f aca="false">M1848-I1848*L1848</f>
        <v>5400</v>
      </c>
    </row>
    <row r="1849" customFormat="false" ht="15" hidden="false" customHeight="false" outlineLevel="0" collapsed="false">
      <c r="A1849" s="2" t="s">
        <v>2487</v>
      </c>
      <c r="B1849" s="2" t="s">
        <v>2486</v>
      </c>
      <c r="C1849" s="10" t="n">
        <v>45987</v>
      </c>
      <c r="D1849" s="2" t="n">
        <f aca="false">MONTH(C1849)</f>
        <v>11</v>
      </c>
      <c r="E1849" s="2" t="s">
        <v>63</v>
      </c>
      <c r="F1849" s="2" t="s">
        <v>64</v>
      </c>
      <c r="G1849" s="2" t="s">
        <v>70</v>
      </c>
      <c r="H1849" s="2" t="s">
        <v>71</v>
      </c>
      <c r="I1849" s="2" t="n">
        <v>2</v>
      </c>
      <c r="J1849" s="11" t="n">
        <v>2500</v>
      </c>
      <c r="K1849" s="12" t="n">
        <v>0.05</v>
      </c>
      <c r="L1849" s="11" t="n">
        <v>1600</v>
      </c>
      <c r="M1849" s="11" t="n">
        <f aca="false">I1849*J1849*(1-K1849)</f>
        <v>4750</v>
      </c>
      <c r="N1849" s="11" t="n">
        <f aca="false">M1849-I1849*L1849</f>
        <v>1550</v>
      </c>
    </row>
    <row r="1850" customFormat="false" ht="15" hidden="false" customHeight="false" outlineLevel="0" collapsed="false">
      <c r="A1850" s="2" t="s">
        <v>2574</v>
      </c>
      <c r="B1850" s="2" t="s">
        <v>2575</v>
      </c>
      <c r="C1850" s="10" t="n">
        <v>45987</v>
      </c>
      <c r="D1850" s="2" t="n">
        <f aca="false">MONTH(C1850)</f>
        <v>11</v>
      </c>
      <c r="E1850" s="2" t="s">
        <v>91</v>
      </c>
      <c r="F1850" s="2" t="s">
        <v>64</v>
      </c>
      <c r="G1850" s="2" t="s">
        <v>73</v>
      </c>
      <c r="H1850" s="2" t="s">
        <v>74</v>
      </c>
      <c r="I1850" s="2" t="n">
        <v>1</v>
      </c>
      <c r="J1850" s="11" t="n">
        <v>7000</v>
      </c>
      <c r="K1850" s="12" t="n">
        <v>0.1</v>
      </c>
      <c r="L1850" s="11" t="n">
        <v>4800</v>
      </c>
      <c r="M1850" s="11" t="n">
        <f aca="false">I1850*J1850*(1-K1850)</f>
        <v>6300</v>
      </c>
      <c r="N1850" s="11" t="n">
        <f aca="false">M1850-I1850*L1850</f>
        <v>1500</v>
      </c>
    </row>
    <row r="1851" customFormat="false" ht="15" hidden="false" customHeight="false" outlineLevel="0" collapsed="false">
      <c r="A1851" s="2" t="s">
        <v>2605</v>
      </c>
      <c r="B1851" s="2" t="s">
        <v>2602</v>
      </c>
      <c r="C1851" s="10" t="n">
        <v>45987</v>
      </c>
      <c r="D1851" s="2" t="n">
        <f aca="false">MONTH(C1851)</f>
        <v>11</v>
      </c>
      <c r="E1851" s="2" t="s">
        <v>63</v>
      </c>
      <c r="F1851" s="2" t="s">
        <v>64</v>
      </c>
      <c r="G1851" s="2" t="s">
        <v>70</v>
      </c>
      <c r="H1851" s="2" t="s">
        <v>122</v>
      </c>
      <c r="I1851" s="2" t="n">
        <v>3</v>
      </c>
      <c r="J1851" s="11" t="n">
        <v>1500</v>
      </c>
      <c r="K1851" s="12" t="n">
        <v>0.05</v>
      </c>
      <c r="L1851" s="11" t="n">
        <v>900</v>
      </c>
      <c r="M1851" s="11" t="n">
        <f aca="false">I1851*J1851*(1-K1851)</f>
        <v>4275</v>
      </c>
      <c r="N1851" s="11" t="n">
        <f aca="false">M1851-I1851*L1851</f>
        <v>1575</v>
      </c>
    </row>
    <row r="1852" customFormat="false" ht="15" hidden="false" customHeight="false" outlineLevel="0" collapsed="false">
      <c r="A1852" s="2" t="s">
        <v>2926</v>
      </c>
      <c r="B1852" s="2" t="s">
        <v>2927</v>
      </c>
      <c r="C1852" s="10" t="n">
        <v>45987</v>
      </c>
      <c r="D1852" s="2" t="n">
        <f aca="false">MONTH(C1852)</f>
        <v>11</v>
      </c>
      <c r="E1852" s="2" t="s">
        <v>77</v>
      </c>
      <c r="F1852" s="2" t="s">
        <v>69</v>
      </c>
      <c r="G1852" s="2" t="s">
        <v>65</v>
      </c>
      <c r="H1852" s="2" t="s">
        <v>78</v>
      </c>
      <c r="I1852" s="2" t="n">
        <v>10</v>
      </c>
      <c r="J1852" s="11" t="n">
        <v>400</v>
      </c>
      <c r="K1852" s="12" t="n">
        <v>0.15</v>
      </c>
      <c r="L1852" s="11" t="n">
        <v>200</v>
      </c>
      <c r="M1852" s="11" t="n">
        <f aca="false">I1852*J1852*(1-K1852)</f>
        <v>3400</v>
      </c>
      <c r="N1852" s="11" t="n">
        <f aca="false">M1852-I1852*L1852</f>
        <v>1400</v>
      </c>
    </row>
    <row r="1853" customFormat="false" ht="15" hidden="false" customHeight="false" outlineLevel="0" collapsed="false">
      <c r="A1853" s="2" t="s">
        <v>2948</v>
      </c>
      <c r="B1853" s="2" t="s">
        <v>2945</v>
      </c>
      <c r="C1853" s="10" t="n">
        <v>45987</v>
      </c>
      <c r="D1853" s="2" t="n">
        <f aca="false">MONTH(C1853)</f>
        <v>11</v>
      </c>
      <c r="E1853" s="2" t="s">
        <v>63</v>
      </c>
      <c r="F1853" s="2" t="s">
        <v>92</v>
      </c>
      <c r="G1853" s="2" t="s">
        <v>73</v>
      </c>
      <c r="H1853" s="2" t="s">
        <v>85</v>
      </c>
      <c r="I1853" s="2" t="n">
        <v>3</v>
      </c>
      <c r="J1853" s="11" t="n">
        <v>1200</v>
      </c>
      <c r="K1853" s="12" t="n">
        <v>0.15</v>
      </c>
      <c r="L1853" s="11" t="n">
        <v>600</v>
      </c>
      <c r="M1853" s="11" t="n">
        <f aca="false">I1853*J1853*(1-K1853)</f>
        <v>3060</v>
      </c>
      <c r="N1853" s="11" t="n">
        <f aca="false">M1853-I1853*L1853</f>
        <v>1260</v>
      </c>
    </row>
    <row r="1854" customFormat="false" ht="15" hidden="false" customHeight="false" outlineLevel="0" collapsed="false">
      <c r="A1854" s="2" t="s">
        <v>318</v>
      </c>
      <c r="B1854" s="2" t="s">
        <v>310</v>
      </c>
      <c r="C1854" s="10" t="n">
        <v>45988</v>
      </c>
      <c r="D1854" s="2" t="n">
        <f aca="false">MONTH(C1854)</f>
        <v>11</v>
      </c>
      <c r="E1854" s="2" t="s">
        <v>91</v>
      </c>
      <c r="F1854" s="2" t="s">
        <v>69</v>
      </c>
      <c r="G1854" s="2" t="s">
        <v>73</v>
      </c>
      <c r="H1854" s="2" t="s">
        <v>87</v>
      </c>
      <c r="I1854" s="2" t="n">
        <v>3</v>
      </c>
      <c r="J1854" s="11" t="n">
        <v>9000</v>
      </c>
      <c r="K1854" s="12" t="n">
        <v>0.05</v>
      </c>
      <c r="L1854" s="11" t="n">
        <v>6200</v>
      </c>
      <c r="M1854" s="11" t="n">
        <f aca="false">I1854*J1854*(1-K1854)</f>
        <v>25650</v>
      </c>
      <c r="N1854" s="11" t="n">
        <f aca="false">M1854-I1854*L1854</f>
        <v>7050</v>
      </c>
    </row>
    <row r="1855" customFormat="false" ht="15" hidden="false" customHeight="false" outlineLevel="0" collapsed="false">
      <c r="A1855" s="2" t="s">
        <v>458</v>
      </c>
      <c r="B1855" s="2" t="s">
        <v>450</v>
      </c>
      <c r="C1855" s="10" t="n">
        <v>45988</v>
      </c>
      <c r="D1855" s="2" t="n">
        <f aca="false">MONTH(C1855)</f>
        <v>11</v>
      </c>
      <c r="E1855" s="2" t="s">
        <v>77</v>
      </c>
      <c r="F1855" s="2" t="s">
        <v>64</v>
      </c>
      <c r="G1855" s="2" t="s">
        <v>70</v>
      </c>
      <c r="H1855" s="2" t="s">
        <v>126</v>
      </c>
      <c r="I1855" s="2" t="n">
        <v>1</v>
      </c>
      <c r="J1855" s="11" t="n">
        <v>4500</v>
      </c>
      <c r="K1855" s="12" t="n">
        <v>0.05</v>
      </c>
      <c r="L1855" s="11" t="n">
        <v>3300</v>
      </c>
      <c r="M1855" s="11" t="n">
        <f aca="false">I1855*J1855*(1-K1855)</f>
        <v>4275</v>
      </c>
      <c r="N1855" s="11" t="n">
        <f aca="false">M1855-I1855*L1855</f>
        <v>975</v>
      </c>
    </row>
    <row r="1856" customFormat="false" ht="15" hidden="false" customHeight="false" outlineLevel="0" collapsed="false">
      <c r="A1856" s="2" t="s">
        <v>665</v>
      </c>
      <c r="B1856" s="2" t="s">
        <v>664</v>
      </c>
      <c r="C1856" s="10" t="n">
        <v>45988</v>
      </c>
      <c r="D1856" s="2" t="n">
        <f aca="false">MONTH(C1856)</f>
        <v>11</v>
      </c>
      <c r="E1856" s="2" t="s">
        <v>77</v>
      </c>
      <c r="F1856" s="2" t="s">
        <v>64</v>
      </c>
      <c r="G1856" s="2" t="s">
        <v>70</v>
      </c>
      <c r="H1856" s="2" t="s">
        <v>126</v>
      </c>
      <c r="I1856" s="2" t="n">
        <v>1</v>
      </c>
      <c r="J1856" s="11" t="n">
        <v>4500</v>
      </c>
      <c r="K1856" s="12" t="n">
        <v>0.15</v>
      </c>
      <c r="L1856" s="11" t="n">
        <v>3300</v>
      </c>
      <c r="M1856" s="11" t="n">
        <f aca="false">I1856*J1856*(1-K1856)</f>
        <v>3825</v>
      </c>
      <c r="N1856" s="11" t="n">
        <f aca="false">M1856-I1856*L1856</f>
        <v>525</v>
      </c>
    </row>
    <row r="1857" customFormat="false" ht="15" hidden="false" customHeight="false" outlineLevel="0" collapsed="false">
      <c r="A1857" s="2" t="s">
        <v>776</v>
      </c>
      <c r="B1857" s="2" t="s">
        <v>775</v>
      </c>
      <c r="C1857" s="10" t="n">
        <v>45988</v>
      </c>
      <c r="D1857" s="2" t="n">
        <f aca="false">MONTH(C1857)</f>
        <v>11</v>
      </c>
      <c r="E1857" s="2" t="s">
        <v>63</v>
      </c>
      <c r="F1857" s="2" t="s">
        <v>64</v>
      </c>
      <c r="G1857" s="2" t="s">
        <v>65</v>
      </c>
      <c r="H1857" s="2" t="s">
        <v>107</v>
      </c>
      <c r="I1857" s="2" t="n">
        <v>7</v>
      </c>
      <c r="J1857" s="11" t="n">
        <v>500</v>
      </c>
      <c r="K1857" s="12" t="n">
        <v>0.05</v>
      </c>
      <c r="L1857" s="11" t="n">
        <v>250</v>
      </c>
      <c r="M1857" s="11" t="n">
        <f aca="false">I1857*J1857*(1-K1857)</f>
        <v>3325</v>
      </c>
      <c r="N1857" s="11" t="n">
        <f aca="false">M1857-I1857*L1857</f>
        <v>1575</v>
      </c>
    </row>
    <row r="1858" customFormat="false" ht="15" hidden="false" customHeight="false" outlineLevel="0" collapsed="false">
      <c r="A1858" s="2" t="s">
        <v>886</v>
      </c>
      <c r="B1858" s="2" t="s">
        <v>884</v>
      </c>
      <c r="C1858" s="10" t="n">
        <v>45988</v>
      </c>
      <c r="D1858" s="2" t="n">
        <f aca="false">MONTH(C1858)</f>
        <v>11</v>
      </c>
      <c r="E1858" s="2" t="s">
        <v>63</v>
      </c>
      <c r="F1858" s="2" t="s">
        <v>64</v>
      </c>
      <c r="G1858" s="2" t="s">
        <v>70</v>
      </c>
      <c r="H1858" s="2" t="s">
        <v>126</v>
      </c>
      <c r="I1858" s="2" t="n">
        <v>1</v>
      </c>
      <c r="J1858" s="11" t="n">
        <v>4500</v>
      </c>
      <c r="K1858" s="12" t="n">
        <v>0.05</v>
      </c>
      <c r="L1858" s="11" t="n">
        <v>3300</v>
      </c>
      <c r="M1858" s="11" t="n">
        <f aca="false">I1858*J1858*(1-K1858)</f>
        <v>4275</v>
      </c>
      <c r="N1858" s="11" t="n">
        <f aca="false">M1858-I1858*L1858</f>
        <v>975</v>
      </c>
    </row>
    <row r="1859" customFormat="false" ht="15" hidden="false" customHeight="false" outlineLevel="0" collapsed="false">
      <c r="A1859" s="2" t="s">
        <v>927</v>
      </c>
      <c r="B1859" s="2" t="s">
        <v>924</v>
      </c>
      <c r="C1859" s="10" t="n">
        <v>45988</v>
      </c>
      <c r="D1859" s="2" t="n">
        <f aca="false">MONTH(C1859)</f>
        <v>11</v>
      </c>
      <c r="E1859" s="2" t="s">
        <v>81</v>
      </c>
      <c r="F1859" s="2" t="s">
        <v>64</v>
      </c>
      <c r="G1859" s="2" t="s">
        <v>73</v>
      </c>
      <c r="H1859" s="2" t="s">
        <v>87</v>
      </c>
      <c r="I1859" s="2" t="n">
        <v>3</v>
      </c>
      <c r="J1859" s="11" t="n">
        <v>9000</v>
      </c>
      <c r="K1859" s="12" t="n">
        <v>0.1</v>
      </c>
      <c r="L1859" s="11" t="n">
        <v>6200</v>
      </c>
      <c r="M1859" s="11" t="n">
        <f aca="false">I1859*J1859*(1-K1859)</f>
        <v>24300</v>
      </c>
      <c r="N1859" s="11" t="n">
        <f aca="false">M1859-I1859*L1859</f>
        <v>5700</v>
      </c>
    </row>
    <row r="1860" customFormat="false" ht="15" hidden="false" customHeight="false" outlineLevel="0" collapsed="false">
      <c r="A1860" s="2" t="s">
        <v>999</v>
      </c>
      <c r="B1860" s="2" t="s">
        <v>998</v>
      </c>
      <c r="C1860" s="10" t="n">
        <v>45988</v>
      </c>
      <c r="D1860" s="2" t="n">
        <f aca="false">MONTH(C1860)</f>
        <v>11</v>
      </c>
      <c r="E1860" s="2" t="s">
        <v>91</v>
      </c>
      <c r="F1860" s="2" t="s">
        <v>64</v>
      </c>
      <c r="G1860" s="2" t="s">
        <v>65</v>
      </c>
      <c r="H1860" s="2" t="s">
        <v>82</v>
      </c>
      <c r="I1860" s="2" t="n">
        <v>5</v>
      </c>
      <c r="J1860" s="11" t="n">
        <v>250</v>
      </c>
      <c r="K1860" s="12" t="n">
        <v>0.05</v>
      </c>
      <c r="L1860" s="11" t="n">
        <v>100</v>
      </c>
      <c r="M1860" s="11" t="n">
        <f aca="false">I1860*J1860*(1-K1860)</f>
        <v>1187.5</v>
      </c>
      <c r="N1860" s="11" t="n">
        <f aca="false">M1860-I1860*L1860</f>
        <v>687.5</v>
      </c>
    </row>
    <row r="1861" customFormat="false" ht="15" hidden="false" customHeight="false" outlineLevel="0" collapsed="false">
      <c r="A1861" s="2" t="s">
        <v>1124</v>
      </c>
      <c r="B1861" s="2" t="s">
        <v>1122</v>
      </c>
      <c r="C1861" s="10" t="n">
        <v>45988</v>
      </c>
      <c r="D1861" s="2" t="n">
        <f aca="false">MONTH(C1861)</f>
        <v>11</v>
      </c>
      <c r="E1861" s="2" t="s">
        <v>91</v>
      </c>
      <c r="F1861" s="2" t="s">
        <v>64</v>
      </c>
      <c r="G1861" s="2" t="s">
        <v>65</v>
      </c>
      <c r="H1861" s="2" t="s">
        <v>78</v>
      </c>
      <c r="I1861" s="2" t="n">
        <v>5</v>
      </c>
      <c r="J1861" s="11" t="n">
        <v>400</v>
      </c>
      <c r="K1861" s="12" t="n">
        <v>0.15</v>
      </c>
      <c r="L1861" s="11" t="n">
        <v>200</v>
      </c>
      <c r="M1861" s="11" t="n">
        <f aca="false">I1861*J1861*(1-K1861)</f>
        <v>1700</v>
      </c>
      <c r="N1861" s="11" t="n">
        <f aca="false">M1861-I1861*L1861</f>
        <v>700</v>
      </c>
    </row>
    <row r="1862" customFormat="false" ht="15" hidden="false" customHeight="false" outlineLevel="0" collapsed="false">
      <c r="A1862" s="2" t="s">
        <v>1652</v>
      </c>
      <c r="B1862" s="2" t="s">
        <v>1651</v>
      </c>
      <c r="C1862" s="10" t="n">
        <v>45988</v>
      </c>
      <c r="D1862" s="2" t="n">
        <f aca="false">MONTH(C1862)</f>
        <v>11</v>
      </c>
      <c r="E1862" s="2" t="s">
        <v>77</v>
      </c>
      <c r="F1862" s="2" t="s">
        <v>64</v>
      </c>
      <c r="G1862" s="2" t="s">
        <v>65</v>
      </c>
      <c r="H1862" s="2" t="s">
        <v>107</v>
      </c>
      <c r="I1862" s="2" t="n">
        <v>5</v>
      </c>
      <c r="J1862" s="11" t="n">
        <v>500</v>
      </c>
      <c r="K1862" s="12" t="n">
        <v>0.15</v>
      </c>
      <c r="L1862" s="11" t="n">
        <v>250</v>
      </c>
      <c r="M1862" s="11" t="n">
        <f aca="false">I1862*J1862*(1-K1862)</f>
        <v>2125</v>
      </c>
      <c r="N1862" s="11" t="n">
        <f aca="false">M1862-I1862*L1862</f>
        <v>875</v>
      </c>
    </row>
    <row r="1863" customFormat="false" ht="15" hidden="false" customHeight="false" outlineLevel="0" collapsed="false">
      <c r="A1863" s="2" t="s">
        <v>1708</v>
      </c>
      <c r="B1863" s="2" t="s">
        <v>1707</v>
      </c>
      <c r="C1863" s="10" t="n">
        <v>45988</v>
      </c>
      <c r="D1863" s="2" t="n">
        <f aca="false">MONTH(C1863)</f>
        <v>11</v>
      </c>
      <c r="E1863" s="2" t="s">
        <v>63</v>
      </c>
      <c r="F1863" s="2" t="s">
        <v>64</v>
      </c>
      <c r="G1863" s="2" t="s">
        <v>73</v>
      </c>
      <c r="H1863" s="2" t="s">
        <v>85</v>
      </c>
      <c r="I1863" s="2" t="n">
        <v>3</v>
      </c>
      <c r="J1863" s="11" t="n">
        <v>1200</v>
      </c>
      <c r="K1863" s="12" t="n">
        <v>0.1</v>
      </c>
      <c r="L1863" s="11" t="n">
        <v>600</v>
      </c>
      <c r="M1863" s="11" t="n">
        <f aca="false">I1863*J1863*(1-K1863)</f>
        <v>3240</v>
      </c>
      <c r="N1863" s="11" t="n">
        <f aca="false">M1863-I1863*L1863</f>
        <v>1440</v>
      </c>
    </row>
    <row r="1864" customFormat="false" ht="15" hidden="false" customHeight="false" outlineLevel="0" collapsed="false">
      <c r="A1864" s="2" t="s">
        <v>2450</v>
      </c>
      <c r="B1864" s="2" t="s">
        <v>2449</v>
      </c>
      <c r="C1864" s="10" t="n">
        <v>45988</v>
      </c>
      <c r="D1864" s="2" t="n">
        <f aca="false">MONTH(C1864)</f>
        <v>11</v>
      </c>
      <c r="E1864" s="2" t="s">
        <v>63</v>
      </c>
      <c r="F1864" s="2" t="s">
        <v>69</v>
      </c>
      <c r="G1864" s="2" t="s">
        <v>73</v>
      </c>
      <c r="H1864" s="2" t="s">
        <v>74</v>
      </c>
      <c r="I1864" s="2" t="n">
        <v>4</v>
      </c>
      <c r="J1864" s="11" t="n">
        <v>7000</v>
      </c>
      <c r="K1864" s="12" t="n">
        <v>0.15</v>
      </c>
      <c r="L1864" s="11" t="n">
        <v>4800</v>
      </c>
      <c r="M1864" s="11" t="n">
        <f aca="false">I1864*J1864*(1-K1864)</f>
        <v>23800</v>
      </c>
      <c r="N1864" s="11" t="n">
        <f aca="false">M1864-I1864*L1864</f>
        <v>4600</v>
      </c>
    </row>
    <row r="1865" customFormat="false" ht="15" hidden="false" customHeight="false" outlineLevel="0" collapsed="false">
      <c r="A1865" s="2" t="s">
        <v>2792</v>
      </c>
      <c r="B1865" s="2" t="s">
        <v>2791</v>
      </c>
      <c r="C1865" s="10" t="n">
        <v>45988</v>
      </c>
      <c r="D1865" s="2" t="n">
        <f aca="false">MONTH(C1865)</f>
        <v>11</v>
      </c>
      <c r="E1865" s="2" t="s">
        <v>81</v>
      </c>
      <c r="F1865" s="2" t="s">
        <v>92</v>
      </c>
      <c r="G1865" s="2" t="s">
        <v>73</v>
      </c>
      <c r="H1865" s="2" t="s">
        <v>87</v>
      </c>
      <c r="I1865" s="2" t="n">
        <v>4</v>
      </c>
      <c r="J1865" s="11" t="n">
        <v>9000</v>
      </c>
      <c r="K1865" s="12" t="n">
        <v>0.15</v>
      </c>
      <c r="L1865" s="11" t="n">
        <v>6200</v>
      </c>
      <c r="M1865" s="11" t="n">
        <f aca="false">I1865*J1865*(1-K1865)</f>
        <v>30600</v>
      </c>
      <c r="N1865" s="11" t="n">
        <f aca="false">M1865-I1865*L1865</f>
        <v>5800</v>
      </c>
    </row>
    <row r="1866" customFormat="false" ht="15" hidden="false" customHeight="false" outlineLevel="0" collapsed="false">
      <c r="A1866" s="2" t="s">
        <v>1306</v>
      </c>
      <c r="B1866" s="2" t="s">
        <v>1300</v>
      </c>
      <c r="C1866" s="10" t="n">
        <v>45989</v>
      </c>
      <c r="D1866" s="2" t="n">
        <f aca="false">MONTH(C1866)</f>
        <v>11</v>
      </c>
      <c r="E1866" s="2" t="s">
        <v>77</v>
      </c>
      <c r="F1866" s="2" t="s">
        <v>92</v>
      </c>
      <c r="G1866" s="2" t="s">
        <v>73</v>
      </c>
      <c r="H1866" s="2" t="s">
        <v>104</v>
      </c>
      <c r="I1866" s="2" t="n">
        <v>2</v>
      </c>
      <c r="J1866" s="11" t="n">
        <v>5500</v>
      </c>
      <c r="K1866" s="12" t="n">
        <v>0.1</v>
      </c>
      <c r="L1866" s="11" t="n">
        <v>3600</v>
      </c>
      <c r="M1866" s="11" t="n">
        <f aca="false">I1866*J1866*(1-K1866)</f>
        <v>9900</v>
      </c>
      <c r="N1866" s="11" t="n">
        <f aca="false">M1866-I1866*L1866</f>
        <v>2700</v>
      </c>
    </row>
    <row r="1867" customFormat="false" ht="15" hidden="false" customHeight="false" outlineLevel="0" collapsed="false">
      <c r="A1867" s="2" t="s">
        <v>1316</v>
      </c>
      <c r="B1867" s="2" t="s">
        <v>1317</v>
      </c>
      <c r="C1867" s="10" t="n">
        <v>45989</v>
      </c>
      <c r="D1867" s="2" t="n">
        <f aca="false">MONTH(C1867)</f>
        <v>11</v>
      </c>
      <c r="E1867" s="2" t="s">
        <v>63</v>
      </c>
      <c r="F1867" s="2" t="s">
        <v>69</v>
      </c>
      <c r="G1867" s="2" t="s">
        <v>70</v>
      </c>
      <c r="H1867" s="2" t="s">
        <v>71</v>
      </c>
      <c r="I1867" s="2" t="n">
        <v>1</v>
      </c>
      <c r="J1867" s="11" t="n">
        <v>2500</v>
      </c>
      <c r="K1867" s="12" t="n">
        <v>0.05</v>
      </c>
      <c r="L1867" s="11" t="n">
        <v>1600</v>
      </c>
      <c r="M1867" s="11" t="n">
        <f aca="false">I1867*J1867*(1-K1867)</f>
        <v>2375</v>
      </c>
      <c r="N1867" s="11" t="n">
        <f aca="false">M1867-I1867*L1867</f>
        <v>775</v>
      </c>
    </row>
    <row r="1868" customFormat="false" ht="15" hidden="false" customHeight="false" outlineLevel="0" collapsed="false">
      <c r="A1868" s="2" t="s">
        <v>1320</v>
      </c>
      <c r="B1868" s="2" t="s">
        <v>1319</v>
      </c>
      <c r="C1868" s="10" t="n">
        <v>45989</v>
      </c>
      <c r="D1868" s="2" t="n">
        <f aca="false">MONTH(C1868)</f>
        <v>11</v>
      </c>
      <c r="E1868" s="2" t="s">
        <v>77</v>
      </c>
      <c r="F1868" s="2" t="s">
        <v>92</v>
      </c>
      <c r="G1868" s="2" t="s">
        <v>73</v>
      </c>
      <c r="H1868" s="2" t="s">
        <v>104</v>
      </c>
      <c r="I1868" s="2" t="n">
        <v>4</v>
      </c>
      <c r="J1868" s="11" t="n">
        <v>5500</v>
      </c>
      <c r="K1868" s="12" t="n">
        <v>0.15</v>
      </c>
      <c r="L1868" s="11" t="n">
        <v>3600</v>
      </c>
      <c r="M1868" s="11" t="n">
        <f aca="false">I1868*J1868*(1-K1868)</f>
        <v>18700</v>
      </c>
      <c r="N1868" s="11" t="n">
        <f aca="false">M1868-I1868*L1868</f>
        <v>4300</v>
      </c>
    </row>
    <row r="1869" customFormat="false" ht="15" hidden="false" customHeight="false" outlineLevel="0" collapsed="false">
      <c r="A1869" s="2" t="s">
        <v>1581</v>
      </c>
      <c r="B1869" s="2" t="s">
        <v>1579</v>
      </c>
      <c r="C1869" s="10" t="n">
        <v>45989</v>
      </c>
      <c r="D1869" s="2" t="n">
        <f aca="false">MONTH(C1869)</f>
        <v>11</v>
      </c>
      <c r="E1869" s="2" t="s">
        <v>77</v>
      </c>
      <c r="F1869" s="2" t="s">
        <v>92</v>
      </c>
      <c r="G1869" s="2" t="s">
        <v>70</v>
      </c>
      <c r="H1869" s="2" t="s">
        <v>126</v>
      </c>
      <c r="I1869" s="2" t="n">
        <v>2</v>
      </c>
      <c r="J1869" s="11" t="n">
        <v>4500</v>
      </c>
      <c r="K1869" s="12" t="n">
        <v>0.15</v>
      </c>
      <c r="L1869" s="11" t="n">
        <v>3300</v>
      </c>
      <c r="M1869" s="11" t="n">
        <f aca="false">I1869*J1869*(1-K1869)</f>
        <v>7650</v>
      </c>
      <c r="N1869" s="11" t="n">
        <f aca="false">M1869-I1869*L1869</f>
        <v>1050</v>
      </c>
    </row>
    <row r="1870" customFormat="false" ht="15" hidden="false" customHeight="false" outlineLevel="0" collapsed="false">
      <c r="A1870" s="2" t="s">
        <v>2244</v>
      </c>
      <c r="B1870" s="2" t="s">
        <v>2245</v>
      </c>
      <c r="C1870" s="10" t="n">
        <v>45989</v>
      </c>
      <c r="D1870" s="2" t="n">
        <f aca="false">MONTH(C1870)</f>
        <v>11</v>
      </c>
      <c r="E1870" s="2" t="s">
        <v>77</v>
      </c>
      <c r="F1870" s="2" t="s">
        <v>69</v>
      </c>
      <c r="G1870" s="2" t="s">
        <v>70</v>
      </c>
      <c r="H1870" s="2" t="s">
        <v>126</v>
      </c>
      <c r="I1870" s="2" t="n">
        <v>1</v>
      </c>
      <c r="J1870" s="11" t="n">
        <v>4500</v>
      </c>
      <c r="K1870" s="12" t="n">
        <v>0.15</v>
      </c>
      <c r="L1870" s="11" t="n">
        <v>3300</v>
      </c>
      <c r="M1870" s="11" t="n">
        <f aca="false">I1870*J1870*(1-K1870)</f>
        <v>3825</v>
      </c>
      <c r="N1870" s="11" t="n">
        <f aca="false">M1870-I1870*L1870</f>
        <v>525</v>
      </c>
    </row>
    <row r="1871" customFormat="false" ht="15" hidden="false" customHeight="false" outlineLevel="0" collapsed="false">
      <c r="A1871" s="2" t="s">
        <v>2455</v>
      </c>
      <c r="B1871" s="2" t="s">
        <v>2454</v>
      </c>
      <c r="C1871" s="10" t="n">
        <v>45989</v>
      </c>
      <c r="D1871" s="2" t="n">
        <f aca="false">MONTH(C1871)</f>
        <v>11</v>
      </c>
      <c r="E1871" s="2" t="s">
        <v>81</v>
      </c>
      <c r="F1871" s="2" t="s">
        <v>69</v>
      </c>
      <c r="G1871" s="2" t="s">
        <v>70</v>
      </c>
      <c r="H1871" s="2" t="s">
        <v>122</v>
      </c>
      <c r="I1871" s="2" t="n">
        <v>1</v>
      </c>
      <c r="J1871" s="11" t="n">
        <v>1500</v>
      </c>
      <c r="K1871" s="12" t="n">
        <v>0.15</v>
      </c>
      <c r="L1871" s="11" t="n">
        <v>900</v>
      </c>
      <c r="M1871" s="11" t="n">
        <f aca="false">I1871*J1871*(1-K1871)</f>
        <v>1275</v>
      </c>
      <c r="N1871" s="11" t="n">
        <f aca="false">M1871-I1871*L1871</f>
        <v>375</v>
      </c>
    </row>
    <row r="1872" customFormat="false" ht="15" hidden="false" customHeight="false" outlineLevel="0" collapsed="false">
      <c r="A1872" s="2" t="s">
        <v>2657</v>
      </c>
      <c r="B1872" s="2" t="s">
        <v>2658</v>
      </c>
      <c r="C1872" s="10" t="n">
        <v>45989</v>
      </c>
      <c r="D1872" s="2" t="n">
        <f aca="false">MONTH(C1872)</f>
        <v>11</v>
      </c>
      <c r="E1872" s="2" t="s">
        <v>81</v>
      </c>
      <c r="F1872" s="2" t="s">
        <v>64</v>
      </c>
      <c r="G1872" s="2" t="s">
        <v>65</v>
      </c>
      <c r="H1872" s="2" t="s">
        <v>66</v>
      </c>
      <c r="I1872" s="2" t="n">
        <v>4</v>
      </c>
      <c r="J1872" s="11" t="n">
        <v>600</v>
      </c>
      <c r="K1872" s="12" t="n">
        <v>0.1</v>
      </c>
      <c r="L1872" s="11" t="n">
        <v>300</v>
      </c>
      <c r="M1872" s="11" t="n">
        <f aca="false">I1872*J1872*(1-K1872)</f>
        <v>2160</v>
      </c>
      <c r="N1872" s="11" t="n">
        <f aca="false">M1872-I1872*L1872</f>
        <v>960</v>
      </c>
    </row>
    <row r="1873" customFormat="false" ht="15" hidden="false" customHeight="false" outlineLevel="0" collapsed="false">
      <c r="A1873" s="2" t="s">
        <v>444</v>
      </c>
      <c r="B1873" s="2" t="s">
        <v>442</v>
      </c>
      <c r="C1873" s="10" t="n">
        <v>45992</v>
      </c>
      <c r="D1873" s="2" t="n">
        <f aca="false">MONTH(C1873)</f>
        <v>12</v>
      </c>
      <c r="E1873" s="2" t="s">
        <v>81</v>
      </c>
      <c r="F1873" s="2" t="s">
        <v>64</v>
      </c>
      <c r="G1873" s="2" t="s">
        <v>73</v>
      </c>
      <c r="H1873" s="2" t="s">
        <v>104</v>
      </c>
      <c r="I1873" s="2" t="n">
        <v>2</v>
      </c>
      <c r="J1873" s="11" t="n">
        <v>5500</v>
      </c>
      <c r="K1873" s="12" t="n">
        <v>0.15</v>
      </c>
      <c r="L1873" s="11" t="n">
        <v>3600</v>
      </c>
      <c r="M1873" s="11" t="n">
        <f aca="false">I1873*J1873*(1-K1873)</f>
        <v>9350</v>
      </c>
      <c r="N1873" s="11" t="n">
        <f aca="false">M1873-I1873*L1873</f>
        <v>2150</v>
      </c>
    </row>
    <row r="1874" customFormat="false" ht="15" hidden="false" customHeight="false" outlineLevel="0" collapsed="false">
      <c r="A1874" s="2" t="s">
        <v>454</v>
      </c>
      <c r="B1874" s="2" t="s">
        <v>450</v>
      </c>
      <c r="C1874" s="10" t="n">
        <v>45992</v>
      </c>
      <c r="D1874" s="2" t="n">
        <f aca="false">MONTH(C1874)</f>
        <v>12</v>
      </c>
      <c r="E1874" s="2" t="s">
        <v>77</v>
      </c>
      <c r="F1874" s="2" t="s">
        <v>64</v>
      </c>
      <c r="G1874" s="2" t="s">
        <v>73</v>
      </c>
      <c r="H1874" s="2" t="s">
        <v>87</v>
      </c>
      <c r="I1874" s="2" t="n">
        <v>2</v>
      </c>
      <c r="J1874" s="11" t="n">
        <v>9000</v>
      </c>
      <c r="K1874" s="12" t="n">
        <v>0.05</v>
      </c>
      <c r="L1874" s="11" t="n">
        <v>6200</v>
      </c>
      <c r="M1874" s="11" t="n">
        <f aca="false">I1874*J1874*(1-K1874)</f>
        <v>17100</v>
      </c>
      <c r="N1874" s="11" t="n">
        <f aca="false">M1874-I1874*L1874</f>
        <v>4700</v>
      </c>
    </row>
    <row r="1875" customFormat="false" ht="15" hidden="false" customHeight="false" outlineLevel="0" collapsed="false">
      <c r="A1875" s="2" t="s">
        <v>1150</v>
      </c>
      <c r="B1875" s="2" t="s">
        <v>1146</v>
      </c>
      <c r="C1875" s="10" t="n">
        <v>45992</v>
      </c>
      <c r="D1875" s="2" t="n">
        <f aca="false">MONTH(C1875)</f>
        <v>12</v>
      </c>
      <c r="E1875" s="2" t="s">
        <v>63</v>
      </c>
      <c r="F1875" s="2" t="s">
        <v>64</v>
      </c>
      <c r="G1875" s="2" t="s">
        <v>65</v>
      </c>
      <c r="H1875" s="2" t="s">
        <v>82</v>
      </c>
      <c r="I1875" s="2" t="n">
        <v>3</v>
      </c>
      <c r="J1875" s="11" t="n">
        <v>250</v>
      </c>
      <c r="K1875" s="12" t="n">
        <v>0.05</v>
      </c>
      <c r="L1875" s="11" t="n">
        <v>100</v>
      </c>
      <c r="M1875" s="11" t="n">
        <f aca="false">I1875*J1875*(1-K1875)</f>
        <v>712.5</v>
      </c>
      <c r="N1875" s="11" t="n">
        <f aca="false">M1875-I1875*L1875</f>
        <v>412.5</v>
      </c>
    </row>
    <row r="1876" customFormat="false" ht="15" hidden="false" customHeight="false" outlineLevel="0" collapsed="false">
      <c r="A1876" s="2" t="s">
        <v>1347</v>
      </c>
      <c r="B1876" s="2" t="s">
        <v>1348</v>
      </c>
      <c r="C1876" s="10" t="n">
        <v>45992</v>
      </c>
      <c r="D1876" s="2" t="n">
        <f aca="false">MONTH(C1876)</f>
        <v>12</v>
      </c>
      <c r="E1876" s="2" t="s">
        <v>81</v>
      </c>
      <c r="F1876" s="2" t="s">
        <v>69</v>
      </c>
      <c r="G1876" s="2" t="s">
        <v>73</v>
      </c>
      <c r="H1876" s="2" t="s">
        <v>85</v>
      </c>
      <c r="I1876" s="2" t="n">
        <v>3</v>
      </c>
      <c r="J1876" s="11" t="n">
        <v>1200</v>
      </c>
      <c r="K1876" s="12" t="n">
        <v>0.05</v>
      </c>
      <c r="L1876" s="11" t="n">
        <v>600</v>
      </c>
      <c r="M1876" s="11" t="n">
        <f aca="false">I1876*J1876*(1-K1876)</f>
        <v>3420</v>
      </c>
      <c r="N1876" s="11" t="n">
        <f aca="false">M1876-I1876*L1876</f>
        <v>1620</v>
      </c>
    </row>
    <row r="1877" customFormat="false" ht="15" hidden="false" customHeight="false" outlineLevel="0" collapsed="false">
      <c r="A1877" s="2" t="s">
        <v>1575</v>
      </c>
      <c r="B1877" s="2" t="s">
        <v>1576</v>
      </c>
      <c r="C1877" s="10" t="n">
        <v>45992</v>
      </c>
      <c r="D1877" s="2" t="n">
        <f aca="false">MONTH(C1877)</f>
        <v>12</v>
      </c>
      <c r="E1877" s="2" t="s">
        <v>63</v>
      </c>
      <c r="F1877" s="2" t="s">
        <v>92</v>
      </c>
      <c r="G1877" s="2" t="s">
        <v>73</v>
      </c>
      <c r="H1877" s="2" t="s">
        <v>104</v>
      </c>
      <c r="I1877" s="2" t="n">
        <v>7</v>
      </c>
      <c r="J1877" s="11" t="n">
        <v>5500</v>
      </c>
      <c r="K1877" s="12" t="n">
        <v>0.15</v>
      </c>
      <c r="L1877" s="11" t="n">
        <v>3600</v>
      </c>
      <c r="M1877" s="11" t="n">
        <f aca="false">I1877*J1877*(1-K1877)</f>
        <v>32725</v>
      </c>
      <c r="N1877" s="11" t="n">
        <f aca="false">M1877-I1877*L1877</f>
        <v>7525</v>
      </c>
    </row>
    <row r="1878" customFormat="false" ht="15" hidden="false" customHeight="false" outlineLevel="0" collapsed="false">
      <c r="A1878" s="2" t="s">
        <v>2284</v>
      </c>
      <c r="B1878" s="2" t="s">
        <v>2282</v>
      </c>
      <c r="C1878" s="10" t="n">
        <v>45992</v>
      </c>
      <c r="D1878" s="2" t="n">
        <f aca="false">MONTH(C1878)</f>
        <v>12</v>
      </c>
      <c r="E1878" s="2" t="s">
        <v>63</v>
      </c>
      <c r="F1878" s="2" t="s">
        <v>64</v>
      </c>
      <c r="G1878" s="2" t="s">
        <v>73</v>
      </c>
      <c r="H1878" s="2" t="s">
        <v>104</v>
      </c>
      <c r="I1878" s="2" t="n">
        <v>1</v>
      </c>
      <c r="J1878" s="11" t="n">
        <v>5500</v>
      </c>
      <c r="K1878" s="12" t="n">
        <v>0.05</v>
      </c>
      <c r="L1878" s="11" t="n">
        <v>3600</v>
      </c>
      <c r="M1878" s="11" t="n">
        <f aca="false">I1878*J1878*(1-K1878)</f>
        <v>5225</v>
      </c>
      <c r="N1878" s="11" t="n">
        <f aca="false">M1878-I1878*L1878</f>
        <v>1625</v>
      </c>
    </row>
    <row r="1879" customFormat="false" ht="15" hidden="false" customHeight="false" outlineLevel="0" collapsed="false">
      <c r="A1879" s="2" t="s">
        <v>2536</v>
      </c>
      <c r="B1879" s="2" t="s">
        <v>2528</v>
      </c>
      <c r="C1879" s="10" t="n">
        <v>45992</v>
      </c>
      <c r="D1879" s="2" t="n">
        <f aca="false">MONTH(C1879)</f>
        <v>12</v>
      </c>
      <c r="E1879" s="2" t="s">
        <v>63</v>
      </c>
      <c r="F1879" s="2" t="s">
        <v>69</v>
      </c>
      <c r="G1879" s="2" t="s">
        <v>73</v>
      </c>
      <c r="H1879" s="2" t="s">
        <v>104</v>
      </c>
      <c r="I1879" s="2" t="n">
        <v>2</v>
      </c>
      <c r="J1879" s="11" t="n">
        <v>5500</v>
      </c>
      <c r="K1879" s="12" t="n">
        <v>0.1</v>
      </c>
      <c r="L1879" s="11" t="n">
        <v>3600</v>
      </c>
      <c r="M1879" s="11" t="n">
        <f aca="false">I1879*J1879*(1-K1879)</f>
        <v>9900</v>
      </c>
      <c r="N1879" s="11" t="n">
        <f aca="false">M1879-I1879*L1879</f>
        <v>2700</v>
      </c>
    </row>
    <row r="1880" customFormat="false" ht="15" hidden="false" customHeight="false" outlineLevel="0" collapsed="false">
      <c r="A1880" s="2" t="s">
        <v>2996</v>
      </c>
      <c r="B1880" s="2" t="s">
        <v>2993</v>
      </c>
      <c r="C1880" s="10" t="n">
        <v>45992</v>
      </c>
      <c r="D1880" s="2" t="n">
        <f aca="false">MONTH(C1880)</f>
        <v>12</v>
      </c>
      <c r="E1880" s="2" t="s">
        <v>91</v>
      </c>
      <c r="F1880" s="2" t="s">
        <v>92</v>
      </c>
      <c r="G1880" s="2" t="s">
        <v>70</v>
      </c>
      <c r="H1880" s="2" t="s">
        <v>126</v>
      </c>
      <c r="I1880" s="2" t="n">
        <v>3</v>
      </c>
      <c r="J1880" s="11" t="n">
        <v>4500</v>
      </c>
      <c r="K1880" s="12" t="n">
        <v>0.15</v>
      </c>
      <c r="L1880" s="11" t="n">
        <v>3300</v>
      </c>
      <c r="M1880" s="11" t="n">
        <f aca="false">I1880*J1880*(1-K1880)</f>
        <v>11475</v>
      </c>
      <c r="N1880" s="11" t="n">
        <f aca="false">M1880-I1880*L1880</f>
        <v>1575</v>
      </c>
    </row>
    <row r="1881" customFormat="false" ht="15" hidden="false" customHeight="false" outlineLevel="0" collapsed="false">
      <c r="A1881" s="2" t="s">
        <v>207</v>
      </c>
      <c r="B1881" s="2" t="s">
        <v>205</v>
      </c>
      <c r="C1881" s="10" t="n">
        <v>45993</v>
      </c>
      <c r="D1881" s="2" t="n">
        <f aca="false">MONTH(C1881)</f>
        <v>12</v>
      </c>
      <c r="E1881" s="2" t="s">
        <v>63</v>
      </c>
      <c r="F1881" s="2" t="s">
        <v>64</v>
      </c>
      <c r="G1881" s="2" t="s">
        <v>70</v>
      </c>
      <c r="H1881" s="2" t="s">
        <v>71</v>
      </c>
      <c r="I1881" s="2" t="n">
        <v>3</v>
      </c>
      <c r="J1881" s="11" t="n">
        <v>2500</v>
      </c>
      <c r="K1881" s="12" t="n">
        <v>0.05</v>
      </c>
      <c r="L1881" s="11" t="n">
        <v>1600</v>
      </c>
      <c r="M1881" s="11" t="n">
        <f aca="false">I1881*J1881*(1-K1881)</f>
        <v>7125</v>
      </c>
      <c r="N1881" s="11" t="n">
        <f aca="false">M1881-I1881*L1881</f>
        <v>2325</v>
      </c>
    </row>
    <row r="1882" customFormat="false" ht="15" hidden="false" customHeight="false" outlineLevel="0" collapsed="false">
      <c r="A1882" s="2" t="s">
        <v>377</v>
      </c>
      <c r="B1882" s="2" t="s">
        <v>376</v>
      </c>
      <c r="C1882" s="10" t="n">
        <v>45993</v>
      </c>
      <c r="D1882" s="2" t="n">
        <f aca="false">MONTH(C1882)</f>
        <v>12</v>
      </c>
      <c r="E1882" s="2" t="s">
        <v>77</v>
      </c>
      <c r="F1882" s="2" t="s">
        <v>64</v>
      </c>
      <c r="G1882" s="2" t="s">
        <v>73</v>
      </c>
      <c r="H1882" s="2" t="s">
        <v>87</v>
      </c>
      <c r="I1882" s="2" t="n">
        <v>2</v>
      </c>
      <c r="J1882" s="11" t="n">
        <v>9000</v>
      </c>
      <c r="K1882" s="12" t="n">
        <v>0.05</v>
      </c>
      <c r="L1882" s="11" t="n">
        <v>6200</v>
      </c>
      <c r="M1882" s="11" t="n">
        <f aca="false">I1882*J1882*(1-K1882)</f>
        <v>17100</v>
      </c>
      <c r="N1882" s="11" t="n">
        <f aca="false">M1882-I1882*L1882</f>
        <v>4700</v>
      </c>
    </row>
    <row r="1883" customFormat="false" ht="15" hidden="false" customHeight="false" outlineLevel="0" collapsed="false">
      <c r="A1883" s="2" t="s">
        <v>390</v>
      </c>
      <c r="B1883" s="2" t="s">
        <v>388</v>
      </c>
      <c r="C1883" s="10" t="n">
        <v>45993</v>
      </c>
      <c r="D1883" s="2" t="n">
        <f aca="false">MONTH(C1883)</f>
        <v>12</v>
      </c>
      <c r="E1883" s="2" t="s">
        <v>81</v>
      </c>
      <c r="F1883" s="2" t="s">
        <v>64</v>
      </c>
      <c r="G1883" s="2" t="s">
        <v>73</v>
      </c>
      <c r="H1883" s="2" t="s">
        <v>85</v>
      </c>
      <c r="I1883" s="2" t="n">
        <v>3</v>
      </c>
      <c r="J1883" s="11" t="n">
        <v>1200</v>
      </c>
      <c r="K1883" s="12" t="n">
        <v>0.05</v>
      </c>
      <c r="L1883" s="11" t="n">
        <v>600</v>
      </c>
      <c r="M1883" s="11" t="n">
        <f aca="false">I1883*J1883*(1-K1883)</f>
        <v>3420</v>
      </c>
      <c r="N1883" s="11" t="n">
        <f aca="false">M1883-I1883*L1883</f>
        <v>1620</v>
      </c>
    </row>
    <row r="1884" customFormat="false" ht="15" hidden="false" customHeight="false" outlineLevel="0" collapsed="false">
      <c r="A1884" s="2" t="s">
        <v>1364</v>
      </c>
      <c r="B1884" s="2" t="s">
        <v>1358</v>
      </c>
      <c r="C1884" s="10" t="n">
        <v>45993</v>
      </c>
      <c r="D1884" s="2" t="n">
        <f aca="false">MONTH(C1884)</f>
        <v>12</v>
      </c>
      <c r="E1884" s="2" t="s">
        <v>77</v>
      </c>
      <c r="F1884" s="2" t="s">
        <v>64</v>
      </c>
      <c r="G1884" s="2" t="s">
        <v>70</v>
      </c>
      <c r="H1884" s="2" t="s">
        <v>122</v>
      </c>
      <c r="I1884" s="2" t="n">
        <v>1</v>
      </c>
      <c r="J1884" s="11" t="n">
        <v>1500</v>
      </c>
      <c r="K1884" s="12" t="n">
        <v>0.05</v>
      </c>
      <c r="L1884" s="11" t="n">
        <v>900</v>
      </c>
      <c r="M1884" s="11" t="n">
        <f aca="false">I1884*J1884*(1-K1884)</f>
        <v>1425</v>
      </c>
      <c r="N1884" s="11" t="n">
        <f aca="false">M1884-I1884*L1884</f>
        <v>525</v>
      </c>
    </row>
    <row r="1885" customFormat="false" ht="15" hidden="false" customHeight="false" outlineLevel="0" collapsed="false">
      <c r="A1885" s="2" t="s">
        <v>1464</v>
      </c>
      <c r="B1885" s="2" t="s">
        <v>1461</v>
      </c>
      <c r="C1885" s="10" t="n">
        <v>45993</v>
      </c>
      <c r="D1885" s="2" t="n">
        <f aca="false">MONTH(C1885)</f>
        <v>12</v>
      </c>
      <c r="E1885" s="2" t="s">
        <v>77</v>
      </c>
      <c r="F1885" s="2" t="s">
        <v>69</v>
      </c>
      <c r="G1885" s="2" t="s">
        <v>73</v>
      </c>
      <c r="H1885" s="2" t="s">
        <v>87</v>
      </c>
      <c r="I1885" s="2" t="n">
        <v>3</v>
      </c>
      <c r="J1885" s="11" t="n">
        <v>9000</v>
      </c>
      <c r="K1885" s="12" t="n">
        <v>0.05</v>
      </c>
      <c r="L1885" s="11" t="n">
        <v>6200</v>
      </c>
      <c r="M1885" s="11" t="n">
        <f aca="false">I1885*J1885*(1-K1885)</f>
        <v>25650</v>
      </c>
      <c r="N1885" s="11" t="n">
        <f aca="false">M1885-I1885*L1885</f>
        <v>7050</v>
      </c>
    </row>
    <row r="1886" customFormat="false" ht="15" hidden="false" customHeight="false" outlineLevel="0" collapsed="false">
      <c r="A1886" s="2" t="s">
        <v>1520</v>
      </c>
      <c r="B1886" s="2" t="s">
        <v>1516</v>
      </c>
      <c r="C1886" s="10" t="n">
        <v>45993</v>
      </c>
      <c r="D1886" s="2" t="n">
        <f aca="false">MONTH(C1886)</f>
        <v>12</v>
      </c>
      <c r="E1886" s="2" t="s">
        <v>81</v>
      </c>
      <c r="F1886" s="2" t="s">
        <v>64</v>
      </c>
      <c r="G1886" s="2" t="s">
        <v>65</v>
      </c>
      <c r="H1886" s="2" t="s">
        <v>66</v>
      </c>
      <c r="I1886" s="2" t="n">
        <v>7</v>
      </c>
      <c r="J1886" s="11" t="n">
        <v>600</v>
      </c>
      <c r="K1886" s="12" t="n">
        <v>0.15</v>
      </c>
      <c r="L1886" s="11" t="n">
        <v>300</v>
      </c>
      <c r="M1886" s="11" t="n">
        <f aca="false">I1886*J1886*(1-K1886)</f>
        <v>3570</v>
      </c>
      <c r="N1886" s="11" t="n">
        <f aca="false">M1886-I1886*L1886</f>
        <v>1470</v>
      </c>
    </row>
    <row r="1887" customFormat="false" ht="15" hidden="false" customHeight="false" outlineLevel="0" collapsed="false">
      <c r="A1887" s="2" t="s">
        <v>2569</v>
      </c>
      <c r="B1887" s="2" t="s">
        <v>2570</v>
      </c>
      <c r="C1887" s="10" t="n">
        <v>45993</v>
      </c>
      <c r="D1887" s="2" t="n">
        <f aca="false">MONTH(C1887)</f>
        <v>12</v>
      </c>
      <c r="E1887" s="2" t="s">
        <v>63</v>
      </c>
      <c r="F1887" s="2" t="s">
        <v>64</v>
      </c>
      <c r="G1887" s="2" t="s">
        <v>70</v>
      </c>
      <c r="H1887" s="2" t="s">
        <v>97</v>
      </c>
      <c r="I1887" s="2" t="n">
        <v>3</v>
      </c>
      <c r="J1887" s="11" t="n">
        <v>3000</v>
      </c>
      <c r="K1887" s="12" t="n">
        <v>0.05</v>
      </c>
      <c r="L1887" s="11" t="n">
        <v>2000</v>
      </c>
      <c r="M1887" s="11" t="n">
        <f aca="false">I1887*J1887*(1-K1887)</f>
        <v>8550</v>
      </c>
      <c r="N1887" s="11" t="n">
        <f aca="false">M1887-I1887*L1887</f>
        <v>2550</v>
      </c>
    </row>
    <row r="1888" customFormat="false" ht="15" hidden="false" customHeight="false" outlineLevel="0" collapsed="false">
      <c r="A1888" s="2" t="s">
        <v>373</v>
      </c>
      <c r="B1888" s="2" t="s">
        <v>374</v>
      </c>
      <c r="C1888" s="10" t="n">
        <v>45994</v>
      </c>
      <c r="D1888" s="2" t="n">
        <f aca="false">MONTH(C1888)</f>
        <v>12</v>
      </c>
      <c r="E1888" s="2" t="s">
        <v>91</v>
      </c>
      <c r="F1888" s="2" t="s">
        <v>64</v>
      </c>
      <c r="G1888" s="2" t="s">
        <v>70</v>
      </c>
      <c r="H1888" s="2" t="s">
        <v>122</v>
      </c>
      <c r="I1888" s="2" t="n">
        <v>1</v>
      </c>
      <c r="J1888" s="11" t="n">
        <v>1500</v>
      </c>
      <c r="K1888" s="12" t="n">
        <v>0.1</v>
      </c>
      <c r="L1888" s="11" t="n">
        <v>900</v>
      </c>
      <c r="M1888" s="11" t="n">
        <f aca="false">I1888*J1888*(1-K1888)</f>
        <v>1350</v>
      </c>
      <c r="N1888" s="11" t="n">
        <f aca="false">M1888-I1888*L1888</f>
        <v>450</v>
      </c>
    </row>
    <row r="1889" customFormat="false" ht="15" hidden="false" customHeight="false" outlineLevel="0" collapsed="false">
      <c r="A1889" s="2" t="s">
        <v>395</v>
      </c>
      <c r="B1889" s="2" t="s">
        <v>396</v>
      </c>
      <c r="C1889" s="10" t="n">
        <v>45994</v>
      </c>
      <c r="D1889" s="2" t="n">
        <f aca="false">MONTH(C1889)</f>
        <v>12</v>
      </c>
      <c r="E1889" s="2" t="s">
        <v>77</v>
      </c>
      <c r="F1889" s="2" t="s">
        <v>64</v>
      </c>
      <c r="G1889" s="2" t="s">
        <v>65</v>
      </c>
      <c r="H1889" s="2" t="s">
        <v>66</v>
      </c>
      <c r="I1889" s="2" t="n">
        <v>8</v>
      </c>
      <c r="J1889" s="11" t="n">
        <v>600</v>
      </c>
      <c r="K1889" s="12" t="n">
        <v>0.05</v>
      </c>
      <c r="L1889" s="11" t="n">
        <v>300</v>
      </c>
      <c r="M1889" s="11" t="n">
        <f aca="false">I1889*J1889*(1-K1889)</f>
        <v>4560</v>
      </c>
      <c r="N1889" s="11" t="n">
        <f aca="false">M1889-I1889*L1889</f>
        <v>2160</v>
      </c>
    </row>
    <row r="1890" customFormat="false" ht="15" hidden="false" customHeight="false" outlineLevel="0" collapsed="false">
      <c r="A1890" s="2" t="s">
        <v>583</v>
      </c>
      <c r="B1890" s="2" t="s">
        <v>584</v>
      </c>
      <c r="C1890" s="10" t="n">
        <v>45994</v>
      </c>
      <c r="D1890" s="2" t="n">
        <f aca="false">MONTH(C1890)</f>
        <v>12</v>
      </c>
      <c r="E1890" s="2" t="s">
        <v>63</v>
      </c>
      <c r="F1890" s="2" t="s">
        <v>64</v>
      </c>
      <c r="G1890" s="2" t="s">
        <v>65</v>
      </c>
      <c r="H1890" s="2" t="s">
        <v>82</v>
      </c>
      <c r="I1890" s="2" t="n">
        <v>5</v>
      </c>
      <c r="J1890" s="11" t="n">
        <v>250</v>
      </c>
      <c r="K1890" s="12" t="n">
        <v>0.05</v>
      </c>
      <c r="L1890" s="11" t="n">
        <v>100</v>
      </c>
      <c r="M1890" s="11" t="n">
        <f aca="false">I1890*J1890*(1-K1890)</f>
        <v>1187.5</v>
      </c>
      <c r="N1890" s="11" t="n">
        <f aca="false">M1890-I1890*L1890</f>
        <v>687.5</v>
      </c>
    </row>
    <row r="1891" customFormat="false" ht="15" hidden="false" customHeight="false" outlineLevel="0" collapsed="false">
      <c r="A1891" s="2" t="s">
        <v>757</v>
      </c>
      <c r="B1891" s="2" t="s">
        <v>752</v>
      </c>
      <c r="C1891" s="10" t="n">
        <v>45994</v>
      </c>
      <c r="D1891" s="2" t="n">
        <f aca="false">MONTH(C1891)</f>
        <v>12</v>
      </c>
      <c r="E1891" s="2" t="s">
        <v>81</v>
      </c>
      <c r="F1891" s="2" t="s">
        <v>92</v>
      </c>
      <c r="G1891" s="2" t="s">
        <v>70</v>
      </c>
      <c r="H1891" s="2" t="s">
        <v>126</v>
      </c>
      <c r="I1891" s="2" t="n">
        <v>5</v>
      </c>
      <c r="J1891" s="11" t="n">
        <v>4500</v>
      </c>
      <c r="K1891" s="12" t="n">
        <v>0.1</v>
      </c>
      <c r="L1891" s="11" t="n">
        <v>3300</v>
      </c>
      <c r="M1891" s="11" t="n">
        <f aca="false">I1891*J1891*(1-K1891)</f>
        <v>20250</v>
      </c>
      <c r="N1891" s="11" t="n">
        <f aca="false">M1891-I1891*L1891</f>
        <v>3750</v>
      </c>
    </row>
    <row r="1892" customFormat="false" ht="15" hidden="false" customHeight="false" outlineLevel="0" collapsed="false">
      <c r="A1892" s="2" t="s">
        <v>1786</v>
      </c>
      <c r="B1892" s="2" t="s">
        <v>1783</v>
      </c>
      <c r="C1892" s="10" t="n">
        <v>45994</v>
      </c>
      <c r="D1892" s="2" t="n">
        <f aca="false">MONTH(C1892)</f>
        <v>12</v>
      </c>
      <c r="E1892" s="2" t="s">
        <v>77</v>
      </c>
      <c r="F1892" s="2" t="s">
        <v>64</v>
      </c>
      <c r="G1892" s="2" t="s">
        <v>65</v>
      </c>
      <c r="H1892" s="2" t="s">
        <v>78</v>
      </c>
      <c r="I1892" s="2" t="n">
        <v>7</v>
      </c>
      <c r="J1892" s="11" t="n">
        <v>400</v>
      </c>
      <c r="K1892" s="12" t="n">
        <v>0.05</v>
      </c>
      <c r="L1892" s="11" t="n">
        <v>200</v>
      </c>
      <c r="M1892" s="11" t="n">
        <f aca="false">I1892*J1892*(1-K1892)</f>
        <v>2660</v>
      </c>
      <c r="N1892" s="11" t="n">
        <f aca="false">M1892-I1892*L1892</f>
        <v>1260</v>
      </c>
    </row>
    <row r="1893" customFormat="false" ht="15" hidden="false" customHeight="false" outlineLevel="0" collapsed="false">
      <c r="A1893" s="2" t="s">
        <v>1900</v>
      </c>
      <c r="B1893" s="2" t="s">
        <v>1901</v>
      </c>
      <c r="C1893" s="10" t="n">
        <v>45994</v>
      </c>
      <c r="D1893" s="2" t="n">
        <f aca="false">MONTH(C1893)</f>
        <v>12</v>
      </c>
      <c r="E1893" s="2" t="s">
        <v>63</v>
      </c>
      <c r="F1893" s="2" t="s">
        <v>64</v>
      </c>
      <c r="G1893" s="2" t="s">
        <v>65</v>
      </c>
      <c r="H1893" s="2" t="s">
        <v>78</v>
      </c>
      <c r="I1893" s="2" t="n">
        <v>5</v>
      </c>
      <c r="J1893" s="11" t="n">
        <v>400</v>
      </c>
      <c r="K1893" s="12" t="n">
        <v>0.15</v>
      </c>
      <c r="L1893" s="11" t="n">
        <v>200</v>
      </c>
      <c r="M1893" s="11" t="n">
        <f aca="false">I1893*J1893*(1-K1893)</f>
        <v>1700</v>
      </c>
      <c r="N1893" s="11" t="n">
        <f aca="false">M1893-I1893*L1893</f>
        <v>700</v>
      </c>
    </row>
    <row r="1894" customFormat="false" ht="15" hidden="false" customHeight="false" outlineLevel="0" collapsed="false">
      <c r="A1894" s="2" t="s">
        <v>2208</v>
      </c>
      <c r="B1894" s="2" t="s">
        <v>2209</v>
      </c>
      <c r="C1894" s="10" t="n">
        <v>45994</v>
      </c>
      <c r="D1894" s="2" t="n">
        <f aca="false">MONTH(C1894)</f>
        <v>12</v>
      </c>
      <c r="E1894" s="2" t="s">
        <v>77</v>
      </c>
      <c r="F1894" s="2" t="s">
        <v>92</v>
      </c>
      <c r="G1894" s="2" t="s">
        <v>73</v>
      </c>
      <c r="H1894" s="2" t="s">
        <v>104</v>
      </c>
      <c r="I1894" s="2" t="n">
        <v>8</v>
      </c>
      <c r="J1894" s="11" t="n">
        <v>5500</v>
      </c>
      <c r="K1894" s="12" t="n">
        <v>0.15</v>
      </c>
      <c r="L1894" s="11" t="n">
        <v>3600</v>
      </c>
      <c r="M1894" s="11" t="n">
        <f aca="false">I1894*J1894*(1-K1894)</f>
        <v>37400</v>
      </c>
      <c r="N1894" s="11" t="n">
        <f aca="false">M1894-I1894*L1894</f>
        <v>8600</v>
      </c>
    </row>
    <row r="1895" customFormat="false" ht="15" hidden="false" customHeight="false" outlineLevel="0" collapsed="false">
      <c r="A1895" s="2" t="s">
        <v>2405</v>
      </c>
      <c r="B1895" s="2" t="s">
        <v>2406</v>
      </c>
      <c r="C1895" s="10" t="n">
        <v>45994</v>
      </c>
      <c r="D1895" s="2" t="n">
        <f aca="false">MONTH(C1895)</f>
        <v>12</v>
      </c>
      <c r="E1895" s="2" t="s">
        <v>81</v>
      </c>
      <c r="F1895" s="2" t="s">
        <v>69</v>
      </c>
      <c r="G1895" s="2" t="s">
        <v>70</v>
      </c>
      <c r="H1895" s="2" t="s">
        <v>97</v>
      </c>
      <c r="I1895" s="2" t="n">
        <v>4</v>
      </c>
      <c r="J1895" s="11" t="n">
        <v>3000</v>
      </c>
      <c r="K1895" s="12" t="n">
        <v>0.05</v>
      </c>
      <c r="L1895" s="11" t="n">
        <v>2000</v>
      </c>
      <c r="M1895" s="11" t="n">
        <f aca="false">I1895*J1895*(1-K1895)</f>
        <v>11400</v>
      </c>
      <c r="N1895" s="11" t="n">
        <f aca="false">M1895-I1895*L1895</f>
        <v>3400</v>
      </c>
    </row>
    <row r="1896" customFormat="false" ht="15" hidden="false" customHeight="false" outlineLevel="0" collapsed="false">
      <c r="A1896" s="2" t="s">
        <v>2492</v>
      </c>
      <c r="B1896" s="2" t="s">
        <v>2486</v>
      </c>
      <c r="C1896" s="10" t="n">
        <v>45994</v>
      </c>
      <c r="D1896" s="2" t="n">
        <f aca="false">MONTH(C1896)</f>
        <v>12</v>
      </c>
      <c r="E1896" s="2" t="s">
        <v>63</v>
      </c>
      <c r="F1896" s="2" t="s">
        <v>64</v>
      </c>
      <c r="G1896" s="2" t="s">
        <v>70</v>
      </c>
      <c r="H1896" s="2" t="s">
        <v>71</v>
      </c>
      <c r="I1896" s="2" t="n">
        <v>3</v>
      </c>
      <c r="J1896" s="11" t="n">
        <v>2500</v>
      </c>
      <c r="K1896" s="12" t="n">
        <v>0.05</v>
      </c>
      <c r="L1896" s="11" t="n">
        <v>1600</v>
      </c>
      <c r="M1896" s="11" t="n">
        <f aca="false">I1896*J1896*(1-K1896)</f>
        <v>7125</v>
      </c>
      <c r="N1896" s="11" t="n">
        <f aca="false">M1896-I1896*L1896</f>
        <v>2325</v>
      </c>
    </row>
    <row r="1897" customFormat="false" ht="15" hidden="false" customHeight="false" outlineLevel="0" collapsed="false">
      <c r="A1897" s="2" t="s">
        <v>2748</v>
      </c>
      <c r="B1897" s="2" t="s">
        <v>2747</v>
      </c>
      <c r="C1897" s="10" t="n">
        <v>45994</v>
      </c>
      <c r="D1897" s="2" t="n">
        <f aca="false">MONTH(C1897)</f>
        <v>12</v>
      </c>
      <c r="E1897" s="2" t="s">
        <v>63</v>
      </c>
      <c r="F1897" s="2" t="s">
        <v>64</v>
      </c>
      <c r="G1897" s="2" t="s">
        <v>73</v>
      </c>
      <c r="H1897" s="2" t="s">
        <v>87</v>
      </c>
      <c r="I1897" s="2" t="n">
        <v>3</v>
      </c>
      <c r="J1897" s="11" t="n">
        <v>9000</v>
      </c>
      <c r="K1897" s="12" t="n">
        <v>0.05</v>
      </c>
      <c r="L1897" s="11" t="n">
        <v>6200</v>
      </c>
      <c r="M1897" s="11" t="n">
        <f aca="false">I1897*J1897*(1-K1897)</f>
        <v>25650</v>
      </c>
      <c r="N1897" s="11" t="n">
        <f aca="false">M1897-I1897*L1897</f>
        <v>7050</v>
      </c>
    </row>
    <row r="1898" customFormat="false" ht="15" hidden="false" customHeight="false" outlineLevel="0" collapsed="false">
      <c r="A1898" s="2" t="s">
        <v>2951</v>
      </c>
      <c r="B1898" s="2" t="s">
        <v>2952</v>
      </c>
      <c r="C1898" s="10" t="n">
        <v>45994</v>
      </c>
      <c r="D1898" s="2" t="n">
        <f aca="false">MONTH(C1898)</f>
        <v>12</v>
      </c>
      <c r="E1898" s="2" t="s">
        <v>81</v>
      </c>
      <c r="F1898" s="2" t="s">
        <v>69</v>
      </c>
      <c r="G1898" s="2" t="s">
        <v>65</v>
      </c>
      <c r="H1898" s="2" t="s">
        <v>78</v>
      </c>
      <c r="I1898" s="2" t="n">
        <v>12</v>
      </c>
      <c r="J1898" s="11" t="n">
        <v>400</v>
      </c>
      <c r="K1898" s="12" t="n">
        <v>0.05</v>
      </c>
      <c r="L1898" s="11" t="n">
        <v>200</v>
      </c>
      <c r="M1898" s="11" t="n">
        <f aca="false">I1898*J1898*(1-K1898)</f>
        <v>4560</v>
      </c>
      <c r="N1898" s="11" t="n">
        <f aca="false">M1898-I1898*L1898</f>
        <v>2160</v>
      </c>
    </row>
    <row r="1899" customFormat="false" ht="15" hidden="false" customHeight="false" outlineLevel="0" collapsed="false">
      <c r="A1899" s="2" t="s">
        <v>75</v>
      </c>
      <c r="B1899" s="2" t="s">
        <v>76</v>
      </c>
      <c r="C1899" s="10" t="n">
        <v>45995</v>
      </c>
      <c r="D1899" s="2" t="n">
        <f aca="false">MONTH(C1899)</f>
        <v>12</v>
      </c>
      <c r="E1899" s="2" t="s">
        <v>77</v>
      </c>
      <c r="F1899" s="2" t="s">
        <v>64</v>
      </c>
      <c r="G1899" s="2" t="s">
        <v>65</v>
      </c>
      <c r="H1899" s="2" t="s">
        <v>78</v>
      </c>
      <c r="I1899" s="2" t="n">
        <v>6</v>
      </c>
      <c r="J1899" s="11" t="n">
        <v>400</v>
      </c>
      <c r="K1899" s="12" t="n">
        <v>0.15</v>
      </c>
      <c r="L1899" s="11" t="n">
        <v>200</v>
      </c>
      <c r="M1899" s="11" t="n">
        <f aca="false">I1899*J1899*(1-K1899)</f>
        <v>2040</v>
      </c>
      <c r="N1899" s="11" t="n">
        <f aca="false">M1899-I1899*L1899</f>
        <v>840</v>
      </c>
    </row>
    <row r="1900" customFormat="false" ht="15" hidden="false" customHeight="false" outlineLevel="0" collapsed="false">
      <c r="A1900" s="2" t="s">
        <v>351</v>
      </c>
      <c r="B1900" s="2" t="s">
        <v>349</v>
      </c>
      <c r="C1900" s="10" t="n">
        <v>45995</v>
      </c>
      <c r="D1900" s="2" t="n">
        <f aca="false">MONTH(C1900)</f>
        <v>12</v>
      </c>
      <c r="E1900" s="2" t="s">
        <v>77</v>
      </c>
      <c r="F1900" s="2" t="s">
        <v>64</v>
      </c>
      <c r="G1900" s="2" t="s">
        <v>70</v>
      </c>
      <c r="H1900" s="2" t="s">
        <v>97</v>
      </c>
      <c r="I1900" s="2" t="n">
        <v>2</v>
      </c>
      <c r="J1900" s="11" t="n">
        <v>3000</v>
      </c>
      <c r="K1900" s="12" t="n">
        <v>0.05</v>
      </c>
      <c r="L1900" s="11" t="n">
        <v>2000</v>
      </c>
      <c r="M1900" s="11" t="n">
        <f aca="false">I1900*J1900*(1-K1900)</f>
        <v>5700</v>
      </c>
      <c r="N1900" s="11" t="n">
        <f aca="false">M1900-I1900*L1900</f>
        <v>1700</v>
      </c>
    </row>
    <row r="1901" customFormat="false" ht="15" hidden="false" customHeight="false" outlineLevel="0" collapsed="false">
      <c r="A1901" s="2" t="s">
        <v>1311</v>
      </c>
      <c r="B1901" s="2" t="s">
        <v>1312</v>
      </c>
      <c r="C1901" s="10" t="n">
        <v>45995</v>
      </c>
      <c r="D1901" s="2" t="n">
        <f aca="false">MONTH(C1901)</f>
        <v>12</v>
      </c>
      <c r="E1901" s="2" t="s">
        <v>91</v>
      </c>
      <c r="F1901" s="2" t="s">
        <v>69</v>
      </c>
      <c r="G1901" s="2" t="s">
        <v>73</v>
      </c>
      <c r="H1901" s="2" t="s">
        <v>87</v>
      </c>
      <c r="I1901" s="2" t="n">
        <v>1</v>
      </c>
      <c r="J1901" s="11" t="n">
        <v>9000</v>
      </c>
      <c r="K1901" s="12" t="n">
        <v>0.05</v>
      </c>
      <c r="L1901" s="11" t="n">
        <v>6200</v>
      </c>
      <c r="M1901" s="11" t="n">
        <f aca="false">I1901*J1901*(1-K1901)</f>
        <v>8550</v>
      </c>
      <c r="N1901" s="11" t="n">
        <f aca="false">M1901-I1901*L1901</f>
        <v>2350</v>
      </c>
    </row>
    <row r="1902" customFormat="false" ht="15" hidden="false" customHeight="false" outlineLevel="0" collapsed="false">
      <c r="A1902" s="2" t="s">
        <v>1402</v>
      </c>
      <c r="B1902" s="2" t="s">
        <v>1401</v>
      </c>
      <c r="C1902" s="10" t="n">
        <v>45995</v>
      </c>
      <c r="D1902" s="2" t="n">
        <f aca="false">MONTH(C1902)</f>
        <v>12</v>
      </c>
      <c r="E1902" s="2" t="s">
        <v>77</v>
      </c>
      <c r="F1902" s="2" t="s">
        <v>64</v>
      </c>
      <c r="G1902" s="2" t="s">
        <v>65</v>
      </c>
      <c r="H1902" s="2" t="s">
        <v>107</v>
      </c>
      <c r="I1902" s="2" t="n">
        <v>3</v>
      </c>
      <c r="J1902" s="11" t="n">
        <v>500</v>
      </c>
      <c r="K1902" s="12" t="n">
        <v>0.15</v>
      </c>
      <c r="L1902" s="11" t="n">
        <v>250</v>
      </c>
      <c r="M1902" s="11" t="n">
        <f aca="false">I1902*J1902*(1-K1902)</f>
        <v>1275</v>
      </c>
      <c r="N1902" s="11" t="n">
        <f aca="false">M1902-I1902*L1902</f>
        <v>525</v>
      </c>
    </row>
    <row r="1903" customFormat="false" ht="15" hidden="false" customHeight="false" outlineLevel="0" collapsed="false">
      <c r="A1903" s="2" t="s">
        <v>2003</v>
      </c>
      <c r="B1903" s="2" t="s">
        <v>2000</v>
      </c>
      <c r="C1903" s="10" t="n">
        <v>45995</v>
      </c>
      <c r="D1903" s="2" t="n">
        <f aca="false">MONTH(C1903)</f>
        <v>12</v>
      </c>
      <c r="E1903" s="2" t="s">
        <v>91</v>
      </c>
      <c r="F1903" s="2" t="s">
        <v>64</v>
      </c>
      <c r="G1903" s="2" t="s">
        <v>73</v>
      </c>
      <c r="H1903" s="2" t="s">
        <v>85</v>
      </c>
      <c r="I1903" s="2" t="n">
        <v>3</v>
      </c>
      <c r="J1903" s="11" t="n">
        <v>1200</v>
      </c>
      <c r="K1903" s="12" t="n">
        <v>0.1</v>
      </c>
      <c r="L1903" s="11" t="n">
        <v>600</v>
      </c>
      <c r="M1903" s="11" t="n">
        <f aca="false">I1903*J1903*(1-K1903)</f>
        <v>3240</v>
      </c>
      <c r="N1903" s="11" t="n">
        <f aca="false">M1903-I1903*L1903</f>
        <v>1440</v>
      </c>
    </row>
    <row r="1904" customFormat="false" ht="15" hidden="false" customHeight="false" outlineLevel="0" collapsed="false">
      <c r="A1904" s="2" t="s">
        <v>2058</v>
      </c>
      <c r="B1904" s="2" t="s">
        <v>2054</v>
      </c>
      <c r="C1904" s="10" t="n">
        <v>45995</v>
      </c>
      <c r="D1904" s="2" t="n">
        <f aca="false">MONTH(C1904)</f>
        <v>12</v>
      </c>
      <c r="E1904" s="2" t="s">
        <v>91</v>
      </c>
      <c r="F1904" s="2" t="s">
        <v>64</v>
      </c>
      <c r="G1904" s="2" t="s">
        <v>65</v>
      </c>
      <c r="H1904" s="2" t="s">
        <v>66</v>
      </c>
      <c r="I1904" s="2" t="n">
        <v>2</v>
      </c>
      <c r="J1904" s="11" t="n">
        <v>600</v>
      </c>
      <c r="K1904" s="12" t="n">
        <v>0.05</v>
      </c>
      <c r="L1904" s="11" t="n">
        <v>300</v>
      </c>
      <c r="M1904" s="11" t="n">
        <f aca="false">I1904*J1904*(1-K1904)</f>
        <v>1140</v>
      </c>
      <c r="N1904" s="11" t="n">
        <f aca="false">M1904-I1904*L1904</f>
        <v>540</v>
      </c>
    </row>
    <row r="1905" customFormat="false" ht="15" hidden="false" customHeight="false" outlineLevel="0" collapsed="false">
      <c r="A1905" s="2" t="s">
        <v>130</v>
      </c>
      <c r="B1905" s="2" t="s">
        <v>129</v>
      </c>
      <c r="C1905" s="10" t="n">
        <v>45996</v>
      </c>
      <c r="D1905" s="2" t="n">
        <f aca="false">MONTH(C1905)</f>
        <v>12</v>
      </c>
      <c r="E1905" s="2" t="s">
        <v>77</v>
      </c>
      <c r="F1905" s="2" t="s">
        <v>64</v>
      </c>
      <c r="G1905" s="2" t="s">
        <v>73</v>
      </c>
      <c r="H1905" s="2" t="s">
        <v>74</v>
      </c>
      <c r="I1905" s="2" t="n">
        <v>1</v>
      </c>
      <c r="J1905" s="11" t="n">
        <v>7000</v>
      </c>
      <c r="K1905" s="12" t="n">
        <v>0.1</v>
      </c>
      <c r="L1905" s="11" t="n">
        <v>4800</v>
      </c>
      <c r="M1905" s="11" t="n">
        <f aca="false">I1905*J1905*(1-K1905)</f>
        <v>6300</v>
      </c>
      <c r="N1905" s="11" t="n">
        <f aca="false">M1905-I1905*L1905</f>
        <v>1500</v>
      </c>
    </row>
    <row r="1906" customFormat="false" ht="15" hidden="false" customHeight="false" outlineLevel="0" collapsed="false">
      <c r="A1906" s="2" t="s">
        <v>1105</v>
      </c>
      <c r="B1906" s="2" t="s">
        <v>1102</v>
      </c>
      <c r="C1906" s="10" t="n">
        <v>45996</v>
      </c>
      <c r="D1906" s="2" t="n">
        <f aca="false">MONTH(C1906)</f>
        <v>12</v>
      </c>
      <c r="E1906" s="2" t="s">
        <v>63</v>
      </c>
      <c r="F1906" s="2" t="s">
        <v>69</v>
      </c>
      <c r="G1906" s="2" t="s">
        <v>70</v>
      </c>
      <c r="H1906" s="2" t="s">
        <v>122</v>
      </c>
      <c r="I1906" s="2" t="n">
        <v>5</v>
      </c>
      <c r="J1906" s="11" t="n">
        <v>1500</v>
      </c>
      <c r="K1906" s="12" t="n">
        <v>0.05</v>
      </c>
      <c r="L1906" s="11" t="n">
        <v>900</v>
      </c>
      <c r="M1906" s="11" t="n">
        <f aca="false">I1906*J1906*(1-K1906)</f>
        <v>7125</v>
      </c>
      <c r="N1906" s="11" t="n">
        <f aca="false">M1906-I1906*L1906</f>
        <v>2625</v>
      </c>
    </row>
    <row r="1907" customFormat="false" ht="15" hidden="false" customHeight="false" outlineLevel="0" collapsed="false">
      <c r="A1907" s="2" t="s">
        <v>1148</v>
      </c>
      <c r="B1907" s="2" t="s">
        <v>1146</v>
      </c>
      <c r="C1907" s="10" t="n">
        <v>45996</v>
      </c>
      <c r="D1907" s="2" t="n">
        <f aca="false">MONTH(C1907)</f>
        <v>12</v>
      </c>
      <c r="E1907" s="2" t="s">
        <v>63</v>
      </c>
      <c r="F1907" s="2" t="s">
        <v>64</v>
      </c>
      <c r="G1907" s="2" t="s">
        <v>70</v>
      </c>
      <c r="H1907" s="2" t="s">
        <v>97</v>
      </c>
      <c r="I1907" s="2" t="n">
        <v>2</v>
      </c>
      <c r="J1907" s="11" t="n">
        <v>3000</v>
      </c>
      <c r="K1907" s="12" t="n">
        <v>0.05</v>
      </c>
      <c r="L1907" s="11" t="n">
        <v>2000</v>
      </c>
      <c r="M1907" s="11" t="n">
        <f aca="false">I1907*J1907*(1-K1907)</f>
        <v>5700</v>
      </c>
      <c r="N1907" s="11" t="n">
        <f aca="false">M1907-I1907*L1907</f>
        <v>1700</v>
      </c>
    </row>
    <row r="1908" customFormat="false" ht="15" hidden="false" customHeight="false" outlineLevel="0" collapsed="false">
      <c r="A1908" s="2" t="s">
        <v>1661</v>
      </c>
      <c r="B1908" s="2" t="s">
        <v>1655</v>
      </c>
      <c r="C1908" s="10" t="n">
        <v>45996</v>
      </c>
      <c r="D1908" s="2" t="n">
        <f aca="false">MONTH(C1908)</f>
        <v>12</v>
      </c>
      <c r="E1908" s="2" t="s">
        <v>91</v>
      </c>
      <c r="F1908" s="2" t="s">
        <v>64</v>
      </c>
      <c r="G1908" s="2" t="s">
        <v>70</v>
      </c>
      <c r="H1908" s="2" t="s">
        <v>71</v>
      </c>
      <c r="I1908" s="2" t="n">
        <v>3</v>
      </c>
      <c r="J1908" s="11" t="n">
        <v>2500</v>
      </c>
      <c r="K1908" s="12" t="n">
        <v>0.1</v>
      </c>
      <c r="L1908" s="11" t="n">
        <v>1600</v>
      </c>
      <c r="M1908" s="11" t="n">
        <f aca="false">I1908*J1908*(1-K1908)</f>
        <v>6750</v>
      </c>
      <c r="N1908" s="11" t="n">
        <f aca="false">M1908-I1908*L1908</f>
        <v>1950</v>
      </c>
    </row>
    <row r="1909" customFormat="false" ht="15" hidden="false" customHeight="false" outlineLevel="0" collapsed="false">
      <c r="A1909" s="2" t="s">
        <v>1753</v>
      </c>
      <c r="B1909" s="2" t="s">
        <v>1751</v>
      </c>
      <c r="C1909" s="10" t="n">
        <v>45996</v>
      </c>
      <c r="D1909" s="2" t="n">
        <f aca="false">MONTH(C1909)</f>
        <v>12</v>
      </c>
      <c r="E1909" s="2" t="s">
        <v>77</v>
      </c>
      <c r="F1909" s="2" t="s">
        <v>69</v>
      </c>
      <c r="G1909" s="2" t="s">
        <v>73</v>
      </c>
      <c r="H1909" s="2" t="s">
        <v>74</v>
      </c>
      <c r="I1909" s="2" t="n">
        <v>5</v>
      </c>
      <c r="J1909" s="11" t="n">
        <v>7000</v>
      </c>
      <c r="K1909" s="12" t="n">
        <v>0.05</v>
      </c>
      <c r="L1909" s="11" t="n">
        <v>4800</v>
      </c>
      <c r="M1909" s="11" t="n">
        <f aca="false">I1909*J1909*(1-K1909)</f>
        <v>33250</v>
      </c>
      <c r="N1909" s="11" t="n">
        <f aca="false">M1909-I1909*L1909</f>
        <v>9250</v>
      </c>
    </row>
    <row r="1910" customFormat="false" ht="15" hidden="false" customHeight="false" outlineLevel="0" collapsed="false">
      <c r="A1910" s="2" t="s">
        <v>1765</v>
      </c>
      <c r="B1910" s="2" t="s">
        <v>1766</v>
      </c>
      <c r="C1910" s="10" t="n">
        <v>45996</v>
      </c>
      <c r="D1910" s="2" t="n">
        <f aca="false">MONTH(C1910)</f>
        <v>12</v>
      </c>
      <c r="E1910" s="2" t="s">
        <v>77</v>
      </c>
      <c r="F1910" s="2" t="s">
        <v>69</v>
      </c>
      <c r="G1910" s="2" t="s">
        <v>70</v>
      </c>
      <c r="H1910" s="2" t="s">
        <v>126</v>
      </c>
      <c r="I1910" s="2" t="n">
        <v>2</v>
      </c>
      <c r="J1910" s="11" t="n">
        <v>4500</v>
      </c>
      <c r="K1910" s="12" t="n">
        <v>0.15</v>
      </c>
      <c r="L1910" s="11" t="n">
        <v>3300</v>
      </c>
      <c r="M1910" s="11" t="n">
        <f aca="false">I1910*J1910*(1-K1910)</f>
        <v>7650</v>
      </c>
      <c r="N1910" s="11" t="n">
        <f aca="false">M1910-I1910*L1910</f>
        <v>1050</v>
      </c>
    </row>
    <row r="1911" customFormat="false" ht="15" hidden="false" customHeight="false" outlineLevel="0" collapsed="false">
      <c r="A1911" s="2" t="s">
        <v>1846</v>
      </c>
      <c r="B1911" s="2" t="s">
        <v>1843</v>
      </c>
      <c r="C1911" s="10" t="n">
        <v>45996</v>
      </c>
      <c r="D1911" s="2" t="n">
        <f aca="false">MONTH(C1911)</f>
        <v>12</v>
      </c>
      <c r="E1911" s="2" t="s">
        <v>63</v>
      </c>
      <c r="F1911" s="2" t="s">
        <v>64</v>
      </c>
      <c r="G1911" s="2" t="s">
        <v>65</v>
      </c>
      <c r="H1911" s="2" t="s">
        <v>66</v>
      </c>
      <c r="I1911" s="2" t="n">
        <v>6</v>
      </c>
      <c r="J1911" s="11" t="n">
        <v>600</v>
      </c>
      <c r="K1911" s="12" t="n">
        <v>0.05</v>
      </c>
      <c r="L1911" s="11" t="n">
        <v>300</v>
      </c>
      <c r="M1911" s="11" t="n">
        <f aca="false">I1911*J1911*(1-K1911)</f>
        <v>3420</v>
      </c>
      <c r="N1911" s="11" t="n">
        <f aca="false">M1911-I1911*L1911</f>
        <v>1620</v>
      </c>
    </row>
    <row r="1912" customFormat="false" ht="15" hidden="false" customHeight="false" outlineLevel="0" collapsed="false">
      <c r="A1912" s="2" t="s">
        <v>2321</v>
      </c>
      <c r="B1912" s="2" t="s">
        <v>2318</v>
      </c>
      <c r="C1912" s="10" t="n">
        <v>45996</v>
      </c>
      <c r="D1912" s="2" t="n">
        <f aca="false">MONTH(C1912)</f>
        <v>12</v>
      </c>
      <c r="E1912" s="2" t="s">
        <v>77</v>
      </c>
      <c r="F1912" s="2" t="s">
        <v>64</v>
      </c>
      <c r="G1912" s="2" t="s">
        <v>70</v>
      </c>
      <c r="H1912" s="2" t="s">
        <v>71</v>
      </c>
      <c r="I1912" s="2" t="n">
        <v>2</v>
      </c>
      <c r="J1912" s="11" t="n">
        <v>2500</v>
      </c>
      <c r="K1912" s="12" t="n">
        <v>0.05</v>
      </c>
      <c r="L1912" s="11" t="n">
        <v>1600</v>
      </c>
      <c r="M1912" s="11" t="n">
        <f aca="false">I1912*J1912*(1-K1912)</f>
        <v>4750</v>
      </c>
      <c r="N1912" s="11" t="n">
        <f aca="false">M1912-I1912*L1912</f>
        <v>1550</v>
      </c>
    </row>
    <row r="1913" customFormat="false" ht="15" hidden="false" customHeight="false" outlineLevel="0" collapsed="false">
      <c r="A1913" s="2" t="s">
        <v>445</v>
      </c>
      <c r="B1913" s="2" t="s">
        <v>446</v>
      </c>
      <c r="C1913" s="10" t="n">
        <v>45997</v>
      </c>
      <c r="D1913" s="2" t="n">
        <f aca="false">MONTH(C1913)</f>
        <v>12</v>
      </c>
      <c r="E1913" s="2" t="s">
        <v>91</v>
      </c>
      <c r="F1913" s="2" t="s">
        <v>69</v>
      </c>
      <c r="G1913" s="2" t="s">
        <v>70</v>
      </c>
      <c r="H1913" s="2" t="s">
        <v>126</v>
      </c>
      <c r="I1913" s="2" t="n">
        <v>2</v>
      </c>
      <c r="J1913" s="11" t="n">
        <v>4500</v>
      </c>
      <c r="K1913" s="12" t="n">
        <v>0.05</v>
      </c>
      <c r="L1913" s="11" t="n">
        <v>3300</v>
      </c>
      <c r="M1913" s="11" t="n">
        <f aca="false">I1913*J1913*(1-K1913)</f>
        <v>8550</v>
      </c>
      <c r="N1913" s="11" t="n">
        <f aca="false">M1913-I1913*L1913</f>
        <v>1950</v>
      </c>
    </row>
    <row r="1914" customFormat="false" ht="15" hidden="false" customHeight="false" outlineLevel="0" collapsed="false">
      <c r="A1914" s="2" t="s">
        <v>620</v>
      </c>
      <c r="B1914" s="2" t="s">
        <v>616</v>
      </c>
      <c r="C1914" s="10" t="n">
        <v>45997</v>
      </c>
      <c r="D1914" s="2" t="n">
        <f aca="false">MONTH(C1914)</f>
        <v>12</v>
      </c>
      <c r="E1914" s="2" t="s">
        <v>81</v>
      </c>
      <c r="F1914" s="2" t="s">
        <v>64</v>
      </c>
      <c r="G1914" s="2" t="s">
        <v>65</v>
      </c>
      <c r="H1914" s="2" t="s">
        <v>82</v>
      </c>
      <c r="I1914" s="2" t="n">
        <v>3</v>
      </c>
      <c r="J1914" s="11" t="n">
        <v>250</v>
      </c>
      <c r="K1914" s="12" t="n">
        <v>0.05</v>
      </c>
      <c r="L1914" s="11" t="n">
        <v>100</v>
      </c>
      <c r="M1914" s="11" t="n">
        <f aca="false">I1914*J1914*(1-K1914)</f>
        <v>712.5</v>
      </c>
      <c r="N1914" s="11" t="n">
        <f aca="false">M1914-I1914*L1914</f>
        <v>412.5</v>
      </c>
    </row>
    <row r="1915" customFormat="false" ht="15" hidden="false" customHeight="false" outlineLevel="0" collapsed="false">
      <c r="A1915" s="2" t="s">
        <v>632</v>
      </c>
      <c r="B1915" s="2" t="s">
        <v>633</v>
      </c>
      <c r="C1915" s="10" t="n">
        <v>45997</v>
      </c>
      <c r="D1915" s="2" t="n">
        <f aca="false">MONTH(C1915)</f>
        <v>12</v>
      </c>
      <c r="E1915" s="2" t="s">
        <v>77</v>
      </c>
      <c r="F1915" s="2" t="s">
        <v>64</v>
      </c>
      <c r="G1915" s="2" t="s">
        <v>70</v>
      </c>
      <c r="H1915" s="2" t="s">
        <v>126</v>
      </c>
      <c r="I1915" s="2" t="n">
        <v>2</v>
      </c>
      <c r="J1915" s="11" t="n">
        <v>4500</v>
      </c>
      <c r="K1915" s="12" t="n">
        <v>0.05</v>
      </c>
      <c r="L1915" s="11" t="n">
        <v>3300</v>
      </c>
      <c r="M1915" s="11" t="n">
        <f aca="false">I1915*J1915*(1-K1915)</f>
        <v>8550</v>
      </c>
      <c r="N1915" s="11" t="n">
        <f aca="false">M1915-I1915*L1915</f>
        <v>1950</v>
      </c>
    </row>
    <row r="1916" customFormat="false" ht="15" hidden="false" customHeight="false" outlineLevel="0" collapsed="false">
      <c r="A1916" s="2" t="s">
        <v>681</v>
      </c>
      <c r="B1916" s="2" t="s">
        <v>680</v>
      </c>
      <c r="C1916" s="10" t="n">
        <v>45997</v>
      </c>
      <c r="D1916" s="2" t="n">
        <f aca="false">MONTH(C1916)</f>
        <v>12</v>
      </c>
      <c r="E1916" s="2" t="s">
        <v>77</v>
      </c>
      <c r="F1916" s="2" t="s">
        <v>69</v>
      </c>
      <c r="G1916" s="2" t="s">
        <v>73</v>
      </c>
      <c r="H1916" s="2" t="s">
        <v>74</v>
      </c>
      <c r="I1916" s="2" t="n">
        <v>4</v>
      </c>
      <c r="J1916" s="11" t="n">
        <v>7000</v>
      </c>
      <c r="K1916" s="12" t="n">
        <v>0.05</v>
      </c>
      <c r="L1916" s="11" t="n">
        <v>4800</v>
      </c>
      <c r="M1916" s="11" t="n">
        <f aca="false">I1916*J1916*(1-K1916)</f>
        <v>26600</v>
      </c>
      <c r="N1916" s="11" t="n">
        <f aca="false">M1916-I1916*L1916</f>
        <v>7400</v>
      </c>
    </row>
    <row r="1917" customFormat="false" ht="15" hidden="false" customHeight="false" outlineLevel="0" collapsed="false">
      <c r="A1917" s="2" t="s">
        <v>2355</v>
      </c>
      <c r="B1917" s="2" t="s">
        <v>2354</v>
      </c>
      <c r="C1917" s="10" t="n">
        <v>45997</v>
      </c>
      <c r="D1917" s="2" t="n">
        <f aca="false">MONTH(C1917)</f>
        <v>12</v>
      </c>
      <c r="E1917" s="2" t="s">
        <v>91</v>
      </c>
      <c r="F1917" s="2" t="s">
        <v>92</v>
      </c>
      <c r="G1917" s="2" t="s">
        <v>73</v>
      </c>
      <c r="H1917" s="2" t="s">
        <v>85</v>
      </c>
      <c r="I1917" s="2" t="n">
        <v>2</v>
      </c>
      <c r="J1917" s="11" t="n">
        <v>1200</v>
      </c>
      <c r="K1917" s="12" t="n">
        <v>0.15</v>
      </c>
      <c r="L1917" s="11" t="n">
        <v>600</v>
      </c>
      <c r="M1917" s="11" t="n">
        <f aca="false">I1917*J1917*(1-K1917)</f>
        <v>2040</v>
      </c>
      <c r="N1917" s="11" t="n">
        <f aca="false">M1917-I1917*L1917</f>
        <v>840</v>
      </c>
    </row>
    <row r="1918" customFormat="false" ht="15" hidden="false" customHeight="false" outlineLevel="0" collapsed="false">
      <c r="A1918" s="2" t="s">
        <v>2396</v>
      </c>
      <c r="B1918" s="2" t="s">
        <v>2393</v>
      </c>
      <c r="C1918" s="10" t="n">
        <v>45997</v>
      </c>
      <c r="D1918" s="2" t="n">
        <f aca="false">MONTH(C1918)</f>
        <v>12</v>
      </c>
      <c r="E1918" s="2" t="s">
        <v>77</v>
      </c>
      <c r="F1918" s="2" t="s">
        <v>69</v>
      </c>
      <c r="G1918" s="2" t="s">
        <v>65</v>
      </c>
      <c r="H1918" s="2" t="s">
        <v>66</v>
      </c>
      <c r="I1918" s="2" t="n">
        <v>17</v>
      </c>
      <c r="J1918" s="11" t="n">
        <v>600</v>
      </c>
      <c r="K1918" s="12" t="n">
        <v>0.05</v>
      </c>
      <c r="L1918" s="11" t="n">
        <v>300</v>
      </c>
      <c r="M1918" s="11" t="n">
        <f aca="false">I1918*J1918*(1-K1918)</f>
        <v>9690</v>
      </c>
      <c r="N1918" s="11" t="n">
        <f aca="false">M1918-I1918*L1918</f>
        <v>4590</v>
      </c>
    </row>
    <row r="1919" customFormat="false" ht="15" hidden="false" customHeight="false" outlineLevel="0" collapsed="false">
      <c r="A1919" s="2" t="s">
        <v>2413</v>
      </c>
      <c r="B1919" s="2" t="s">
        <v>2406</v>
      </c>
      <c r="C1919" s="10" t="n">
        <v>45997</v>
      </c>
      <c r="D1919" s="2" t="n">
        <f aca="false">MONTH(C1919)</f>
        <v>12</v>
      </c>
      <c r="E1919" s="2" t="s">
        <v>81</v>
      </c>
      <c r="F1919" s="2" t="s">
        <v>69</v>
      </c>
      <c r="G1919" s="2" t="s">
        <v>73</v>
      </c>
      <c r="H1919" s="2" t="s">
        <v>104</v>
      </c>
      <c r="I1919" s="2" t="n">
        <v>5</v>
      </c>
      <c r="J1919" s="11" t="n">
        <v>5500</v>
      </c>
      <c r="K1919" s="12" t="n">
        <v>0.05</v>
      </c>
      <c r="L1919" s="11" t="n">
        <v>3600</v>
      </c>
      <c r="M1919" s="11" t="n">
        <f aca="false">I1919*J1919*(1-K1919)</f>
        <v>26125</v>
      </c>
      <c r="N1919" s="11" t="n">
        <f aca="false">M1919-I1919*L1919</f>
        <v>8125</v>
      </c>
    </row>
    <row r="1920" customFormat="false" ht="15" hidden="false" customHeight="false" outlineLevel="0" collapsed="false">
      <c r="A1920" s="2" t="s">
        <v>2802</v>
      </c>
      <c r="B1920" s="2" t="s">
        <v>2795</v>
      </c>
      <c r="C1920" s="10" t="n">
        <v>45997</v>
      </c>
      <c r="D1920" s="2" t="n">
        <f aca="false">MONTH(C1920)</f>
        <v>12</v>
      </c>
      <c r="E1920" s="2" t="s">
        <v>91</v>
      </c>
      <c r="F1920" s="2" t="s">
        <v>64</v>
      </c>
      <c r="G1920" s="2" t="s">
        <v>65</v>
      </c>
      <c r="H1920" s="2" t="s">
        <v>78</v>
      </c>
      <c r="I1920" s="2" t="n">
        <v>8</v>
      </c>
      <c r="J1920" s="11" t="n">
        <v>400</v>
      </c>
      <c r="K1920" s="12" t="n">
        <v>0.05</v>
      </c>
      <c r="L1920" s="11" t="n">
        <v>200</v>
      </c>
      <c r="M1920" s="11" t="n">
        <f aca="false">I1920*J1920*(1-K1920)</f>
        <v>3040</v>
      </c>
      <c r="N1920" s="11" t="n">
        <f aca="false">M1920-I1920*L1920</f>
        <v>1440</v>
      </c>
    </row>
    <row r="1921" customFormat="false" ht="15" hidden="false" customHeight="false" outlineLevel="0" collapsed="false">
      <c r="A1921" s="2" t="s">
        <v>67</v>
      </c>
      <c r="B1921" s="2" t="s">
        <v>68</v>
      </c>
      <c r="C1921" s="10" t="n">
        <v>45998</v>
      </c>
      <c r="D1921" s="2" t="n">
        <f aca="false">MONTH(C1921)</f>
        <v>12</v>
      </c>
      <c r="E1921" s="2" t="s">
        <v>63</v>
      </c>
      <c r="F1921" s="2" t="s">
        <v>69</v>
      </c>
      <c r="G1921" s="2" t="s">
        <v>70</v>
      </c>
      <c r="H1921" s="2" t="s">
        <v>71</v>
      </c>
      <c r="I1921" s="2" t="n">
        <v>5</v>
      </c>
      <c r="J1921" s="11" t="n">
        <v>2500</v>
      </c>
      <c r="K1921" s="12" t="n">
        <v>0.15</v>
      </c>
      <c r="L1921" s="11" t="n">
        <v>1600</v>
      </c>
      <c r="M1921" s="11" t="n">
        <f aca="false">I1921*J1921*(1-K1921)</f>
        <v>10625</v>
      </c>
      <c r="N1921" s="11" t="n">
        <f aca="false">M1921-I1921*L1921</f>
        <v>2625</v>
      </c>
    </row>
    <row r="1922" customFormat="false" ht="15" hidden="false" customHeight="false" outlineLevel="0" collapsed="false">
      <c r="A1922" s="2" t="s">
        <v>300</v>
      </c>
      <c r="B1922" s="2" t="s">
        <v>299</v>
      </c>
      <c r="C1922" s="10" t="n">
        <v>45998</v>
      </c>
      <c r="D1922" s="2" t="n">
        <f aca="false">MONTH(C1922)</f>
        <v>12</v>
      </c>
      <c r="E1922" s="2" t="s">
        <v>63</v>
      </c>
      <c r="F1922" s="2" t="s">
        <v>64</v>
      </c>
      <c r="G1922" s="2" t="s">
        <v>65</v>
      </c>
      <c r="H1922" s="2" t="s">
        <v>107</v>
      </c>
      <c r="I1922" s="2" t="n">
        <v>7</v>
      </c>
      <c r="J1922" s="11" t="n">
        <v>500</v>
      </c>
      <c r="K1922" s="12" t="n">
        <v>0.05</v>
      </c>
      <c r="L1922" s="11" t="n">
        <v>250</v>
      </c>
      <c r="M1922" s="11" t="n">
        <f aca="false">I1922*J1922*(1-K1922)</f>
        <v>3325</v>
      </c>
      <c r="N1922" s="11" t="n">
        <f aca="false">M1922-I1922*L1922</f>
        <v>1575</v>
      </c>
    </row>
    <row r="1923" customFormat="false" ht="15" hidden="false" customHeight="false" outlineLevel="0" collapsed="false">
      <c r="A1923" s="2" t="s">
        <v>815</v>
      </c>
      <c r="B1923" s="2" t="s">
        <v>816</v>
      </c>
      <c r="C1923" s="10" t="n">
        <v>45998</v>
      </c>
      <c r="D1923" s="2" t="n">
        <f aca="false">MONTH(C1923)</f>
        <v>12</v>
      </c>
      <c r="E1923" s="2" t="s">
        <v>77</v>
      </c>
      <c r="F1923" s="2" t="s">
        <v>69</v>
      </c>
      <c r="G1923" s="2" t="s">
        <v>73</v>
      </c>
      <c r="H1923" s="2" t="s">
        <v>87</v>
      </c>
      <c r="I1923" s="2" t="n">
        <v>4</v>
      </c>
      <c r="J1923" s="11" t="n">
        <v>9000</v>
      </c>
      <c r="K1923" s="12" t="n">
        <v>0.15</v>
      </c>
      <c r="L1923" s="11" t="n">
        <v>6200</v>
      </c>
      <c r="M1923" s="11" t="n">
        <f aca="false">I1923*J1923*(1-K1923)</f>
        <v>30600</v>
      </c>
      <c r="N1923" s="11" t="n">
        <f aca="false">M1923-I1923*L1923</f>
        <v>5800</v>
      </c>
    </row>
    <row r="1924" customFormat="false" ht="15" hidden="false" customHeight="false" outlineLevel="0" collapsed="false">
      <c r="A1924" s="2" t="s">
        <v>1149</v>
      </c>
      <c r="B1924" s="2" t="s">
        <v>1146</v>
      </c>
      <c r="C1924" s="10" t="n">
        <v>45998</v>
      </c>
      <c r="D1924" s="2" t="n">
        <f aca="false">MONTH(C1924)</f>
        <v>12</v>
      </c>
      <c r="E1924" s="2" t="s">
        <v>63</v>
      </c>
      <c r="F1924" s="2" t="s">
        <v>64</v>
      </c>
      <c r="G1924" s="2" t="s">
        <v>70</v>
      </c>
      <c r="H1924" s="2" t="s">
        <v>126</v>
      </c>
      <c r="I1924" s="2" t="n">
        <v>1</v>
      </c>
      <c r="J1924" s="11" t="n">
        <v>4500</v>
      </c>
      <c r="K1924" s="12" t="n">
        <v>0.05</v>
      </c>
      <c r="L1924" s="11" t="n">
        <v>3300</v>
      </c>
      <c r="M1924" s="11" t="n">
        <f aca="false">I1924*J1924*(1-K1924)</f>
        <v>4275</v>
      </c>
      <c r="N1924" s="11" t="n">
        <f aca="false">M1924-I1924*L1924</f>
        <v>975</v>
      </c>
    </row>
    <row r="1925" customFormat="false" ht="15" hidden="false" customHeight="false" outlineLevel="0" collapsed="false">
      <c r="A1925" s="2" t="s">
        <v>1273</v>
      </c>
      <c r="B1925" s="2" t="s">
        <v>1271</v>
      </c>
      <c r="C1925" s="10" t="n">
        <v>45998</v>
      </c>
      <c r="D1925" s="2" t="n">
        <f aca="false">MONTH(C1925)</f>
        <v>12</v>
      </c>
      <c r="E1925" s="2" t="s">
        <v>77</v>
      </c>
      <c r="F1925" s="2" t="s">
        <v>92</v>
      </c>
      <c r="G1925" s="2" t="s">
        <v>73</v>
      </c>
      <c r="H1925" s="2" t="s">
        <v>85</v>
      </c>
      <c r="I1925" s="2" t="n">
        <v>2</v>
      </c>
      <c r="J1925" s="11" t="n">
        <v>1200</v>
      </c>
      <c r="K1925" s="12" t="n">
        <v>0.05</v>
      </c>
      <c r="L1925" s="11" t="n">
        <v>600</v>
      </c>
      <c r="M1925" s="11" t="n">
        <f aca="false">I1925*J1925*(1-K1925)</f>
        <v>2280</v>
      </c>
      <c r="N1925" s="11" t="n">
        <f aca="false">M1925-I1925*L1925</f>
        <v>1080</v>
      </c>
    </row>
    <row r="1926" customFormat="false" ht="15" hidden="false" customHeight="false" outlineLevel="0" collapsed="false">
      <c r="A1926" s="2" t="s">
        <v>2145</v>
      </c>
      <c r="B1926" s="2" t="s">
        <v>2142</v>
      </c>
      <c r="C1926" s="10" t="n">
        <v>45998</v>
      </c>
      <c r="D1926" s="2" t="n">
        <f aca="false">MONTH(C1926)</f>
        <v>12</v>
      </c>
      <c r="E1926" s="2" t="s">
        <v>63</v>
      </c>
      <c r="F1926" s="2" t="s">
        <v>92</v>
      </c>
      <c r="G1926" s="2" t="s">
        <v>73</v>
      </c>
      <c r="H1926" s="2" t="s">
        <v>74</v>
      </c>
      <c r="I1926" s="2" t="n">
        <v>8</v>
      </c>
      <c r="J1926" s="11" t="n">
        <v>7000</v>
      </c>
      <c r="K1926" s="12" t="n">
        <v>0.15</v>
      </c>
      <c r="L1926" s="11" t="n">
        <v>4800</v>
      </c>
      <c r="M1926" s="11" t="n">
        <f aca="false">I1926*J1926*(1-K1926)</f>
        <v>47600</v>
      </c>
      <c r="N1926" s="11" t="n">
        <f aca="false">M1926-I1926*L1926</f>
        <v>9200</v>
      </c>
    </row>
    <row r="1927" customFormat="false" ht="15" hidden="false" customHeight="false" outlineLevel="0" collapsed="false">
      <c r="A1927" s="2" t="s">
        <v>2607</v>
      </c>
      <c r="B1927" s="2" t="s">
        <v>2608</v>
      </c>
      <c r="C1927" s="10" t="n">
        <v>45998</v>
      </c>
      <c r="D1927" s="2" t="n">
        <f aca="false">MONTH(C1927)</f>
        <v>12</v>
      </c>
      <c r="E1927" s="2" t="s">
        <v>77</v>
      </c>
      <c r="F1927" s="2" t="s">
        <v>64</v>
      </c>
      <c r="G1927" s="2" t="s">
        <v>73</v>
      </c>
      <c r="H1927" s="2" t="s">
        <v>87</v>
      </c>
      <c r="I1927" s="2" t="n">
        <v>2</v>
      </c>
      <c r="J1927" s="11" t="n">
        <v>9000</v>
      </c>
      <c r="K1927" s="12" t="n">
        <v>0.05</v>
      </c>
      <c r="L1927" s="11" t="n">
        <v>6200</v>
      </c>
      <c r="M1927" s="11" t="n">
        <f aca="false">I1927*J1927*(1-K1927)</f>
        <v>17100</v>
      </c>
      <c r="N1927" s="11" t="n">
        <f aca="false">M1927-I1927*L1927</f>
        <v>4700</v>
      </c>
    </row>
    <row r="1928" customFormat="false" ht="15" hidden="false" customHeight="false" outlineLevel="0" collapsed="false">
      <c r="A1928" s="2" t="s">
        <v>2939</v>
      </c>
      <c r="B1928" s="2" t="s">
        <v>2934</v>
      </c>
      <c r="C1928" s="10" t="n">
        <v>45998</v>
      </c>
      <c r="D1928" s="2" t="n">
        <f aca="false">MONTH(C1928)</f>
        <v>12</v>
      </c>
      <c r="E1928" s="2" t="s">
        <v>63</v>
      </c>
      <c r="F1928" s="2" t="s">
        <v>69</v>
      </c>
      <c r="G1928" s="2" t="s">
        <v>73</v>
      </c>
      <c r="H1928" s="2" t="s">
        <v>104</v>
      </c>
      <c r="I1928" s="2" t="n">
        <v>3</v>
      </c>
      <c r="J1928" s="11" t="n">
        <v>5500</v>
      </c>
      <c r="K1928" s="12" t="n">
        <v>0.1</v>
      </c>
      <c r="L1928" s="11" t="n">
        <v>3600</v>
      </c>
      <c r="M1928" s="11" t="n">
        <f aca="false">I1928*J1928*(1-K1928)</f>
        <v>14850</v>
      </c>
      <c r="N1928" s="11" t="n">
        <f aca="false">M1928-I1928*L1928</f>
        <v>4050</v>
      </c>
    </row>
    <row r="1929" customFormat="false" ht="15" hidden="false" customHeight="false" outlineLevel="0" collapsed="false">
      <c r="A1929" s="2" t="s">
        <v>2994</v>
      </c>
      <c r="B1929" s="2" t="s">
        <v>2993</v>
      </c>
      <c r="C1929" s="10" t="n">
        <v>45998</v>
      </c>
      <c r="D1929" s="2" t="n">
        <f aca="false">MONTH(C1929)</f>
        <v>12</v>
      </c>
      <c r="E1929" s="2" t="s">
        <v>91</v>
      </c>
      <c r="F1929" s="2" t="s">
        <v>92</v>
      </c>
      <c r="G1929" s="2" t="s">
        <v>73</v>
      </c>
      <c r="H1929" s="2" t="s">
        <v>104</v>
      </c>
      <c r="I1929" s="2" t="n">
        <v>6</v>
      </c>
      <c r="J1929" s="11" t="n">
        <v>5500</v>
      </c>
      <c r="K1929" s="12" t="n">
        <v>0.15</v>
      </c>
      <c r="L1929" s="11" t="n">
        <v>3600</v>
      </c>
      <c r="M1929" s="11" t="n">
        <f aca="false">I1929*J1929*(1-K1929)</f>
        <v>28050</v>
      </c>
      <c r="N1929" s="11" t="n">
        <f aca="false">M1929-I1929*L1929</f>
        <v>6450</v>
      </c>
    </row>
    <row r="1930" customFormat="false" ht="15" hidden="false" customHeight="false" outlineLevel="0" collapsed="false">
      <c r="A1930" s="2" t="s">
        <v>115</v>
      </c>
      <c r="B1930" s="2" t="s">
        <v>113</v>
      </c>
      <c r="C1930" s="10" t="n">
        <v>45999</v>
      </c>
      <c r="D1930" s="2" t="n">
        <f aca="false">MONTH(C1930)</f>
        <v>12</v>
      </c>
      <c r="E1930" s="2" t="s">
        <v>63</v>
      </c>
      <c r="F1930" s="2" t="s">
        <v>69</v>
      </c>
      <c r="G1930" s="2" t="s">
        <v>73</v>
      </c>
      <c r="H1930" s="2" t="s">
        <v>104</v>
      </c>
      <c r="I1930" s="2" t="n">
        <v>4</v>
      </c>
      <c r="J1930" s="11" t="n">
        <v>5500</v>
      </c>
      <c r="K1930" s="12" t="n">
        <v>0.1</v>
      </c>
      <c r="L1930" s="11" t="n">
        <v>3600</v>
      </c>
      <c r="M1930" s="11" t="n">
        <f aca="false">I1930*J1930*(1-K1930)</f>
        <v>19800</v>
      </c>
      <c r="N1930" s="11" t="n">
        <f aca="false">M1930-I1930*L1930</f>
        <v>5400</v>
      </c>
    </row>
    <row r="1931" customFormat="false" ht="15" hidden="false" customHeight="false" outlineLevel="0" collapsed="false">
      <c r="A1931" s="2" t="s">
        <v>301</v>
      </c>
      <c r="B1931" s="2" t="s">
        <v>302</v>
      </c>
      <c r="C1931" s="10" t="n">
        <v>45999</v>
      </c>
      <c r="D1931" s="2" t="n">
        <f aca="false">MONTH(C1931)</f>
        <v>12</v>
      </c>
      <c r="E1931" s="2" t="s">
        <v>77</v>
      </c>
      <c r="F1931" s="2" t="s">
        <v>69</v>
      </c>
      <c r="G1931" s="2" t="s">
        <v>65</v>
      </c>
      <c r="H1931" s="2" t="s">
        <v>107</v>
      </c>
      <c r="I1931" s="2" t="n">
        <v>18</v>
      </c>
      <c r="J1931" s="11" t="n">
        <v>500</v>
      </c>
      <c r="K1931" s="12" t="n">
        <v>0.05</v>
      </c>
      <c r="L1931" s="11" t="n">
        <v>250</v>
      </c>
      <c r="M1931" s="11" t="n">
        <f aca="false">I1931*J1931*(1-K1931)</f>
        <v>8550</v>
      </c>
      <c r="N1931" s="11" t="n">
        <f aca="false">M1931-I1931*L1931</f>
        <v>4050</v>
      </c>
    </row>
    <row r="1932" customFormat="false" ht="15" hidden="false" customHeight="false" outlineLevel="0" collapsed="false">
      <c r="A1932" s="2" t="s">
        <v>1500</v>
      </c>
      <c r="B1932" s="2" t="s">
        <v>1497</v>
      </c>
      <c r="C1932" s="10" t="n">
        <v>45999</v>
      </c>
      <c r="D1932" s="2" t="n">
        <f aca="false">MONTH(C1932)</f>
        <v>12</v>
      </c>
      <c r="E1932" s="2" t="s">
        <v>81</v>
      </c>
      <c r="F1932" s="2" t="s">
        <v>69</v>
      </c>
      <c r="G1932" s="2" t="s">
        <v>65</v>
      </c>
      <c r="H1932" s="2" t="s">
        <v>66</v>
      </c>
      <c r="I1932" s="2" t="n">
        <v>17</v>
      </c>
      <c r="J1932" s="11" t="n">
        <v>600</v>
      </c>
      <c r="K1932" s="12" t="n">
        <v>0.05</v>
      </c>
      <c r="L1932" s="11" t="n">
        <v>300</v>
      </c>
      <c r="M1932" s="11" t="n">
        <f aca="false">I1932*J1932*(1-K1932)</f>
        <v>9690</v>
      </c>
      <c r="N1932" s="11" t="n">
        <f aca="false">M1932-I1932*L1932</f>
        <v>4590</v>
      </c>
    </row>
    <row r="1933" customFormat="false" ht="15" hidden="false" customHeight="false" outlineLevel="0" collapsed="false">
      <c r="A1933" s="2" t="s">
        <v>1706</v>
      </c>
      <c r="B1933" s="2" t="s">
        <v>1707</v>
      </c>
      <c r="C1933" s="10" t="n">
        <v>45999</v>
      </c>
      <c r="D1933" s="2" t="n">
        <f aca="false">MONTH(C1933)</f>
        <v>12</v>
      </c>
      <c r="E1933" s="2" t="s">
        <v>63</v>
      </c>
      <c r="F1933" s="2" t="s">
        <v>64</v>
      </c>
      <c r="G1933" s="2" t="s">
        <v>65</v>
      </c>
      <c r="H1933" s="2" t="s">
        <v>107</v>
      </c>
      <c r="I1933" s="2" t="n">
        <v>8</v>
      </c>
      <c r="J1933" s="11" t="n">
        <v>500</v>
      </c>
      <c r="K1933" s="12" t="n">
        <v>0.1</v>
      </c>
      <c r="L1933" s="11" t="n">
        <v>250</v>
      </c>
      <c r="M1933" s="11" t="n">
        <f aca="false">I1933*J1933*(1-K1933)</f>
        <v>3600</v>
      </c>
      <c r="N1933" s="11" t="n">
        <f aca="false">M1933-I1933*L1933</f>
        <v>1600</v>
      </c>
    </row>
    <row r="1934" customFormat="false" ht="15" hidden="false" customHeight="false" outlineLevel="0" collapsed="false">
      <c r="A1934" s="2" t="s">
        <v>1775</v>
      </c>
      <c r="B1934" s="2" t="s">
        <v>1776</v>
      </c>
      <c r="C1934" s="10" t="n">
        <v>45999</v>
      </c>
      <c r="D1934" s="2" t="n">
        <f aca="false">MONTH(C1934)</f>
        <v>12</v>
      </c>
      <c r="E1934" s="2" t="s">
        <v>63</v>
      </c>
      <c r="F1934" s="2" t="s">
        <v>64</v>
      </c>
      <c r="G1934" s="2" t="s">
        <v>65</v>
      </c>
      <c r="H1934" s="2" t="s">
        <v>78</v>
      </c>
      <c r="I1934" s="2" t="n">
        <v>3</v>
      </c>
      <c r="J1934" s="11" t="n">
        <v>400</v>
      </c>
      <c r="K1934" s="12" t="n">
        <v>0.15</v>
      </c>
      <c r="L1934" s="11" t="n">
        <v>200</v>
      </c>
      <c r="M1934" s="11" t="n">
        <f aca="false">I1934*J1934*(1-K1934)</f>
        <v>1020</v>
      </c>
      <c r="N1934" s="11" t="n">
        <f aca="false">M1934-I1934*L1934</f>
        <v>420</v>
      </c>
    </row>
    <row r="1935" customFormat="false" ht="15" hidden="false" customHeight="false" outlineLevel="0" collapsed="false">
      <c r="A1935" s="2" t="s">
        <v>1788</v>
      </c>
      <c r="B1935" s="2" t="s">
        <v>1789</v>
      </c>
      <c r="C1935" s="10" t="n">
        <v>45999</v>
      </c>
      <c r="D1935" s="2" t="n">
        <f aca="false">MONTH(C1935)</f>
        <v>12</v>
      </c>
      <c r="E1935" s="2" t="s">
        <v>77</v>
      </c>
      <c r="F1935" s="2" t="s">
        <v>64</v>
      </c>
      <c r="G1935" s="2" t="s">
        <v>65</v>
      </c>
      <c r="H1935" s="2" t="s">
        <v>107</v>
      </c>
      <c r="I1935" s="2" t="n">
        <v>5</v>
      </c>
      <c r="J1935" s="11" t="n">
        <v>500</v>
      </c>
      <c r="K1935" s="12" t="n">
        <v>0.05</v>
      </c>
      <c r="L1935" s="11" t="n">
        <v>250</v>
      </c>
      <c r="M1935" s="11" t="n">
        <f aca="false">I1935*J1935*(1-K1935)</f>
        <v>2375</v>
      </c>
      <c r="N1935" s="11" t="n">
        <f aca="false">M1935-I1935*L1935</f>
        <v>1125</v>
      </c>
    </row>
    <row r="1936" customFormat="false" ht="15" hidden="false" customHeight="false" outlineLevel="0" collapsed="false">
      <c r="A1936" s="2" t="s">
        <v>2311</v>
      </c>
      <c r="B1936" s="2" t="s">
        <v>2310</v>
      </c>
      <c r="C1936" s="10" t="n">
        <v>45999</v>
      </c>
      <c r="D1936" s="2" t="n">
        <f aca="false">MONTH(C1936)</f>
        <v>12</v>
      </c>
      <c r="E1936" s="2" t="s">
        <v>63</v>
      </c>
      <c r="F1936" s="2" t="s">
        <v>69</v>
      </c>
      <c r="G1936" s="2" t="s">
        <v>73</v>
      </c>
      <c r="H1936" s="2" t="s">
        <v>87</v>
      </c>
      <c r="I1936" s="2" t="n">
        <v>5</v>
      </c>
      <c r="J1936" s="11" t="n">
        <v>9000</v>
      </c>
      <c r="K1936" s="12" t="n">
        <v>0.1</v>
      </c>
      <c r="L1936" s="11" t="n">
        <v>6200</v>
      </c>
      <c r="M1936" s="11" t="n">
        <f aca="false">I1936*J1936*(1-K1936)</f>
        <v>40500</v>
      </c>
      <c r="N1936" s="11" t="n">
        <f aca="false">M1936-I1936*L1936</f>
        <v>9500</v>
      </c>
    </row>
    <row r="1937" customFormat="false" ht="15" hidden="false" customHeight="false" outlineLevel="0" collapsed="false">
      <c r="A1937" s="2" t="s">
        <v>2340</v>
      </c>
      <c r="B1937" s="2" t="s">
        <v>2337</v>
      </c>
      <c r="C1937" s="10" t="n">
        <v>45999</v>
      </c>
      <c r="D1937" s="2" t="n">
        <f aca="false">MONTH(C1937)</f>
        <v>12</v>
      </c>
      <c r="E1937" s="2" t="s">
        <v>63</v>
      </c>
      <c r="F1937" s="2" t="s">
        <v>69</v>
      </c>
      <c r="G1937" s="2" t="s">
        <v>65</v>
      </c>
      <c r="H1937" s="2" t="s">
        <v>107</v>
      </c>
      <c r="I1937" s="2" t="n">
        <v>15</v>
      </c>
      <c r="J1937" s="11" t="n">
        <v>500</v>
      </c>
      <c r="K1937" s="12" t="n">
        <v>0.05</v>
      </c>
      <c r="L1937" s="11" t="n">
        <v>250</v>
      </c>
      <c r="M1937" s="11" t="n">
        <f aca="false">I1937*J1937*(1-K1937)</f>
        <v>7125</v>
      </c>
      <c r="N1937" s="11" t="n">
        <f aca="false">M1937-I1937*L1937</f>
        <v>3375</v>
      </c>
    </row>
    <row r="1938" customFormat="false" ht="15" hidden="false" customHeight="false" outlineLevel="0" collapsed="false">
      <c r="A1938" s="2" t="s">
        <v>2680</v>
      </c>
      <c r="B1938" s="2" t="s">
        <v>2678</v>
      </c>
      <c r="C1938" s="10" t="n">
        <v>45999</v>
      </c>
      <c r="D1938" s="2" t="n">
        <f aca="false">MONTH(C1938)</f>
        <v>12</v>
      </c>
      <c r="E1938" s="2" t="s">
        <v>77</v>
      </c>
      <c r="F1938" s="2" t="s">
        <v>64</v>
      </c>
      <c r="G1938" s="2" t="s">
        <v>73</v>
      </c>
      <c r="H1938" s="2" t="s">
        <v>87</v>
      </c>
      <c r="I1938" s="2" t="n">
        <v>3</v>
      </c>
      <c r="J1938" s="11" t="n">
        <v>9000</v>
      </c>
      <c r="K1938" s="12" t="n">
        <v>0.1</v>
      </c>
      <c r="L1938" s="11" t="n">
        <v>6200</v>
      </c>
      <c r="M1938" s="11" t="n">
        <f aca="false">I1938*J1938*(1-K1938)</f>
        <v>24300</v>
      </c>
      <c r="N1938" s="11" t="n">
        <f aca="false">M1938-I1938*L1938</f>
        <v>5700</v>
      </c>
    </row>
    <row r="1939" customFormat="false" ht="15" hidden="false" customHeight="false" outlineLevel="0" collapsed="false">
      <c r="A1939" s="2" t="s">
        <v>2724</v>
      </c>
      <c r="B1939" s="2" t="s">
        <v>2725</v>
      </c>
      <c r="C1939" s="10" t="n">
        <v>45999</v>
      </c>
      <c r="D1939" s="2" t="n">
        <f aca="false">MONTH(C1939)</f>
        <v>12</v>
      </c>
      <c r="E1939" s="2" t="s">
        <v>63</v>
      </c>
      <c r="F1939" s="2" t="s">
        <v>64</v>
      </c>
      <c r="G1939" s="2" t="s">
        <v>70</v>
      </c>
      <c r="H1939" s="2" t="s">
        <v>122</v>
      </c>
      <c r="I1939" s="2" t="n">
        <v>3</v>
      </c>
      <c r="J1939" s="11" t="n">
        <v>1500</v>
      </c>
      <c r="K1939" s="12" t="n">
        <v>0.1</v>
      </c>
      <c r="L1939" s="11" t="n">
        <v>900</v>
      </c>
      <c r="M1939" s="11" t="n">
        <f aca="false">I1939*J1939*(1-K1939)</f>
        <v>4050</v>
      </c>
      <c r="N1939" s="11" t="n">
        <f aca="false">M1939-I1939*L1939</f>
        <v>1350</v>
      </c>
    </row>
    <row r="1940" customFormat="false" ht="15" hidden="false" customHeight="false" outlineLevel="0" collapsed="false">
      <c r="A1940" s="2" t="s">
        <v>2858</v>
      </c>
      <c r="B1940" s="2" t="s">
        <v>2859</v>
      </c>
      <c r="C1940" s="10" t="n">
        <v>45999</v>
      </c>
      <c r="D1940" s="2" t="n">
        <f aca="false">MONTH(C1940)</f>
        <v>12</v>
      </c>
      <c r="E1940" s="2" t="s">
        <v>63</v>
      </c>
      <c r="F1940" s="2" t="s">
        <v>64</v>
      </c>
      <c r="G1940" s="2" t="s">
        <v>70</v>
      </c>
      <c r="H1940" s="2" t="s">
        <v>122</v>
      </c>
      <c r="I1940" s="2" t="n">
        <v>2</v>
      </c>
      <c r="J1940" s="11" t="n">
        <v>1500</v>
      </c>
      <c r="K1940" s="12" t="n">
        <v>0.05</v>
      </c>
      <c r="L1940" s="11" t="n">
        <v>900</v>
      </c>
      <c r="M1940" s="11" t="n">
        <f aca="false">I1940*J1940*(1-K1940)</f>
        <v>2850</v>
      </c>
      <c r="N1940" s="11" t="n">
        <f aca="false">M1940-I1940*L1940</f>
        <v>1050</v>
      </c>
    </row>
    <row r="1941" customFormat="false" ht="15" hidden="false" customHeight="false" outlineLevel="0" collapsed="false">
      <c r="A1941" s="2" t="s">
        <v>488</v>
      </c>
      <c r="B1941" s="2" t="s">
        <v>486</v>
      </c>
      <c r="C1941" s="10" t="n">
        <v>46000</v>
      </c>
      <c r="D1941" s="2" t="n">
        <f aca="false">MONTH(C1941)</f>
        <v>12</v>
      </c>
      <c r="E1941" s="2" t="s">
        <v>63</v>
      </c>
      <c r="F1941" s="2" t="s">
        <v>64</v>
      </c>
      <c r="G1941" s="2" t="s">
        <v>70</v>
      </c>
      <c r="H1941" s="2" t="s">
        <v>122</v>
      </c>
      <c r="I1941" s="2" t="n">
        <v>2</v>
      </c>
      <c r="J1941" s="11" t="n">
        <v>1500</v>
      </c>
      <c r="K1941" s="12" t="n">
        <v>0.05</v>
      </c>
      <c r="L1941" s="11" t="n">
        <v>900</v>
      </c>
      <c r="M1941" s="11" t="n">
        <f aca="false">I1941*J1941*(1-K1941)</f>
        <v>2850</v>
      </c>
      <c r="N1941" s="11" t="n">
        <f aca="false">M1941-I1941*L1941</f>
        <v>1050</v>
      </c>
    </row>
    <row r="1942" customFormat="false" ht="15" hidden="false" customHeight="false" outlineLevel="0" collapsed="false">
      <c r="A1942" s="2" t="s">
        <v>722</v>
      </c>
      <c r="B1942" s="2" t="s">
        <v>723</v>
      </c>
      <c r="C1942" s="10" t="n">
        <v>46000</v>
      </c>
      <c r="D1942" s="2" t="n">
        <f aca="false">MONTH(C1942)</f>
        <v>12</v>
      </c>
      <c r="E1942" s="2" t="s">
        <v>77</v>
      </c>
      <c r="F1942" s="2" t="s">
        <v>64</v>
      </c>
      <c r="G1942" s="2" t="s">
        <v>65</v>
      </c>
      <c r="H1942" s="2" t="s">
        <v>66</v>
      </c>
      <c r="I1942" s="2" t="n">
        <v>7</v>
      </c>
      <c r="J1942" s="11" t="n">
        <v>600</v>
      </c>
      <c r="K1942" s="12" t="n">
        <v>0.05</v>
      </c>
      <c r="L1942" s="11" t="n">
        <v>300</v>
      </c>
      <c r="M1942" s="11" t="n">
        <f aca="false">I1942*J1942*(1-K1942)</f>
        <v>3990</v>
      </c>
      <c r="N1942" s="11" t="n">
        <f aca="false">M1942-I1942*L1942</f>
        <v>1890</v>
      </c>
    </row>
    <row r="1943" customFormat="false" ht="15" hidden="false" customHeight="false" outlineLevel="0" collapsed="false">
      <c r="A1943" s="2" t="s">
        <v>791</v>
      </c>
      <c r="B1943" s="2" t="s">
        <v>792</v>
      </c>
      <c r="C1943" s="10" t="n">
        <v>46000</v>
      </c>
      <c r="D1943" s="2" t="n">
        <f aca="false">MONTH(C1943)</f>
        <v>12</v>
      </c>
      <c r="E1943" s="2" t="s">
        <v>63</v>
      </c>
      <c r="F1943" s="2" t="s">
        <v>69</v>
      </c>
      <c r="G1943" s="2" t="s">
        <v>65</v>
      </c>
      <c r="H1943" s="2" t="s">
        <v>82</v>
      </c>
      <c r="I1943" s="2" t="n">
        <v>13</v>
      </c>
      <c r="J1943" s="11" t="n">
        <v>250</v>
      </c>
      <c r="K1943" s="12" t="n">
        <v>0.05</v>
      </c>
      <c r="L1943" s="11" t="n">
        <v>100</v>
      </c>
      <c r="M1943" s="11" t="n">
        <f aca="false">I1943*J1943*(1-K1943)</f>
        <v>3087.5</v>
      </c>
      <c r="N1943" s="11" t="n">
        <f aca="false">M1943-I1943*L1943</f>
        <v>1787.5</v>
      </c>
    </row>
    <row r="1944" customFormat="false" ht="15" hidden="false" customHeight="false" outlineLevel="0" collapsed="false">
      <c r="A1944" s="2" t="s">
        <v>810</v>
      </c>
      <c r="B1944" s="2" t="s">
        <v>807</v>
      </c>
      <c r="C1944" s="10" t="n">
        <v>46000</v>
      </c>
      <c r="D1944" s="2" t="n">
        <f aca="false">MONTH(C1944)</f>
        <v>12</v>
      </c>
      <c r="E1944" s="2" t="s">
        <v>77</v>
      </c>
      <c r="F1944" s="2" t="s">
        <v>64</v>
      </c>
      <c r="G1944" s="2" t="s">
        <v>73</v>
      </c>
      <c r="H1944" s="2" t="s">
        <v>104</v>
      </c>
      <c r="I1944" s="2" t="n">
        <v>2</v>
      </c>
      <c r="J1944" s="11" t="n">
        <v>5500</v>
      </c>
      <c r="K1944" s="12" t="n">
        <v>0.05</v>
      </c>
      <c r="L1944" s="11" t="n">
        <v>3600</v>
      </c>
      <c r="M1944" s="11" t="n">
        <f aca="false">I1944*J1944*(1-K1944)</f>
        <v>10450</v>
      </c>
      <c r="N1944" s="11" t="n">
        <f aca="false">M1944-I1944*L1944</f>
        <v>3250</v>
      </c>
    </row>
    <row r="1945" customFormat="false" ht="15" hidden="false" customHeight="false" outlineLevel="0" collapsed="false">
      <c r="A1945" s="2" t="s">
        <v>869</v>
      </c>
      <c r="B1945" s="2" t="s">
        <v>864</v>
      </c>
      <c r="C1945" s="10" t="n">
        <v>46000</v>
      </c>
      <c r="D1945" s="2" t="n">
        <f aca="false">MONTH(C1945)</f>
        <v>12</v>
      </c>
      <c r="E1945" s="2" t="s">
        <v>91</v>
      </c>
      <c r="F1945" s="2" t="s">
        <v>64</v>
      </c>
      <c r="G1945" s="2" t="s">
        <v>65</v>
      </c>
      <c r="H1945" s="2" t="s">
        <v>107</v>
      </c>
      <c r="I1945" s="2" t="n">
        <v>2</v>
      </c>
      <c r="J1945" s="11" t="n">
        <v>500</v>
      </c>
      <c r="K1945" s="12" t="n">
        <v>0.15</v>
      </c>
      <c r="L1945" s="11" t="n">
        <v>250</v>
      </c>
      <c r="M1945" s="11" t="n">
        <f aca="false">I1945*J1945*(1-K1945)</f>
        <v>850</v>
      </c>
      <c r="N1945" s="11" t="n">
        <f aca="false">M1945-I1945*L1945</f>
        <v>350</v>
      </c>
    </row>
    <row r="1946" customFormat="false" ht="15" hidden="false" customHeight="false" outlineLevel="0" collapsed="false">
      <c r="A1946" s="2" t="s">
        <v>1406</v>
      </c>
      <c r="B1946" s="2" t="s">
        <v>1404</v>
      </c>
      <c r="C1946" s="10" t="n">
        <v>46000</v>
      </c>
      <c r="D1946" s="2" t="n">
        <f aca="false">MONTH(C1946)</f>
        <v>12</v>
      </c>
      <c r="E1946" s="2" t="s">
        <v>77</v>
      </c>
      <c r="F1946" s="2" t="s">
        <v>64</v>
      </c>
      <c r="G1946" s="2" t="s">
        <v>70</v>
      </c>
      <c r="H1946" s="2" t="s">
        <v>71</v>
      </c>
      <c r="I1946" s="2" t="n">
        <v>3</v>
      </c>
      <c r="J1946" s="11" t="n">
        <v>2500</v>
      </c>
      <c r="K1946" s="12" t="n">
        <v>0.1</v>
      </c>
      <c r="L1946" s="11" t="n">
        <v>1600</v>
      </c>
      <c r="M1946" s="11" t="n">
        <f aca="false">I1946*J1946*(1-K1946)</f>
        <v>6750</v>
      </c>
      <c r="N1946" s="11" t="n">
        <f aca="false">M1946-I1946*L1946</f>
        <v>1950</v>
      </c>
    </row>
    <row r="1947" customFormat="false" ht="15" hidden="false" customHeight="false" outlineLevel="0" collapsed="false">
      <c r="A1947" s="2" t="s">
        <v>1447</v>
      </c>
      <c r="B1947" s="2" t="s">
        <v>1442</v>
      </c>
      <c r="C1947" s="10" t="n">
        <v>46000</v>
      </c>
      <c r="D1947" s="2" t="n">
        <f aca="false">MONTH(C1947)</f>
        <v>12</v>
      </c>
      <c r="E1947" s="2" t="s">
        <v>91</v>
      </c>
      <c r="F1947" s="2" t="s">
        <v>64</v>
      </c>
      <c r="G1947" s="2" t="s">
        <v>73</v>
      </c>
      <c r="H1947" s="2" t="s">
        <v>85</v>
      </c>
      <c r="I1947" s="2" t="n">
        <v>2</v>
      </c>
      <c r="J1947" s="11" t="n">
        <v>1200</v>
      </c>
      <c r="K1947" s="12" t="n">
        <v>0.05</v>
      </c>
      <c r="L1947" s="11" t="n">
        <v>600</v>
      </c>
      <c r="M1947" s="11" t="n">
        <f aca="false">I1947*J1947*(1-K1947)</f>
        <v>2280</v>
      </c>
      <c r="N1947" s="11" t="n">
        <f aca="false">M1947-I1947*L1947</f>
        <v>1080</v>
      </c>
    </row>
    <row r="1948" customFormat="false" ht="15" hidden="false" customHeight="false" outlineLevel="0" collapsed="false">
      <c r="A1948" s="2" t="s">
        <v>2384</v>
      </c>
      <c r="B1948" s="2" t="s">
        <v>2385</v>
      </c>
      <c r="C1948" s="10" t="n">
        <v>46000</v>
      </c>
      <c r="D1948" s="2" t="n">
        <f aca="false">MONTH(C1948)</f>
        <v>12</v>
      </c>
      <c r="E1948" s="2" t="s">
        <v>77</v>
      </c>
      <c r="F1948" s="2" t="s">
        <v>64</v>
      </c>
      <c r="G1948" s="2" t="s">
        <v>70</v>
      </c>
      <c r="H1948" s="2" t="s">
        <v>122</v>
      </c>
      <c r="I1948" s="2" t="n">
        <v>1</v>
      </c>
      <c r="J1948" s="11" t="n">
        <v>1500</v>
      </c>
      <c r="K1948" s="12" t="n">
        <v>0.05</v>
      </c>
      <c r="L1948" s="11" t="n">
        <v>900</v>
      </c>
      <c r="M1948" s="11" t="n">
        <f aca="false">I1948*J1948*(1-K1948)</f>
        <v>1425</v>
      </c>
      <c r="N1948" s="11" t="n">
        <f aca="false">M1948-I1948*L1948</f>
        <v>525</v>
      </c>
    </row>
    <row r="1949" customFormat="false" ht="15" hidden="false" customHeight="false" outlineLevel="0" collapsed="false">
      <c r="A1949" s="2" t="s">
        <v>2429</v>
      </c>
      <c r="B1949" s="2" t="s">
        <v>2430</v>
      </c>
      <c r="C1949" s="10" t="n">
        <v>46000</v>
      </c>
      <c r="D1949" s="2" t="n">
        <f aca="false">MONTH(C1949)</f>
        <v>12</v>
      </c>
      <c r="E1949" s="2" t="s">
        <v>81</v>
      </c>
      <c r="F1949" s="2" t="s">
        <v>64</v>
      </c>
      <c r="G1949" s="2" t="s">
        <v>73</v>
      </c>
      <c r="H1949" s="2" t="s">
        <v>85</v>
      </c>
      <c r="I1949" s="2" t="n">
        <v>2</v>
      </c>
      <c r="J1949" s="11" t="n">
        <v>1200</v>
      </c>
      <c r="K1949" s="12" t="n">
        <v>0.05</v>
      </c>
      <c r="L1949" s="11" t="n">
        <v>600</v>
      </c>
      <c r="M1949" s="11" t="n">
        <f aca="false">I1949*J1949*(1-K1949)</f>
        <v>2280</v>
      </c>
      <c r="N1949" s="11" t="n">
        <f aca="false">M1949-I1949*L1949</f>
        <v>1080</v>
      </c>
    </row>
    <row r="1950" customFormat="false" ht="15" hidden="false" customHeight="false" outlineLevel="0" collapsed="false">
      <c r="A1950" s="2" t="s">
        <v>2734</v>
      </c>
      <c r="B1950" s="2" t="s">
        <v>2732</v>
      </c>
      <c r="C1950" s="10" t="n">
        <v>46000</v>
      </c>
      <c r="D1950" s="2" t="n">
        <f aca="false">MONTH(C1950)</f>
        <v>12</v>
      </c>
      <c r="E1950" s="2" t="s">
        <v>81</v>
      </c>
      <c r="F1950" s="2" t="s">
        <v>64</v>
      </c>
      <c r="G1950" s="2" t="s">
        <v>73</v>
      </c>
      <c r="H1950" s="2" t="s">
        <v>87</v>
      </c>
      <c r="I1950" s="2" t="n">
        <v>1</v>
      </c>
      <c r="J1950" s="11" t="n">
        <v>9000</v>
      </c>
      <c r="K1950" s="12" t="n">
        <v>0.15</v>
      </c>
      <c r="L1950" s="11" t="n">
        <v>6200</v>
      </c>
      <c r="M1950" s="11" t="n">
        <f aca="false">I1950*J1950*(1-K1950)</f>
        <v>7650</v>
      </c>
      <c r="N1950" s="11" t="n">
        <f aca="false">M1950-I1950*L1950</f>
        <v>1450</v>
      </c>
    </row>
    <row r="1951" customFormat="false" ht="15" hidden="false" customHeight="false" outlineLevel="0" collapsed="false">
      <c r="A1951" s="2" t="s">
        <v>84</v>
      </c>
      <c r="B1951" s="2" t="s">
        <v>80</v>
      </c>
      <c r="C1951" s="10" t="n">
        <v>46001</v>
      </c>
      <c r="D1951" s="2" t="n">
        <f aca="false">MONTH(C1951)</f>
        <v>12</v>
      </c>
      <c r="E1951" s="2" t="s">
        <v>81</v>
      </c>
      <c r="F1951" s="2" t="s">
        <v>69</v>
      </c>
      <c r="G1951" s="2" t="s">
        <v>73</v>
      </c>
      <c r="H1951" s="2" t="s">
        <v>85</v>
      </c>
      <c r="I1951" s="2" t="n">
        <v>5</v>
      </c>
      <c r="J1951" s="11" t="n">
        <v>1200</v>
      </c>
      <c r="K1951" s="12" t="n">
        <v>0.15</v>
      </c>
      <c r="L1951" s="11" t="n">
        <v>600</v>
      </c>
      <c r="M1951" s="11" t="n">
        <f aca="false">I1951*J1951*(1-K1951)</f>
        <v>5100</v>
      </c>
      <c r="N1951" s="11" t="n">
        <f aca="false">M1951-I1951*L1951</f>
        <v>2100</v>
      </c>
    </row>
    <row r="1952" customFormat="false" ht="15" hidden="false" customHeight="false" outlineLevel="0" collapsed="false">
      <c r="A1952" s="2" t="s">
        <v>264</v>
      </c>
      <c r="B1952" s="2" t="s">
        <v>265</v>
      </c>
      <c r="C1952" s="10" t="n">
        <v>46001</v>
      </c>
      <c r="D1952" s="2" t="n">
        <f aca="false">MONTH(C1952)</f>
        <v>12</v>
      </c>
      <c r="E1952" s="2" t="s">
        <v>63</v>
      </c>
      <c r="F1952" s="2" t="s">
        <v>64</v>
      </c>
      <c r="G1952" s="2" t="s">
        <v>65</v>
      </c>
      <c r="H1952" s="2" t="s">
        <v>82</v>
      </c>
      <c r="I1952" s="2" t="n">
        <v>3</v>
      </c>
      <c r="J1952" s="11" t="n">
        <v>250</v>
      </c>
      <c r="K1952" s="12" t="n">
        <v>0.05</v>
      </c>
      <c r="L1952" s="11" t="n">
        <v>100</v>
      </c>
      <c r="M1952" s="11" t="n">
        <f aca="false">I1952*J1952*(1-K1952)</f>
        <v>712.5</v>
      </c>
      <c r="N1952" s="11" t="n">
        <f aca="false">M1952-I1952*L1952</f>
        <v>412.5</v>
      </c>
    </row>
    <row r="1953" customFormat="false" ht="15" hidden="false" customHeight="false" outlineLevel="0" collapsed="false">
      <c r="A1953" s="2" t="s">
        <v>1353</v>
      </c>
      <c r="B1953" s="2" t="s">
        <v>1354</v>
      </c>
      <c r="C1953" s="10" t="n">
        <v>46001</v>
      </c>
      <c r="D1953" s="2" t="n">
        <f aca="false">MONTH(C1953)</f>
        <v>12</v>
      </c>
      <c r="E1953" s="2" t="s">
        <v>91</v>
      </c>
      <c r="F1953" s="2" t="s">
        <v>64</v>
      </c>
      <c r="G1953" s="2" t="s">
        <v>70</v>
      </c>
      <c r="H1953" s="2" t="s">
        <v>126</v>
      </c>
      <c r="I1953" s="2" t="n">
        <v>1</v>
      </c>
      <c r="J1953" s="11" t="n">
        <v>4500</v>
      </c>
      <c r="K1953" s="12" t="n">
        <v>0.15</v>
      </c>
      <c r="L1953" s="11" t="n">
        <v>3300</v>
      </c>
      <c r="M1953" s="11" t="n">
        <f aca="false">I1953*J1953*(1-K1953)</f>
        <v>3825</v>
      </c>
      <c r="N1953" s="11" t="n">
        <f aca="false">M1953-I1953*L1953</f>
        <v>525</v>
      </c>
    </row>
    <row r="1954" customFormat="false" ht="15" hidden="false" customHeight="false" outlineLevel="0" collapsed="false">
      <c r="A1954" s="2" t="s">
        <v>2009</v>
      </c>
      <c r="B1954" s="2" t="s">
        <v>2000</v>
      </c>
      <c r="C1954" s="10" t="n">
        <v>46001</v>
      </c>
      <c r="D1954" s="2" t="n">
        <f aca="false">MONTH(C1954)</f>
        <v>12</v>
      </c>
      <c r="E1954" s="2" t="s">
        <v>91</v>
      </c>
      <c r="F1954" s="2" t="s">
        <v>64</v>
      </c>
      <c r="G1954" s="2" t="s">
        <v>65</v>
      </c>
      <c r="H1954" s="2" t="s">
        <v>78</v>
      </c>
      <c r="I1954" s="2" t="n">
        <v>8</v>
      </c>
      <c r="J1954" s="11" t="n">
        <v>400</v>
      </c>
      <c r="K1954" s="12" t="n">
        <v>0.05</v>
      </c>
      <c r="L1954" s="11" t="n">
        <v>200</v>
      </c>
      <c r="M1954" s="11" t="n">
        <f aca="false">I1954*J1954*(1-K1954)</f>
        <v>3040</v>
      </c>
      <c r="N1954" s="11" t="n">
        <f aca="false">M1954-I1954*L1954</f>
        <v>1440</v>
      </c>
    </row>
    <row r="1955" customFormat="false" ht="15" hidden="false" customHeight="false" outlineLevel="0" collapsed="false">
      <c r="A1955" s="2" t="s">
        <v>2026</v>
      </c>
      <c r="B1955" s="2" t="s">
        <v>2023</v>
      </c>
      <c r="C1955" s="10" t="n">
        <v>46001</v>
      </c>
      <c r="D1955" s="2" t="n">
        <f aca="false">MONTH(C1955)</f>
        <v>12</v>
      </c>
      <c r="E1955" s="2" t="s">
        <v>63</v>
      </c>
      <c r="F1955" s="2" t="s">
        <v>92</v>
      </c>
      <c r="G1955" s="2" t="s">
        <v>70</v>
      </c>
      <c r="H1955" s="2" t="s">
        <v>71</v>
      </c>
      <c r="I1955" s="2" t="n">
        <v>8</v>
      </c>
      <c r="J1955" s="11" t="n">
        <v>2500</v>
      </c>
      <c r="K1955" s="12" t="n">
        <v>0.15</v>
      </c>
      <c r="L1955" s="11" t="n">
        <v>1600</v>
      </c>
      <c r="M1955" s="11" t="n">
        <f aca="false">I1955*J1955*(1-K1955)</f>
        <v>17000</v>
      </c>
      <c r="N1955" s="11" t="n">
        <f aca="false">M1955-I1955*L1955</f>
        <v>4200</v>
      </c>
    </row>
    <row r="1956" customFormat="false" ht="15" hidden="false" customHeight="false" outlineLevel="0" collapsed="false">
      <c r="A1956" s="2" t="s">
        <v>2915</v>
      </c>
      <c r="B1956" s="2" t="s">
        <v>2916</v>
      </c>
      <c r="C1956" s="10" t="n">
        <v>46001</v>
      </c>
      <c r="D1956" s="2" t="n">
        <f aca="false">MONTH(C1956)</f>
        <v>12</v>
      </c>
      <c r="E1956" s="2" t="s">
        <v>63</v>
      </c>
      <c r="F1956" s="2" t="s">
        <v>69</v>
      </c>
      <c r="G1956" s="2" t="s">
        <v>70</v>
      </c>
      <c r="H1956" s="2" t="s">
        <v>71</v>
      </c>
      <c r="I1956" s="2" t="n">
        <v>5</v>
      </c>
      <c r="J1956" s="11" t="n">
        <v>2500</v>
      </c>
      <c r="K1956" s="12" t="n">
        <v>0.15</v>
      </c>
      <c r="L1956" s="11" t="n">
        <v>1600</v>
      </c>
      <c r="M1956" s="11" t="n">
        <f aca="false">I1956*J1956*(1-K1956)</f>
        <v>10625</v>
      </c>
      <c r="N1956" s="11" t="n">
        <f aca="false">M1956-I1956*L1956</f>
        <v>2625</v>
      </c>
    </row>
    <row r="1957" customFormat="false" ht="15" hidden="false" customHeight="false" outlineLevel="0" collapsed="false">
      <c r="A1957" s="2" t="s">
        <v>1445</v>
      </c>
      <c r="B1957" s="2" t="s">
        <v>1442</v>
      </c>
      <c r="C1957" s="10" t="n">
        <v>46002</v>
      </c>
      <c r="D1957" s="2" t="n">
        <f aca="false">MONTH(C1957)</f>
        <v>12</v>
      </c>
      <c r="E1957" s="2" t="s">
        <v>91</v>
      </c>
      <c r="F1957" s="2" t="s">
        <v>64</v>
      </c>
      <c r="G1957" s="2" t="s">
        <v>65</v>
      </c>
      <c r="H1957" s="2" t="s">
        <v>78</v>
      </c>
      <c r="I1957" s="2" t="n">
        <v>2</v>
      </c>
      <c r="J1957" s="11" t="n">
        <v>400</v>
      </c>
      <c r="K1957" s="12" t="n">
        <v>0.1</v>
      </c>
      <c r="L1957" s="11" t="n">
        <v>200</v>
      </c>
      <c r="M1957" s="11" t="n">
        <f aca="false">I1957*J1957*(1-K1957)</f>
        <v>720</v>
      </c>
      <c r="N1957" s="11" t="n">
        <f aca="false">M1957-I1957*L1957</f>
        <v>320</v>
      </c>
    </row>
    <row r="1958" customFormat="false" ht="15" hidden="false" customHeight="false" outlineLevel="0" collapsed="false">
      <c r="A1958" s="2" t="s">
        <v>2344</v>
      </c>
      <c r="B1958" s="2" t="s">
        <v>2345</v>
      </c>
      <c r="C1958" s="10" t="n">
        <v>46002</v>
      </c>
      <c r="D1958" s="2" t="n">
        <f aca="false">MONTH(C1958)</f>
        <v>12</v>
      </c>
      <c r="E1958" s="2" t="s">
        <v>77</v>
      </c>
      <c r="F1958" s="2" t="s">
        <v>64</v>
      </c>
      <c r="G1958" s="2" t="s">
        <v>70</v>
      </c>
      <c r="H1958" s="2" t="s">
        <v>122</v>
      </c>
      <c r="I1958" s="2" t="n">
        <v>1</v>
      </c>
      <c r="J1958" s="11" t="n">
        <v>1500</v>
      </c>
      <c r="K1958" s="12" t="n">
        <v>0.15</v>
      </c>
      <c r="L1958" s="11" t="n">
        <v>900</v>
      </c>
      <c r="M1958" s="11" t="n">
        <f aca="false">I1958*J1958*(1-K1958)</f>
        <v>1275</v>
      </c>
      <c r="N1958" s="11" t="n">
        <f aca="false">M1958-I1958*L1958</f>
        <v>375</v>
      </c>
    </row>
    <row r="1959" customFormat="false" ht="15" hidden="false" customHeight="false" outlineLevel="0" collapsed="false">
      <c r="A1959" s="2" t="s">
        <v>320</v>
      </c>
      <c r="B1959" s="2" t="s">
        <v>321</v>
      </c>
      <c r="C1959" s="10" t="n">
        <v>46003</v>
      </c>
      <c r="D1959" s="2" t="n">
        <f aca="false">MONTH(C1959)</f>
        <v>12</v>
      </c>
      <c r="E1959" s="2" t="s">
        <v>77</v>
      </c>
      <c r="F1959" s="2" t="s">
        <v>64</v>
      </c>
      <c r="G1959" s="2" t="s">
        <v>73</v>
      </c>
      <c r="H1959" s="2" t="s">
        <v>104</v>
      </c>
      <c r="I1959" s="2" t="n">
        <v>3</v>
      </c>
      <c r="J1959" s="11" t="n">
        <v>5500</v>
      </c>
      <c r="K1959" s="12" t="n">
        <v>0.05</v>
      </c>
      <c r="L1959" s="11" t="n">
        <v>3600</v>
      </c>
      <c r="M1959" s="11" t="n">
        <f aca="false">I1959*J1959*(1-K1959)</f>
        <v>15675</v>
      </c>
      <c r="N1959" s="11" t="n">
        <f aca="false">M1959-I1959*L1959</f>
        <v>4875</v>
      </c>
    </row>
    <row r="1960" customFormat="false" ht="15" hidden="false" customHeight="false" outlineLevel="0" collapsed="false">
      <c r="A1960" s="2" t="s">
        <v>325</v>
      </c>
      <c r="B1960" s="2" t="s">
        <v>326</v>
      </c>
      <c r="C1960" s="10" t="n">
        <v>46003</v>
      </c>
      <c r="D1960" s="2" t="n">
        <f aca="false">MONTH(C1960)</f>
        <v>12</v>
      </c>
      <c r="E1960" s="2" t="s">
        <v>77</v>
      </c>
      <c r="F1960" s="2" t="s">
        <v>64</v>
      </c>
      <c r="G1960" s="2" t="s">
        <v>73</v>
      </c>
      <c r="H1960" s="2" t="s">
        <v>87</v>
      </c>
      <c r="I1960" s="2" t="n">
        <v>3</v>
      </c>
      <c r="J1960" s="11" t="n">
        <v>9000</v>
      </c>
      <c r="K1960" s="12" t="n">
        <v>0.05</v>
      </c>
      <c r="L1960" s="11" t="n">
        <v>6200</v>
      </c>
      <c r="M1960" s="11" t="n">
        <f aca="false">I1960*J1960*(1-K1960)</f>
        <v>25650</v>
      </c>
      <c r="N1960" s="11" t="n">
        <f aca="false">M1960-I1960*L1960</f>
        <v>7050</v>
      </c>
    </row>
    <row r="1961" customFormat="false" ht="15" hidden="false" customHeight="false" outlineLevel="0" collapsed="false">
      <c r="A1961" s="2" t="s">
        <v>643</v>
      </c>
      <c r="B1961" s="2" t="s">
        <v>644</v>
      </c>
      <c r="C1961" s="10" t="n">
        <v>46003</v>
      </c>
      <c r="D1961" s="2" t="n">
        <f aca="false">MONTH(C1961)</f>
        <v>12</v>
      </c>
      <c r="E1961" s="2" t="s">
        <v>63</v>
      </c>
      <c r="F1961" s="2" t="s">
        <v>64</v>
      </c>
      <c r="G1961" s="2" t="s">
        <v>65</v>
      </c>
      <c r="H1961" s="2" t="s">
        <v>82</v>
      </c>
      <c r="I1961" s="2" t="n">
        <v>3</v>
      </c>
      <c r="J1961" s="11" t="n">
        <v>250</v>
      </c>
      <c r="K1961" s="12" t="n">
        <v>0.05</v>
      </c>
      <c r="L1961" s="11" t="n">
        <v>100</v>
      </c>
      <c r="M1961" s="11" t="n">
        <f aca="false">I1961*J1961*(1-K1961)</f>
        <v>712.5</v>
      </c>
      <c r="N1961" s="11" t="n">
        <f aca="false">M1961-I1961*L1961</f>
        <v>412.5</v>
      </c>
    </row>
    <row r="1962" customFormat="false" ht="15" hidden="false" customHeight="false" outlineLevel="0" collapsed="false">
      <c r="A1962" s="2" t="s">
        <v>920</v>
      </c>
      <c r="B1962" s="2" t="s">
        <v>919</v>
      </c>
      <c r="C1962" s="10" t="n">
        <v>46003</v>
      </c>
      <c r="D1962" s="2" t="n">
        <f aca="false">MONTH(C1962)</f>
        <v>12</v>
      </c>
      <c r="E1962" s="2" t="s">
        <v>63</v>
      </c>
      <c r="F1962" s="2" t="s">
        <v>69</v>
      </c>
      <c r="G1962" s="2" t="s">
        <v>65</v>
      </c>
      <c r="H1962" s="2" t="s">
        <v>66</v>
      </c>
      <c r="I1962" s="2" t="n">
        <v>20</v>
      </c>
      <c r="J1962" s="11" t="n">
        <v>600</v>
      </c>
      <c r="K1962" s="12" t="n">
        <v>0.15</v>
      </c>
      <c r="L1962" s="11" t="n">
        <v>300</v>
      </c>
      <c r="M1962" s="11" t="n">
        <f aca="false">I1962*J1962*(1-K1962)</f>
        <v>10200</v>
      </c>
      <c r="N1962" s="11" t="n">
        <f aca="false">M1962-I1962*L1962</f>
        <v>4200</v>
      </c>
    </row>
    <row r="1963" customFormat="false" ht="15" hidden="false" customHeight="false" outlineLevel="0" collapsed="false">
      <c r="A1963" s="2" t="s">
        <v>957</v>
      </c>
      <c r="B1963" s="2" t="s">
        <v>956</v>
      </c>
      <c r="C1963" s="10" t="n">
        <v>46003</v>
      </c>
      <c r="D1963" s="2" t="n">
        <f aca="false">MONTH(C1963)</f>
        <v>12</v>
      </c>
      <c r="E1963" s="2" t="s">
        <v>91</v>
      </c>
      <c r="F1963" s="2" t="s">
        <v>69</v>
      </c>
      <c r="G1963" s="2" t="s">
        <v>73</v>
      </c>
      <c r="H1963" s="2" t="s">
        <v>87</v>
      </c>
      <c r="I1963" s="2" t="n">
        <v>5</v>
      </c>
      <c r="J1963" s="11" t="n">
        <v>9000</v>
      </c>
      <c r="K1963" s="12" t="n">
        <v>0.1</v>
      </c>
      <c r="L1963" s="11" t="n">
        <v>6200</v>
      </c>
      <c r="M1963" s="11" t="n">
        <f aca="false">I1963*J1963*(1-K1963)</f>
        <v>40500</v>
      </c>
      <c r="N1963" s="11" t="n">
        <f aca="false">M1963-I1963*L1963</f>
        <v>9500</v>
      </c>
    </row>
    <row r="1964" customFormat="false" ht="15" hidden="false" customHeight="false" outlineLevel="0" collapsed="false">
      <c r="A1964" s="2" t="s">
        <v>1862</v>
      </c>
      <c r="B1964" s="2" t="s">
        <v>1861</v>
      </c>
      <c r="C1964" s="10" t="n">
        <v>46003</v>
      </c>
      <c r="D1964" s="2" t="n">
        <f aca="false">MONTH(C1964)</f>
        <v>12</v>
      </c>
      <c r="E1964" s="2" t="s">
        <v>81</v>
      </c>
      <c r="F1964" s="2" t="s">
        <v>92</v>
      </c>
      <c r="G1964" s="2" t="s">
        <v>70</v>
      </c>
      <c r="H1964" s="2" t="s">
        <v>122</v>
      </c>
      <c r="I1964" s="2" t="n">
        <v>8</v>
      </c>
      <c r="J1964" s="11" t="n">
        <v>1500</v>
      </c>
      <c r="K1964" s="12" t="n">
        <v>0.15</v>
      </c>
      <c r="L1964" s="11" t="n">
        <v>900</v>
      </c>
      <c r="M1964" s="11" t="n">
        <f aca="false">I1964*J1964*(1-K1964)</f>
        <v>10200</v>
      </c>
      <c r="N1964" s="11" t="n">
        <f aca="false">M1964-I1964*L1964</f>
        <v>3000</v>
      </c>
    </row>
    <row r="1965" customFormat="false" ht="15" hidden="false" customHeight="false" outlineLevel="0" collapsed="false">
      <c r="A1965" s="2" t="s">
        <v>2234</v>
      </c>
      <c r="B1965" s="2" t="s">
        <v>2235</v>
      </c>
      <c r="C1965" s="10" t="n">
        <v>46003</v>
      </c>
      <c r="D1965" s="2" t="n">
        <f aca="false">MONTH(C1965)</f>
        <v>12</v>
      </c>
      <c r="E1965" s="2" t="s">
        <v>77</v>
      </c>
      <c r="F1965" s="2" t="s">
        <v>69</v>
      </c>
      <c r="G1965" s="2" t="s">
        <v>65</v>
      </c>
      <c r="H1965" s="2" t="s">
        <v>107</v>
      </c>
      <c r="I1965" s="2" t="n">
        <v>14</v>
      </c>
      <c r="J1965" s="11" t="n">
        <v>500</v>
      </c>
      <c r="K1965" s="12" t="n">
        <v>0.05</v>
      </c>
      <c r="L1965" s="11" t="n">
        <v>250</v>
      </c>
      <c r="M1965" s="11" t="n">
        <f aca="false">I1965*J1965*(1-K1965)</f>
        <v>6650</v>
      </c>
      <c r="N1965" s="11" t="n">
        <f aca="false">M1965-I1965*L1965</f>
        <v>3150</v>
      </c>
    </row>
    <row r="1966" customFormat="false" ht="15" hidden="false" customHeight="false" outlineLevel="0" collapsed="false">
      <c r="A1966" s="2" t="s">
        <v>2330</v>
      </c>
      <c r="B1966" s="2" t="s">
        <v>2329</v>
      </c>
      <c r="C1966" s="10" t="n">
        <v>46003</v>
      </c>
      <c r="D1966" s="2" t="n">
        <f aca="false">MONTH(C1966)</f>
        <v>12</v>
      </c>
      <c r="E1966" s="2" t="s">
        <v>77</v>
      </c>
      <c r="F1966" s="2" t="s">
        <v>64</v>
      </c>
      <c r="G1966" s="2" t="s">
        <v>70</v>
      </c>
      <c r="H1966" s="2" t="s">
        <v>122</v>
      </c>
      <c r="I1966" s="2" t="n">
        <v>1</v>
      </c>
      <c r="J1966" s="11" t="n">
        <v>1500</v>
      </c>
      <c r="K1966" s="12" t="n">
        <v>0.1</v>
      </c>
      <c r="L1966" s="11" t="n">
        <v>900</v>
      </c>
      <c r="M1966" s="11" t="n">
        <f aca="false">I1966*J1966*(1-K1966)</f>
        <v>1350</v>
      </c>
      <c r="N1966" s="11" t="n">
        <f aca="false">M1966-I1966*L1966</f>
        <v>450</v>
      </c>
    </row>
    <row r="1967" customFormat="false" ht="15" hidden="false" customHeight="false" outlineLevel="0" collapsed="false">
      <c r="A1967" s="2" t="s">
        <v>2421</v>
      </c>
      <c r="B1967" s="2" t="s">
        <v>2422</v>
      </c>
      <c r="C1967" s="10" t="n">
        <v>46003</v>
      </c>
      <c r="D1967" s="2" t="n">
        <f aca="false">MONTH(C1967)</f>
        <v>12</v>
      </c>
      <c r="E1967" s="2" t="s">
        <v>63</v>
      </c>
      <c r="F1967" s="2" t="s">
        <v>64</v>
      </c>
      <c r="G1967" s="2" t="s">
        <v>65</v>
      </c>
      <c r="H1967" s="2" t="s">
        <v>82</v>
      </c>
      <c r="I1967" s="2" t="n">
        <v>2</v>
      </c>
      <c r="J1967" s="11" t="n">
        <v>250</v>
      </c>
      <c r="K1967" s="12" t="n">
        <v>0.05</v>
      </c>
      <c r="L1967" s="11" t="n">
        <v>100</v>
      </c>
      <c r="M1967" s="11" t="n">
        <f aca="false">I1967*J1967*(1-K1967)</f>
        <v>475</v>
      </c>
      <c r="N1967" s="11" t="n">
        <f aca="false">M1967-I1967*L1967</f>
        <v>275</v>
      </c>
    </row>
    <row r="1968" customFormat="false" ht="15" hidden="false" customHeight="false" outlineLevel="0" collapsed="false">
      <c r="A1968" s="2" t="s">
        <v>367</v>
      </c>
      <c r="B1968" s="2" t="s">
        <v>361</v>
      </c>
      <c r="C1968" s="10" t="n">
        <v>46004</v>
      </c>
      <c r="D1968" s="2" t="n">
        <f aca="false">MONTH(C1968)</f>
        <v>12</v>
      </c>
      <c r="E1968" s="2" t="s">
        <v>77</v>
      </c>
      <c r="F1968" s="2" t="s">
        <v>64</v>
      </c>
      <c r="G1968" s="2" t="s">
        <v>70</v>
      </c>
      <c r="H1968" s="2" t="s">
        <v>126</v>
      </c>
      <c r="I1968" s="2" t="n">
        <v>2</v>
      </c>
      <c r="J1968" s="11" t="n">
        <v>4500</v>
      </c>
      <c r="K1968" s="12" t="n">
        <v>0.05</v>
      </c>
      <c r="L1968" s="11" t="n">
        <v>3300</v>
      </c>
      <c r="M1968" s="11" t="n">
        <f aca="false">I1968*J1968*(1-K1968)</f>
        <v>8550</v>
      </c>
      <c r="N1968" s="11" t="n">
        <f aca="false">M1968-I1968*L1968</f>
        <v>1950</v>
      </c>
    </row>
    <row r="1969" customFormat="false" ht="15" hidden="false" customHeight="false" outlineLevel="0" collapsed="false">
      <c r="A1969" s="2" t="s">
        <v>650</v>
      </c>
      <c r="B1969" s="2" t="s">
        <v>649</v>
      </c>
      <c r="C1969" s="10" t="n">
        <v>46004</v>
      </c>
      <c r="D1969" s="2" t="n">
        <f aca="false">MONTH(C1969)</f>
        <v>12</v>
      </c>
      <c r="E1969" s="2" t="s">
        <v>63</v>
      </c>
      <c r="F1969" s="2" t="s">
        <v>92</v>
      </c>
      <c r="G1969" s="2" t="s">
        <v>65</v>
      </c>
      <c r="H1969" s="2" t="s">
        <v>78</v>
      </c>
      <c r="I1969" s="2" t="n">
        <v>21</v>
      </c>
      <c r="J1969" s="11" t="n">
        <v>400</v>
      </c>
      <c r="K1969" s="12" t="n">
        <v>0.15</v>
      </c>
      <c r="L1969" s="11" t="n">
        <v>200</v>
      </c>
      <c r="M1969" s="11" t="n">
        <f aca="false">I1969*J1969*(1-K1969)</f>
        <v>7140</v>
      </c>
      <c r="N1969" s="11" t="n">
        <f aca="false">M1969-I1969*L1969</f>
        <v>2940</v>
      </c>
    </row>
    <row r="1970" customFormat="false" ht="15" hidden="false" customHeight="false" outlineLevel="0" collapsed="false">
      <c r="A1970" s="2" t="s">
        <v>754</v>
      </c>
      <c r="B1970" s="2" t="s">
        <v>752</v>
      </c>
      <c r="C1970" s="10" t="n">
        <v>46004</v>
      </c>
      <c r="D1970" s="2" t="n">
        <f aca="false">MONTH(C1970)</f>
        <v>12</v>
      </c>
      <c r="E1970" s="2" t="s">
        <v>81</v>
      </c>
      <c r="F1970" s="2" t="s">
        <v>92</v>
      </c>
      <c r="G1970" s="2" t="s">
        <v>73</v>
      </c>
      <c r="H1970" s="2" t="s">
        <v>85</v>
      </c>
      <c r="I1970" s="2" t="n">
        <v>2</v>
      </c>
      <c r="J1970" s="11" t="n">
        <v>1200</v>
      </c>
      <c r="K1970" s="12" t="n">
        <v>0.15</v>
      </c>
      <c r="L1970" s="11" t="n">
        <v>600</v>
      </c>
      <c r="M1970" s="11" t="n">
        <f aca="false">I1970*J1970*(1-K1970)</f>
        <v>2040</v>
      </c>
      <c r="N1970" s="11" t="n">
        <f aca="false">M1970-I1970*L1970</f>
        <v>840</v>
      </c>
    </row>
    <row r="1971" customFormat="false" ht="15" hidden="false" customHeight="false" outlineLevel="0" collapsed="false">
      <c r="A1971" s="2" t="s">
        <v>803</v>
      </c>
      <c r="B1971" s="2" t="s">
        <v>801</v>
      </c>
      <c r="C1971" s="10" t="n">
        <v>46004</v>
      </c>
      <c r="D1971" s="2" t="n">
        <f aca="false">MONTH(C1971)</f>
        <v>12</v>
      </c>
      <c r="E1971" s="2" t="s">
        <v>91</v>
      </c>
      <c r="F1971" s="2" t="s">
        <v>92</v>
      </c>
      <c r="G1971" s="2" t="s">
        <v>65</v>
      </c>
      <c r="H1971" s="2" t="s">
        <v>82</v>
      </c>
      <c r="I1971" s="2" t="n">
        <v>15</v>
      </c>
      <c r="J1971" s="11" t="n">
        <v>250</v>
      </c>
      <c r="K1971" s="12" t="n">
        <v>0.15</v>
      </c>
      <c r="L1971" s="11" t="n">
        <v>100</v>
      </c>
      <c r="M1971" s="11" t="n">
        <f aca="false">I1971*J1971*(1-K1971)</f>
        <v>3187.5</v>
      </c>
      <c r="N1971" s="11" t="n">
        <f aca="false">M1971-I1971*L1971</f>
        <v>1687.5</v>
      </c>
    </row>
    <row r="1972" customFormat="false" ht="15" hidden="false" customHeight="false" outlineLevel="0" collapsed="false">
      <c r="A1972" s="2" t="s">
        <v>1214</v>
      </c>
      <c r="B1972" s="2" t="s">
        <v>1210</v>
      </c>
      <c r="C1972" s="10" t="n">
        <v>46004</v>
      </c>
      <c r="D1972" s="2" t="n">
        <f aca="false">MONTH(C1972)</f>
        <v>12</v>
      </c>
      <c r="E1972" s="2" t="s">
        <v>63</v>
      </c>
      <c r="F1972" s="2" t="s">
        <v>92</v>
      </c>
      <c r="G1972" s="2" t="s">
        <v>65</v>
      </c>
      <c r="H1972" s="2" t="s">
        <v>82</v>
      </c>
      <c r="I1972" s="2" t="n">
        <v>34</v>
      </c>
      <c r="J1972" s="11" t="n">
        <v>250</v>
      </c>
      <c r="K1972" s="12" t="n">
        <v>0.15</v>
      </c>
      <c r="L1972" s="11" t="n">
        <v>100</v>
      </c>
      <c r="M1972" s="11" t="n">
        <f aca="false">I1972*J1972*(1-K1972)</f>
        <v>7225</v>
      </c>
      <c r="N1972" s="11" t="n">
        <f aca="false">M1972-I1972*L1972</f>
        <v>3825</v>
      </c>
    </row>
    <row r="1973" customFormat="false" ht="15" hidden="false" customHeight="false" outlineLevel="0" collapsed="false">
      <c r="A1973" s="2" t="s">
        <v>1793</v>
      </c>
      <c r="B1973" s="2" t="s">
        <v>1789</v>
      </c>
      <c r="C1973" s="10" t="n">
        <v>46004</v>
      </c>
      <c r="D1973" s="2" t="n">
        <f aca="false">MONTH(C1973)</f>
        <v>12</v>
      </c>
      <c r="E1973" s="2" t="s">
        <v>77</v>
      </c>
      <c r="F1973" s="2" t="s">
        <v>64</v>
      </c>
      <c r="G1973" s="2" t="s">
        <v>70</v>
      </c>
      <c r="H1973" s="2" t="s">
        <v>97</v>
      </c>
      <c r="I1973" s="2" t="n">
        <v>1</v>
      </c>
      <c r="J1973" s="11" t="n">
        <v>3000</v>
      </c>
      <c r="K1973" s="12" t="n">
        <v>0.05</v>
      </c>
      <c r="L1973" s="11" t="n">
        <v>2000</v>
      </c>
      <c r="M1973" s="11" t="n">
        <f aca="false">I1973*J1973*(1-K1973)</f>
        <v>2850</v>
      </c>
      <c r="N1973" s="11" t="n">
        <f aca="false">M1973-I1973*L1973</f>
        <v>850</v>
      </c>
    </row>
    <row r="1974" customFormat="false" ht="15" hidden="false" customHeight="false" outlineLevel="0" collapsed="false">
      <c r="A1974" s="2" t="s">
        <v>1957</v>
      </c>
      <c r="B1974" s="2" t="s">
        <v>1956</v>
      </c>
      <c r="C1974" s="10" t="n">
        <v>46004</v>
      </c>
      <c r="D1974" s="2" t="n">
        <f aca="false">MONTH(C1974)</f>
        <v>12</v>
      </c>
      <c r="E1974" s="2" t="s">
        <v>77</v>
      </c>
      <c r="F1974" s="2" t="s">
        <v>64</v>
      </c>
      <c r="G1974" s="2" t="s">
        <v>73</v>
      </c>
      <c r="H1974" s="2" t="s">
        <v>85</v>
      </c>
      <c r="I1974" s="2" t="n">
        <v>1</v>
      </c>
      <c r="J1974" s="11" t="n">
        <v>1200</v>
      </c>
      <c r="K1974" s="12" t="n">
        <v>0.05</v>
      </c>
      <c r="L1974" s="11" t="n">
        <v>600</v>
      </c>
      <c r="M1974" s="11" t="n">
        <f aca="false">I1974*J1974*(1-K1974)</f>
        <v>1140</v>
      </c>
      <c r="N1974" s="11" t="n">
        <f aca="false">M1974-I1974*L1974</f>
        <v>540</v>
      </c>
    </row>
    <row r="1975" customFormat="false" ht="15" hidden="false" customHeight="false" outlineLevel="0" collapsed="false">
      <c r="A1975" s="2" t="s">
        <v>2563</v>
      </c>
      <c r="B1975" s="2" t="s">
        <v>2564</v>
      </c>
      <c r="C1975" s="10" t="n">
        <v>46004</v>
      </c>
      <c r="D1975" s="2" t="n">
        <f aca="false">MONTH(C1975)</f>
        <v>12</v>
      </c>
      <c r="E1975" s="2" t="s">
        <v>91</v>
      </c>
      <c r="F1975" s="2" t="s">
        <v>69</v>
      </c>
      <c r="G1975" s="2" t="s">
        <v>65</v>
      </c>
      <c r="H1975" s="2" t="s">
        <v>107</v>
      </c>
      <c r="I1975" s="2" t="n">
        <v>14</v>
      </c>
      <c r="J1975" s="11" t="n">
        <v>500</v>
      </c>
      <c r="K1975" s="12" t="n">
        <v>0.05</v>
      </c>
      <c r="L1975" s="11" t="n">
        <v>250</v>
      </c>
      <c r="M1975" s="11" t="n">
        <f aca="false">I1975*J1975*(1-K1975)</f>
        <v>6650</v>
      </c>
      <c r="N1975" s="11" t="n">
        <f aca="false">M1975-I1975*L1975</f>
        <v>3150</v>
      </c>
    </row>
    <row r="1976" customFormat="false" ht="15" hidden="false" customHeight="false" outlineLevel="0" collapsed="false">
      <c r="A1976" s="2" t="s">
        <v>270</v>
      </c>
      <c r="B1976" s="2" t="s">
        <v>267</v>
      </c>
      <c r="C1976" s="10" t="n">
        <v>46005</v>
      </c>
      <c r="D1976" s="2" t="n">
        <f aca="false">MONTH(C1976)</f>
        <v>12</v>
      </c>
      <c r="E1976" s="2" t="s">
        <v>63</v>
      </c>
      <c r="F1976" s="2" t="s">
        <v>92</v>
      </c>
      <c r="G1976" s="2" t="s">
        <v>65</v>
      </c>
      <c r="H1976" s="2" t="s">
        <v>82</v>
      </c>
      <c r="I1976" s="2" t="n">
        <v>34</v>
      </c>
      <c r="J1976" s="11" t="n">
        <v>250</v>
      </c>
      <c r="K1976" s="12" t="n">
        <v>0.15</v>
      </c>
      <c r="L1976" s="11" t="n">
        <v>100</v>
      </c>
      <c r="M1976" s="11" t="n">
        <f aca="false">I1976*J1976*(1-K1976)</f>
        <v>7225</v>
      </c>
      <c r="N1976" s="11" t="n">
        <f aca="false">M1976-I1976*L1976</f>
        <v>3825</v>
      </c>
    </row>
    <row r="1977" customFormat="false" ht="15" hidden="false" customHeight="false" outlineLevel="0" collapsed="false">
      <c r="A1977" s="2" t="s">
        <v>1409</v>
      </c>
      <c r="B1977" s="2" t="s">
        <v>1404</v>
      </c>
      <c r="C1977" s="10" t="n">
        <v>46005</v>
      </c>
      <c r="D1977" s="2" t="n">
        <f aca="false">MONTH(C1977)</f>
        <v>12</v>
      </c>
      <c r="E1977" s="2" t="s">
        <v>77</v>
      </c>
      <c r="F1977" s="2" t="s">
        <v>64</v>
      </c>
      <c r="G1977" s="2" t="s">
        <v>65</v>
      </c>
      <c r="H1977" s="2" t="s">
        <v>66</v>
      </c>
      <c r="I1977" s="2" t="n">
        <v>8</v>
      </c>
      <c r="J1977" s="11" t="n">
        <v>600</v>
      </c>
      <c r="K1977" s="12" t="n">
        <v>0.05</v>
      </c>
      <c r="L1977" s="11" t="n">
        <v>300</v>
      </c>
      <c r="M1977" s="11" t="n">
        <f aca="false">I1977*J1977*(1-K1977)</f>
        <v>4560</v>
      </c>
      <c r="N1977" s="11" t="n">
        <f aca="false">M1977-I1977*L1977</f>
        <v>2160</v>
      </c>
    </row>
    <row r="1978" customFormat="false" ht="15" hidden="false" customHeight="false" outlineLevel="0" collapsed="false">
      <c r="A1978" s="2" t="s">
        <v>1479</v>
      </c>
      <c r="B1978" s="2" t="s">
        <v>1477</v>
      </c>
      <c r="C1978" s="10" t="n">
        <v>46005</v>
      </c>
      <c r="D1978" s="2" t="n">
        <f aca="false">MONTH(C1978)</f>
        <v>12</v>
      </c>
      <c r="E1978" s="2" t="s">
        <v>63</v>
      </c>
      <c r="F1978" s="2" t="s">
        <v>92</v>
      </c>
      <c r="G1978" s="2" t="s">
        <v>70</v>
      </c>
      <c r="H1978" s="2" t="s">
        <v>71</v>
      </c>
      <c r="I1978" s="2" t="n">
        <v>8</v>
      </c>
      <c r="J1978" s="11" t="n">
        <v>2500</v>
      </c>
      <c r="K1978" s="12" t="n">
        <v>0.15</v>
      </c>
      <c r="L1978" s="11" t="n">
        <v>1600</v>
      </c>
      <c r="M1978" s="11" t="n">
        <f aca="false">I1978*J1978*(1-K1978)</f>
        <v>17000</v>
      </c>
      <c r="N1978" s="11" t="n">
        <f aca="false">M1978-I1978*L1978</f>
        <v>4200</v>
      </c>
    </row>
    <row r="1979" customFormat="false" ht="15" hidden="false" customHeight="false" outlineLevel="0" collapsed="false">
      <c r="A1979" s="2" t="s">
        <v>1548</v>
      </c>
      <c r="B1979" s="2" t="s">
        <v>1546</v>
      </c>
      <c r="C1979" s="10" t="n">
        <v>46005</v>
      </c>
      <c r="D1979" s="2" t="n">
        <f aca="false">MONTH(C1979)</f>
        <v>12</v>
      </c>
      <c r="E1979" s="2" t="s">
        <v>77</v>
      </c>
      <c r="F1979" s="2" t="s">
        <v>92</v>
      </c>
      <c r="G1979" s="2" t="s">
        <v>73</v>
      </c>
      <c r="H1979" s="2" t="s">
        <v>87</v>
      </c>
      <c r="I1979" s="2" t="n">
        <v>6</v>
      </c>
      <c r="J1979" s="11" t="n">
        <v>9000</v>
      </c>
      <c r="K1979" s="12" t="n">
        <v>0.15</v>
      </c>
      <c r="L1979" s="11" t="n">
        <v>6200</v>
      </c>
      <c r="M1979" s="11" t="n">
        <f aca="false">I1979*J1979*(1-K1979)</f>
        <v>45900</v>
      </c>
      <c r="N1979" s="11" t="n">
        <f aca="false">M1979-I1979*L1979</f>
        <v>8700</v>
      </c>
    </row>
    <row r="1980" customFormat="false" ht="15" hidden="false" customHeight="false" outlineLevel="0" collapsed="false">
      <c r="A1980" s="2" t="s">
        <v>2074</v>
      </c>
      <c r="B1980" s="2" t="s">
        <v>2075</v>
      </c>
      <c r="C1980" s="10" t="n">
        <v>46005</v>
      </c>
      <c r="D1980" s="2" t="n">
        <f aca="false">MONTH(C1980)</f>
        <v>12</v>
      </c>
      <c r="E1980" s="2" t="s">
        <v>77</v>
      </c>
      <c r="F1980" s="2" t="s">
        <v>64</v>
      </c>
      <c r="G1980" s="2" t="s">
        <v>65</v>
      </c>
      <c r="H1980" s="2" t="s">
        <v>107</v>
      </c>
      <c r="I1980" s="2" t="n">
        <v>5</v>
      </c>
      <c r="J1980" s="11" t="n">
        <v>500</v>
      </c>
      <c r="K1980" s="12" t="n">
        <v>0.05</v>
      </c>
      <c r="L1980" s="11" t="n">
        <v>250</v>
      </c>
      <c r="M1980" s="11" t="n">
        <f aca="false">I1980*J1980*(1-K1980)</f>
        <v>2375</v>
      </c>
      <c r="N1980" s="11" t="n">
        <f aca="false">M1980-I1980*L1980</f>
        <v>1125</v>
      </c>
    </row>
    <row r="1981" customFormat="false" ht="15" hidden="false" customHeight="false" outlineLevel="0" collapsed="false">
      <c r="A1981" s="2" t="s">
        <v>2789</v>
      </c>
      <c r="B1981" s="2" t="s">
        <v>2788</v>
      </c>
      <c r="C1981" s="10" t="n">
        <v>46005</v>
      </c>
      <c r="D1981" s="2" t="n">
        <f aca="false">MONTH(C1981)</f>
        <v>12</v>
      </c>
      <c r="E1981" s="2" t="s">
        <v>63</v>
      </c>
      <c r="F1981" s="2" t="s">
        <v>69</v>
      </c>
      <c r="G1981" s="2" t="s">
        <v>73</v>
      </c>
      <c r="H1981" s="2" t="s">
        <v>85</v>
      </c>
      <c r="I1981" s="2" t="n">
        <v>1</v>
      </c>
      <c r="J1981" s="11" t="n">
        <v>1200</v>
      </c>
      <c r="K1981" s="12" t="n">
        <v>0.05</v>
      </c>
      <c r="L1981" s="11" t="n">
        <v>600</v>
      </c>
      <c r="M1981" s="11" t="n">
        <f aca="false">I1981*J1981*(1-K1981)</f>
        <v>1140</v>
      </c>
      <c r="N1981" s="11" t="n">
        <f aca="false">M1981-I1981*L1981</f>
        <v>540</v>
      </c>
    </row>
    <row r="1982" customFormat="false" ht="15" hidden="false" customHeight="false" outlineLevel="0" collapsed="false">
      <c r="A1982" s="2" t="s">
        <v>580</v>
      </c>
      <c r="B1982" s="2" t="s">
        <v>570</v>
      </c>
      <c r="C1982" s="10" t="n">
        <v>46006</v>
      </c>
      <c r="D1982" s="2" t="n">
        <f aca="false">MONTH(C1982)</f>
        <v>12</v>
      </c>
      <c r="E1982" s="2" t="s">
        <v>63</v>
      </c>
      <c r="F1982" s="2" t="s">
        <v>92</v>
      </c>
      <c r="G1982" s="2" t="s">
        <v>73</v>
      </c>
      <c r="H1982" s="2" t="s">
        <v>74</v>
      </c>
      <c r="I1982" s="2" t="n">
        <v>6</v>
      </c>
      <c r="J1982" s="11" t="n">
        <v>7000</v>
      </c>
      <c r="K1982" s="12" t="n">
        <v>0.15</v>
      </c>
      <c r="L1982" s="11" t="n">
        <v>4800</v>
      </c>
      <c r="M1982" s="11" t="n">
        <f aca="false">I1982*J1982*(1-K1982)</f>
        <v>35700</v>
      </c>
      <c r="N1982" s="11" t="n">
        <f aca="false">M1982-I1982*L1982</f>
        <v>6900</v>
      </c>
    </row>
    <row r="1983" customFormat="false" ht="15" hidden="false" customHeight="false" outlineLevel="0" collapsed="false">
      <c r="A1983" s="2" t="s">
        <v>1186</v>
      </c>
      <c r="B1983" s="2" t="s">
        <v>1185</v>
      </c>
      <c r="C1983" s="10" t="n">
        <v>46006</v>
      </c>
      <c r="D1983" s="2" t="n">
        <f aca="false">MONTH(C1983)</f>
        <v>12</v>
      </c>
      <c r="E1983" s="2" t="s">
        <v>63</v>
      </c>
      <c r="F1983" s="2" t="s">
        <v>64</v>
      </c>
      <c r="G1983" s="2" t="s">
        <v>65</v>
      </c>
      <c r="H1983" s="2" t="s">
        <v>78</v>
      </c>
      <c r="I1983" s="2" t="n">
        <v>2</v>
      </c>
      <c r="J1983" s="11" t="n">
        <v>400</v>
      </c>
      <c r="K1983" s="12" t="n">
        <v>0.1</v>
      </c>
      <c r="L1983" s="11" t="n">
        <v>200</v>
      </c>
      <c r="M1983" s="11" t="n">
        <f aca="false">I1983*J1983*(1-K1983)</f>
        <v>720</v>
      </c>
      <c r="N1983" s="11" t="n">
        <f aca="false">M1983-I1983*L1983</f>
        <v>320</v>
      </c>
    </row>
    <row r="1984" customFormat="false" ht="15" hidden="false" customHeight="false" outlineLevel="0" collapsed="false">
      <c r="A1984" s="2" t="s">
        <v>2178</v>
      </c>
      <c r="B1984" s="2" t="s">
        <v>2177</v>
      </c>
      <c r="C1984" s="10" t="n">
        <v>46006</v>
      </c>
      <c r="D1984" s="2" t="n">
        <f aca="false">MONTH(C1984)</f>
        <v>12</v>
      </c>
      <c r="E1984" s="2" t="s">
        <v>91</v>
      </c>
      <c r="F1984" s="2" t="s">
        <v>64</v>
      </c>
      <c r="G1984" s="2" t="s">
        <v>70</v>
      </c>
      <c r="H1984" s="2" t="s">
        <v>122</v>
      </c>
      <c r="I1984" s="2" t="n">
        <v>2</v>
      </c>
      <c r="J1984" s="11" t="n">
        <v>1500</v>
      </c>
      <c r="K1984" s="12" t="n">
        <v>0.1</v>
      </c>
      <c r="L1984" s="11" t="n">
        <v>900</v>
      </c>
      <c r="M1984" s="11" t="n">
        <f aca="false">I1984*J1984*(1-K1984)</f>
        <v>2700</v>
      </c>
      <c r="N1984" s="11" t="n">
        <f aca="false">M1984-I1984*L1984</f>
        <v>900</v>
      </c>
    </row>
    <row r="1985" customFormat="false" ht="15" hidden="false" customHeight="false" outlineLevel="0" collapsed="false">
      <c r="A1985" s="2" t="s">
        <v>2313</v>
      </c>
      <c r="B1985" s="2" t="s">
        <v>2310</v>
      </c>
      <c r="C1985" s="10" t="n">
        <v>46006</v>
      </c>
      <c r="D1985" s="2" t="n">
        <f aca="false">MONTH(C1985)</f>
        <v>12</v>
      </c>
      <c r="E1985" s="2" t="s">
        <v>63</v>
      </c>
      <c r="F1985" s="2" t="s">
        <v>69</v>
      </c>
      <c r="G1985" s="2" t="s">
        <v>65</v>
      </c>
      <c r="H1985" s="2" t="s">
        <v>107</v>
      </c>
      <c r="I1985" s="2" t="n">
        <v>19</v>
      </c>
      <c r="J1985" s="11" t="n">
        <v>500</v>
      </c>
      <c r="K1985" s="12" t="n">
        <v>0.15</v>
      </c>
      <c r="L1985" s="11" t="n">
        <v>250</v>
      </c>
      <c r="M1985" s="11" t="n">
        <f aca="false">I1985*J1985*(1-K1985)</f>
        <v>8075</v>
      </c>
      <c r="N1985" s="11" t="n">
        <f aca="false">M1985-I1985*L1985</f>
        <v>3325</v>
      </c>
    </row>
    <row r="1986" customFormat="false" ht="15" hidden="false" customHeight="false" outlineLevel="0" collapsed="false">
      <c r="A1986" s="2" t="s">
        <v>2325</v>
      </c>
      <c r="B1986" s="2" t="s">
        <v>2318</v>
      </c>
      <c r="C1986" s="10" t="n">
        <v>46006</v>
      </c>
      <c r="D1986" s="2" t="n">
        <f aca="false">MONTH(C1986)</f>
        <v>12</v>
      </c>
      <c r="E1986" s="2" t="s">
        <v>77</v>
      </c>
      <c r="F1986" s="2" t="s">
        <v>64</v>
      </c>
      <c r="G1986" s="2" t="s">
        <v>73</v>
      </c>
      <c r="H1986" s="2" t="s">
        <v>87</v>
      </c>
      <c r="I1986" s="2" t="n">
        <v>2</v>
      </c>
      <c r="J1986" s="11" t="n">
        <v>9000</v>
      </c>
      <c r="K1986" s="12" t="n">
        <v>0.15</v>
      </c>
      <c r="L1986" s="11" t="n">
        <v>6200</v>
      </c>
      <c r="M1986" s="11" t="n">
        <f aca="false">I1986*J1986*(1-K1986)</f>
        <v>15300</v>
      </c>
      <c r="N1986" s="11" t="n">
        <f aca="false">M1986-I1986*L1986</f>
        <v>2900</v>
      </c>
    </row>
    <row r="1987" customFormat="false" ht="15" hidden="false" customHeight="false" outlineLevel="0" collapsed="false">
      <c r="A1987" s="2" t="s">
        <v>110</v>
      </c>
      <c r="B1987" s="2" t="s">
        <v>106</v>
      </c>
      <c r="C1987" s="10" t="n">
        <v>46007</v>
      </c>
      <c r="D1987" s="2" t="n">
        <f aca="false">MONTH(C1987)</f>
        <v>12</v>
      </c>
      <c r="E1987" s="2" t="s">
        <v>63</v>
      </c>
      <c r="F1987" s="2" t="s">
        <v>64</v>
      </c>
      <c r="G1987" s="2" t="s">
        <v>65</v>
      </c>
      <c r="H1987" s="2" t="s">
        <v>107</v>
      </c>
      <c r="I1987" s="2" t="n">
        <v>4</v>
      </c>
      <c r="J1987" s="11" t="n">
        <v>500</v>
      </c>
      <c r="K1987" s="12" t="n">
        <v>0.05</v>
      </c>
      <c r="L1987" s="11" t="n">
        <v>250</v>
      </c>
      <c r="M1987" s="11" t="n">
        <f aca="false">I1987*J1987*(1-K1987)</f>
        <v>1900</v>
      </c>
      <c r="N1987" s="11" t="n">
        <f aca="false">M1987-I1987*L1987</f>
        <v>900</v>
      </c>
    </row>
    <row r="1988" customFormat="false" ht="15" hidden="false" customHeight="false" outlineLevel="0" collapsed="false">
      <c r="A1988" s="2" t="s">
        <v>278</v>
      </c>
      <c r="B1988" s="2" t="s">
        <v>279</v>
      </c>
      <c r="C1988" s="10" t="n">
        <v>46007</v>
      </c>
      <c r="D1988" s="2" t="n">
        <f aca="false">MONTH(C1988)</f>
        <v>12</v>
      </c>
      <c r="E1988" s="2" t="s">
        <v>91</v>
      </c>
      <c r="F1988" s="2" t="s">
        <v>64</v>
      </c>
      <c r="G1988" s="2" t="s">
        <v>65</v>
      </c>
      <c r="H1988" s="2" t="s">
        <v>107</v>
      </c>
      <c r="I1988" s="2" t="n">
        <v>4</v>
      </c>
      <c r="J1988" s="11" t="n">
        <v>500</v>
      </c>
      <c r="K1988" s="12" t="n">
        <v>0.05</v>
      </c>
      <c r="L1988" s="11" t="n">
        <v>250</v>
      </c>
      <c r="M1988" s="11" t="n">
        <f aca="false">I1988*J1988*(1-K1988)</f>
        <v>1900</v>
      </c>
      <c r="N1988" s="11" t="n">
        <f aca="false">M1988-I1988*L1988</f>
        <v>900</v>
      </c>
    </row>
    <row r="1989" customFormat="false" ht="15" hidden="false" customHeight="false" outlineLevel="0" collapsed="false">
      <c r="A1989" s="2" t="s">
        <v>733</v>
      </c>
      <c r="B1989" s="2" t="s">
        <v>730</v>
      </c>
      <c r="C1989" s="10" t="n">
        <v>46007</v>
      </c>
      <c r="D1989" s="2" t="n">
        <f aca="false">MONTH(C1989)</f>
        <v>12</v>
      </c>
      <c r="E1989" s="2" t="s">
        <v>91</v>
      </c>
      <c r="F1989" s="2" t="s">
        <v>69</v>
      </c>
      <c r="G1989" s="2" t="s">
        <v>73</v>
      </c>
      <c r="H1989" s="2" t="s">
        <v>104</v>
      </c>
      <c r="I1989" s="2" t="n">
        <v>5</v>
      </c>
      <c r="J1989" s="11" t="n">
        <v>5500</v>
      </c>
      <c r="K1989" s="12" t="n">
        <v>0.15</v>
      </c>
      <c r="L1989" s="11" t="n">
        <v>3600</v>
      </c>
      <c r="M1989" s="11" t="n">
        <f aca="false">I1989*J1989*(1-K1989)</f>
        <v>23375</v>
      </c>
      <c r="N1989" s="11" t="n">
        <f aca="false">M1989-I1989*L1989</f>
        <v>5375</v>
      </c>
    </row>
    <row r="1990" customFormat="false" ht="15" hidden="false" customHeight="false" outlineLevel="0" collapsed="false">
      <c r="A1990" s="2" t="s">
        <v>786</v>
      </c>
      <c r="B1990" s="2" t="s">
        <v>787</v>
      </c>
      <c r="C1990" s="10" t="n">
        <v>46007</v>
      </c>
      <c r="D1990" s="2" t="n">
        <f aca="false">MONTH(C1990)</f>
        <v>12</v>
      </c>
      <c r="E1990" s="2" t="s">
        <v>81</v>
      </c>
      <c r="F1990" s="2" t="s">
        <v>69</v>
      </c>
      <c r="G1990" s="2" t="s">
        <v>70</v>
      </c>
      <c r="H1990" s="2" t="s">
        <v>71</v>
      </c>
      <c r="I1990" s="2" t="n">
        <v>1</v>
      </c>
      <c r="J1990" s="11" t="n">
        <v>2500</v>
      </c>
      <c r="K1990" s="12" t="n">
        <v>0.15</v>
      </c>
      <c r="L1990" s="11" t="n">
        <v>1600</v>
      </c>
      <c r="M1990" s="11" t="n">
        <f aca="false">I1990*J1990*(1-K1990)</f>
        <v>2125</v>
      </c>
      <c r="N1990" s="11" t="n">
        <f aca="false">M1990-I1990*L1990</f>
        <v>525</v>
      </c>
    </row>
    <row r="1991" customFormat="false" ht="15" hidden="false" customHeight="false" outlineLevel="0" collapsed="false">
      <c r="A1991" s="2" t="s">
        <v>1449</v>
      </c>
      <c r="B1991" s="2" t="s">
        <v>1442</v>
      </c>
      <c r="C1991" s="10" t="n">
        <v>46007</v>
      </c>
      <c r="D1991" s="2" t="n">
        <f aca="false">MONTH(C1991)</f>
        <v>12</v>
      </c>
      <c r="E1991" s="2" t="s">
        <v>91</v>
      </c>
      <c r="F1991" s="2" t="s">
        <v>64</v>
      </c>
      <c r="G1991" s="2" t="s">
        <v>65</v>
      </c>
      <c r="H1991" s="2" t="s">
        <v>66</v>
      </c>
      <c r="I1991" s="2" t="n">
        <v>3</v>
      </c>
      <c r="J1991" s="11" t="n">
        <v>600</v>
      </c>
      <c r="K1991" s="12" t="n">
        <v>0.15</v>
      </c>
      <c r="L1991" s="11" t="n">
        <v>300</v>
      </c>
      <c r="M1991" s="11" t="n">
        <f aca="false">I1991*J1991*(1-K1991)</f>
        <v>1530</v>
      </c>
      <c r="N1991" s="11" t="n">
        <f aca="false">M1991-I1991*L1991</f>
        <v>630</v>
      </c>
    </row>
    <row r="1992" customFormat="false" ht="15" hidden="false" customHeight="false" outlineLevel="0" collapsed="false">
      <c r="A1992" s="2" t="s">
        <v>1515</v>
      </c>
      <c r="B1992" s="2" t="s">
        <v>1516</v>
      </c>
      <c r="C1992" s="10" t="n">
        <v>46007</v>
      </c>
      <c r="D1992" s="2" t="n">
        <f aca="false">MONTH(C1992)</f>
        <v>12</v>
      </c>
      <c r="E1992" s="2" t="s">
        <v>81</v>
      </c>
      <c r="F1992" s="2" t="s">
        <v>64</v>
      </c>
      <c r="G1992" s="2" t="s">
        <v>70</v>
      </c>
      <c r="H1992" s="2" t="s">
        <v>97</v>
      </c>
      <c r="I1992" s="2" t="n">
        <v>2</v>
      </c>
      <c r="J1992" s="11" t="n">
        <v>3000</v>
      </c>
      <c r="K1992" s="12" t="n">
        <v>0.15</v>
      </c>
      <c r="L1992" s="11" t="n">
        <v>2000</v>
      </c>
      <c r="M1992" s="11" t="n">
        <f aca="false">I1992*J1992*(1-K1992)</f>
        <v>5100</v>
      </c>
      <c r="N1992" s="11" t="n">
        <f aca="false">M1992-I1992*L1992</f>
        <v>1100</v>
      </c>
    </row>
    <row r="1993" customFormat="false" ht="15" hidden="false" customHeight="false" outlineLevel="0" collapsed="false">
      <c r="A1993" s="2" t="s">
        <v>1919</v>
      </c>
      <c r="B1993" s="2" t="s">
        <v>1920</v>
      </c>
      <c r="C1993" s="10" t="n">
        <v>46007</v>
      </c>
      <c r="D1993" s="2" t="n">
        <f aca="false">MONTH(C1993)</f>
        <v>12</v>
      </c>
      <c r="E1993" s="2" t="s">
        <v>77</v>
      </c>
      <c r="F1993" s="2" t="s">
        <v>92</v>
      </c>
      <c r="G1993" s="2" t="s">
        <v>70</v>
      </c>
      <c r="H1993" s="2" t="s">
        <v>122</v>
      </c>
      <c r="I1993" s="2" t="n">
        <v>7</v>
      </c>
      <c r="J1993" s="11" t="n">
        <v>1500</v>
      </c>
      <c r="K1993" s="12" t="n">
        <v>0.15</v>
      </c>
      <c r="L1993" s="11" t="n">
        <v>900</v>
      </c>
      <c r="M1993" s="11" t="n">
        <f aca="false">I1993*J1993*(1-K1993)</f>
        <v>8925</v>
      </c>
      <c r="N1993" s="11" t="n">
        <f aca="false">M1993-I1993*L1993</f>
        <v>2625</v>
      </c>
    </row>
    <row r="1994" customFormat="false" ht="15" hidden="false" customHeight="false" outlineLevel="0" collapsed="false">
      <c r="A1994" s="2" t="s">
        <v>2080</v>
      </c>
      <c r="B1994" s="2" t="s">
        <v>2081</v>
      </c>
      <c r="C1994" s="10" t="n">
        <v>46007</v>
      </c>
      <c r="D1994" s="2" t="n">
        <f aca="false">MONTH(C1994)</f>
        <v>12</v>
      </c>
      <c r="E1994" s="2" t="s">
        <v>63</v>
      </c>
      <c r="F1994" s="2" t="s">
        <v>64</v>
      </c>
      <c r="G1994" s="2" t="s">
        <v>70</v>
      </c>
      <c r="H1994" s="2" t="s">
        <v>97</v>
      </c>
      <c r="I1994" s="2" t="n">
        <v>2</v>
      </c>
      <c r="J1994" s="11" t="n">
        <v>3000</v>
      </c>
      <c r="K1994" s="12" t="n">
        <v>0.05</v>
      </c>
      <c r="L1994" s="11" t="n">
        <v>2000</v>
      </c>
      <c r="M1994" s="11" t="n">
        <f aca="false">I1994*J1994*(1-K1994)</f>
        <v>5700</v>
      </c>
      <c r="N1994" s="11" t="n">
        <f aca="false">M1994-I1994*L1994</f>
        <v>1700</v>
      </c>
    </row>
    <row r="1995" customFormat="false" ht="15" hidden="false" customHeight="false" outlineLevel="0" collapsed="false">
      <c r="A1995" s="2" t="s">
        <v>2771</v>
      </c>
      <c r="B1995" s="2" t="s">
        <v>2772</v>
      </c>
      <c r="C1995" s="10" t="n">
        <v>46007</v>
      </c>
      <c r="D1995" s="2" t="n">
        <f aca="false">MONTH(C1995)</f>
        <v>12</v>
      </c>
      <c r="E1995" s="2" t="s">
        <v>63</v>
      </c>
      <c r="F1995" s="2" t="s">
        <v>64</v>
      </c>
      <c r="G1995" s="2" t="s">
        <v>65</v>
      </c>
      <c r="H1995" s="2" t="s">
        <v>78</v>
      </c>
      <c r="I1995" s="2" t="n">
        <v>6</v>
      </c>
      <c r="J1995" s="11" t="n">
        <v>400</v>
      </c>
      <c r="K1995" s="12" t="n">
        <v>0.05</v>
      </c>
      <c r="L1995" s="11" t="n">
        <v>200</v>
      </c>
      <c r="M1995" s="11" t="n">
        <f aca="false">I1995*J1995*(1-K1995)</f>
        <v>2280</v>
      </c>
      <c r="N1995" s="11" t="n">
        <f aca="false">M1995-I1995*L1995</f>
        <v>1080</v>
      </c>
    </row>
    <row r="1996" customFormat="false" ht="15" hidden="false" customHeight="false" outlineLevel="0" collapsed="false">
      <c r="A1996" s="2" t="s">
        <v>195</v>
      </c>
      <c r="B1996" s="2" t="s">
        <v>196</v>
      </c>
      <c r="C1996" s="10" t="n">
        <v>46008</v>
      </c>
      <c r="D1996" s="2" t="n">
        <f aca="false">MONTH(C1996)</f>
        <v>12</v>
      </c>
      <c r="E1996" s="2" t="s">
        <v>77</v>
      </c>
      <c r="F1996" s="2" t="s">
        <v>64</v>
      </c>
      <c r="G1996" s="2" t="s">
        <v>70</v>
      </c>
      <c r="H1996" s="2" t="s">
        <v>97</v>
      </c>
      <c r="I1996" s="2" t="n">
        <v>2</v>
      </c>
      <c r="J1996" s="11" t="n">
        <v>3000</v>
      </c>
      <c r="K1996" s="12" t="n">
        <v>0.05</v>
      </c>
      <c r="L1996" s="11" t="n">
        <v>2000</v>
      </c>
      <c r="M1996" s="11" t="n">
        <f aca="false">I1996*J1996*(1-K1996)</f>
        <v>5700</v>
      </c>
      <c r="N1996" s="11" t="n">
        <f aca="false">M1996-I1996*L1996</f>
        <v>1700</v>
      </c>
    </row>
    <row r="1997" customFormat="false" ht="15" hidden="false" customHeight="false" outlineLevel="0" collapsed="false">
      <c r="A1997" s="2" t="s">
        <v>214</v>
      </c>
      <c r="B1997" s="2" t="s">
        <v>210</v>
      </c>
      <c r="C1997" s="10" t="n">
        <v>46008</v>
      </c>
      <c r="D1997" s="2" t="n">
        <f aca="false">MONTH(C1997)</f>
        <v>12</v>
      </c>
      <c r="E1997" s="2" t="s">
        <v>77</v>
      </c>
      <c r="F1997" s="2" t="s">
        <v>64</v>
      </c>
      <c r="G1997" s="2" t="s">
        <v>73</v>
      </c>
      <c r="H1997" s="2" t="s">
        <v>104</v>
      </c>
      <c r="I1997" s="2" t="n">
        <v>2</v>
      </c>
      <c r="J1997" s="11" t="n">
        <v>5500</v>
      </c>
      <c r="K1997" s="12" t="n">
        <v>0.05</v>
      </c>
      <c r="L1997" s="11" t="n">
        <v>3600</v>
      </c>
      <c r="M1997" s="11" t="n">
        <f aca="false">I1997*J1997*(1-K1997)</f>
        <v>10450</v>
      </c>
      <c r="N1997" s="11" t="n">
        <f aca="false">M1997-I1997*L1997</f>
        <v>3250</v>
      </c>
    </row>
    <row r="1998" customFormat="false" ht="15" hidden="false" customHeight="false" outlineLevel="0" collapsed="false">
      <c r="A1998" s="2" t="s">
        <v>543</v>
      </c>
      <c r="B1998" s="2" t="s">
        <v>544</v>
      </c>
      <c r="C1998" s="10" t="n">
        <v>46008</v>
      </c>
      <c r="D1998" s="2" t="n">
        <f aca="false">MONTH(C1998)</f>
        <v>12</v>
      </c>
      <c r="E1998" s="2" t="s">
        <v>77</v>
      </c>
      <c r="F1998" s="2" t="s">
        <v>64</v>
      </c>
      <c r="G1998" s="2" t="s">
        <v>65</v>
      </c>
      <c r="H1998" s="2" t="s">
        <v>66</v>
      </c>
      <c r="I1998" s="2" t="n">
        <v>3</v>
      </c>
      <c r="J1998" s="11" t="n">
        <v>600</v>
      </c>
      <c r="K1998" s="12" t="n">
        <v>0.05</v>
      </c>
      <c r="L1998" s="11" t="n">
        <v>300</v>
      </c>
      <c r="M1998" s="11" t="n">
        <f aca="false">I1998*J1998*(1-K1998)</f>
        <v>1710</v>
      </c>
      <c r="N1998" s="11" t="n">
        <f aca="false">M1998-I1998*L1998</f>
        <v>810</v>
      </c>
    </row>
    <row r="1999" customFormat="false" ht="15" hidden="false" customHeight="false" outlineLevel="0" collapsed="false">
      <c r="A1999" s="2" t="s">
        <v>980</v>
      </c>
      <c r="B1999" s="2" t="s">
        <v>976</v>
      </c>
      <c r="C1999" s="10" t="n">
        <v>46008</v>
      </c>
      <c r="D1999" s="2" t="n">
        <f aca="false">MONTH(C1999)</f>
        <v>12</v>
      </c>
      <c r="E1999" s="2" t="s">
        <v>77</v>
      </c>
      <c r="F1999" s="2" t="s">
        <v>69</v>
      </c>
      <c r="G1999" s="2" t="s">
        <v>65</v>
      </c>
      <c r="H1999" s="2" t="s">
        <v>107</v>
      </c>
      <c r="I1999" s="2" t="n">
        <v>13</v>
      </c>
      <c r="J1999" s="11" t="n">
        <v>500</v>
      </c>
      <c r="K1999" s="12" t="n">
        <v>0.15</v>
      </c>
      <c r="L1999" s="11" t="n">
        <v>250</v>
      </c>
      <c r="M1999" s="11" t="n">
        <f aca="false">I1999*J1999*(1-K1999)</f>
        <v>5525</v>
      </c>
      <c r="N1999" s="11" t="n">
        <f aca="false">M1999-I1999*L1999</f>
        <v>2275</v>
      </c>
    </row>
    <row r="2000" customFormat="false" ht="15" hidden="false" customHeight="false" outlineLevel="0" collapsed="false">
      <c r="A2000" s="2" t="s">
        <v>1235</v>
      </c>
      <c r="B2000" s="2" t="s">
        <v>1233</v>
      </c>
      <c r="C2000" s="10" t="n">
        <v>46008</v>
      </c>
      <c r="D2000" s="2" t="n">
        <f aca="false">MONTH(C2000)</f>
        <v>12</v>
      </c>
      <c r="E2000" s="2" t="s">
        <v>77</v>
      </c>
      <c r="F2000" s="2" t="s">
        <v>64</v>
      </c>
      <c r="G2000" s="2" t="s">
        <v>70</v>
      </c>
      <c r="H2000" s="2" t="s">
        <v>71</v>
      </c>
      <c r="I2000" s="2" t="n">
        <v>2</v>
      </c>
      <c r="J2000" s="11" t="n">
        <v>2500</v>
      </c>
      <c r="K2000" s="12" t="n">
        <v>0.05</v>
      </c>
      <c r="L2000" s="11" t="n">
        <v>1600</v>
      </c>
      <c r="M2000" s="11" t="n">
        <f aca="false">I2000*J2000*(1-K2000)</f>
        <v>4750</v>
      </c>
      <c r="N2000" s="11" t="n">
        <f aca="false">M2000-I2000*L2000</f>
        <v>1550</v>
      </c>
    </row>
    <row r="2001" customFormat="false" ht="15" hidden="false" customHeight="false" outlineLevel="0" collapsed="false">
      <c r="A2001" s="2" t="s">
        <v>1481</v>
      </c>
      <c r="B2001" s="2" t="s">
        <v>1477</v>
      </c>
      <c r="C2001" s="10" t="n">
        <v>46008</v>
      </c>
      <c r="D2001" s="2" t="n">
        <f aca="false">MONTH(C2001)</f>
        <v>12</v>
      </c>
      <c r="E2001" s="2" t="s">
        <v>63</v>
      </c>
      <c r="F2001" s="2" t="s">
        <v>92</v>
      </c>
      <c r="G2001" s="2" t="s">
        <v>70</v>
      </c>
      <c r="H2001" s="2" t="s">
        <v>71</v>
      </c>
      <c r="I2001" s="2" t="n">
        <v>8</v>
      </c>
      <c r="J2001" s="11" t="n">
        <v>2500</v>
      </c>
      <c r="K2001" s="12" t="n">
        <v>0.1</v>
      </c>
      <c r="L2001" s="11" t="n">
        <v>1600</v>
      </c>
      <c r="M2001" s="11" t="n">
        <f aca="false">I2001*J2001*(1-K2001)</f>
        <v>18000</v>
      </c>
      <c r="N2001" s="11" t="n">
        <f aca="false">M2001-I2001*L2001</f>
        <v>5200</v>
      </c>
    </row>
    <row r="2002" customFormat="false" ht="15" hidden="false" customHeight="false" outlineLevel="0" collapsed="false">
      <c r="A2002" s="2" t="s">
        <v>2496</v>
      </c>
      <c r="B2002" s="2" t="s">
        <v>2497</v>
      </c>
      <c r="C2002" s="10" t="n">
        <v>46008</v>
      </c>
      <c r="D2002" s="2" t="n">
        <f aca="false">MONTH(C2002)</f>
        <v>12</v>
      </c>
      <c r="E2002" s="2" t="s">
        <v>77</v>
      </c>
      <c r="F2002" s="2" t="s">
        <v>64</v>
      </c>
      <c r="G2002" s="2" t="s">
        <v>73</v>
      </c>
      <c r="H2002" s="2" t="s">
        <v>74</v>
      </c>
      <c r="I2002" s="2" t="n">
        <v>2</v>
      </c>
      <c r="J2002" s="11" t="n">
        <v>7000</v>
      </c>
      <c r="K2002" s="12" t="n">
        <v>0.05</v>
      </c>
      <c r="L2002" s="11" t="n">
        <v>4800</v>
      </c>
      <c r="M2002" s="11" t="n">
        <f aca="false">I2002*J2002*(1-K2002)</f>
        <v>13300</v>
      </c>
      <c r="N2002" s="11" t="n">
        <f aca="false">M2002-I2002*L2002</f>
        <v>3700</v>
      </c>
    </row>
    <row r="2003" customFormat="false" ht="15" hidden="false" customHeight="false" outlineLevel="0" collapsed="false">
      <c r="A2003" s="2" t="s">
        <v>2937</v>
      </c>
      <c r="B2003" s="2" t="s">
        <v>2934</v>
      </c>
      <c r="C2003" s="10" t="n">
        <v>46008</v>
      </c>
      <c r="D2003" s="2" t="n">
        <f aca="false">MONTH(C2003)</f>
        <v>12</v>
      </c>
      <c r="E2003" s="2" t="s">
        <v>63</v>
      </c>
      <c r="F2003" s="2" t="s">
        <v>69</v>
      </c>
      <c r="G2003" s="2" t="s">
        <v>73</v>
      </c>
      <c r="H2003" s="2" t="s">
        <v>104</v>
      </c>
      <c r="I2003" s="2" t="n">
        <v>4</v>
      </c>
      <c r="J2003" s="11" t="n">
        <v>5500</v>
      </c>
      <c r="K2003" s="12" t="n">
        <v>0.05</v>
      </c>
      <c r="L2003" s="11" t="n">
        <v>3600</v>
      </c>
      <c r="M2003" s="11" t="n">
        <f aca="false">I2003*J2003*(1-K2003)</f>
        <v>20900</v>
      </c>
      <c r="N2003" s="11" t="n">
        <f aca="false">M2003-I2003*L2003</f>
        <v>6500</v>
      </c>
    </row>
    <row r="2004" customFormat="false" ht="15" hidden="false" customHeight="false" outlineLevel="0" collapsed="false">
      <c r="A2004" s="2" t="s">
        <v>1129</v>
      </c>
      <c r="B2004" s="2" t="s">
        <v>1130</v>
      </c>
      <c r="C2004" s="10" t="n">
        <v>46009</v>
      </c>
      <c r="D2004" s="2" t="n">
        <f aca="false">MONTH(C2004)</f>
        <v>12</v>
      </c>
      <c r="E2004" s="2" t="s">
        <v>77</v>
      </c>
      <c r="F2004" s="2" t="s">
        <v>64</v>
      </c>
      <c r="G2004" s="2" t="s">
        <v>65</v>
      </c>
      <c r="H2004" s="2" t="s">
        <v>82</v>
      </c>
      <c r="I2004" s="2" t="n">
        <v>2</v>
      </c>
      <c r="J2004" s="11" t="n">
        <v>250</v>
      </c>
      <c r="K2004" s="12" t="n">
        <v>0.05</v>
      </c>
      <c r="L2004" s="11" t="n">
        <v>100</v>
      </c>
      <c r="M2004" s="11" t="n">
        <f aca="false">I2004*J2004*(1-K2004)</f>
        <v>475</v>
      </c>
      <c r="N2004" s="11" t="n">
        <f aca="false">M2004-I2004*L2004</f>
        <v>275</v>
      </c>
    </row>
    <row r="2005" customFormat="false" ht="15" hidden="false" customHeight="false" outlineLevel="0" collapsed="false">
      <c r="A2005" s="2" t="s">
        <v>1864</v>
      </c>
      <c r="B2005" s="2" t="s">
        <v>1861</v>
      </c>
      <c r="C2005" s="10" t="n">
        <v>46009</v>
      </c>
      <c r="D2005" s="2" t="n">
        <f aca="false">MONTH(C2005)</f>
        <v>12</v>
      </c>
      <c r="E2005" s="2" t="s">
        <v>81</v>
      </c>
      <c r="F2005" s="2" t="s">
        <v>92</v>
      </c>
      <c r="G2005" s="2" t="s">
        <v>73</v>
      </c>
      <c r="H2005" s="2" t="s">
        <v>87</v>
      </c>
      <c r="I2005" s="2" t="n">
        <v>8</v>
      </c>
      <c r="J2005" s="11" t="n">
        <v>9000</v>
      </c>
      <c r="K2005" s="12" t="n">
        <v>0.05</v>
      </c>
      <c r="L2005" s="11" t="n">
        <v>6200</v>
      </c>
      <c r="M2005" s="11" t="n">
        <f aca="false">I2005*J2005*(1-K2005)</f>
        <v>68400</v>
      </c>
      <c r="N2005" s="11" t="n">
        <f aca="false">M2005-I2005*L2005</f>
        <v>18800</v>
      </c>
    </row>
    <row r="2006" customFormat="false" ht="15" hidden="false" customHeight="false" outlineLevel="0" collapsed="false">
      <c r="A2006" s="2" t="s">
        <v>2207</v>
      </c>
      <c r="B2006" s="2" t="s">
        <v>2206</v>
      </c>
      <c r="C2006" s="10" t="n">
        <v>46009</v>
      </c>
      <c r="D2006" s="2" t="n">
        <f aca="false">MONTH(C2006)</f>
        <v>12</v>
      </c>
      <c r="E2006" s="2" t="s">
        <v>63</v>
      </c>
      <c r="F2006" s="2" t="s">
        <v>64</v>
      </c>
      <c r="G2006" s="2" t="s">
        <v>70</v>
      </c>
      <c r="H2006" s="2" t="s">
        <v>97</v>
      </c>
      <c r="I2006" s="2" t="n">
        <v>3</v>
      </c>
      <c r="J2006" s="11" t="n">
        <v>3000</v>
      </c>
      <c r="K2006" s="12" t="n">
        <v>0.15</v>
      </c>
      <c r="L2006" s="11" t="n">
        <v>2000</v>
      </c>
      <c r="M2006" s="11" t="n">
        <f aca="false">I2006*J2006*(1-K2006)</f>
        <v>7650</v>
      </c>
      <c r="N2006" s="11" t="n">
        <f aca="false">M2006-I2006*L2006</f>
        <v>1650</v>
      </c>
    </row>
    <row r="2007" customFormat="false" ht="15" hidden="false" customHeight="false" outlineLevel="0" collapsed="false">
      <c r="A2007" s="2" t="s">
        <v>2346</v>
      </c>
      <c r="B2007" s="2" t="s">
        <v>2345</v>
      </c>
      <c r="C2007" s="10" t="n">
        <v>46009</v>
      </c>
      <c r="D2007" s="2" t="n">
        <f aca="false">MONTH(C2007)</f>
        <v>12</v>
      </c>
      <c r="E2007" s="2" t="s">
        <v>77</v>
      </c>
      <c r="F2007" s="2" t="s">
        <v>64</v>
      </c>
      <c r="G2007" s="2" t="s">
        <v>65</v>
      </c>
      <c r="H2007" s="2" t="s">
        <v>66</v>
      </c>
      <c r="I2007" s="2" t="n">
        <v>7</v>
      </c>
      <c r="J2007" s="11" t="n">
        <v>600</v>
      </c>
      <c r="K2007" s="12" t="n">
        <v>0.1</v>
      </c>
      <c r="L2007" s="11" t="n">
        <v>300</v>
      </c>
      <c r="M2007" s="11" t="n">
        <f aca="false">I2007*J2007*(1-K2007)</f>
        <v>3780</v>
      </c>
      <c r="N2007" s="11" t="n">
        <f aca="false">M2007-I2007*L2007</f>
        <v>1680</v>
      </c>
    </row>
    <row r="2008" customFormat="false" ht="15" hidden="false" customHeight="false" outlineLevel="0" collapsed="false">
      <c r="A2008" s="2" t="s">
        <v>2504</v>
      </c>
      <c r="B2008" s="2" t="s">
        <v>2505</v>
      </c>
      <c r="C2008" s="10" t="n">
        <v>46009</v>
      </c>
      <c r="D2008" s="2" t="n">
        <f aca="false">MONTH(C2008)</f>
        <v>12</v>
      </c>
      <c r="E2008" s="2" t="s">
        <v>63</v>
      </c>
      <c r="F2008" s="2" t="s">
        <v>64</v>
      </c>
      <c r="G2008" s="2" t="s">
        <v>70</v>
      </c>
      <c r="H2008" s="2" t="s">
        <v>122</v>
      </c>
      <c r="I2008" s="2" t="n">
        <v>2</v>
      </c>
      <c r="J2008" s="11" t="n">
        <v>1500</v>
      </c>
      <c r="K2008" s="12" t="n">
        <v>0.1</v>
      </c>
      <c r="L2008" s="11" t="n">
        <v>900</v>
      </c>
      <c r="M2008" s="11" t="n">
        <f aca="false">I2008*J2008*(1-K2008)</f>
        <v>2700</v>
      </c>
      <c r="N2008" s="11" t="n">
        <f aca="false">M2008-I2008*L2008</f>
        <v>900</v>
      </c>
    </row>
    <row r="2009" customFormat="false" ht="15" hidden="false" customHeight="false" outlineLevel="0" collapsed="false">
      <c r="A2009" s="2" t="s">
        <v>2752</v>
      </c>
      <c r="B2009" s="2" t="s">
        <v>2753</v>
      </c>
      <c r="C2009" s="10" t="n">
        <v>46009</v>
      </c>
      <c r="D2009" s="2" t="n">
        <f aca="false">MONTH(C2009)</f>
        <v>12</v>
      </c>
      <c r="E2009" s="2" t="s">
        <v>63</v>
      </c>
      <c r="F2009" s="2" t="s">
        <v>64</v>
      </c>
      <c r="G2009" s="2" t="s">
        <v>65</v>
      </c>
      <c r="H2009" s="2" t="s">
        <v>78</v>
      </c>
      <c r="I2009" s="2" t="n">
        <v>8</v>
      </c>
      <c r="J2009" s="11" t="n">
        <v>400</v>
      </c>
      <c r="K2009" s="12" t="n">
        <v>0.05</v>
      </c>
      <c r="L2009" s="11" t="n">
        <v>200</v>
      </c>
      <c r="M2009" s="11" t="n">
        <f aca="false">I2009*J2009*(1-K2009)</f>
        <v>3040</v>
      </c>
      <c r="N2009" s="11" t="n">
        <f aca="false">M2009-I2009*L2009</f>
        <v>1440</v>
      </c>
    </row>
    <row r="2010" customFormat="false" ht="15" hidden="false" customHeight="false" outlineLevel="0" collapsed="false">
      <c r="A2010" s="2" t="s">
        <v>2997</v>
      </c>
      <c r="B2010" s="2" t="s">
        <v>2998</v>
      </c>
      <c r="C2010" s="10" t="n">
        <v>46009</v>
      </c>
      <c r="D2010" s="2" t="n">
        <f aca="false">MONTH(C2010)</f>
        <v>12</v>
      </c>
      <c r="E2010" s="2" t="s">
        <v>77</v>
      </c>
      <c r="F2010" s="2" t="s">
        <v>64</v>
      </c>
      <c r="G2010" s="2" t="s">
        <v>65</v>
      </c>
      <c r="H2010" s="2" t="s">
        <v>107</v>
      </c>
      <c r="I2010" s="2" t="n">
        <v>8</v>
      </c>
      <c r="J2010" s="11" t="n">
        <v>500</v>
      </c>
      <c r="K2010" s="12" t="n">
        <v>0.15</v>
      </c>
      <c r="L2010" s="11" t="n">
        <v>250</v>
      </c>
      <c r="M2010" s="11" t="n">
        <f aca="false">I2010*J2010*(1-K2010)</f>
        <v>3400</v>
      </c>
      <c r="N2010" s="11" t="n">
        <f aca="false">M2010-I2010*L2010</f>
        <v>1400</v>
      </c>
    </row>
    <row r="2011" customFormat="false" ht="15" hidden="false" customHeight="false" outlineLevel="0" collapsed="false">
      <c r="A2011" s="2" t="s">
        <v>100</v>
      </c>
      <c r="B2011" s="2" t="s">
        <v>101</v>
      </c>
      <c r="C2011" s="10" t="n">
        <v>46010</v>
      </c>
      <c r="D2011" s="2" t="n">
        <f aca="false">MONTH(C2011)</f>
        <v>12</v>
      </c>
      <c r="E2011" s="2" t="s">
        <v>81</v>
      </c>
      <c r="F2011" s="2" t="s">
        <v>64</v>
      </c>
      <c r="G2011" s="2" t="s">
        <v>73</v>
      </c>
      <c r="H2011" s="2" t="s">
        <v>74</v>
      </c>
      <c r="I2011" s="2" t="n">
        <v>3</v>
      </c>
      <c r="J2011" s="11" t="n">
        <v>7000</v>
      </c>
      <c r="K2011" s="12" t="n">
        <v>0.15</v>
      </c>
      <c r="L2011" s="11" t="n">
        <v>4800</v>
      </c>
      <c r="M2011" s="11" t="n">
        <f aca="false">I2011*J2011*(1-K2011)</f>
        <v>17850</v>
      </c>
      <c r="N2011" s="11" t="n">
        <f aca="false">M2011-I2011*L2011</f>
        <v>3450</v>
      </c>
    </row>
    <row r="2012" customFormat="false" ht="15" hidden="false" customHeight="false" outlineLevel="0" collapsed="false">
      <c r="A2012" s="2" t="s">
        <v>102</v>
      </c>
      <c r="B2012" s="2" t="s">
        <v>103</v>
      </c>
      <c r="C2012" s="10" t="n">
        <v>46010</v>
      </c>
      <c r="D2012" s="2" t="n">
        <f aca="false">MONTH(C2012)</f>
        <v>12</v>
      </c>
      <c r="E2012" s="2" t="s">
        <v>81</v>
      </c>
      <c r="F2012" s="2" t="s">
        <v>64</v>
      </c>
      <c r="G2012" s="2" t="s">
        <v>73</v>
      </c>
      <c r="H2012" s="2" t="s">
        <v>104</v>
      </c>
      <c r="I2012" s="2" t="n">
        <v>2</v>
      </c>
      <c r="J2012" s="11" t="n">
        <v>5500</v>
      </c>
      <c r="K2012" s="12" t="n">
        <v>0.1</v>
      </c>
      <c r="L2012" s="11" t="n">
        <v>3600</v>
      </c>
      <c r="M2012" s="11" t="n">
        <f aca="false">I2012*J2012*(1-K2012)</f>
        <v>9900</v>
      </c>
      <c r="N2012" s="11" t="n">
        <f aca="false">M2012-I2012*L2012</f>
        <v>2700</v>
      </c>
    </row>
    <row r="2013" customFormat="false" ht="15" hidden="false" customHeight="false" outlineLevel="0" collapsed="false">
      <c r="A2013" s="2" t="s">
        <v>619</v>
      </c>
      <c r="B2013" s="2" t="s">
        <v>616</v>
      </c>
      <c r="C2013" s="10" t="n">
        <v>46010</v>
      </c>
      <c r="D2013" s="2" t="n">
        <f aca="false">MONTH(C2013)</f>
        <v>12</v>
      </c>
      <c r="E2013" s="2" t="s">
        <v>81</v>
      </c>
      <c r="F2013" s="2" t="s">
        <v>64</v>
      </c>
      <c r="G2013" s="2" t="s">
        <v>65</v>
      </c>
      <c r="H2013" s="2" t="s">
        <v>66</v>
      </c>
      <c r="I2013" s="2" t="n">
        <v>8</v>
      </c>
      <c r="J2013" s="11" t="n">
        <v>600</v>
      </c>
      <c r="K2013" s="12" t="n">
        <v>0.15</v>
      </c>
      <c r="L2013" s="11" t="n">
        <v>300</v>
      </c>
      <c r="M2013" s="11" t="n">
        <f aca="false">I2013*J2013*(1-K2013)</f>
        <v>4080</v>
      </c>
      <c r="N2013" s="11" t="n">
        <f aca="false">M2013-I2013*L2013</f>
        <v>1680</v>
      </c>
    </row>
    <row r="2014" customFormat="false" ht="15" hidden="false" customHeight="false" outlineLevel="0" collapsed="false">
      <c r="A2014" s="2" t="s">
        <v>637</v>
      </c>
      <c r="B2014" s="2" t="s">
        <v>638</v>
      </c>
      <c r="C2014" s="10" t="n">
        <v>46010</v>
      </c>
      <c r="D2014" s="2" t="n">
        <f aca="false">MONTH(C2014)</f>
        <v>12</v>
      </c>
      <c r="E2014" s="2" t="s">
        <v>91</v>
      </c>
      <c r="F2014" s="2" t="s">
        <v>64</v>
      </c>
      <c r="G2014" s="2" t="s">
        <v>73</v>
      </c>
      <c r="H2014" s="2" t="s">
        <v>85</v>
      </c>
      <c r="I2014" s="2" t="n">
        <v>1</v>
      </c>
      <c r="J2014" s="11" t="n">
        <v>1200</v>
      </c>
      <c r="K2014" s="12" t="n">
        <v>0.05</v>
      </c>
      <c r="L2014" s="11" t="n">
        <v>600</v>
      </c>
      <c r="M2014" s="11" t="n">
        <f aca="false">I2014*J2014*(1-K2014)</f>
        <v>1140</v>
      </c>
      <c r="N2014" s="11" t="n">
        <f aca="false">M2014-I2014*L2014</f>
        <v>540</v>
      </c>
    </row>
    <row r="2015" customFormat="false" ht="15" hidden="false" customHeight="false" outlineLevel="0" collapsed="false">
      <c r="A2015" s="2" t="s">
        <v>782</v>
      </c>
      <c r="B2015" s="2" t="s">
        <v>783</v>
      </c>
      <c r="C2015" s="10" t="n">
        <v>46010</v>
      </c>
      <c r="D2015" s="2" t="n">
        <f aca="false">MONTH(C2015)</f>
        <v>12</v>
      </c>
      <c r="E2015" s="2" t="s">
        <v>77</v>
      </c>
      <c r="F2015" s="2" t="s">
        <v>64</v>
      </c>
      <c r="G2015" s="2" t="s">
        <v>65</v>
      </c>
      <c r="H2015" s="2" t="s">
        <v>78</v>
      </c>
      <c r="I2015" s="2" t="n">
        <v>3</v>
      </c>
      <c r="J2015" s="11" t="n">
        <v>400</v>
      </c>
      <c r="K2015" s="12" t="n">
        <v>0.15</v>
      </c>
      <c r="L2015" s="11" t="n">
        <v>200</v>
      </c>
      <c r="M2015" s="11" t="n">
        <f aca="false">I2015*J2015*(1-K2015)</f>
        <v>1020</v>
      </c>
      <c r="N2015" s="11" t="n">
        <f aca="false">M2015-I2015*L2015</f>
        <v>420</v>
      </c>
    </row>
    <row r="2016" customFormat="false" ht="15" hidden="false" customHeight="false" outlineLevel="0" collapsed="false">
      <c r="A2016" s="2" t="s">
        <v>818</v>
      </c>
      <c r="B2016" s="2" t="s">
        <v>816</v>
      </c>
      <c r="C2016" s="10" t="n">
        <v>46010</v>
      </c>
      <c r="D2016" s="2" t="n">
        <f aca="false">MONTH(C2016)</f>
        <v>12</v>
      </c>
      <c r="E2016" s="2" t="s">
        <v>77</v>
      </c>
      <c r="F2016" s="2" t="s">
        <v>69</v>
      </c>
      <c r="G2016" s="2" t="s">
        <v>73</v>
      </c>
      <c r="H2016" s="2" t="s">
        <v>87</v>
      </c>
      <c r="I2016" s="2" t="n">
        <v>3</v>
      </c>
      <c r="J2016" s="11" t="n">
        <v>9000</v>
      </c>
      <c r="K2016" s="12" t="n">
        <v>0.1</v>
      </c>
      <c r="L2016" s="11" t="n">
        <v>6200</v>
      </c>
      <c r="M2016" s="11" t="n">
        <f aca="false">I2016*J2016*(1-K2016)</f>
        <v>24300</v>
      </c>
      <c r="N2016" s="11" t="n">
        <f aca="false">M2016-I2016*L2016</f>
        <v>5700</v>
      </c>
    </row>
    <row r="2017" customFormat="false" ht="15" hidden="false" customHeight="false" outlineLevel="0" collapsed="false">
      <c r="A2017" s="2" t="s">
        <v>1517</v>
      </c>
      <c r="B2017" s="2" t="s">
        <v>1516</v>
      </c>
      <c r="C2017" s="10" t="n">
        <v>46010</v>
      </c>
      <c r="D2017" s="2" t="n">
        <f aca="false">MONTH(C2017)</f>
        <v>12</v>
      </c>
      <c r="E2017" s="2" t="s">
        <v>81</v>
      </c>
      <c r="F2017" s="2" t="s">
        <v>64</v>
      </c>
      <c r="G2017" s="2" t="s">
        <v>65</v>
      </c>
      <c r="H2017" s="2" t="s">
        <v>66</v>
      </c>
      <c r="I2017" s="2" t="n">
        <v>4</v>
      </c>
      <c r="J2017" s="11" t="n">
        <v>600</v>
      </c>
      <c r="K2017" s="12" t="n">
        <v>0.05</v>
      </c>
      <c r="L2017" s="11" t="n">
        <v>300</v>
      </c>
      <c r="M2017" s="11" t="n">
        <f aca="false">I2017*J2017*(1-K2017)</f>
        <v>2280</v>
      </c>
      <c r="N2017" s="11" t="n">
        <f aca="false">M2017-I2017*L2017</f>
        <v>1080</v>
      </c>
    </row>
    <row r="2018" customFormat="false" ht="15" hidden="false" customHeight="false" outlineLevel="0" collapsed="false">
      <c r="A2018" s="2" t="s">
        <v>2866</v>
      </c>
      <c r="B2018" s="2" t="s">
        <v>2865</v>
      </c>
      <c r="C2018" s="10" t="n">
        <v>46010</v>
      </c>
      <c r="D2018" s="2" t="n">
        <f aca="false">MONTH(C2018)</f>
        <v>12</v>
      </c>
      <c r="E2018" s="2" t="s">
        <v>77</v>
      </c>
      <c r="F2018" s="2" t="s">
        <v>69</v>
      </c>
      <c r="G2018" s="2" t="s">
        <v>73</v>
      </c>
      <c r="H2018" s="2" t="s">
        <v>104</v>
      </c>
      <c r="I2018" s="2" t="n">
        <v>5</v>
      </c>
      <c r="J2018" s="11" t="n">
        <v>5500</v>
      </c>
      <c r="K2018" s="12" t="n">
        <v>0.05</v>
      </c>
      <c r="L2018" s="11" t="n">
        <v>3600</v>
      </c>
      <c r="M2018" s="11" t="n">
        <f aca="false">I2018*J2018*(1-K2018)</f>
        <v>26125</v>
      </c>
      <c r="N2018" s="11" t="n">
        <f aca="false">M2018-I2018*L2018</f>
        <v>8125</v>
      </c>
    </row>
    <row r="2019" customFormat="false" ht="15" hidden="false" customHeight="false" outlineLevel="0" collapsed="false">
      <c r="A2019" s="2" t="s">
        <v>309</v>
      </c>
      <c r="B2019" s="2" t="s">
        <v>310</v>
      </c>
      <c r="C2019" s="10" t="n">
        <v>46011</v>
      </c>
      <c r="D2019" s="2" t="n">
        <f aca="false">MONTH(C2019)</f>
        <v>12</v>
      </c>
      <c r="E2019" s="2" t="s">
        <v>91</v>
      </c>
      <c r="F2019" s="2" t="s">
        <v>69</v>
      </c>
      <c r="G2019" s="2" t="s">
        <v>70</v>
      </c>
      <c r="H2019" s="2" t="s">
        <v>126</v>
      </c>
      <c r="I2019" s="2" t="n">
        <v>4</v>
      </c>
      <c r="J2019" s="11" t="n">
        <v>4500</v>
      </c>
      <c r="K2019" s="12" t="n">
        <v>0.05</v>
      </c>
      <c r="L2019" s="11" t="n">
        <v>3300</v>
      </c>
      <c r="M2019" s="11" t="n">
        <f aca="false">I2019*J2019*(1-K2019)</f>
        <v>17100</v>
      </c>
      <c r="N2019" s="11" t="n">
        <f aca="false">M2019-I2019*L2019</f>
        <v>3900</v>
      </c>
    </row>
    <row r="2020" customFormat="false" ht="15" hidden="false" customHeight="false" outlineLevel="0" collapsed="false">
      <c r="A2020" s="2" t="s">
        <v>311</v>
      </c>
      <c r="B2020" s="2" t="s">
        <v>310</v>
      </c>
      <c r="C2020" s="10" t="n">
        <v>46011</v>
      </c>
      <c r="D2020" s="2" t="n">
        <f aca="false">MONTH(C2020)</f>
        <v>12</v>
      </c>
      <c r="E2020" s="2" t="s">
        <v>91</v>
      </c>
      <c r="F2020" s="2" t="s">
        <v>69</v>
      </c>
      <c r="G2020" s="2" t="s">
        <v>65</v>
      </c>
      <c r="H2020" s="2" t="s">
        <v>82</v>
      </c>
      <c r="I2020" s="2" t="n">
        <v>6</v>
      </c>
      <c r="J2020" s="11" t="n">
        <v>250</v>
      </c>
      <c r="K2020" s="12" t="n">
        <v>0.05</v>
      </c>
      <c r="L2020" s="11" t="n">
        <v>100</v>
      </c>
      <c r="M2020" s="11" t="n">
        <f aca="false">I2020*J2020*(1-K2020)</f>
        <v>1425</v>
      </c>
      <c r="N2020" s="11" t="n">
        <f aca="false">M2020-I2020*L2020</f>
        <v>825</v>
      </c>
    </row>
    <row r="2021" customFormat="false" ht="15" hidden="false" customHeight="false" outlineLevel="0" collapsed="false">
      <c r="A2021" s="2" t="s">
        <v>1036</v>
      </c>
      <c r="B2021" s="2" t="s">
        <v>1030</v>
      </c>
      <c r="C2021" s="10" t="n">
        <v>46011</v>
      </c>
      <c r="D2021" s="2" t="n">
        <f aca="false">MONTH(C2021)</f>
        <v>12</v>
      </c>
      <c r="E2021" s="2" t="s">
        <v>77</v>
      </c>
      <c r="F2021" s="2" t="s">
        <v>64</v>
      </c>
      <c r="G2021" s="2" t="s">
        <v>70</v>
      </c>
      <c r="H2021" s="2" t="s">
        <v>122</v>
      </c>
      <c r="I2021" s="2" t="n">
        <v>1</v>
      </c>
      <c r="J2021" s="11" t="n">
        <v>1500</v>
      </c>
      <c r="K2021" s="12" t="n">
        <v>0.05</v>
      </c>
      <c r="L2021" s="11" t="n">
        <v>900</v>
      </c>
      <c r="M2021" s="11" t="n">
        <f aca="false">I2021*J2021*(1-K2021)</f>
        <v>1425</v>
      </c>
      <c r="N2021" s="11" t="n">
        <f aca="false">M2021-I2021*L2021</f>
        <v>525</v>
      </c>
    </row>
    <row r="2022" customFormat="false" ht="15" hidden="false" customHeight="false" outlineLevel="0" collapsed="false">
      <c r="A2022" s="2" t="s">
        <v>1728</v>
      </c>
      <c r="B2022" s="2" t="s">
        <v>1729</v>
      </c>
      <c r="C2022" s="10" t="n">
        <v>46011</v>
      </c>
      <c r="D2022" s="2" t="n">
        <f aca="false">MONTH(C2022)</f>
        <v>12</v>
      </c>
      <c r="E2022" s="2" t="s">
        <v>91</v>
      </c>
      <c r="F2022" s="2" t="s">
        <v>69</v>
      </c>
      <c r="G2022" s="2" t="s">
        <v>70</v>
      </c>
      <c r="H2022" s="2" t="s">
        <v>122</v>
      </c>
      <c r="I2022" s="2" t="n">
        <v>2</v>
      </c>
      <c r="J2022" s="11" t="n">
        <v>1500</v>
      </c>
      <c r="K2022" s="12" t="n">
        <v>0.05</v>
      </c>
      <c r="L2022" s="11" t="n">
        <v>900</v>
      </c>
      <c r="M2022" s="11" t="n">
        <f aca="false">I2022*J2022*(1-K2022)</f>
        <v>2850</v>
      </c>
      <c r="N2022" s="11" t="n">
        <f aca="false">M2022-I2022*L2022</f>
        <v>1050</v>
      </c>
    </row>
    <row r="2023" customFormat="false" ht="15" hidden="false" customHeight="false" outlineLevel="0" collapsed="false">
      <c r="A2023" s="2" t="s">
        <v>1985</v>
      </c>
      <c r="B2023" s="2" t="s">
        <v>1981</v>
      </c>
      <c r="C2023" s="10" t="n">
        <v>46011</v>
      </c>
      <c r="D2023" s="2" t="n">
        <f aca="false">MONTH(C2023)</f>
        <v>12</v>
      </c>
      <c r="E2023" s="2" t="s">
        <v>91</v>
      </c>
      <c r="F2023" s="2" t="s">
        <v>92</v>
      </c>
      <c r="G2023" s="2" t="s">
        <v>70</v>
      </c>
      <c r="H2023" s="2" t="s">
        <v>126</v>
      </c>
      <c r="I2023" s="2" t="n">
        <v>4</v>
      </c>
      <c r="J2023" s="11" t="n">
        <v>4500</v>
      </c>
      <c r="K2023" s="12" t="n">
        <v>0.15</v>
      </c>
      <c r="L2023" s="11" t="n">
        <v>3300</v>
      </c>
      <c r="M2023" s="11" t="n">
        <f aca="false">I2023*J2023*(1-K2023)</f>
        <v>15300</v>
      </c>
      <c r="N2023" s="11" t="n">
        <f aca="false">M2023-I2023*L2023</f>
        <v>2100</v>
      </c>
    </row>
    <row r="2024" customFormat="false" ht="15" hidden="false" customHeight="false" outlineLevel="0" collapsed="false">
      <c r="A2024" s="2" t="s">
        <v>2583</v>
      </c>
      <c r="B2024" s="2" t="s">
        <v>2580</v>
      </c>
      <c r="C2024" s="10" t="n">
        <v>46011</v>
      </c>
      <c r="D2024" s="2" t="n">
        <f aca="false">MONTH(C2024)</f>
        <v>12</v>
      </c>
      <c r="E2024" s="2" t="s">
        <v>63</v>
      </c>
      <c r="F2024" s="2" t="s">
        <v>64</v>
      </c>
      <c r="G2024" s="2" t="s">
        <v>70</v>
      </c>
      <c r="H2024" s="2" t="s">
        <v>126</v>
      </c>
      <c r="I2024" s="2" t="n">
        <v>2</v>
      </c>
      <c r="J2024" s="11" t="n">
        <v>4500</v>
      </c>
      <c r="K2024" s="12" t="n">
        <v>0.05</v>
      </c>
      <c r="L2024" s="11" t="n">
        <v>3300</v>
      </c>
      <c r="M2024" s="11" t="n">
        <f aca="false">I2024*J2024*(1-K2024)</f>
        <v>8550</v>
      </c>
      <c r="N2024" s="11" t="n">
        <f aca="false">M2024-I2024*L2024</f>
        <v>1950</v>
      </c>
    </row>
    <row r="2025" customFormat="false" ht="15" hidden="false" customHeight="false" outlineLevel="0" collapsed="false">
      <c r="A2025" s="2" t="s">
        <v>2763</v>
      </c>
      <c r="B2025" s="2" t="s">
        <v>2764</v>
      </c>
      <c r="C2025" s="10" t="n">
        <v>46011</v>
      </c>
      <c r="D2025" s="2" t="n">
        <f aca="false">MONTH(C2025)</f>
        <v>12</v>
      </c>
      <c r="E2025" s="2" t="s">
        <v>91</v>
      </c>
      <c r="F2025" s="2" t="s">
        <v>69</v>
      </c>
      <c r="G2025" s="2" t="s">
        <v>70</v>
      </c>
      <c r="H2025" s="2" t="s">
        <v>71</v>
      </c>
      <c r="I2025" s="2" t="n">
        <v>3</v>
      </c>
      <c r="J2025" s="11" t="n">
        <v>2500</v>
      </c>
      <c r="K2025" s="12" t="n">
        <v>0.05</v>
      </c>
      <c r="L2025" s="11" t="n">
        <v>1600</v>
      </c>
      <c r="M2025" s="11" t="n">
        <f aca="false">I2025*J2025*(1-K2025)</f>
        <v>7125</v>
      </c>
      <c r="N2025" s="11" t="n">
        <f aca="false">M2025-I2025*L2025</f>
        <v>2325</v>
      </c>
    </row>
    <row r="2026" customFormat="false" ht="15" hidden="false" customHeight="false" outlineLevel="0" collapsed="false">
      <c r="A2026" s="2" t="s">
        <v>365</v>
      </c>
      <c r="B2026" s="2" t="s">
        <v>361</v>
      </c>
      <c r="C2026" s="10" t="n">
        <v>46012</v>
      </c>
      <c r="D2026" s="2" t="n">
        <f aca="false">MONTH(C2026)</f>
        <v>12</v>
      </c>
      <c r="E2026" s="2" t="s">
        <v>77</v>
      </c>
      <c r="F2026" s="2" t="s">
        <v>64</v>
      </c>
      <c r="G2026" s="2" t="s">
        <v>73</v>
      </c>
      <c r="H2026" s="2" t="s">
        <v>85</v>
      </c>
      <c r="I2026" s="2" t="n">
        <v>2</v>
      </c>
      <c r="J2026" s="11" t="n">
        <v>1200</v>
      </c>
      <c r="K2026" s="12" t="n">
        <v>0.05</v>
      </c>
      <c r="L2026" s="11" t="n">
        <v>600</v>
      </c>
      <c r="M2026" s="11" t="n">
        <f aca="false">I2026*J2026*(1-K2026)</f>
        <v>2280</v>
      </c>
      <c r="N2026" s="11" t="n">
        <f aca="false">M2026-I2026*L2026</f>
        <v>1080</v>
      </c>
    </row>
    <row r="2027" customFormat="false" ht="15" hidden="false" customHeight="false" outlineLevel="0" collapsed="false">
      <c r="A2027" s="2" t="s">
        <v>427</v>
      </c>
      <c r="B2027" s="2" t="s">
        <v>428</v>
      </c>
      <c r="C2027" s="10" t="n">
        <v>46012</v>
      </c>
      <c r="D2027" s="2" t="n">
        <f aca="false">MONTH(C2027)</f>
        <v>12</v>
      </c>
      <c r="E2027" s="2" t="s">
        <v>63</v>
      </c>
      <c r="F2027" s="2" t="s">
        <v>69</v>
      </c>
      <c r="G2027" s="2" t="s">
        <v>73</v>
      </c>
      <c r="H2027" s="2" t="s">
        <v>104</v>
      </c>
      <c r="I2027" s="2" t="n">
        <v>3</v>
      </c>
      <c r="J2027" s="11" t="n">
        <v>5500</v>
      </c>
      <c r="K2027" s="12" t="n">
        <v>0.05</v>
      </c>
      <c r="L2027" s="11" t="n">
        <v>3600</v>
      </c>
      <c r="M2027" s="11" t="n">
        <f aca="false">I2027*J2027*(1-K2027)</f>
        <v>15675</v>
      </c>
      <c r="N2027" s="11" t="n">
        <f aca="false">M2027-I2027*L2027</f>
        <v>4875</v>
      </c>
    </row>
    <row r="2028" customFormat="false" ht="15" hidden="false" customHeight="false" outlineLevel="0" collapsed="false">
      <c r="A2028" s="2" t="s">
        <v>576</v>
      </c>
      <c r="B2028" s="2" t="s">
        <v>570</v>
      </c>
      <c r="C2028" s="10" t="n">
        <v>46012</v>
      </c>
      <c r="D2028" s="2" t="n">
        <f aca="false">MONTH(C2028)</f>
        <v>12</v>
      </c>
      <c r="E2028" s="2" t="s">
        <v>63</v>
      </c>
      <c r="F2028" s="2" t="s">
        <v>92</v>
      </c>
      <c r="G2028" s="2" t="s">
        <v>73</v>
      </c>
      <c r="H2028" s="2" t="s">
        <v>87</v>
      </c>
      <c r="I2028" s="2" t="n">
        <v>8</v>
      </c>
      <c r="J2028" s="11" t="n">
        <v>9000</v>
      </c>
      <c r="K2028" s="12" t="n">
        <v>0.05</v>
      </c>
      <c r="L2028" s="11" t="n">
        <v>6200</v>
      </c>
      <c r="M2028" s="11" t="n">
        <f aca="false">I2028*J2028*(1-K2028)</f>
        <v>68400</v>
      </c>
      <c r="N2028" s="11" t="n">
        <f aca="false">M2028-I2028*L2028</f>
        <v>18800</v>
      </c>
    </row>
    <row r="2029" customFormat="false" ht="15" hidden="false" customHeight="false" outlineLevel="0" collapsed="false">
      <c r="A2029" s="2" t="s">
        <v>872</v>
      </c>
      <c r="B2029" s="2" t="s">
        <v>871</v>
      </c>
      <c r="C2029" s="10" t="n">
        <v>46012</v>
      </c>
      <c r="D2029" s="2" t="n">
        <f aca="false">MONTH(C2029)</f>
        <v>12</v>
      </c>
      <c r="E2029" s="2" t="s">
        <v>91</v>
      </c>
      <c r="F2029" s="2" t="s">
        <v>64</v>
      </c>
      <c r="G2029" s="2" t="s">
        <v>65</v>
      </c>
      <c r="H2029" s="2" t="s">
        <v>66</v>
      </c>
      <c r="I2029" s="2" t="n">
        <v>2</v>
      </c>
      <c r="J2029" s="11" t="n">
        <v>600</v>
      </c>
      <c r="K2029" s="12" t="n">
        <v>0.05</v>
      </c>
      <c r="L2029" s="11" t="n">
        <v>300</v>
      </c>
      <c r="M2029" s="11" t="n">
        <f aca="false">I2029*J2029*(1-K2029)</f>
        <v>1140</v>
      </c>
      <c r="N2029" s="11" t="n">
        <f aca="false">M2029-I2029*L2029</f>
        <v>540</v>
      </c>
    </row>
    <row r="2030" customFormat="false" ht="15" hidden="false" customHeight="false" outlineLevel="0" collapsed="false">
      <c r="A2030" s="2" t="s">
        <v>1564</v>
      </c>
      <c r="B2030" s="2" t="s">
        <v>1563</v>
      </c>
      <c r="C2030" s="10" t="n">
        <v>46012</v>
      </c>
      <c r="D2030" s="2" t="n">
        <f aca="false">MONTH(C2030)</f>
        <v>12</v>
      </c>
      <c r="E2030" s="2" t="s">
        <v>81</v>
      </c>
      <c r="F2030" s="2" t="s">
        <v>64</v>
      </c>
      <c r="G2030" s="2" t="s">
        <v>65</v>
      </c>
      <c r="H2030" s="2" t="s">
        <v>66</v>
      </c>
      <c r="I2030" s="2" t="n">
        <v>3</v>
      </c>
      <c r="J2030" s="11" t="n">
        <v>600</v>
      </c>
      <c r="K2030" s="12" t="n">
        <v>0.05</v>
      </c>
      <c r="L2030" s="11" t="n">
        <v>300</v>
      </c>
      <c r="M2030" s="11" t="n">
        <f aca="false">I2030*J2030*(1-K2030)</f>
        <v>1710</v>
      </c>
      <c r="N2030" s="11" t="n">
        <f aca="false">M2030-I2030*L2030</f>
        <v>810</v>
      </c>
    </row>
    <row r="2031" customFormat="false" ht="15" hidden="false" customHeight="false" outlineLevel="0" collapsed="false">
      <c r="A2031" s="2" t="s">
        <v>2163</v>
      </c>
      <c r="B2031" s="2" t="s">
        <v>2160</v>
      </c>
      <c r="C2031" s="10" t="n">
        <v>46012</v>
      </c>
      <c r="D2031" s="2" t="n">
        <f aca="false">MONTH(C2031)</f>
        <v>12</v>
      </c>
      <c r="E2031" s="2" t="s">
        <v>77</v>
      </c>
      <c r="F2031" s="2" t="s">
        <v>64</v>
      </c>
      <c r="G2031" s="2" t="s">
        <v>70</v>
      </c>
      <c r="H2031" s="2" t="s">
        <v>71</v>
      </c>
      <c r="I2031" s="2" t="n">
        <v>3</v>
      </c>
      <c r="J2031" s="11" t="n">
        <v>2500</v>
      </c>
      <c r="K2031" s="12" t="n">
        <v>0.1</v>
      </c>
      <c r="L2031" s="11" t="n">
        <v>1600</v>
      </c>
      <c r="M2031" s="11" t="n">
        <f aca="false">I2031*J2031*(1-K2031)</f>
        <v>6750</v>
      </c>
      <c r="N2031" s="11" t="n">
        <f aca="false">M2031-I2031*L2031</f>
        <v>1950</v>
      </c>
    </row>
    <row r="2032" customFormat="false" ht="15" hidden="false" customHeight="false" outlineLevel="0" collapsed="false">
      <c r="A2032" s="2" t="s">
        <v>162</v>
      </c>
      <c r="B2032" s="2" t="s">
        <v>163</v>
      </c>
      <c r="C2032" s="10" t="n">
        <v>46013</v>
      </c>
      <c r="D2032" s="2" t="n">
        <f aca="false">MONTH(C2032)</f>
        <v>12</v>
      </c>
      <c r="E2032" s="2" t="s">
        <v>81</v>
      </c>
      <c r="F2032" s="2" t="s">
        <v>64</v>
      </c>
      <c r="G2032" s="2" t="s">
        <v>65</v>
      </c>
      <c r="H2032" s="2" t="s">
        <v>82</v>
      </c>
      <c r="I2032" s="2" t="n">
        <v>2</v>
      </c>
      <c r="J2032" s="11" t="n">
        <v>250</v>
      </c>
      <c r="K2032" s="12" t="n">
        <v>0.1</v>
      </c>
      <c r="L2032" s="11" t="n">
        <v>100</v>
      </c>
      <c r="M2032" s="11" t="n">
        <f aca="false">I2032*J2032*(1-K2032)</f>
        <v>450</v>
      </c>
      <c r="N2032" s="11" t="n">
        <f aca="false">M2032-I2032*L2032</f>
        <v>250</v>
      </c>
    </row>
    <row r="2033" customFormat="false" ht="15" hidden="false" customHeight="false" outlineLevel="0" collapsed="false">
      <c r="A2033" s="2" t="s">
        <v>208</v>
      </c>
      <c r="B2033" s="2" t="s">
        <v>205</v>
      </c>
      <c r="C2033" s="10" t="n">
        <v>46013</v>
      </c>
      <c r="D2033" s="2" t="n">
        <f aca="false">MONTH(C2033)</f>
        <v>12</v>
      </c>
      <c r="E2033" s="2" t="s">
        <v>63</v>
      </c>
      <c r="F2033" s="2" t="s">
        <v>64</v>
      </c>
      <c r="G2033" s="2" t="s">
        <v>65</v>
      </c>
      <c r="H2033" s="2" t="s">
        <v>78</v>
      </c>
      <c r="I2033" s="2" t="n">
        <v>7</v>
      </c>
      <c r="J2033" s="11" t="n">
        <v>400</v>
      </c>
      <c r="K2033" s="12" t="n">
        <v>0.15</v>
      </c>
      <c r="L2033" s="11" t="n">
        <v>200</v>
      </c>
      <c r="M2033" s="11" t="n">
        <f aca="false">I2033*J2033*(1-K2033)</f>
        <v>2380</v>
      </c>
      <c r="N2033" s="11" t="n">
        <f aca="false">M2033-I2033*L2033</f>
        <v>980</v>
      </c>
    </row>
    <row r="2034" customFormat="false" ht="15" hidden="false" customHeight="false" outlineLevel="0" collapsed="false">
      <c r="A2034" s="2" t="s">
        <v>500</v>
      </c>
      <c r="B2034" s="2" t="s">
        <v>492</v>
      </c>
      <c r="C2034" s="10" t="n">
        <v>46013</v>
      </c>
      <c r="D2034" s="2" t="n">
        <f aca="false">MONTH(C2034)</f>
        <v>12</v>
      </c>
      <c r="E2034" s="2" t="s">
        <v>77</v>
      </c>
      <c r="F2034" s="2" t="s">
        <v>64</v>
      </c>
      <c r="G2034" s="2" t="s">
        <v>70</v>
      </c>
      <c r="H2034" s="2" t="s">
        <v>126</v>
      </c>
      <c r="I2034" s="2" t="n">
        <v>3</v>
      </c>
      <c r="J2034" s="11" t="n">
        <v>4500</v>
      </c>
      <c r="K2034" s="12" t="n">
        <v>0.05</v>
      </c>
      <c r="L2034" s="11" t="n">
        <v>3300</v>
      </c>
      <c r="M2034" s="11" t="n">
        <f aca="false">I2034*J2034*(1-K2034)</f>
        <v>12825</v>
      </c>
      <c r="N2034" s="11" t="n">
        <f aca="false">M2034-I2034*L2034</f>
        <v>2925</v>
      </c>
    </row>
    <row r="2035" customFormat="false" ht="15" hidden="false" customHeight="false" outlineLevel="0" collapsed="false">
      <c r="A2035" s="2" t="s">
        <v>554</v>
      </c>
      <c r="B2035" s="2" t="s">
        <v>553</v>
      </c>
      <c r="C2035" s="10" t="n">
        <v>46013</v>
      </c>
      <c r="D2035" s="2" t="n">
        <f aca="false">MONTH(C2035)</f>
        <v>12</v>
      </c>
      <c r="E2035" s="2" t="s">
        <v>81</v>
      </c>
      <c r="F2035" s="2" t="s">
        <v>64</v>
      </c>
      <c r="G2035" s="2" t="s">
        <v>70</v>
      </c>
      <c r="H2035" s="2" t="s">
        <v>122</v>
      </c>
      <c r="I2035" s="2" t="n">
        <v>2</v>
      </c>
      <c r="J2035" s="11" t="n">
        <v>1500</v>
      </c>
      <c r="K2035" s="12" t="n">
        <v>0.1</v>
      </c>
      <c r="L2035" s="11" t="n">
        <v>900</v>
      </c>
      <c r="M2035" s="11" t="n">
        <f aca="false">I2035*J2035*(1-K2035)</f>
        <v>2700</v>
      </c>
      <c r="N2035" s="11" t="n">
        <f aca="false">M2035-I2035*L2035</f>
        <v>900</v>
      </c>
    </row>
    <row r="2036" customFormat="false" ht="15" hidden="false" customHeight="false" outlineLevel="0" collapsed="false">
      <c r="A2036" s="2" t="s">
        <v>714</v>
      </c>
      <c r="B2036" s="2" t="s">
        <v>713</v>
      </c>
      <c r="C2036" s="10" t="n">
        <v>46013</v>
      </c>
      <c r="D2036" s="2" t="n">
        <f aca="false">MONTH(C2036)</f>
        <v>12</v>
      </c>
      <c r="E2036" s="2" t="s">
        <v>63</v>
      </c>
      <c r="F2036" s="2" t="s">
        <v>64</v>
      </c>
      <c r="G2036" s="2" t="s">
        <v>73</v>
      </c>
      <c r="H2036" s="2" t="s">
        <v>87</v>
      </c>
      <c r="I2036" s="2" t="n">
        <v>3</v>
      </c>
      <c r="J2036" s="11" t="n">
        <v>9000</v>
      </c>
      <c r="K2036" s="12" t="n">
        <v>0.1</v>
      </c>
      <c r="L2036" s="11" t="n">
        <v>6200</v>
      </c>
      <c r="M2036" s="11" t="n">
        <f aca="false">I2036*J2036*(1-K2036)</f>
        <v>24300</v>
      </c>
      <c r="N2036" s="11" t="n">
        <f aca="false">M2036-I2036*L2036</f>
        <v>5700</v>
      </c>
    </row>
    <row r="2037" customFormat="false" ht="15" hidden="false" customHeight="false" outlineLevel="0" collapsed="false">
      <c r="A2037" s="2" t="s">
        <v>743</v>
      </c>
      <c r="B2037" s="2" t="s">
        <v>741</v>
      </c>
      <c r="C2037" s="10" t="n">
        <v>46013</v>
      </c>
      <c r="D2037" s="2" t="n">
        <f aca="false">MONTH(C2037)</f>
        <v>12</v>
      </c>
      <c r="E2037" s="2" t="s">
        <v>81</v>
      </c>
      <c r="F2037" s="2" t="s">
        <v>64</v>
      </c>
      <c r="G2037" s="2" t="s">
        <v>70</v>
      </c>
      <c r="H2037" s="2" t="s">
        <v>97</v>
      </c>
      <c r="I2037" s="2" t="n">
        <v>2</v>
      </c>
      <c r="J2037" s="11" t="n">
        <v>3000</v>
      </c>
      <c r="K2037" s="12" t="n">
        <v>0.05</v>
      </c>
      <c r="L2037" s="11" t="n">
        <v>2000</v>
      </c>
      <c r="M2037" s="11" t="n">
        <f aca="false">I2037*J2037*(1-K2037)</f>
        <v>5700</v>
      </c>
      <c r="N2037" s="11" t="n">
        <f aca="false">M2037-I2037*L2037</f>
        <v>1700</v>
      </c>
    </row>
    <row r="2038" customFormat="false" ht="15" hidden="false" customHeight="false" outlineLevel="0" collapsed="false">
      <c r="A2038" s="2" t="s">
        <v>781</v>
      </c>
      <c r="B2038" s="2" t="s">
        <v>778</v>
      </c>
      <c r="C2038" s="10" t="n">
        <v>46013</v>
      </c>
      <c r="D2038" s="2" t="n">
        <f aca="false">MONTH(C2038)</f>
        <v>12</v>
      </c>
      <c r="E2038" s="2" t="s">
        <v>91</v>
      </c>
      <c r="F2038" s="2" t="s">
        <v>92</v>
      </c>
      <c r="G2038" s="2" t="s">
        <v>65</v>
      </c>
      <c r="H2038" s="2" t="s">
        <v>107</v>
      </c>
      <c r="I2038" s="2" t="n">
        <v>28</v>
      </c>
      <c r="J2038" s="11" t="n">
        <v>500</v>
      </c>
      <c r="K2038" s="12" t="n">
        <v>0.05</v>
      </c>
      <c r="L2038" s="11" t="n">
        <v>250</v>
      </c>
      <c r="M2038" s="11" t="n">
        <f aca="false">I2038*J2038*(1-K2038)</f>
        <v>13300</v>
      </c>
      <c r="N2038" s="11" t="n">
        <f aca="false">M2038-I2038*L2038</f>
        <v>6300</v>
      </c>
    </row>
    <row r="2039" customFormat="false" ht="15" hidden="false" customHeight="false" outlineLevel="0" collapsed="false">
      <c r="A2039" s="2" t="s">
        <v>817</v>
      </c>
      <c r="B2039" s="2" t="s">
        <v>816</v>
      </c>
      <c r="C2039" s="10" t="n">
        <v>46013</v>
      </c>
      <c r="D2039" s="2" t="n">
        <f aca="false">MONTH(C2039)</f>
        <v>12</v>
      </c>
      <c r="E2039" s="2" t="s">
        <v>77</v>
      </c>
      <c r="F2039" s="2" t="s">
        <v>69</v>
      </c>
      <c r="G2039" s="2" t="s">
        <v>65</v>
      </c>
      <c r="H2039" s="2" t="s">
        <v>66</v>
      </c>
      <c r="I2039" s="2" t="n">
        <v>11</v>
      </c>
      <c r="J2039" s="11" t="n">
        <v>600</v>
      </c>
      <c r="K2039" s="12" t="n">
        <v>0.1</v>
      </c>
      <c r="L2039" s="11" t="n">
        <v>300</v>
      </c>
      <c r="M2039" s="11" t="n">
        <f aca="false">I2039*J2039*(1-K2039)</f>
        <v>5940</v>
      </c>
      <c r="N2039" s="11" t="n">
        <f aca="false">M2039-I2039*L2039</f>
        <v>2640</v>
      </c>
    </row>
    <row r="2040" customFormat="false" ht="15" hidden="false" customHeight="false" outlineLevel="0" collapsed="false">
      <c r="A2040" s="2" t="s">
        <v>1172</v>
      </c>
      <c r="B2040" s="2" t="s">
        <v>1171</v>
      </c>
      <c r="C2040" s="10" t="n">
        <v>46013</v>
      </c>
      <c r="D2040" s="2" t="n">
        <f aca="false">MONTH(C2040)</f>
        <v>12</v>
      </c>
      <c r="E2040" s="2" t="s">
        <v>91</v>
      </c>
      <c r="F2040" s="2" t="s">
        <v>64</v>
      </c>
      <c r="G2040" s="2" t="s">
        <v>65</v>
      </c>
      <c r="H2040" s="2" t="s">
        <v>107</v>
      </c>
      <c r="I2040" s="2" t="n">
        <v>5</v>
      </c>
      <c r="J2040" s="11" t="n">
        <v>500</v>
      </c>
      <c r="K2040" s="12" t="n">
        <v>0.05</v>
      </c>
      <c r="L2040" s="11" t="n">
        <v>250</v>
      </c>
      <c r="M2040" s="11" t="n">
        <f aca="false">I2040*J2040*(1-K2040)</f>
        <v>2375</v>
      </c>
      <c r="N2040" s="11" t="n">
        <f aca="false">M2040-I2040*L2040</f>
        <v>1125</v>
      </c>
    </row>
    <row r="2041" customFormat="false" ht="15" hidden="false" customHeight="false" outlineLevel="0" collapsed="false">
      <c r="A2041" s="2" t="s">
        <v>1385</v>
      </c>
      <c r="B2041" s="2" t="s">
        <v>1382</v>
      </c>
      <c r="C2041" s="10" t="n">
        <v>46013</v>
      </c>
      <c r="D2041" s="2" t="n">
        <f aca="false">MONTH(C2041)</f>
        <v>12</v>
      </c>
      <c r="E2041" s="2" t="s">
        <v>63</v>
      </c>
      <c r="F2041" s="2" t="s">
        <v>92</v>
      </c>
      <c r="G2041" s="2" t="s">
        <v>73</v>
      </c>
      <c r="H2041" s="2" t="s">
        <v>85</v>
      </c>
      <c r="I2041" s="2" t="n">
        <v>8</v>
      </c>
      <c r="J2041" s="11" t="n">
        <v>1200</v>
      </c>
      <c r="K2041" s="12" t="n">
        <v>0.15</v>
      </c>
      <c r="L2041" s="11" t="n">
        <v>600</v>
      </c>
      <c r="M2041" s="11" t="n">
        <f aca="false">I2041*J2041*(1-K2041)</f>
        <v>8160</v>
      </c>
      <c r="N2041" s="11" t="n">
        <f aca="false">M2041-I2041*L2041</f>
        <v>3360</v>
      </c>
    </row>
    <row r="2042" customFormat="false" ht="15" hidden="false" customHeight="false" outlineLevel="0" collapsed="false">
      <c r="A2042" s="2" t="s">
        <v>2195</v>
      </c>
      <c r="B2042" s="2" t="s">
        <v>2196</v>
      </c>
      <c r="C2042" s="10" t="n">
        <v>46013</v>
      </c>
      <c r="D2042" s="2" t="n">
        <f aca="false">MONTH(C2042)</f>
        <v>12</v>
      </c>
      <c r="E2042" s="2" t="s">
        <v>91</v>
      </c>
      <c r="F2042" s="2" t="s">
        <v>64</v>
      </c>
      <c r="G2042" s="2" t="s">
        <v>65</v>
      </c>
      <c r="H2042" s="2" t="s">
        <v>78</v>
      </c>
      <c r="I2042" s="2" t="n">
        <v>4</v>
      </c>
      <c r="J2042" s="11" t="n">
        <v>400</v>
      </c>
      <c r="K2042" s="12" t="n">
        <v>0.05</v>
      </c>
      <c r="L2042" s="11" t="n">
        <v>200</v>
      </c>
      <c r="M2042" s="11" t="n">
        <f aca="false">I2042*J2042*(1-K2042)</f>
        <v>1520</v>
      </c>
      <c r="N2042" s="11" t="n">
        <f aca="false">M2042-I2042*L2042</f>
        <v>720</v>
      </c>
    </row>
    <row r="2043" customFormat="false" ht="15" hidden="false" customHeight="false" outlineLevel="0" collapsed="false">
      <c r="A2043" s="2" t="s">
        <v>2283</v>
      </c>
      <c r="B2043" s="2" t="s">
        <v>2282</v>
      </c>
      <c r="C2043" s="10" t="n">
        <v>46013</v>
      </c>
      <c r="D2043" s="2" t="n">
        <f aca="false">MONTH(C2043)</f>
        <v>12</v>
      </c>
      <c r="E2043" s="2" t="s">
        <v>63</v>
      </c>
      <c r="F2043" s="2" t="s">
        <v>64</v>
      </c>
      <c r="G2043" s="2" t="s">
        <v>70</v>
      </c>
      <c r="H2043" s="2" t="s">
        <v>122</v>
      </c>
      <c r="I2043" s="2" t="n">
        <v>3</v>
      </c>
      <c r="J2043" s="11" t="n">
        <v>1500</v>
      </c>
      <c r="K2043" s="12" t="n">
        <v>0.05</v>
      </c>
      <c r="L2043" s="11" t="n">
        <v>900</v>
      </c>
      <c r="M2043" s="11" t="n">
        <f aca="false">I2043*J2043*(1-K2043)</f>
        <v>4275</v>
      </c>
      <c r="N2043" s="11" t="n">
        <f aca="false">M2043-I2043*L2043</f>
        <v>1575</v>
      </c>
    </row>
    <row r="2044" customFormat="false" ht="15" hidden="false" customHeight="false" outlineLevel="0" collapsed="false">
      <c r="A2044" s="2" t="s">
        <v>2341</v>
      </c>
      <c r="B2044" s="2" t="s">
        <v>2342</v>
      </c>
      <c r="C2044" s="10" t="n">
        <v>46013</v>
      </c>
      <c r="D2044" s="2" t="n">
        <f aca="false">MONTH(C2044)</f>
        <v>12</v>
      </c>
      <c r="E2044" s="2" t="s">
        <v>63</v>
      </c>
      <c r="F2044" s="2" t="s">
        <v>69</v>
      </c>
      <c r="G2044" s="2" t="s">
        <v>70</v>
      </c>
      <c r="H2044" s="2" t="s">
        <v>71</v>
      </c>
      <c r="I2044" s="2" t="n">
        <v>5</v>
      </c>
      <c r="J2044" s="11" t="n">
        <v>2500</v>
      </c>
      <c r="K2044" s="12" t="n">
        <v>0.05</v>
      </c>
      <c r="L2044" s="11" t="n">
        <v>1600</v>
      </c>
      <c r="M2044" s="11" t="n">
        <f aca="false">I2044*J2044*(1-K2044)</f>
        <v>11875</v>
      </c>
      <c r="N2044" s="11" t="n">
        <f aca="false">M2044-I2044*L2044</f>
        <v>3875</v>
      </c>
    </row>
    <row r="2045" customFormat="false" ht="15" hidden="false" customHeight="false" outlineLevel="0" collapsed="false">
      <c r="A2045" s="2" t="s">
        <v>2464</v>
      </c>
      <c r="B2045" s="2" t="s">
        <v>2465</v>
      </c>
      <c r="C2045" s="10" t="n">
        <v>46013</v>
      </c>
      <c r="D2045" s="2" t="n">
        <f aca="false">MONTH(C2045)</f>
        <v>12</v>
      </c>
      <c r="E2045" s="2" t="s">
        <v>91</v>
      </c>
      <c r="F2045" s="2" t="s">
        <v>92</v>
      </c>
      <c r="G2045" s="2" t="s">
        <v>73</v>
      </c>
      <c r="H2045" s="2" t="s">
        <v>87</v>
      </c>
      <c r="I2045" s="2" t="n">
        <v>4</v>
      </c>
      <c r="J2045" s="11" t="n">
        <v>9000</v>
      </c>
      <c r="K2045" s="12" t="n">
        <v>0.15</v>
      </c>
      <c r="L2045" s="11" t="n">
        <v>6200</v>
      </c>
      <c r="M2045" s="11" t="n">
        <f aca="false">I2045*J2045*(1-K2045)</f>
        <v>30600</v>
      </c>
      <c r="N2045" s="11" t="n">
        <f aca="false">M2045-I2045*L2045</f>
        <v>5800</v>
      </c>
    </row>
    <row r="2046" customFormat="false" ht="15" hidden="false" customHeight="false" outlineLevel="0" collapsed="false">
      <c r="A2046" s="2" t="s">
        <v>121</v>
      </c>
      <c r="B2046" s="2" t="s">
        <v>120</v>
      </c>
      <c r="C2046" s="10" t="n">
        <v>46014</v>
      </c>
      <c r="D2046" s="2" t="n">
        <f aca="false">MONTH(C2046)</f>
        <v>12</v>
      </c>
      <c r="E2046" s="2" t="s">
        <v>81</v>
      </c>
      <c r="F2046" s="2" t="s">
        <v>64</v>
      </c>
      <c r="G2046" s="2" t="s">
        <v>70</v>
      </c>
      <c r="H2046" s="2" t="s">
        <v>122</v>
      </c>
      <c r="I2046" s="2" t="n">
        <v>3</v>
      </c>
      <c r="J2046" s="11" t="n">
        <v>1500</v>
      </c>
      <c r="K2046" s="12" t="n">
        <v>0.05</v>
      </c>
      <c r="L2046" s="11" t="n">
        <v>900</v>
      </c>
      <c r="M2046" s="11" t="n">
        <f aca="false">I2046*J2046*(1-K2046)</f>
        <v>4275</v>
      </c>
      <c r="N2046" s="11" t="n">
        <f aca="false">M2046-I2046*L2046</f>
        <v>1575</v>
      </c>
    </row>
    <row r="2047" customFormat="false" ht="15" hidden="false" customHeight="false" outlineLevel="0" collapsed="false">
      <c r="A2047" s="2" t="s">
        <v>354</v>
      </c>
      <c r="B2047" s="2" t="s">
        <v>349</v>
      </c>
      <c r="C2047" s="10" t="n">
        <v>46014</v>
      </c>
      <c r="D2047" s="2" t="n">
        <f aca="false">MONTH(C2047)</f>
        <v>12</v>
      </c>
      <c r="E2047" s="2" t="s">
        <v>77</v>
      </c>
      <c r="F2047" s="2" t="s">
        <v>64</v>
      </c>
      <c r="G2047" s="2" t="s">
        <v>70</v>
      </c>
      <c r="H2047" s="2" t="s">
        <v>122</v>
      </c>
      <c r="I2047" s="2" t="n">
        <v>3</v>
      </c>
      <c r="J2047" s="11" t="n">
        <v>1500</v>
      </c>
      <c r="K2047" s="12" t="n">
        <v>0.15</v>
      </c>
      <c r="L2047" s="11" t="n">
        <v>900</v>
      </c>
      <c r="M2047" s="11" t="n">
        <f aca="false">I2047*J2047*(1-K2047)</f>
        <v>3825</v>
      </c>
      <c r="N2047" s="11" t="n">
        <f aca="false">M2047-I2047*L2047</f>
        <v>1125</v>
      </c>
    </row>
    <row r="2048" customFormat="false" ht="15" hidden="false" customHeight="false" outlineLevel="0" collapsed="false">
      <c r="A2048" s="2" t="s">
        <v>558</v>
      </c>
      <c r="B2048" s="2" t="s">
        <v>557</v>
      </c>
      <c r="C2048" s="10" t="n">
        <v>46014</v>
      </c>
      <c r="D2048" s="2" t="n">
        <f aca="false">MONTH(C2048)</f>
        <v>12</v>
      </c>
      <c r="E2048" s="2" t="s">
        <v>77</v>
      </c>
      <c r="F2048" s="2" t="s">
        <v>69</v>
      </c>
      <c r="G2048" s="2" t="s">
        <v>73</v>
      </c>
      <c r="H2048" s="2" t="s">
        <v>85</v>
      </c>
      <c r="I2048" s="2" t="n">
        <v>2</v>
      </c>
      <c r="J2048" s="11" t="n">
        <v>1200</v>
      </c>
      <c r="K2048" s="12" t="n">
        <v>0.05</v>
      </c>
      <c r="L2048" s="11" t="n">
        <v>600</v>
      </c>
      <c r="M2048" s="11" t="n">
        <f aca="false">I2048*J2048*(1-K2048)</f>
        <v>2280</v>
      </c>
      <c r="N2048" s="11" t="n">
        <f aca="false">M2048-I2048*L2048</f>
        <v>1080</v>
      </c>
    </row>
    <row r="2049" customFormat="false" ht="15" hidden="false" customHeight="false" outlineLevel="0" collapsed="false">
      <c r="A2049" s="2" t="s">
        <v>590</v>
      </c>
      <c r="B2049" s="2" t="s">
        <v>591</v>
      </c>
      <c r="C2049" s="10" t="n">
        <v>46014</v>
      </c>
      <c r="D2049" s="2" t="n">
        <f aca="false">MONTH(C2049)</f>
        <v>12</v>
      </c>
      <c r="E2049" s="2" t="s">
        <v>63</v>
      </c>
      <c r="F2049" s="2" t="s">
        <v>69</v>
      </c>
      <c r="G2049" s="2" t="s">
        <v>65</v>
      </c>
      <c r="H2049" s="2" t="s">
        <v>107</v>
      </c>
      <c r="I2049" s="2" t="n">
        <v>13</v>
      </c>
      <c r="J2049" s="11" t="n">
        <v>500</v>
      </c>
      <c r="K2049" s="12" t="n">
        <v>0.05</v>
      </c>
      <c r="L2049" s="11" t="n">
        <v>250</v>
      </c>
      <c r="M2049" s="11" t="n">
        <f aca="false">I2049*J2049*(1-K2049)</f>
        <v>6175</v>
      </c>
      <c r="N2049" s="11" t="n">
        <f aca="false">M2049-I2049*L2049</f>
        <v>2925</v>
      </c>
    </row>
    <row r="2050" customFormat="false" ht="15" hidden="false" customHeight="false" outlineLevel="0" collapsed="false">
      <c r="A2050" s="2" t="s">
        <v>790</v>
      </c>
      <c r="B2050" s="2" t="s">
        <v>789</v>
      </c>
      <c r="C2050" s="10" t="n">
        <v>46014</v>
      </c>
      <c r="D2050" s="2" t="n">
        <f aca="false">MONTH(C2050)</f>
        <v>12</v>
      </c>
      <c r="E2050" s="2" t="s">
        <v>63</v>
      </c>
      <c r="F2050" s="2" t="s">
        <v>64</v>
      </c>
      <c r="G2050" s="2" t="s">
        <v>73</v>
      </c>
      <c r="H2050" s="2" t="s">
        <v>74</v>
      </c>
      <c r="I2050" s="2" t="n">
        <v>3</v>
      </c>
      <c r="J2050" s="11" t="n">
        <v>7000</v>
      </c>
      <c r="K2050" s="12" t="n">
        <v>0.05</v>
      </c>
      <c r="L2050" s="11" t="n">
        <v>4800</v>
      </c>
      <c r="M2050" s="11" t="n">
        <f aca="false">I2050*J2050*(1-K2050)</f>
        <v>19950</v>
      </c>
      <c r="N2050" s="11" t="n">
        <f aca="false">M2050-I2050*L2050</f>
        <v>5550</v>
      </c>
    </row>
    <row r="2051" customFormat="false" ht="15" hidden="false" customHeight="false" outlineLevel="0" collapsed="false">
      <c r="A2051" s="2" t="s">
        <v>1142</v>
      </c>
      <c r="B2051" s="2" t="s">
        <v>1143</v>
      </c>
      <c r="C2051" s="10" t="n">
        <v>46014</v>
      </c>
      <c r="D2051" s="2" t="n">
        <f aca="false">MONTH(C2051)</f>
        <v>12</v>
      </c>
      <c r="E2051" s="2" t="s">
        <v>91</v>
      </c>
      <c r="F2051" s="2" t="s">
        <v>64</v>
      </c>
      <c r="G2051" s="2" t="s">
        <v>70</v>
      </c>
      <c r="H2051" s="2" t="s">
        <v>126</v>
      </c>
      <c r="I2051" s="2" t="n">
        <v>1</v>
      </c>
      <c r="J2051" s="11" t="n">
        <v>4500</v>
      </c>
      <c r="K2051" s="12" t="n">
        <v>0.15</v>
      </c>
      <c r="L2051" s="11" t="n">
        <v>3300</v>
      </c>
      <c r="M2051" s="11" t="n">
        <f aca="false">I2051*J2051*(1-K2051)</f>
        <v>3825</v>
      </c>
      <c r="N2051" s="11" t="n">
        <f aca="false">M2051-I2051*L2051</f>
        <v>525</v>
      </c>
    </row>
    <row r="2052" customFormat="false" ht="15" hidden="false" customHeight="false" outlineLevel="0" collapsed="false">
      <c r="A2052" s="2" t="s">
        <v>1694</v>
      </c>
      <c r="B2052" s="2" t="s">
        <v>1691</v>
      </c>
      <c r="C2052" s="10" t="n">
        <v>46014</v>
      </c>
      <c r="D2052" s="2" t="n">
        <f aca="false">MONTH(C2052)</f>
        <v>12</v>
      </c>
      <c r="E2052" s="2" t="s">
        <v>77</v>
      </c>
      <c r="F2052" s="2" t="s">
        <v>69</v>
      </c>
      <c r="G2052" s="2" t="s">
        <v>65</v>
      </c>
      <c r="H2052" s="2" t="s">
        <v>82</v>
      </c>
      <c r="I2052" s="2" t="n">
        <v>9</v>
      </c>
      <c r="J2052" s="11" t="n">
        <v>250</v>
      </c>
      <c r="K2052" s="12" t="n">
        <v>0.05</v>
      </c>
      <c r="L2052" s="11" t="n">
        <v>100</v>
      </c>
      <c r="M2052" s="11" t="n">
        <f aca="false">I2052*J2052*(1-K2052)</f>
        <v>2137.5</v>
      </c>
      <c r="N2052" s="11" t="n">
        <f aca="false">M2052-I2052*L2052</f>
        <v>1237.5</v>
      </c>
    </row>
    <row r="2053" customFormat="false" ht="15" hidden="false" customHeight="false" outlineLevel="0" collapsed="false">
      <c r="A2053" s="2" t="s">
        <v>2622</v>
      </c>
      <c r="B2053" s="2" t="s">
        <v>2623</v>
      </c>
      <c r="C2053" s="10" t="n">
        <v>46014</v>
      </c>
      <c r="D2053" s="2" t="n">
        <f aca="false">MONTH(C2053)</f>
        <v>12</v>
      </c>
      <c r="E2053" s="2" t="s">
        <v>63</v>
      </c>
      <c r="F2053" s="2" t="s">
        <v>69</v>
      </c>
      <c r="G2053" s="2" t="s">
        <v>73</v>
      </c>
      <c r="H2053" s="2" t="s">
        <v>74</v>
      </c>
      <c r="I2053" s="2" t="n">
        <v>2</v>
      </c>
      <c r="J2053" s="11" t="n">
        <v>7000</v>
      </c>
      <c r="K2053" s="12" t="n">
        <v>0.15</v>
      </c>
      <c r="L2053" s="11" t="n">
        <v>4800</v>
      </c>
      <c r="M2053" s="11" t="n">
        <f aca="false">I2053*J2053*(1-K2053)</f>
        <v>11900</v>
      </c>
      <c r="N2053" s="11" t="n">
        <f aca="false">M2053-I2053*L2053</f>
        <v>2300</v>
      </c>
    </row>
    <row r="2054" customFormat="false" ht="15" hidden="false" customHeight="false" outlineLevel="0" collapsed="false">
      <c r="A2054" s="2" t="s">
        <v>327</v>
      </c>
      <c r="B2054" s="2" t="s">
        <v>328</v>
      </c>
      <c r="C2054" s="10" t="n">
        <v>46015</v>
      </c>
      <c r="D2054" s="2" t="n">
        <f aca="false">MONTH(C2054)</f>
        <v>12</v>
      </c>
      <c r="E2054" s="2" t="s">
        <v>63</v>
      </c>
      <c r="F2054" s="2" t="s">
        <v>64</v>
      </c>
      <c r="G2054" s="2" t="s">
        <v>70</v>
      </c>
      <c r="H2054" s="2" t="s">
        <v>122</v>
      </c>
      <c r="I2054" s="2" t="n">
        <v>2</v>
      </c>
      <c r="J2054" s="11" t="n">
        <v>1500</v>
      </c>
      <c r="K2054" s="12" t="n">
        <v>0.05</v>
      </c>
      <c r="L2054" s="11" t="n">
        <v>900</v>
      </c>
      <c r="M2054" s="11" t="n">
        <f aca="false">I2054*J2054*(1-K2054)</f>
        <v>2850</v>
      </c>
      <c r="N2054" s="11" t="n">
        <f aca="false">M2054-I2054*L2054</f>
        <v>1050</v>
      </c>
    </row>
    <row r="2055" customFormat="false" ht="15" hidden="false" customHeight="false" outlineLevel="0" collapsed="false">
      <c r="A2055" s="2" t="s">
        <v>641</v>
      </c>
      <c r="B2055" s="2" t="s">
        <v>642</v>
      </c>
      <c r="C2055" s="10" t="n">
        <v>46015</v>
      </c>
      <c r="D2055" s="2" t="n">
        <f aca="false">MONTH(C2055)</f>
        <v>12</v>
      </c>
      <c r="E2055" s="2" t="s">
        <v>81</v>
      </c>
      <c r="F2055" s="2" t="s">
        <v>64</v>
      </c>
      <c r="G2055" s="2" t="s">
        <v>70</v>
      </c>
      <c r="H2055" s="2" t="s">
        <v>126</v>
      </c>
      <c r="I2055" s="2" t="n">
        <v>2</v>
      </c>
      <c r="J2055" s="11" t="n">
        <v>4500</v>
      </c>
      <c r="K2055" s="12" t="n">
        <v>0.05</v>
      </c>
      <c r="L2055" s="11" t="n">
        <v>3300</v>
      </c>
      <c r="M2055" s="11" t="n">
        <f aca="false">I2055*J2055*(1-K2055)</f>
        <v>8550</v>
      </c>
      <c r="N2055" s="11" t="n">
        <f aca="false">M2055-I2055*L2055</f>
        <v>1950</v>
      </c>
    </row>
    <row r="2056" customFormat="false" ht="15" hidden="false" customHeight="false" outlineLevel="0" collapsed="false">
      <c r="A2056" s="2" t="s">
        <v>1543</v>
      </c>
      <c r="B2056" s="2" t="s">
        <v>1542</v>
      </c>
      <c r="C2056" s="10" t="n">
        <v>46015</v>
      </c>
      <c r="D2056" s="2" t="n">
        <f aca="false">MONTH(C2056)</f>
        <v>12</v>
      </c>
      <c r="E2056" s="2" t="s">
        <v>91</v>
      </c>
      <c r="F2056" s="2" t="s">
        <v>64</v>
      </c>
      <c r="G2056" s="2" t="s">
        <v>65</v>
      </c>
      <c r="H2056" s="2" t="s">
        <v>82</v>
      </c>
      <c r="I2056" s="2" t="n">
        <v>8</v>
      </c>
      <c r="J2056" s="11" t="n">
        <v>250</v>
      </c>
      <c r="K2056" s="12" t="n">
        <v>0.05</v>
      </c>
      <c r="L2056" s="11" t="n">
        <v>100</v>
      </c>
      <c r="M2056" s="11" t="n">
        <f aca="false">I2056*J2056*(1-K2056)</f>
        <v>1900</v>
      </c>
      <c r="N2056" s="11" t="n">
        <f aca="false">M2056-I2056*L2056</f>
        <v>1100</v>
      </c>
    </row>
    <row r="2057" customFormat="false" ht="15" hidden="false" customHeight="false" outlineLevel="0" collapsed="false">
      <c r="A2057" s="2" t="s">
        <v>2707</v>
      </c>
      <c r="B2057" s="2" t="s">
        <v>2699</v>
      </c>
      <c r="C2057" s="10" t="n">
        <v>46015</v>
      </c>
      <c r="D2057" s="2" t="n">
        <f aca="false">MONTH(C2057)</f>
        <v>12</v>
      </c>
      <c r="E2057" s="2" t="s">
        <v>77</v>
      </c>
      <c r="F2057" s="2" t="s">
        <v>69</v>
      </c>
      <c r="G2057" s="2" t="s">
        <v>73</v>
      </c>
      <c r="H2057" s="2" t="s">
        <v>87</v>
      </c>
      <c r="I2057" s="2" t="n">
        <v>1</v>
      </c>
      <c r="J2057" s="11" t="n">
        <v>9000</v>
      </c>
      <c r="K2057" s="12" t="n">
        <v>0.15</v>
      </c>
      <c r="L2057" s="11" t="n">
        <v>6200</v>
      </c>
      <c r="M2057" s="11" t="n">
        <f aca="false">I2057*J2057*(1-K2057)</f>
        <v>7650</v>
      </c>
      <c r="N2057" s="11" t="n">
        <f aca="false">M2057-I2057*L2057</f>
        <v>1450</v>
      </c>
    </row>
    <row r="2058" customFormat="false" ht="15" hidden="false" customHeight="false" outlineLevel="0" collapsed="false">
      <c r="A2058" s="2" t="s">
        <v>2944</v>
      </c>
      <c r="B2058" s="2" t="s">
        <v>2945</v>
      </c>
      <c r="C2058" s="10" t="n">
        <v>46015</v>
      </c>
      <c r="D2058" s="2" t="n">
        <f aca="false">MONTH(C2058)</f>
        <v>12</v>
      </c>
      <c r="E2058" s="2" t="s">
        <v>91</v>
      </c>
      <c r="F2058" s="2" t="s">
        <v>92</v>
      </c>
      <c r="G2058" s="2" t="s">
        <v>73</v>
      </c>
      <c r="H2058" s="2" t="s">
        <v>104</v>
      </c>
      <c r="I2058" s="2" t="n">
        <v>5</v>
      </c>
      <c r="J2058" s="11" t="n">
        <v>5500</v>
      </c>
      <c r="K2058" s="12" t="n">
        <v>0.15</v>
      </c>
      <c r="L2058" s="11" t="n">
        <v>3600</v>
      </c>
      <c r="M2058" s="11" t="n">
        <f aca="false">I2058*J2058*(1-K2058)</f>
        <v>23375</v>
      </c>
      <c r="N2058" s="11" t="n">
        <f aca="false">M2058-I2058*L2058</f>
        <v>5375</v>
      </c>
    </row>
    <row r="2059" customFormat="false" ht="15" hidden="false" customHeight="false" outlineLevel="0" collapsed="false">
      <c r="A2059" s="2" t="s">
        <v>1614</v>
      </c>
      <c r="B2059" s="2" t="s">
        <v>1609</v>
      </c>
      <c r="C2059" s="10" t="n">
        <v>46016</v>
      </c>
      <c r="D2059" s="2" t="n">
        <f aca="false">MONTH(C2059)</f>
        <v>12</v>
      </c>
      <c r="E2059" s="2" t="s">
        <v>81</v>
      </c>
      <c r="F2059" s="2" t="s">
        <v>92</v>
      </c>
      <c r="G2059" s="2" t="s">
        <v>73</v>
      </c>
      <c r="H2059" s="2" t="s">
        <v>104</v>
      </c>
      <c r="I2059" s="2" t="n">
        <v>3</v>
      </c>
      <c r="J2059" s="11" t="n">
        <v>5500</v>
      </c>
      <c r="K2059" s="12" t="n">
        <v>0.15</v>
      </c>
      <c r="L2059" s="11" t="n">
        <v>3600</v>
      </c>
      <c r="M2059" s="11" t="n">
        <f aca="false">I2059*J2059*(1-K2059)</f>
        <v>14025</v>
      </c>
      <c r="N2059" s="11" t="n">
        <f aca="false">M2059-I2059*L2059</f>
        <v>3225</v>
      </c>
    </row>
    <row r="2060" customFormat="false" ht="15" hidden="false" customHeight="false" outlineLevel="0" collapsed="false">
      <c r="A2060" s="2" t="s">
        <v>1887</v>
      </c>
      <c r="B2060" s="2" t="s">
        <v>1883</v>
      </c>
      <c r="C2060" s="10" t="n">
        <v>46016</v>
      </c>
      <c r="D2060" s="2" t="n">
        <f aca="false">MONTH(C2060)</f>
        <v>12</v>
      </c>
      <c r="E2060" s="2" t="s">
        <v>63</v>
      </c>
      <c r="F2060" s="2" t="s">
        <v>64</v>
      </c>
      <c r="G2060" s="2" t="s">
        <v>70</v>
      </c>
      <c r="H2060" s="2" t="s">
        <v>97</v>
      </c>
      <c r="I2060" s="2" t="n">
        <v>1</v>
      </c>
      <c r="J2060" s="11" t="n">
        <v>3000</v>
      </c>
      <c r="K2060" s="12" t="n">
        <v>0.15</v>
      </c>
      <c r="L2060" s="11" t="n">
        <v>2000</v>
      </c>
      <c r="M2060" s="11" t="n">
        <f aca="false">I2060*J2060*(1-K2060)</f>
        <v>2550</v>
      </c>
      <c r="N2060" s="11" t="n">
        <f aca="false">M2060-I2060*L2060</f>
        <v>550</v>
      </c>
    </row>
    <row r="2061" customFormat="false" ht="15" hidden="false" customHeight="false" outlineLevel="0" collapsed="false">
      <c r="A2061" s="2" t="s">
        <v>2251</v>
      </c>
      <c r="B2061" s="2" t="s">
        <v>2252</v>
      </c>
      <c r="C2061" s="10" t="n">
        <v>46016</v>
      </c>
      <c r="D2061" s="2" t="n">
        <f aca="false">MONTH(C2061)</f>
        <v>12</v>
      </c>
      <c r="E2061" s="2" t="s">
        <v>63</v>
      </c>
      <c r="F2061" s="2" t="s">
        <v>69</v>
      </c>
      <c r="G2061" s="2" t="s">
        <v>73</v>
      </c>
      <c r="H2061" s="2" t="s">
        <v>85</v>
      </c>
      <c r="I2061" s="2" t="n">
        <v>2</v>
      </c>
      <c r="J2061" s="11" t="n">
        <v>1200</v>
      </c>
      <c r="K2061" s="12" t="n">
        <v>0.05</v>
      </c>
      <c r="L2061" s="11" t="n">
        <v>600</v>
      </c>
      <c r="M2061" s="11" t="n">
        <f aca="false">I2061*J2061*(1-K2061)</f>
        <v>2280</v>
      </c>
      <c r="N2061" s="11" t="n">
        <f aca="false">M2061-I2061*L2061</f>
        <v>1080</v>
      </c>
    </row>
    <row r="2062" customFormat="false" ht="15" hidden="false" customHeight="false" outlineLevel="0" collapsed="false">
      <c r="A2062" s="2" t="s">
        <v>2726</v>
      </c>
      <c r="B2062" s="2" t="s">
        <v>2725</v>
      </c>
      <c r="C2062" s="10" t="n">
        <v>46016</v>
      </c>
      <c r="D2062" s="2" t="n">
        <f aca="false">MONTH(C2062)</f>
        <v>12</v>
      </c>
      <c r="E2062" s="2" t="s">
        <v>63</v>
      </c>
      <c r="F2062" s="2" t="s">
        <v>64</v>
      </c>
      <c r="G2062" s="2" t="s">
        <v>70</v>
      </c>
      <c r="H2062" s="2" t="s">
        <v>126</v>
      </c>
      <c r="I2062" s="2" t="n">
        <v>1</v>
      </c>
      <c r="J2062" s="11" t="n">
        <v>4500</v>
      </c>
      <c r="K2062" s="12" t="n">
        <v>0.05</v>
      </c>
      <c r="L2062" s="11" t="n">
        <v>3300</v>
      </c>
      <c r="M2062" s="11" t="n">
        <f aca="false">I2062*J2062*(1-K2062)</f>
        <v>4275</v>
      </c>
      <c r="N2062" s="11" t="n">
        <f aca="false">M2062-I2062*L2062</f>
        <v>975</v>
      </c>
    </row>
    <row r="2063" customFormat="false" ht="15" hidden="false" customHeight="false" outlineLevel="0" collapsed="false">
      <c r="A2063" s="2" t="s">
        <v>2917</v>
      </c>
      <c r="B2063" s="2" t="s">
        <v>2916</v>
      </c>
      <c r="C2063" s="10" t="n">
        <v>46016</v>
      </c>
      <c r="D2063" s="2" t="n">
        <f aca="false">MONTH(C2063)</f>
        <v>12</v>
      </c>
      <c r="E2063" s="2" t="s">
        <v>63</v>
      </c>
      <c r="F2063" s="2" t="s">
        <v>69</v>
      </c>
      <c r="G2063" s="2" t="s">
        <v>73</v>
      </c>
      <c r="H2063" s="2" t="s">
        <v>87</v>
      </c>
      <c r="I2063" s="2" t="n">
        <v>4</v>
      </c>
      <c r="J2063" s="11" t="n">
        <v>9000</v>
      </c>
      <c r="K2063" s="12" t="n">
        <v>0.05</v>
      </c>
      <c r="L2063" s="11" t="n">
        <v>6200</v>
      </c>
      <c r="M2063" s="11" t="n">
        <f aca="false">I2063*J2063*(1-K2063)</f>
        <v>34200</v>
      </c>
      <c r="N2063" s="11" t="n">
        <f aca="false">M2063-I2063*L2063</f>
        <v>9400</v>
      </c>
    </row>
    <row r="2064" customFormat="false" ht="15" hidden="false" customHeight="false" outlineLevel="0" collapsed="false">
      <c r="A2064" s="2" t="s">
        <v>2953</v>
      </c>
      <c r="B2064" s="2" t="s">
        <v>2954</v>
      </c>
      <c r="C2064" s="10" t="n">
        <v>46016</v>
      </c>
      <c r="D2064" s="2" t="n">
        <f aca="false">MONTH(C2064)</f>
        <v>12</v>
      </c>
      <c r="E2064" s="2" t="s">
        <v>77</v>
      </c>
      <c r="F2064" s="2" t="s">
        <v>64</v>
      </c>
      <c r="G2064" s="2" t="s">
        <v>65</v>
      </c>
      <c r="H2064" s="2" t="s">
        <v>78</v>
      </c>
      <c r="I2064" s="2" t="n">
        <v>2</v>
      </c>
      <c r="J2064" s="11" t="n">
        <v>400</v>
      </c>
      <c r="K2064" s="12" t="n">
        <v>0.1</v>
      </c>
      <c r="L2064" s="11" t="n">
        <v>200</v>
      </c>
      <c r="M2064" s="11" t="n">
        <f aca="false">I2064*J2064*(1-K2064)</f>
        <v>720</v>
      </c>
      <c r="N2064" s="11" t="n">
        <f aca="false">M2064-I2064*L2064</f>
        <v>320</v>
      </c>
    </row>
    <row r="2065" customFormat="false" ht="15" hidden="false" customHeight="false" outlineLevel="0" collapsed="false">
      <c r="A2065" s="2" t="s">
        <v>493</v>
      </c>
      <c r="B2065" s="2" t="s">
        <v>492</v>
      </c>
      <c r="C2065" s="10" t="n">
        <v>46017</v>
      </c>
      <c r="D2065" s="2" t="n">
        <f aca="false">MONTH(C2065)</f>
        <v>12</v>
      </c>
      <c r="E2065" s="2" t="s">
        <v>77</v>
      </c>
      <c r="F2065" s="2" t="s">
        <v>64</v>
      </c>
      <c r="G2065" s="2" t="s">
        <v>65</v>
      </c>
      <c r="H2065" s="2" t="s">
        <v>78</v>
      </c>
      <c r="I2065" s="2" t="n">
        <v>3</v>
      </c>
      <c r="J2065" s="11" t="n">
        <v>400</v>
      </c>
      <c r="K2065" s="12" t="n">
        <v>0.05</v>
      </c>
      <c r="L2065" s="11" t="n">
        <v>200</v>
      </c>
      <c r="M2065" s="11" t="n">
        <f aca="false">I2065*J2065*(1-K2065)</f>
        <v>1140</v>
      </c>
      <c r="N2065" s="11" t="n">
        <f aca="false">M2065-I2065*L2065</f>
        <v>540</v>
      </c>
    </row>
    <row r="2066" customFormat="false" ht="15" hidden="false" customHeight="false" outlineLevel="0" collapsed="false">
      <c r="A2066" s="2" t="s">
        <v>521</v>
      </c>
      <c r="B2066" s="2" t="s">
        <v>520</v>
      </c>
      <c r="C2066" s="10" t="n">
        <v>46017</v>
      </c>
      <c r="D2066" s="2" t="n">
        <f aca="false">MONTH(C2066)</f>
        <v>12</v>
      </c>
      <c r="E2066" s="2" t="s">
        <v>77</v>
      </c>
      <c r="F2066" s="2" t="s">
        <v>92</v>
      </c>
      <c r="G2066" s="2" t="s">
        <v>65</v>
      </c>
      <c r="H2066" s="2" t="s">
        <v>82</v>
      </c>
      <c r="I2066" s="2" t="n">
        <v>40</v>
      </c>
      <c r="J2066" s="11" t="n">
        <v>250</v>
      </c>
      <c r="K2066" s="12" t="n">
        <v>0.1</v>
      </c>
      <c r="L2066" s="11" t="n">
        <v>100</v>
      </c>
      <c r="M2066" s="11" t="n">
        <f aca="false">I2066*J2066*(1-K2066)</f>
        <v>9000</v>
      </c>
      <c r="N2066" s="11" t="n">
        <f aca="false">M2066-I2066*L2066</f>
        <v>5000</v>
      </c>
    </row>
    <row r="2067" customFormat="false" ht="15" hidden="false" customHeight="false" outlineLevel="0" collapsed="false">
      <c r="A2067" s="2" t="s">
        <v>925</v>
      </c>
      <c r="B2067" s="2" t="s">
        <v>924</v>
      </c>
      <c r="C2067" s="10" t="n">
        <v>46017</v>
      </c>
      <c r="D2067" s="2" t="n">
        <f aca="false">MONTH(C2067)</f>
        <v>12</v>
      </c>
      <c r="E2067" s="2" t="s">
        <v>81</v>
      </c>
      <c r="F2067" s="2" t="s">
        <v>64</v>
      </c>
      <c r="G2067" s="2" t="s">
        <v>70</v>
      </c>
      <c r="H2067" s="2" t="s">
        <v>97</v>
      </c>
      <c r="I2067" s="2" t="n">
        <v>1</v>
      </c>
      <c r="J2067" s="11" t="n">
        <v>3000</v>
      </c>
      <c r="K2067" s="12" t="n">
        <v>0.05</v>
      </c>
      <c r="L2067" s="11" t="n">
        <v>2000</v>
      </c>
      <c r="M2067" s="11" t="n">
        <f aca="false">I2067*J2067*(1-K2067)</f>
        <v>2850</v>
      </c>
      <c r="N2067" s="11" t="n">
        <f aca="false">M2067-I2067*L2067</f>
        <v>850</v>
      </c>
    </row>
    <row r="2068" customFormat="false" ht="15" hidden="false" customHeight="false" outlineLevel="0" collapsed="false">
      <c r="A2068" s="2" t="s">
        <v>1152</v>
      </c>
      <c r="B2068" s="2" t="s">
        <v>1153</v>
      </c>
      <c r="C2068" s="10" t="n">
        <v>46017</v>
      </c>
      <c r="D2068" s="2" t="n">
        <f aca="false">MONTH(C2068)</f>
        <v>12</v>
      </c>
      <c r="E2068" s="2" t="s">
        <v>91</v>
      </c>
      <c r="F2068" s="2" t="s">
        <v>64</v>
      </c>
      <c r="G2068" s="2" t="s">
        <v>73</v>
      </c>
      <c r="H2068" s="2" t="s">
        <v>74</v>
      </c>
      <c r="I2068" s="2" t="n">
        <v>1</v>
      </c>
      <c r="J2068" s="11" t="n">
        <v>7000</v>
      </c>
      <c r="K2068" s="12" t="n">
        <v>0.05</v>
      </c>
      <c r="L2068" s="11" t="n">
        <v>4800</v>
      </c>
      <c r="M2068" s="11" t="n">
        <f aca="false">I2068*J2068*(1-K2068)</f>
        <v>6650</v>
      </c>
      <c r="N2068" s="11" t="n">
        <f aca="false">M2068-I2068*L2068</f>
        <v>1850</v>
      </c>
    </row>
    <row r="2069" customFormat="false" ht="15" hidden="false" customHeight="false" outlineLevel="0" collapsed="false">
      <c r="A2069" s="2" t="s">
        <v>1508</v>
      </c>
      <c r="B2069" s="2" t="s">
        <v>1509</v>
      </c>
      <c r="C2069" s="10" t="n">
        <v>46017</v>
      </c>
      <c r="D2069" s="2" t="n">
        <f aca="false">MONTH(C2069)</f>
        <v>12</v>
      </c>
      <c r="E2069" s="2" t="s">
        <v>63</v>
      </c>
      <c r="F2069" s="2" t="s">
        <v>92</v>
      </c>
      <c r="G2069" s="2" t="s">
        <v>73</v>
      </c>
      <c r="H2069" s="2" t="s">
        <v>74</v>
      </c>
      <c r="I2069" s="2" t="n">
        <v>4</v>
      </c>
      <c r="J2069" s="11" t="n">
        <v>7000</v>
      </c>
      <c r="K2069" s="12" t="n">
        <v>0.15</v>
      </c>
      <c r="L2069" s="11" t="n">
        <v>4800</v>
      </c>
      <c r="M2069" s="11" t="n">
        <f aca="false">I2069*J2069*(1-K2069)</f>
        <v>23800</v>
      </c>
      <c r="N2069" s="11" t="n">
        <f aca="false">M2069-I2069*L2069</f>
        <v>4600</v>
      </c>
    </row>
    <row r="2070" customFormat="false" ht="15" hidden="false" customHeight="false" outlineLevel="0" collapsed="false">
      <c r="A2070" s="2" t="s">
        <v>1804</v>
      </c>
      <c r="B2070" s="2" t="s">
        <v>1805</v>
      </c>
      <c r="C2070" s="10" t="n">
        <v>46017</v>
      </c>
      <c r="D2070" s="2" t="n">
        <f aca="false">MONTH(C2070)</f>
        <v>12</v>
      </c>
      <c r="E2070" s="2" t="s">
        <v>91</v>
      </c>
      <c r="F2070" s="2" t="s">
        <v>64</v>
      </c>
      <c r="G2070" s="2" t="s">
        <v>73</v>
      </c>
      <c r="H2070" s="2" t="s">
        <v>87</v>
      </c>
      <c r="I2070" s="2" t="n">
        <v>3</v>
      </c>
      <c r="J2070" s="11" t="n">
        <v>9000</v>
      </c>
      <c r="K2070" s="12" t="n">
        <v>0.05</v>
      </c>
      <c r="L2070" s="11" t="n">
        <v>6200</v>
      </c>
      <c r="M2070" s="11" t="n">
        <f aca="false">I2070*J2070*(1-K2070)</f>
        <v>25650</v>
      </c>
      <c r="N2070" s="11" t="n">
        <f aca="false">M2070-I2070*L2070</f>
        <v>7050</v>
      </c>
    </row>
    <row r="2071" customFormat="false" ht="15" hidden="false" customHeight="false" outlineLevel="0" collapsed="false">
      <c r="A2071" s="2" t="s">
        <v>1903</v>
      </c>
      <c r="B2071" s="2" t="s">
        <v>1901</v>
      </c>
      <c r="C2071" s="10" t="n">
        <v>46017</v>
      </c>
      <c r="D2071" s="2" t="n">
        <f aca="false">MONTH(C2071)</f>
        <v>12</v>
      </c>
      <c r="E2071" s="2" t="s">
        <v>63</v>
      </c>
      <c r="F2071" s="2" t="s">
        <v>64</v>
      </c>
      <c r="G2071" s="2" t="s">
        <v>70</v>
      </c>
      <c r="H2071" s="2" t="s">
        <v>71</v>
      </c>
      <c r="I2071" s="2" t="n">
        <v>1</v>
      </c>
      <c r="J2071" s="11" t="n">
        <v>2500</v>
      </c>
      <c r="K2071" s="12" t="n">
        <v>0.15</v>
      </c>
      <c r="L2071" s="11" t="n">
        <v>1600</v>
      </c>
      <c r="M2071" s="11" t="n">
        <f aca="false">I2071*J2071*(1-K2071)</f>
        <v>2125</v>
      </c>
      <c r="N2071" s="11" t="n">
        <f aca="false">M2071-I2071*L2071</f>
        <v>525</v>
      </c>
    </row>
    <row r="2072" customFormat="false" ht="15" hidden="false" customHeight="false" outlineLevel="0" collapsed="false">
      <c r="A2072" s="2" t="s">
        <v>1967</v>
      </c>
      <c r="B2072" s="2" t="s">
        <v>1968</v>
      </c>
      <c r="C2072" s="10" t="n">
        <v>46017</v>
      </c>
      <c r="D2072" s="2" t="n">
        <f aca="false">MONTH(C2072)</f>
        <v>12</v>
      </c>
      <c r="E2072" s="2" t="s">
        <v>91</v>
      </c>
      <c r="F2072" s="2" t="s">
        <v>64</v>
      </c>
      <c r="G2072" s="2" t="s">
        <v>70</v>
      </c>
      <c r="H2072" s="2" t="s">
        <v>126</v>
      </c>
      <c r="I2072" s="2" t="n">
        <v>3</v>
      </c>
      <c r="J2072" s="11" t="n">
        <v>4500</v>
      </c>
      <c r="K2072" s="12" t="n">
        <v>0.05</v>
      </c>
      <c r="L2072" s="11" t="n">
        <v>3300</v>
      </c>
      <c r="M2072" s="11" t="n">
        <f aca="false">I2072*J2072*(1-K2072)</f>
        <v>12825</v>
      </c>
      <c r="N2072" s="11" t="n">
        <f aca="false">M2072-I2072*L2072</f>
        <v>2925</v>
      </c>
    </row>
    <row r="2073" customFormat="false" ht="15" hidden="false" customHeight="false" outlineLevel="0" collapsed="false">
      <c r="A2073" s="2" t="s">
        <v>2529</v>
      </c>
      <c r="B2073" s="2" t="s">
        <v>2528</v>
      </c>
      <c r="C2073" s="10" t="n">
        <v>46017</v>
      </c>
      <c r="D2073" s="2" t="n">
        <f aca="false">MONTH(C2073)</f>
        <v>12</v>
      </c>
      <c r="E2073" s="2" t="s">
        <v>63</v>
      </c>
      <c r="F2073" s="2" t="s">
        <v>69</v>
      </c>
      <c r="G2073" s="2" t="s">
        <v>70</v>
      </c>
      <c r="H2073" s="2" t="s">
        <v>126</v>
      </c>
      <c r="I2073" s="2" t="n">
        <v>3</v>
      </c>
      <c r="J2073" s="11" t="n">
        <v>4500</v>
      </c>
      <c r="K2073" s="12" t="n">
        <v>0.05</v>
      </c>
      <c r="L2073" s="11" t="n">
        <v>3300</v>
      </c>
      <c r="M2073" s="11" t="n">
        <f aca="false">I2073*J2073*(1-K2073)</f>
        <v>12825</v>
      </c>
      <c r="N2073" s="11" t="n">
        <f aca="false">M2073-I2073*L2073</f>
        <v>2925</v>
      </c>
    </row>
    <row r="2074" customFormat="false" ht="15" hidden="false" customHeight="false" outlineLevel="0" collapsed="false">
      <c r="A2074" s="2" t="s">
        <v>2601</v>
      </c>
      <c r="B2074" s="2" t="s">
        <v>2602</v>
      </c>
      <c r="C2074" s="10" t="n">
        <v>46017</v>
      </c>
      <c r="D2074" s="2" t="n">
        <f aca="false">MONTH(C2074)</f>
        <v>12</v>
      </c>
      <c r="E2074" s="2" t="s">
        <v>63</v>
      </c>
      <c r="F2074" s="2" t="s">
        <v>64</v>
      </c>
      <c r="G2074" s="2" t="s">
        <v>73</v>
      </c>
      <c r="H2074" s="2" t="s">
        <v>74</v>
      </c>
      <c r="I2074" s="2" t="n">
        <v>3</v>
      </c>
      <c r="J2074" s="11" t="n">
        <v>7000</v>
      </c>
      <c r="K2074" s="12" t="n">
        <v>0.15</v>
      </c>
      <c r="L2074" s="11" t="n">
        <v>4800</v>
      </c>
      <c r="M2074" s="11" t="n">
        <f aca="false">I2074*J2074*(1-K2074)</f>
        <v>17850</v>
      </c>
      <c r="N2074" s="11" t="n">
        <f aca="false">M2074-I2074*L2074</f>
        <v>3450</v>
      </c>
    </row>
    <row r="2075" customFormat="false" ht="15" hidden="false" customHeight="false" outlineLevel="0" collapsed="false">
      <c r="A2075" s="2" t="s">
        <v>2664</v>
      </c>
      <c r="B2075" s="2" t="s">
        <v>2665</v>
      </c>
      <c r="C2075" s="10" t="n">
        <v>46017</v>
      </c>
      <c r="D2075" s="2" t="n">
        <f aca="false">MONTH(C2075)</f>
        <v>12</v>
      </c>
      <c r="E2075" s="2" t="s">
        <v>63</v>
      </c>
      <c r="F2075" s="2" t="s">
        <v>64</v>
      </c>
      <c r="G2075" s="2" t="s">
        <v>73</v>
      </c>
      <c r="H2075" s="2" t="s">
        <v>85</v>
      </c>
      <c r="I2075" s="2" t="n">
        <v>2</v>
      </c>
      <c r="J2075" s="11" t="n">
        <v>1200</v>
      </c>
      <c r="K2075" s="12" t="n">
        <v>0.15</v>
      </c>
      <c r="L2075" s="11" t="n">
        <v>600</v>
      </c>
      <c r="M2075" s="11" t="n">
        <f aca="false">I2075*J2075*(1-K2075)</f>
        <v>2040</v>
      </c>
      <c r="N2075" s="11" t="n">
        <f aca="false">M2075-I2075*L2075</f>
        <v>840</v>
      </c>
    </row>
    <row r="2076" customFormat="false" ht="15" hidden="false" customHeight="false" outlineLevel="0" collapsed="false">
      <c r="A2076" s="2" t="s">
        <v>672</v>
      </c>
      <c r="B2076" s="2" t="s">
        <v>673</v>
      </c>
      <c r="C2076" s="10" t="n">
        <v>46018</v>
      </c>
      <c r="D2076" s="2" t="n">
        <f aca="false">MONTH(C2076)</f>
        <v>12</v>
      </c>
      <c r="E2076" s="2" t="s">
        <v>77</v>
      </c>
      <c r="F2076" s="2" t="s">
        <v>69</v>
      </c>
      <c r="G2076" s="2" t="s">
        <v>70</v>
      </c>
      <c r="H2076" s="2" t="s">
        <v>97</v>
      </c>
      <c r="I2076" s="2" t="n">
        <v>4</v>
      </c>
      <c r="J2076" s="11" t="n">
        <v>3000</v>
      </c>
      <c r="K2076" s="12" t="n">
        <v>0.05</v>
      </c>
      <c r="L2076" s="11" t="n">
        <v>2000</v>
      </c>
      <c r="M2076" s="11" t="n">
        <f aca="false">I2076*J2076*(1-K2076)</f>
        <v>11400</v>
      </c>
      <c r="N2076" s="11" t="n">
        <f aca="false">M2076-I2076*L2076</f>
        <v>3400</v>
      </c>
    </row>
    <row r="2077" customFormat="false" ht="15" hidden="false" customHeight="false" outlineLevel="0" collapsed="false">
      <c r="A2077" s="2" t="s">
        <v>742</v>
      </c>
      <c r="B2077" s="2" t="s">
        <v>741</v>
      </c>
      <c r="C2077" s="10" t="n">
        <v>46018</v>
      </c>
      <c r="D2077" s="2" t="n">
        <f aca="false">MONTH(C2077)</f>
        <v>12</v>
      </c>
      <c r="E2077" s="2" t="s">
        <v>81</v>
      </c>
      <c r="F2077" s="2" t="s">
        <v>64</v>
      </c>
      <c r="G2077" s="2" t="s">
        <v>73</v>
      </c>
      <c r="H2077" s="2" t="s">
        <v>104</v>
      </c>
      <c r="I2077" s="2" t="n">
        <v>2</v>
      </c>
      <c r="J2077" s="11" t="n">
        <v>5500</v>
      </c>
      <c r="K2077" s="12" t="n">
        <v>0.1</v>
      </c>
      <c r="L2077" s="11" t="n">
        <v>3600</v>
      </c>
      <c r="M2077" s="11" t="n">
        <f aca="false">I2077*J2077*(1-K2077)</f>
        <v>9900</v>
      </c>
      <c r="N2077" s="11" t="n">
        <f aca="false">M2077-I2077*L2077</f>
        <v>2700</v>
      </c>
    </row>
    <row r="2078" customFormat="false" ht="15" hidden="false" customHeight="false" outlineLevel="0" collapsed="false">
      <c r="A2078" s="2" t="s">
        <v>1056</v>
      </c>
      <c r="B2078" s="2" t="s">
        <v>1055</v>
      </c>
      <c r="C2078" s="10" t="n">
        <v>46018</v>
      </c>
      <c r="D2078" s="2" t="n">
        <f aca="false">MONTH(C2078)</f>
        <v>12</v>
      </c>
      <c r="E2078" s="2" t="s">
        <v>63</v>
      </c>
      <c r="F2078" s="2" t="s">
        <v>92</v>
      </c>
      <c r="G2078" s="2" t="s">
        <v>73</v>
      </c>
      <c r="H2078" s="2" t="s">
        <v>104</v>
      </c>
      <c r="I2078" s="2" t="n">
        <v>3</v>
      </c>
      <c r="J2078" s="11" t="n">
        <v>5500</v>
      </c>
      <c r="K2078" s="12" t="n">
        <v>0.15</v>
      </c>
      <c r="L2078" s="11" t="n">
        <v>3600</v>
      </c>
      <c r="M2078" s="11" t="n">
        <f aca="false">I2078*J2078*(1-K2078)</f>
        <v>14025</v>
      </c>
      <c r="N2078" s="11" t="n">
        <f aca="false">M2078-I2078*L2078</f>
        <v>3225</v>
      </c>
    </row>
    <row r="2079" customFormat="false" ht="15" hidden="false" customHeight="false" outlineLevel="0" collapsed="false">
      <c r="A2079" s="2" t="s">
        <v>1127</v>
      </c>
      <c r="B2079" s="2" t="s">
        <v>1126</v>
      </c>
      <c r="C2079" s="10" t="n">
        <v>46018</v>
      </c>
      <c r="D2079" s="2" t="n">
        <f aca="false">MONTH(C2079)</f>
        <v>12</v>
      </c>
      <c r="E2079" s="2" t="s">
        <v>77</v>
      </c>
      <c r="F2079" s="2" t="s">
        <v>92</v>
      </c>
      <c r="G2079" s="2" t="s">
        <v>73</v>
      </c>
      <c r="H2079" s="2" t="s">
        <v>87</v>
      </c>
      <c r="I2079" s="2" t="n">
        <v>4</v>
      </c>
      <c r="J2079" s="11" t="n">
        <v>9000</v>
      </c>
      <c r="K2079" s="12" t="n">
        <v>0.05</v>
      </c>
      <c r="L2079" s="11" t="n">
        <v>6200</v>
      </c>
      <c r="M2079" s="11" t="n">
        <f aca="false">I2079*J2079*(1-K2079)</f>
        <v>34200</v>
      </c>
      <c r="N2079" s="11" t="n">
        <f aca="false">M2079-I2079*L2079</f>
        <v>9400</v>
      </c>
    </row>
    <row r="2080" customFormat="false" ht="15" hidden="false" customHeight="false" outlineLevel="0" collapsed="false">
      <c r="A2080" s="2" t="s">
        <v>1752</v>
      </c>
      <c r="B2080" s="2" t="s">
        <v>1751</v>
      </c>
      <c r="C2080" s="10" t="n">
        <v>46018</v>
      </c>
      <c r="D2080" s="2" t="n">
        <f aca="false">MONTH(C2080)</f>
        <v>12</v>
      </c>
      <c r="E2080" s="2" t="s">
        <v>77</v>
      </c>
      <c r="F2080" s="2" t="s">
        <v>69</v>
      </c>
      <c r="G2080" s="2" t="s">
        <v>65</v>
      </c>
      <c r="H2080" s="2" t="s">
        <v>66</v>
      </c>
      <c r="I2080" s="2" t="n">
        <v>7</v>
      </c>
      <c r="J2080" s="11" t="n">
        <v>600</v>
      </c>
      <c r="K2080" s="12" t="n">
        <v>0.05</v>
      </c>
      <c r="L2080" s="11" t="n">
        <v>300</v>
      </c>
      <c r="M2080" s="11" t="n">
        <f aca="false">I2080*J2080*(1-K2080)</f>
        <v>3990</v>
      </c>
      <c r="N2080" s="11" t="n">
        <f aca="false">M2080-I2080*L2080</f>
        <v>1890</v>
      </c>
    </row>
    <row r="2081" customFormat="false" ht="15" hidden="false" customHeight="false" outlineLevel="0" collapsed="false">
      <c r="A2081" s="2" t="s">
        <v>2610</v>
      </c>
      <c r="B2081" s="2" t="s">
        <v>2608</v>
      </c>
      <c r="C2081" s="10" t="n">
        <v>46018</v>
      </c>
      <c r="D2081" s="2" t="n">
        <f aca="false">MONTH(C2081)</f>
        <v>12</v>
      </c>
      <c r="E2081" s="2" t="s">
        <v>77</v>
      </c>
      <c r="F2081" s="2" t="s">
        <v>64</v>
      </c>
      <c r="G2081" s="2" t="s">
        <v>70</v>
      </c>
      <c r="H2081" s="2" t="s">
        <v>122</v>
      </c>
      <c r="I2081" s="2" t="n">
        <v>2</v>
      </c>
      <c r="J2081" s="11" t="n">
        <v>1500</v>
      </c>
      <c r="K2081" s="12" t="n">
        <v>0.15</v>
      </c>
      <c r="L2081" s="11" t="n">
        <v>900</v>
      </c>
      <c r="M2081" s="11" t="n">
        <f aca="false">I2081*J2081*(1-K2081)</f>
        <v>2550</v>
      </c>
      <c r="N2081" s="11" t="n">
        <f aca="false">M2081-I2081*L2081</f>
        <v>750</v>
      </c>
    </row>
    <row r="2082" customFormat="false" ht="15" hidden="false" customHeight="false" outlineLevel="0" collapsed="false">
      <c r="A2082" s="2" t="s">
        <v>499</v>
      </c>
      <c r="B2082" s="2" t="s">
        <v>492</v>
      </c>
      <c r="C2082" s="10" t="n">
        <v>46019</v>
      </c>
      <c r="D2082" s="2" t="n">
        <f aca="false">MONTH(C2082)</f>
        <v>12</v>
      </c>
      <c r="E2082" s="2" t="s">
        <v>77</v>
      </c>
      <c r="F2082" s="2" t="s">
        <v>64</v>
      </c>
      <c r="G2082" s="2" t="s">
        <v>70</v>
      </c>
      <c r="H2082" s="2" t="s">
        <v>97</v>
      </c>
      <c r="I2082" s="2" t="n">
        <v>3</v>
      </c>
      <c r="J2082" s="11" t="n">
        <v>3000</v>
      </c>
      <c r="K2082" s="12" t="n">
        <v>0.1</v>
      </c>
      <c r="L2082" s="11" t="n">
        <v>2000</v>
      </c>
      <c r="M2082" s="11" t="n">
        <f aca="false">I2082*J2082*(1-K2082)</f>
        <v>8100</v>
      </c>
      <c r="N2082" s="11" t="n">
        <f aca="false">M2082-I2082*L2082</f>
        <v>2100</v>
      </c>
    </row>
    <row r="2083" customFormat="false" ht="15" hidden="false" customHeight="false" outlineLevel="0" collapsed="false">
      <c r="A2083" s="2" t="s">
        <v>635</v>
      </c>
      <c r="B2083" s="2" t="s">
        <v>636</v>
      </c>
      <c r="C2083" s="10" t="n">
        <v>46019</v>
      </c>
      <c r="D2083" s="2" t="n">
        <f aca="false">MONTH(C2083)</f>
        <v>12</v>
      </c>
      <c r="E2083" s="2" t="s">
        <v>91</v>
      </c>
      <c r="F2083" s="2" t="s">
        <v>69</v>
      </c>
      <c r="G2083" s="2" t="s">
        <v>73</v>
      </c>
      <c r="H2083" s="2" t="s">
        <v>104</v>
      </c>
      <c r="I2083" s="2" t="n">
        <v>4</v>
      </c>
      <c r="J2083" s="11" t="n">
        <v>5500</v>
      </c>
      <c r="K2083" s="12" t="n">
        <v>0.05</v>
      </c>
      <c r="L2083" s="11" t="n">
        <v>3600</v>
      </c>
      <c r="M2083" s="11" t="n">
        <f aca="false">I2083*J2083*(1-K2083)</f>
        <v>20900</v>
      </c>
      <c r="N2083" s="11" t="n">
        <f aca="false">M2083-I2083*L2083</f>
        <v>6500</v>
      </c>
    </row>
    <row r="2084" customFormat="false" ht="15" hidden="false" customHeight="false" outlineLevel="0" collapsed="false">
      <c r="A2084" s="2" t="s">
        <v>1005</v>
      </c>
      <c r="B2084" s="2" t="s">
        <v>1004</v>
      </c>
      <c r="C2084" s="10" t="n">
        <v>46019</v>
      </c>
      <c r="D2084" s="2" t="n">
        <f aca="false">MONTH(C2084)</f>
        <v>12</v>
      </c>
      <c r="E2084" s="2" t="s">
        <v>77</v>
      </c>
      <c r="F2084" s="2" t="s">
        <v>69</v>
      </c>
      <c r="G2084" s="2" t="s">
        <v>65</v>
      </c>
      <c r="H2084" s="2" t="s">
        <v>66</v>
      </c>
      <c r="I2084" s="2" t="n">
        <v>19</v>
      </c>
      <c r="J2084" s="11" t="n">
        <v>600</v>
      </c>
      <c r="K2084" s="12" t="n">
        <v>0.1</v>
      </c>
      <c r="L2084" s="11" t="n">
        <v>300</v>
      </c>
      <c r="M2084" s="11" t="n">
        <f aca="false">I2084*J2084*(1-K2084)</f>
        <v>10260</v>
      </c>
      <c r="N2084" s="11" t="n">
        <f aca="false">M2084-I2084*L2084</f>
        <v>4560</v>
      </c>
    </row>
    <row r="2085" customFormat="false" ht="15" hidden="false" customHeight="false" outlineLevel="0" collapsed="false">
      <c r="A2085" s="2" t="s">
        <v>1587</v>
      </c>
      <c r="B2085" s="2" t="s">
        <v>1586</v>
      </c>
      <c r="C2085" s="10" t="n">
        <v>46019</v>
      </c>
      <c r="D2085" s="2" t="n">
        <f aca="false">MONTH(C2085)</f>
        <v>12</v>
      </c>
      <c r="E2085" s="2" t="s">
        <v>77</v>
      </c>
      <c r="F2085" s="2" t="s">
        <v>64</v>
      </c>
      <c r="G2085" s="2" t="s">
        <v>70</v>
      </c>
      <c r="H2085" s="2" t="s">
        <v>122</v>
      </c>
      <c r="I2085" s="2" t="n">
        <v>3</v>
      </c>
      <c r="J2085" s="11" t="n">
        <v>1500</v>
      </c>
      <c r="K2085" s="12" t="n">
        <v>0.05</v>
      </c>
      <c r="L2085" s="11" t="n">
        <v>900</v>
      </c>
      <c r="M2085" s="11" t="n">
        <f aca="false">I2085*J2085*(1-K2085)</f>
        <v>4275</v>
      </c>
      <c r="N2085" s="11" t="n">
        <f aca="false">M2085-I2085*L2085</f>
        <v>1575</v>
      </c>
    </row>
    <row r="2086" customFormat="false" ht="15" hidden="false" customHeight="false" outlineLevel="0" collapsed="false">
      <c r="A2086" s="2" t="s">
        <v>1842</v>
      </c>
      <c r="B2086" s="2" t="s">
        <v>1843</v>
      </c>
      <c r="C2086" s="10" t="n">
        <v>46019</v>
      </c>
      <c r="D2086" s="2" t="n">
        <f aca="false">MONTH(C2086)</f>
        <v>12</v>
      </c>
      <c r="E2086" s="2" t="s">
        <v>63</v>
      </c>
      <c r="F2086" s="2" t="s">
        <v>64</v>
      </c>
      <c r="G2086" s="2" t="s">
        <v>70</v>
      </c>
      <c r="H2086" s="2" t="s">
        <v>126</v>
      </c>
      <c r="I2086" s="2" t="n">
        <v>1</v>
      </c>
      <c r="J2086" s="11" t="n">
        <v>4500</v>
      </c>
      <c r="K2086" s="12" t="n">
        <v>0.05</v>
      </c>
      <c r="L2086" s="11" t="n">
        <v>3300</v>
      </c>
      <c r="M2086" s="11" t="n">
        <f aca="false">I2086*J2086*(1-K2086)</f>
        <v>4275</v>
      </c>
      <c r="N2086" s="11" t="n">
        <f aca="false">M2086-I2086*L2086</f>
        <v>975</v>
      </c>
    </row>
  </sheetData>
  <autoFilter ref="A1:N20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6"/>
  </cols>
  <sheetData>
    <row r="1" customFormat="false" ht="26.85" hidden="false" customHeight="false" outlineLevel="0" collapsed="false">
      <c r="A1" s="9" t="s">
        <v>51</v>
      </c>
      <c r="B1" s="9" t="s">
        <v>54</v>
      </c>
      <c r="C1" s="9" t="s">
        <v>3020</v>
      </c>
      <c r="D1" s="9" t="s">
        <v>3017</v>
      </c>
      <c r="E1" s="9" t="s">
        <v>3018</v>
      </c>
      <c r="F1" s="9" t="s">
        <v>3021</v>
      </c>
      <c r="G1" s="9" t="s">
        <v>3022</v>
      </c>
    </row>
    <row r="2" customFormat="false" ht="15" hidden="false" customHeight="false" outlineLevel="0" collapsed="false">
      <c r="A2" s="2" t="s">
        <v>1319</v>
      </c>
      <c r="B2" s="2" t="str">
        <f aca="false">INDEX(Clean_Data!$F$2:$F$2086,MATCH(A2,Clean_Data!$B$2:$B$2086,0))</f>
        <v>Corporate</v>
      </c>
      <c r="C2" s="2" t="n">
        <f aca="false">COUNTIFS(Clean_Data!$B$2:$B$2086,A2)</f>
        <v>9</v>
      </c>
      <c r="D2" s="11" t="n">
        <f aca="false">SUMIFS(Clean_Data!$M$2:$M$2086,Clean_Data!$B$2:$B$2086,A2)</f>
        <v>280930</v>
      </c>
      <c r="E2" s="11" t="n">
        <f aca="false">SUMIFS(Clean_Data!$N$2:$N$2086,Clean_Data!$B$2:$B$2086,A2)</f>
        <v>75930</v>
      </c>
      <c r="F2" s="2" t="str">
        <f aca="false">IF(C2&gt;1,"Repeat","One-time")</f>
        <v>Repeat</v>
      </c>
      <c r="G2" s="13" t="n">
        <f aca="false">SUM($D$2:D2)/SUM($D$2:$D$800)</f>
        <v>0.013656094450805</v>
      </c>
    </row>
    <row r="3" customFormat="false" ht="15" hidden="false" customHeight="false" outlineLevel="0" collapsed="false">
      <c r="A3" s="2" t="s">
        <v>570</v>
      </c>
      <c r="B3" s="2" t="str">
        <f aca="false">INDEX(Clean_Data!$F$2:$F$2086,MATCH(A3,Clean_Data!$B$2:$B$2086,0))</f>
        <v>Corporate</v>
      </c>
      <c r="C3" s="2" t="n">
        <f aca="false">COUNTIFS(Clean_Data!$B$2:$B$2086,A3)</f>
        <v>11</v>
      </c>
      <c r="D3" s="11" t="n">
        <f aca="false">SUMIFS(Clean_Data!$M$2:$M$2086,Clean_Data!$B$2:$B$2086,A3)</f>
        <v>276420</v>
      </c>
      <c r="E3" s="11" t="n">
        <f aca="false">SUMIFS(Clean_Data!$N$2:$N$2086,Clean_Data!$B$2:$B$2086,A3)</f>
        <v>78920</v>
      </c>
      <c r="F3" s="2" t="str">
        <f aca="false">IF(C3&gt;1,"Repeat","One-time")</f>
        <v>Repeat</v>
      </c>
      <c r="G3" s="13" t="n">
        <f aca="false">SUM($D$2:D3)/SUM($D$2:$D$800)</f>
        <v>0.0270929564025065</v>
      </c>
    </row>
    <row r="4" customFormat="false" ht="15" hidden="false" customHeight="false" outlineLevel="0" collapsed="false">
      <c r="A4" s="2" t="s">
        <v>1664</v>
      </c>
      <c r="B4" s="2" t="str">
        <f aca="false">INDEX(Clean_Data!$F$2:$F$2086,MATCH(A4,Clean_Data!$B$2:$B$2086,0))</f>
        <v>Corporate</v>
      </c>
      <c r="C4" s="2" t="n">
        <f aca="false">COUNTIFS(Clean_Data!$B$2:$B$2086,A4)</f>
        <v>13</v>
      </c>
      <c r="D4" s="11" t="n">
        <f aca="false">SUMIFS(Clean_Data!$M$2:$M$2086,Clean_Data!$B$2:$B$2086,A4)</f>
        <v>244640</v>
      </c>
      <c r="E4" s="11" t="n">
        <f aca="false">SUMIFS(Clean_Data!$N$2:$N$2086,Clean_Data!$B$2:$B$2086,A4)</f>
        <v>68240</v>
      </c>
      <c r="F4" s="2" t="str">
        <f aca="false">IF(C4&gt;1,"Repeat","One-time")</f>
        <v>Repeat</v>
      </c>
      <c r="G4" s="13" t="n">
        <f aca="false">SUM($D$2:D4)/SUM($D$2:$D$800)</f>
        <v>0.0389849826953372</v>
      </c>
    </row>
    <row r="5" customFormat="false" ht="15" hidden="false" customHeight="false" outlineLevel="0" collapsed="false">
      <c r="A5" s="2" t="s">
        <v>1945</v>
      </c>
      <c r="B5" s="2" t="str">
        <f aca="false">INDEX(Clean_Data!$F$2:$F$2086,MATCH(A5,Clean_Data!$B$2:$B$2086,0))</f>
        <v>Corporate</v>
      </c>
      <c r="C5" s="2" t="n">
        <f aca="false">COUNTIFS(Clean_Data!$B$2:$B$2086,A5)</f>
        <v>6</v>
      </c>
      <c r="D5" s="11" t="n">
        <f aca="false">SUMIFS(Clean_Data!$M$2:$M$2086,Clean_Data!$B$2:$B$2086,A5)</f>
        <v>230300</v>
      </c>
      <c r="E5" s="11" t="n">
        <f aca="false">SUMIFS(Clean_Data!$N$2:$N$2086,Clean_Data!$B$2:$B$2086,A5)</f>
        <v>61500</v>
      </c>
      <c r="F5" s="2" t="str">
        <f aca="false">IF(C5&gt;1,"Repeat","One-time")</f>
        <v>Repeat</v>
      </c>
      <c r="G5" s="13" t="n">
        <f aca="false">SUM($D$2:D5)/SUM($D$2:$D$800)</f>
        <v>0.0501799371395773</v>
      </c>
    </row>
    <row r="6" customFormat="false" ht="15" hidden="false" customHeight="false" outlineLevel="0" collapsed="false">
      <c r="A6" s="2" t="s">
        <v>166</v>
      </c>
      <c r="B6" s="2" t="str">
        <f aca="false">INDEX(Clean_Data!$F$2:$F$2086,MATCH(A6,Clean_Data!$B$2:$B$2086,0))</f>
        <v>Corporate</v>
      </c>
      <c r="C6" s="2" t="n">
        <f aca="false">COUNTIFS(Clean_Data!$B$2:$B$2086,A6)</f>
        <v>8</v>
      </c>
      <c r="D6" s="11" t="n">
        <f aca="false">SUMIFS(Clean_Data!$M$2:$M$2086,Clean_Data!$B$2:$B$2086,A6)</f>
        <v>224650</v>
      </c>
      <c r="E6" s="11" t="n">
        <f aca="false">SUMIFS(Clean_Data!$N$2:$N$2086,Clean_Data!$B$2:$B$2086,A6)</f>
        <v>59650</v>
      </c>
      <c r="F6" s="2" t="str">
        <f aca="false">IF(C6&gt;1,"Repeat","One-time")</f>
        <v>Repeat</v>
      </c>
      <c r="G6" s="13" t="n">
        <f aca="false">SUM($D$2:D6)/SUM($D$2:$D$800)</f>
        <v>0.0611002433310604</v>
      </c>
    </row>
    <row r="7" customFormat="false" ht="15" hidden="false" customHeight="false" outlineLevel="0" collapsed="false">
      <c r="A7" s="2" t="s">
        <v>1525</v>
      </c>
      <c r="B7" s="2" t="str">
        <f aca="false">INDEX(Clean_Data!$F$2:$F$2086,MATCH(A7,Clean_Data!$B$2:$B$2086,0))</f>
        <v>Corporate</v>
      </c>
      <c r="C7" s="2" t="n">
        <f aca="false">COUNTIFS(Clean_Data!$B$2:$B$2086,A7)</f>
        <v>5</v>
      </c>
      <c r="D7" s="11" t="n">
        <f aca="false">SUMIFS(Clean_Data!$M$2:$M$2086,Clean_Data!$B$2:$B$2086,A7)</f>
        <v>209825</v>
      </c>
      <c r="E7" s="11" t="n">
        <f aca="false">SUMIFS(Clean_Data!$N$2:$N$2086,Clean_Data!$B$2:$B$2086,A7)</f>
        <v>59925</v>
      </c>
      <c r="F7" s="2" t="str">
        <f aca="false">IF(C7&gt;1,"Repeat","One-time")</f>
        <v>Repeat</v>
      </c>
      <c r="G7" s="13" t="n">
        <f aca="false">SUM($D$2:D7)/SUM($D$2:$D$800)</f>
        <v>0.071299901673495</v>
      </c>
    </row>
    <row r="8" customFormat="false" ht="15" hidden="false" customHeight="false" outlineLevel="0" collapsed="false">
      <c r="A8" s="2" t="s">
        <v>878</v>
      </c>
      <c r="B8" s="2" t="str">
        <f aca="false">INDEX(Clean_Data!$F$2:$F$2086,MATCH(A8,Clean_Data!$B$2:$B$2086,0))</f>
        <v>Corporate</v>
      </c>
      <c r="C8" s="2" t="n">
        <f aca="false">COUNTIFS(Clean_Data!$B$2:$B$2086,A8)</f>
        <v>5</v>
      </c>
      <c r="D8" s="11" t="n">
        <f aca="false">SUMIFS(Clean_Data!$M$2:$M$2086,Clean_Data!$B$2:$B$2086,A8)</f>
        <v>184650</v>
      </c>
      <c r="E8" s="11" t="n">
        <f aca="false">SUMIFS(Clean_Data!$N$2:$N$2086,Clean_Data!$B$2:$B$2086,A8)</f>
        <v>41850</v>
      </c>
      <c r="F8" s="2" t="str">
        <f aca="false">IF(C8&gt;1,"Repeat","One-time")</f>
        <v>Repeat</v>
      </c>
      <c r="G8" s="13" t="n">
        <f aca="false">SUM($D$2:D8)/SUM($D$2:$D$800)</f>
        <v>0.0802757954560783</v>
      </c>
    </row>
    <row r="9" customFormat="false" ht="15" hidden="false" customHeight="false" outlineLevel="0" collapsed="false">
      <c r="A9" s="2" t="s">
        <v>843</v>
      </c>
      <c r="B9" s="2" t="str">
        <f aca="false">INDEX(Clean_Data!$F$2:$F$2086,MATCH(A9,Clean_Data!$B$2:$B$2086,0))</f>
        <v>Corporate</v>
      </c>
      <c r="C9" s="2" t="n">
        <f aca="false">COUNTIFS(Clean_Data!$B$2:$B$2086,A9)</f>
        <v>8</v>
      </c>
      <c r="D9" s="11" t="n">
        <f aca="false">SUMIFS(Clean_Data!$M$2:$M$2086,Clean_Data!$B$2:$B$2086,A9)</f>
        <v>179875</v>
      </c>
      <c r="E9" s="11" t="n">
        <f aca="false">SUMIFS(Clean_Data!$N$2:$N$2086,Clean_Data!$B$2:$B$2086,A9)</f>
        <v>46175</v>
      </c>
      <c r="F9" s="2" t="str">
        <f aca="false">IF(C9&gt;1,"Repeat","One-time")</f>
        <v>Repeat</v>
      </c>
      <c r="G9" s="13" t="n">
        <f aca="false">SUM($D$2:D9)/SUM($D$2:$D$800)</f>
        <v>0.0890195750073493</v>
      </c>
    </row>
    <row r="10" customFormat="false" ht="15" hidden="false" customHeight="false" outlineLevel="0" collapsed="false">
      <c r="A10" s="2" t="s">
        <v>2987</v>
      </c>
      <c r="B10" s="2" t="str">
        <f aca="false">INDEX(Clean_Data!$F$2:$F$2086,MATCH(A10,Clean_Data!$B$2:$B$2086,0))</f>
        <v>Corporate</v>
      </c>
      <c r="C10" s="2" t="n">
        <f aca="false">COUNTIFS(Clean_Data!$B$2:$B$2086,A10)</f>
        <v>5</v>
      </c>
      <c r="D10" s="11" t="n">
        <f aca="false">SUMIFS(Clean_Data!$M$2:$M$2086,Clean_Data!$B$2:$B$2086,A10)</f>
        <v>178700</v>
      </c>
      <c r="E10" s="11" t="n">
        <f aca="false">SUMIFS(Clean_Data!$N$2:$N$2086,Clean_Data!$B$2:$B$2086,A10)</f>
        <v>47500</v>
      </c>
      <c r="F10" s="2" t="str">
        <f aca="false">IF(C10&gt;1,"Repeat","One-time")</f>
        <v>Repeat</v>
      </c>
      <c r="G10" s="13" t="n">
        <f aca="false">SUM($D$2:D10)/SUM($D$2:$D$800)</f>
        <v>0.0977062374441088</v>
      </c>
    </row>
    <row r="11" customFormat="false" ht="15" hidden="false" customHeight="false" outlineLevel="0" collapsed="false">
      <c r="A11" s="2" t="s">
        <v>1609</v>
      </c>
      <c r="B11" s="2" t="str">
        <f aca="false">INDEX(Clean_Data!$F$2:$F$2086,MATCH(A11,Clean_Data!$B$2:$B$2086,0))</f>
        <v>Corporate</v>
      </c>
      <c r="C11" s="2" t="n">
        <f aca="false">COUNTIFS(Clean_Data!$B$2:$B$2086,A11)</f>
        <v>11</v>
      </c>
      <c r="D11" s="11" t="n">
        <f aca="false">SUMIFS(Clean_Data!$M$2:$M$2086,Clean_Data!$B$2:$B$2086,A11)</f>
        <v>174880</v>
      </c>
      <c r="E11" s="11" t="n">
        <f aca="false">SUMIFS(Clean_Data!$N$2:$N$2086,Clean_Data!$B$2:$B$2086,A11)</f>
        <v>44880</v>
      </c>
      <c r="F11" s="2" t="str">
        <f aca="false">IF(C11&gt;1,"Repeat","One-time")</f>
        <v>Repeat</v>
      </c>
      <c r="G11" s="13" t="n">
        <f aca="false">SUM($D$2:D11)/SUM($D$2:$D$800)</f>
        <v>0.106207208495818</v>
      </c>
    </row>
    <row r="12" customFormat="false" ht="15" hidden="false" customHeight="false" outlineLevel="0" collapsed="false">
      <c r="A12" s="2" t="s">
        <v>2369</v>
      </c>
      <c r="B12" s="2" t="str">
        <f aca="false">INDEX(Clean_Data!$F$2:$F$2086,MATCH(A12,Clean_Data!$B$2:$B$2086,0))</f>
        <v>Corporate</v>
      </c>
      <c r="C12" s="2" t="n">
        <f aca="false">COUNTIFS(Clean_Data!$B$2:$B$2086,A12)</f>
        <v>7</v>
      </c>
      <c r="D12" s="11" t="n">
        <f aca="false">SUMIFS(Clean_Data!$M$2:$M$2086,Clean_Data!$B$2:$B$2086,A12)</f>
        <v>160415</v>
      </c>
      <c r="E12" s="11" t="n">
        <f aca="false">SUMIFS(Clean_Data!$N$2:$N$2086,Clean_Data!$B$2:$B$2086,A12)</f>
        <v>44415</v>
      </c>
      <c r="F12" s="2" t="str">
        <f aca="false">IF(C12&gt;1,"Repeat","One-time")</f>
        <v>Repeat</v>
      </c>
      <c r="G12" s="13" t="n">
        <f aca="false">SUM($D$2:D12)/SUM($D$2:$D$800)</f>
        <v>0.11400503141016</v>
      </c>
    </row>
    <row r="13" customFormat="false" ht="15" hidden="false" customHeight="false" outlineLevel="0" collapsed="false">
      <c r="A13" s="2" t="s">
        <v>1861</v>
      </c>
      <c r="B13" s="2" t="str">
        <f aca="false">INDEX(Clean_Data!$F$2:$F$2086,MATCH(A13,Clean_Data!$B$2:$B$2086,0))</f>
        <v>Corporate</v>
      </c>
      <c r="C13" s="2" t="n">
        <f aca="false">COUNTIFS(Clean_Data!$B$2:$B$2086,A13)</f>
        <v>8</v>
      </c>
      <c r="D13" s="11" t="n">
        <f aca="false">SUMIFS(Clean_Data!$M$2:$M$2086,Clean_Data!$B$2:$B$2086,A13)</f>
        <v>159150</v>
      </c>
      <c r="E13" s="11" t="n">
        <f aca="false">SUMIFS(Clean_Data!$N$2:$N$2086,Clean_Data!$B$2:$B$2086,A13)</f>
        <v>47350</v>
      </c>
      <c r="F13" s="2" t="str">
        <f aca="false">IF(C13&gt;1,"Repeat","One-time")</f>
        <v>Repeat</v>
      </c>
      <c r="G13" s="13" t="n">
        <f aca="false">SUM($D$2:D13)/SUM($D$2:$D$800)</f>
        <v>0.121741362282069</v>
      </c>
    </row>
    <row r="14" customFormat="false" ht="15" hidden="false" customHeight="false" outlineLevel="0" collapsed="false">
      <c r="A14" s="2" t="s">
        <v>1071</v>
      </c>
      <c r="B14" s="2" t="str">
        <f aca="false">INDEX(Clean_Data!$F$2:$F$2086,MATCH(A14,Clean_Data!$B$2:$B$2086,0))</f>
        <v>Corporate</v>
      </c>
      <c r="C14" s="2" t="n">
        <f aca="false">COUNTIFS(Clean_Data!$B$2:$B$2086,A14)</f>
        <v>7</v>
      </c>
      <c r="D14" s="11" t="n">
        <f aca="false">SUMIFS(Clean_Data!$M$2:$M$2086,Clean_Data!$B$2:$B$2086,A14)</f>
        <v>151260</v>
      </c>
      <c r="E14" s="11" t="n">
        <f aca="false">SUMIFS(Clean_Data!$N$2:$N$2086,Clean_Data!$B$2:$B$2086,A14)</f>
        <v>42160</v>
      </c>
      <c r="F14" s="2" t="str">
        <f aca="false">IF(C14&gt;1,"Repeat","One-time")</f>
        <v>Repeat</v>
      </c>
      <c r="G14" s="13" t="n">
        <f aca="false">SUM($D$2:D14)/SUM($D$2:$D$800)</f>
        <v>0.129094157806324</v>
      </c>
    </row>
    <row r="15" customFormat="false" ht="15" hidden="false" customHeight="false" outlineLevel="0" collapsed="false">
      <c r="A15" s="2" t="s">
        <v>1300</v>
      </c>
      <c r="B15" s="2" t="str">
        <f aca="false">INDEX(Clean_Data!$F$2:$F$2086,MATCH(A15,Clean_Data!$B$2:$B$2086,0))</f>
        <v>Corporate</v>
      </c>
      <c r="C15" s="2" t="n">
        <f aca="false">COUNTIFS(Clean_Data!$B$2:$B$2086,A15)</f>
        <v>7</v>
      </c>
      <c r="D15" s="11" t="n">
        <f aca="false">SUMIFS(Clean_Data!$M$2:$M$2086,Clean_Data!$B$2:$B$2086,A15)</f>
        <v>150240</v>
      </c>
      <c r="E15" s="11" t="n">
        <f aca="false">SUMIFS(Clean_Data!$N$2:$N$2086,Clean_Data!$B$2:$B$2086,A15)</f>
        <v>46040</v>
      </c>
      <c r="F15" s="2" t="str">
        <f aca="false">IF(C15&gt;1,"Repeat","One-time")</f>
        <v>Repeat</v>
      </c>
      <c r="G15" s="13" t="n">
        <f aca="false">SUM($D$2:D15)/SUM($D$2:$D$800)</f>
        <v>0.136397370814151</v>
      </c>
    </row>
    <row r="16" customFormat="false" ht="15" hidden="false" customHeight="false" outlineLevel="0" collapsed="false">
      <c r="A16" s="2" t="s">
        <v>1621</v>
      </c>
      <c r="B16" s="2" t="str">
        <f aca="false">INDEX(Clean_Data!$F$2:$F$2086,MATCH(A16,Clean_Data!$B$2:$B$2086,0))</f>
        <v>Corporate</v>
      </c>
      <c r="C16" s="2" t="n">
        <f aca="false">COUNTIFS(Clean_Data!$B$2:$B$2086,A16)</f>
        <v>5</v>
      </c>
      <c r="D16" s="11" t="n">
        <f aca="false">SUMIFS(Clean_Data!$M$2:$M$2086,Clean_Data!$B$2:$B$2086,A16)</f>
        <v>147800</v>
      </c>
      <c r="E16" s="11" t="n">
        <f aca="false">SUMIFS(Clean_Data!$N$2:$N$2086,Clean_Data!$B$2:$B$2086,A16)</f>
        <v>34100</v>
      </c>
      <c r="F16" s="2" t="str">
        <f aca="false">IF(C16&gt;1,"Repeat","One-time")</f>
        <v>Repeat</v>
      </c>
      <c r="G16" s="13" t="n">
        <f aca="false">SUM($D$2:D16)/SUM($D$2:$D$800)</f>
        <v>0.143581974665035</v>
      </c>
    </row>
    <row r="17" customFormat="false" ht="15" hidden="false" customHeight="false" outlineLevel="0" collapsed="false">
      <c r="A17" s="2" t="s">
        <v>1477</v>
      </c>
      <c r="B17" s="2" t="str">
        <f aca="false">INDEX(Clean_Data!$F$2:$F$2086,MATCH(A17,Clean_Data!$B$2:$B$2086,0))</f>
        <v>Corporate</v>
      </c>
      <c r="C17" s="2" t="n">
        <f aca="false">COUNTIFS(Clean_Data!$B$2:$B$2086,A17)</f>
        <v>11</v>
      </c>
      <c r="D17" s="11" t="n">
        <f aca="false">SUMIFS(Clean_Data!$M$2:$M$2086,Clean_Data!$B$2:$B$2086,A17)</f>
        <v>136220</v>
      </c>
      <c r="E17" s="11" t="n">
        <f aca="false">SUMIFS(Clean_Data!$N$2:$N$2086,Clean_Data!$B$2:$B$2086,A17)</f>
        <v>42620</v>
      </c>
      <c r="F17" s="2" t="str">
        <f aca="false">IF(C17&gt;1,"Repeat","One-time")</f>
        <v>Repeat</v>
      </c>
      <c r="G17" s="13" t="n">
        <f aca="false">SUM($D$2:D17)/SUM($D$2:$D$800)</f>
        <v>0.150203671123543</v>
      </c>
    </row>
    <row r="18" customFormat="false" ht="15" hidden="false" customHeight="false" outlineLevel="0" collapsed="false">
      <c r="A18" s="2" t="s">
        <v>1461</v>
      </c>
      <c r="B18" s="2" t="str">
        <f aca="false">INDEX(Clean_Data!$F$2:$F$2086,MATCH(A18,Clean_Data!$B$2:$B$2086,0))</f>
        <v>Small Business</v>
      </c>
      <c r="C18" s="2" t="n">
        <f aca="false">COUNTIFS(Clean_Data!$B$2:$B$2086,A18)</f>
        <v>10</v>
      </c>
      <c r="D18" s="11" t="n">
        <f aca="false">SUMIFS(Clean_Data!$M$2:$M$2086,Clean_Data!$B$2:$B$2086,A18)</f>
        <v>135312.5</v>
      </c>
      <c r="E18" s="11" t="n">
        <f aca="false">SUMIFS(Clean_Data!$N$2:$N$2086,Clean_Data!$B$2:$B$2086,A18)</f>
        <v>41712.5</v>
      </c>
      <c r="F18" s="2" t="str">
        <f aca="false">IF(C18&gt;1,"Repeat","One-time")</f>
        <v>Repeat</v>
      </c>
      <c r="G18" s="13" t="n">
        <f aca="false">SUM($D$2:D18)/SUM($D$2:$D$800)</f>
        <v>0.156781253725525</v>
      </c>
    </row>
    <row r="19" customFormat="false" ht="15" hidden="false" customHeight="false" outlineLevel="0" collapsed="false">
      <c r="A19" s="2" t="s">
        <v>1195</v>
      </c>
      <c r="B19" s="2" t="str">
        <f aca="false">INDEX(Clean_Data!$F$2:$F$2086,MATCH(A19,Clean_Data!$B$2:$B$2086,0))</f>
        <v>Corporate</v>
      </c>
      <c r="C19" s="2" t="n">
        <f aca="false">COUNTIFS(Clean_Data!$B$2:$B$2086,A19)</f>
        <v>5</v>
      </c>
      <c r="D19" s="11" t="n">
        <f aca="false">SUMIFS(Clean_Data!$M$2:$M$2086,Clean_Data!$B$2:$B$2086,A19)</f>
        <v>132600</v>
      </c>
      <c r="E19" s="11" t="n">
        <f aca="false">SUMIFS(Clean_Data!$N$2:$N$2086,Clean_Data!$B$2:$B$2086,A19)</f>
        <v>39300</v>
      </c>
      <c r="F19" s="2" t="str">
        <f aca="false">IF(C19&gt;1,"Repeat","One-time")</f>
        <v>Repeat</v>
      </c>
      <c r="G19" s="13" t="n">
        <f aca="false">SUM($D$2:D19)/SUM($D$2:$D$800)</f>
        <v>0.163226980861027</v>
      </c>
    </row>
    <row r="20" customFormat="false" ht="15" hidden="false" customHeight="false" outlineLevel="0" collapsed="false">
      <c r="A20" s="2" t="s">
        <v>2142</v>
      </c>
      <c r="B20" s="2" t="str">
        <f aca="false">INDEX(Clean_Data!$F$2:$F$2086,MATCH(A20,Clean_Data!$B$2:$B$2086,0))</f>
        <v>Corporate</v>
      </c>
      <c r="C20" s="2" t="n">
        <f aca="false">COUNTIFS(Clean_Data!$B$2:$B$2086,A20)</f>
        <v>4</v>
      </c>
      <c r="D20" s="11" t="n">
        <f aca="false">SUMIFS(Clean_Data!$M$2:$M$2086,Clean_Data!$B$2:$B$2086,A20)</f>
        <v>131550</v>
      </c>
      <c r="E20" s="11" t="n">
        <f aca="false">SUMIFS(Clean_Data!$N$2:$N$2086,Clean_Data!$B$2:$B$2086,A20)</f>
        <v>33150</v>
      </c>
      <c r="F20" s="2" t="str">
        <f aca="false">IF(C20&gt;1,"Repeat","One-time")</f>
        <v>Repeat</v>
      </c>
      <c r="G20" s="13" t="n">
        <f aca="false">SUM($D$2:D20)/SUM($D$2:$D$800)</f>
        <v>0.169621667170796</v>
      </c>
    </row>
    <row r="21" customFormat="false" ht="15" hidden="false" customHeight="false" outlineLevel="0" collapsed="false">
      <c r="A21" s="2" t="s">
        <v>2098</v>
      </c>
      <c r="B21" s="2" t="str">
        <f aca="false">INDEX(Clean_Data!$F$2:$F$2086,MATCH(A21,Clean_Data!$B$2:$B$2086,0))</f>
        <v>Corporate</v>
      </c>
      <c r="C21" s="2" t="n">
        <f aca="false">COUNTIFS(Clean_Data!$B$2:$B$2086,A21)</f>
        <v>9</v>
      </c>
      <c r="D21" s="11" t="n">
        <f aca="false">SUMIFS(Clean_Data!$M$2:$M$2086,Clean_Data!$B$2:$B$2086,A21)</f>
        <v>128910</v>
      </c>
      <c r="E21" s="11" t="n">
        <f aca="false">SUMIFS(Clean_Data!$N$2:$N$2086,Clean_Data!$B$2:$B$2086,A21)</f>
        <v>40710</v>
      </c>
      <c r="F21" s="2" t="str">
        <f aca="false">IF(C21&gt;1,"Repeat","One-time")</f>
        <v>Repeat</v>
      </c>
      <c r="G21" s="13" t="n">
        <f aca="false">SUM($D$2:D21)/SUM($D$2:$D$800)</f>
        <v>0.175888022261578</v>
      </c>
    </row>
    <row r="22" customFormat="false" ht="15" hidden="false" customHeight="false" outlineLevel="0" collapsed="false">
      <c r="A22" s="2" t="s">
        <v>1723</v>
      </c>
      <c r="B22" s="2" t="str">
        <f aca="false">INDEX(Clean_Data!$F$2:$F$2086,MATCH(A22,Clean_Data!$B$2:$B$2086,0))</f>
        <v>Corporate</v>
      </c>
      <c r="C22" s="2" t="n">
        <f aca="false">COUNTIFS(Clean_Data!$B$2:$B$2086,A22)</f>
        <v>5</v>
      </c>
      <c r="D22" s="11" t="n">
        <f aca="false">SUMIFS(Clean_Data!$M$2:$M$2086,Clean_Data!$B$2:$B$2086,A22)</f>
        <v>125050</v>
      </c>
      <c r="E22" s="11" t="n">
        <f aca="false">SUMIFS(Clean_Data!$N$2:$N$2086,Clean_Data!$B$2:$B$2086,A22)</f>
        <v>31950</v>
      </c>
      <c r="F22" s="2" t="str">
        <f aca="false">IF(C22&gt;1,"Repeat","One-time")</f>
        <v>Repeat</v>
      </c>
      <c r="G22" s="13" t="n">
        <f aca="false">SUM($D$2:D22)/SUM($D$2:$D$800)</f>
        <v>0.1819667415549</v>
      </c>
    </row>
    <row r="23" customFormat="false" ht="15" hidden="false" customHeight="false" outlineLevel="0" collapsed="false">
      <c r="A23" s="2" t="s">
        <v>1546</v>
      </c>
      <c r="B23" s="2" t="str">
        <f aca="false">INDEX(Clean_Data!$F$2:$F$2086,MATCH(A23,Clean_Data!$B$2:$B$2086,0))</f>
        <v>Corporate</v>
      </c>
      <c r="C23" s="2" t="n">
        <f aca="false">COUNTIFS(Clean_Data!$B$2:$B$2086,A23)</f>
        <v>4</v>
      </c>
      <c r="D23" s="11" t="n">
        <f aca="false">SUMIFS(Clean_Data!$M$2:$M$2086,Clean_Data!$B$2:$B$2086,A23)</f>
        <v>122750</v>
      </c>
      <c r="E23" s="11" t="n">
        <f aca="false">SUMIFS(Clean_Data!$N$2:$N$2086,Clean_Data!$B$2:$B$2086,A23)</f>
        <v>28550</v>
      </c>
      <c r="F23" s="2" t="str">
        <f aca="false">IF(C23&gt;1,"Repeat","One-time")</f>
        <v>Repeat</v>
      </c>
      <c r="G23" s="13" t="n">
        <f aca="false">SUM($D$2:D23)/SUM($D$2:$D$800)</f>
        <v>0.187933657134711</v>
      </c>
    </row>
    <row r="24" customFormat="false" ht="15" hidden="false" customHeight="false" outlineLevel="0" collapsed="false">
      <c r="A24" s="2" t="s">
        <v>956</v>
      </c>
      <c r="B24" s="2" t="str">
        <f aca="false">INDEX(Clean_Data!$F$2:$F$2086,MATCH(A24,Clean_Data!$B$2:$B$2086,0))</f>
        <v>Small Business</v>
      </c>
      <c r="C24" s="2" t="n">
        <f aca="false">COUNTIFS(Clean_Data!$B$2:$B$2086,A24)</f>
        <v>8</v>
      </c>
      <c r="D24" s="11" t="n">
        <f aca="false">SUMIFS(Clean_Data!$M$2:$M$2086,Clean_Data!$B$2:$B$2086,A24)</f>
        <v>121200</v>
      </c>
      <c r="E24" s="11" t="n">
        <f aca="false">SUMIFS(Clean_Data!$N$2:$N$2086,Clean_Data!$B$2:$B$2086,A24)</f>
        <v>34200</v>
      </c>
      <c r="F24" s="2" t="str">
        <f aca="false">IF(C24&gt;1,"Repeat","One-time")</f>
        <v>Repeat</v>
      </c>
      <c r="G24" s="13" t="n">
        <f aca="false">SUM($D$2:D24)/SUM($D$2:$D$800)</f>
        <v>0.193825226733678</v>
      </c>
    </row>
    <row r="25" customFormat="false" ht="15" hidden="false" customHeight="false" outlineLevel="0" collapsed="false">
      <c r="A25" s="2" t="s">
        <v>2916</v>
      </c>
      <c r="B25" s="2" t="str">
        <f aca="false">INDEX(Clean_Data!$F$2:$F$2086,MATCH(A25,Clean_Data!$B$2:$B$2086,0))</f>
        <v>Small Business</v>
      </c>
      <c r="C25" s="2" t="n">
        <f aca="false">COUNTIFS(Clean_Data!$B$2:$B$2086,A25)</f>
        <v>8</v>
      </c>
      <c r="D25" s="11" t="n">
        <f aca="false">SUMIFS(Clean_Data!$M$2:$M$2086,Clean_Data!$B$2:$B$2086,A25)</f>
        <v>121055</v>
      </c>
      <c r="E25" s="11" t="n">
        <f aca="false">SUMIFS(Clean_Data!$N$2:$N$2086,Clean_Data!$B$2:$B$2086,A25)</f>
        <v>37455</v>
      </c>
      <c r="F25" s="2" t="str">
        <f aca="false">IF(C25&gt;1,"Repeat","One-time")</f>
        <v>Repeat</v>
      </c>
      <c r="G25" s="13" t="n">
        <f aca="false">SUM($D$2:D25)/SUM($D$2:$D$800)</f>
        <v>0.199709747837662</v>
      </c>
    </row>
    <row r="26" customFormat="false" ht="15" hidden="false" customHeight="false" outlineLevel="0" collapsed="false">
      <c r="A26" s="2" t="s">
        <v>2528</v>
      </c>
      <c r="B26" s="2" t="str">
        <f aca="false">INDEX(Clean_Data!$F$2:$F$2086,MATCH(A26,Clean_Data!$B$2:$B$2086,0))</f>
        <v>Small Business</v>
      </c>
      <c r="C26" s="2" t="n">
        <f aca="false">COUNTIFS(Clean_Data!$B$2:$B$2086,A26)</f>
        <v>10</v>
      </c>
      <c r="D26" s="11" t="n">
        <f aca="false">SUMIFS(Clean_Data!$M$2:$M$2086,Clean_Data!$B$2:$B$2086,A26)</f>
        <v>119705</v>
      </c>
      <c r="E26" s="11" t="n">
        <f aca="false">SUMIFS(Clean_Data!$N$2:$N$2086,Clean_Data!$B$2:$B$2086,A26)</f>
        <v>33605</v>
      </c>
      <c r="F26" s="2" t="str">
        <f aca="false">IF(C26&gt;1,"Repeat","One-time")</f>
        <v>Repeat</v>
      </c>
      <c r="G26" s="13" t="n">
        <f aca="false">SUM($D$2:D26)/SUM($D$2:$D$800)</f>
        <v>0.205528645022845</v>
      </c>
    </row>
    <row r="27" customFormat="false" ht="15" hidden="false" customHeight="false" outlineLevel="0" collapsed="false">
      <c r="A27" s="2" t="s">
        <v>2629</v>
      </c>
      <c r="B27" s="2" t="str">
        <f aca="false">INDEX(Clean_Data!$F$2:$F$2086,MATCH(A27,Clean_Data!$B$2:$B$2086,0))</f>
        <v>Small Business</v>
      </c>
      <c r="C27" s="2" t="n">
        <f aca="false">COUNTIFS(Clean_Data!$B$2:$B$2086,A27)</f>
        <v>10</v>
      </c>
      <c r="D27" s="11" t="n">
        <f aca="false">SUMIFS(Clean_Data!$M$2:$M$2086,Clean_Data!$B$2:$B$2086,A27)</f>
        <v>116242.5</v>
      </c>
      <c r="E27" s="11" t="n">
        <f aca="false">SUMIFS(Clean_Data!$N$2:$N$2086,Clean_Data!$B$2:$B$2086,A27)</f>
        <v>37742.5</v>
      </c>
      <c r="F27" s="2" t="str">
        <f aca="false">IF(C27&gt;1,"Repeat","One-time")</f>
        <v>Repeat</v>
      </c>
      <c r="G27" s="13" t="n">
        <f aca="false">SUM($D$2:D27)/SUM($D$2:$D$800)</f>
        <v>0.211179229008883</v>
      </c>
    </row>
    <row r="28" customFormat="false" ht="15" hidden="false" customHeight="false" outlineLevel="0" collapsed="false">
      <c r="A28" s="2" t="s">
        <v>156</v>
      </c>
      <c r="B28" s="2" t="str">
        <f aca="false">INDEX(Clean_Data!$F$2:$F$2086,MATCH(A28,Clean_Data!$B$2:$B$2086,0))</f>
        <v>Corporate</v>
      </c>
      <c r="C28" s="2" t="n">
        <f aca="false">COUNTIFS(Clean_Data!$B$2:$B$2086,A28)</f>
        <v>4</v>
      </c>
      <c r="D28" s="11" t="n">
        <f aca="false">SUMIFS(Clean_Data!$M$2:$M$2086,Clean_Data!$B$2:$B$2086,A28)</f>
        <v>115720</v>
      </c>
      <c r="E28" s="11" t="n">
        <f aca="false">SUMIFS(Clean_Data!$N$2:$N$2086,Clean_Data!$B$2:$B$2086,A28)</f>
        <v>34320</v>
      </c>
      <c r="F28" s="2" t="str">
        <f aca="false">IF(C28&gt;1,"Repeat","One-time")</f>
        <v>Repeat</v>
      </c>
      <c r="G28" s="13" t="n">
        <f aca="false">SUM($D$2:D28)/SUM($D$2:$D$800)</f>
        <v>0.21680441410783</v>
      </c>
    </row>
    <row r="29" customFormat="false" ht="15" hidden="false" customHeight="false" outlineLevel="0" collapsed="false">
      <c r="A29" s="2" t="s">
        <v>1990</v>
      </c>
      <c r="B29" s="2" t="str">
        <f aca="false">INDEX(Clean_Data!$F$2:$F$2086,MATCH(A29,Clean_Data!$B$2:$B$2086,0))</f>
        <v>Corporate</v>
      </c>
      <c r="C29" s="2" t="n">
        <f aca="false">COUNTIFS(Clean_Data!$B$2:$B$2086,A29)</f>
        <v>4</v>
      </c>
      <c r="D29" s="11" t="n">
        <f aca="false">SUMIFS(Clean_Data!$M$2:$M$2086,Clean_Data!$B$2:$B$2086,A29)</f>
        <v>109170</v>
      </c>
      <c r="E29" s="11" t="n">
        <f aca="false">SUMIFS(Clean_Data!$N$2:$N$2086,Clean_Data!$B$2:$B$2086,A29)</f>
        <v>24570</v>
      </c>
      <c r="F29" s="2" t="str">
        <f aca="false">IF(C29&gt;1,"Repeat","One-time")</f>
        <v>Repeat</v>
      </c>
      <c r="G29" s="13" t="n">
        <f aca="false">SUM($D$2:D29)/SUM($D$2:$D$800)</f>
        <v>0.22211120167482</v>
      </c>
    </row>
    <row r="30" customFormat="false" ht="15" hidden="false" customHeight="false" outlineLevel="0" collapsed="false">
      <c r="A30" s="2" t="s">
        <v>2019</v>
      </c>
      <c r="B30" s="2" t="str">
        <f aca="false">INDEX(Clean_Data!$F$2:$F$2086,MATCH(A30,Clean_Data!$B$2:$B$2086,0))</f>
        <v>Corporate</v>
      </c>
      <c r="C30" s="2" t="n">
        <f aca="false">COUNTIFS(Clean_Data!$B$2:$B$2086,A30)</f>
        <v>3</v>
      </c>
      <c r="D30" s="11" t="n">
        <f aca="false">SUMIFS(Clean_Data!$M$2:$M$2086,Clean_Data!$B$2:$B$2086,A30)</f>
        <v>108775</v>
      </c>
      <c r="E30" s="11" t="n">
        <f aca="false">SUMIFS(Clean_Data!$N$2:$N$2086,Clean_Data!$B$2:$B$2086,A30)</f>
        <v>27975</v>
      </c>
      <c r="F30" s="2" t="str">
        <f aca="false">IF(C30&gt;1,"Repeat","One-time")</f>
        <v>Repeat</v>
      </c>
      <c r="G30" s="13" t="n">
        <f aca="false">SUM($D$2:D30)/SUM($D$2:$D$800)</f>
        <v>0.227398788169271</v>
      </c>
    </row>
    <row r="31" customFormat="false" ht="15" hidden="false" customHeight="false" outlineLevel="0" collapsed="false">
      <c r="A31" s="2" t="s">
        <v>2688</v>
      </c>
      <c r="B31" s="2" t="str">
        <f aca="false">INDEX(Clean_Data!$F$2:$F$2086,MATCH(A31,Clean_Data!$B$2:$B$2086,0))</f>
        <v>Corporate</v>
      </c>
      <c r="C31" s="2" t="n">
        <f aca="false">COUNTIFS(Clean_Data!$B$2:$B$2086,A31)</f>
        <v>6</v>
      </c>
      <c r="D31" s="11" t="n">
        <f aca="false">SUMIFS(Clean_Data!$M$2:$M$2086,Clean_Data!$B$2:$B$2086,A31)</f>
        <v>106150</v>
      </c>
      <c r="E31" s="11" t="n">
        <f aca="false">SUMIFS(Clean_Data!$N$2:$N$2086,Clean_Data!$B$2:$B$2086,A31)</f>
        <v>28350</v>
      </c>
      <c r="F31" s="2" t="str">
        <f aca="false">IF(C31&gt;1,"Repeat","One-time")</f>
        <v>Repeat</v>
      </c>
      <c r="G31" s="13" t="n">
        <f aca="false">SUM($D$2:D31)/SUM($D$2:$D$800)</f>
        <v>0.232558772599389</v>
      </c>
    </row>
    <row r="32" customFormat="false" ht="15" hidden="false" customHeight="false" outlineLevel="0" collapsed="false">
      <c r="A32" s="2" t="s">
        <v>145</v>
      </c>
      <c r="B32" s="2" t="str">
        <f aca="false">INDEX(Clean_Data!$F$2:$F$2086,MATCH(A32,Clean_Data!$B$2:$B$2086,0))</f>
        <v>Corporate</v>
      </c>
      <c r="C32" s="2" t="n">
        <f aca="false">COUNTIFS(Clean_Data!$B$2:$B$2086,A32)</f>
        <v>5</v>
      </c>
      <c r="D32" s="11" t="n">
        <f aca="false">SUMIFS(Clean_Data!$M$2:$M$2086,Clean_Data!$B$2:$B$2086,A32)</f>
        <v>104250</v>
      </c>
      <c r="E32" s="11" t="n">
        <f aca="false">SUMIFS(Clean_Data!$N$2:$N$2086,Clean_Data!$B$2:$B$2086,A32)</f>
        <v>31650</v>
      </c>
      <c r="F32" s="2" t="str">
        <f aca="false">IF(C32&gt;1,"Repeat","One-time")</f>
        <v>Repeat</v>
      </c>
      <c r="G32" s="13" t="n">
        <f aca="false">SUM($D$2:D32)/SUM($D$2:$D$800)</f>
        <v>0.237626397440084</v>
      </c>
    </row>
    <row r="33" customFormat="false" ht="15" hidden="false" customHeight="false" outlineLevel="0" collapsed="false">
      <c r="A33" s="2" t="s">
        <v>2612</v>
      </c>
      <c r="B33" s="2" t="str">
        <f aca="false">INDEX(Clean_Data!$F$2:$F$2086,MATCH(A33,Clean_Data!$B$2:$B$2086,0))</f>
        <v>Small Business</v>
      </c>
      <c r="C33" s="2" t="n">
        <f aca="false">COUNTIFS(Clean_Data!$B$2:$B$2086,A33)</f>
        <v>6</v>
      </c>
      <c r="D33" s="11" t="n">
        <f aca="false">SUMIFS(Clean_Data!$M$2:$M$2086,Clean_Data!$B$2:$B$2086,A33)</f>
        <v>100700</v>
      </c>
      <c r="E33" s="11" t="n">
        <f aca="false">SUMIFS(Clean_Data!$N$2:$N$2086,Clean_Data!$B$2:$B$2086,A33)</f>
        <v>34500</v>
      </c>
      <c r="F33" s="2" t="str">
        <f aca="false">IF(C33&gt;1,"Repeat","One-time")</f>
        <v>Repeat</v>
      </c>
      <c r="G33" s="13" t="n">
        <f aca="false">SUM($D$2:D33)/SUM($D$2:$D$800)</f>
        <v>0.242521455679489</v>
      </c>
    </row>
    <row r="34" customFormat="false" ht="15" hidden="false" customHeight="false" outlineLevel="0" collapsed="false">
      <c r="A34" s="2" t="s">
        <v>987</v>
      </c>
      <c r="B34" s="2" t="str">
        <f aca="false">INDEX(Clean_Data!$F$2:$F$2086,MATCH(A34,Clean_Data!$B$2:$B$2086,0))</f>
        <v>Corporate</v>
      </c>
      <c r="C34" s="2" t="n">
        <f aca="false">COUNTIFS(Clean_Data!$B$2:$B$2086,A34)</f>
        <v>3</v>
      </c>
      <c r="D34" s="11" t="n">
        <f aca="false">SUMIFS(Clean_Data!$M$2:$M$2086,Clean_Data!$B$2:$B$2086,A34)</f>
        <v>98550</v>
      </c>
      <c r="E34" s="11" t="n">
        <f aca="false">SUMIFS(Clean_Data!$N$2:$N$2086,Clean_Data!$B$2:$B$2086,A34)</f>
        <v>26650</v>
      </c>
      <c r="F34" s="2" t="str">
        <f aca="false">IF(C34&gt;1,"Repeat","One-time")</f>
        <v>Repeat</v>
      </c>
      <c r="G34" s="13" t="n">
        <f aca="false">SUM($D$2:D34)/SUM($D$2:$D$800)</f>
        <v>0.247312001751916</v>
      </c>
    </row>
    <row r="35" customFormat="false" ht="15" hidden="false" customHeight="false" outlineLevel="0" collapsed="false">
      <c r="A35" s="2" t="s">
        <v>1879</v>
      </c>
      <c r="B35" s="2" t="str">
        <f aca="false">INDEX(Clean_Data!$F$2:$F$2086,MATCH(A35,Clean_Data!$B$2:$B$2086,0))</f>
        <v>Corporate</v>
      </c>
      <c r="C35" s="2" t="n">
        <f aca="false">COUNTIFS(Clean_Data!$B$2:$B$2086,A35)</f>
        <v>3</v>
      </c>
      <c r="D35" s="11" t="n">
        <f aca="false">SUMIFS(Clean_Data!$M$2:$M$2086,Clean_Data!$B$2:$B$2086,A35)</f>
        <v>97150</v>
      </c>
      <c r="E35" s="11" t="n">
        <f aca="false">SUMIFS(Clean_Data!$N$2:$N$2086,Clean_Data!$B$2:$B$2086,A35)</f>
        <v>24850</v>
      </c>
      <c r="F35" s="2" t="str">
        <f aca="false">IF(C35&gt;1,"Repeat","One-time")</f>
        <v>Repeat</v>
      </c>
      <c r="G35" s="13" t="n">
        <f aca="false">SUM($D$2:D35)/SUM($D$2:$D$800)</f>
        <v>0.252034493390031</v>
      </c>
    </row>
    <row r="36" customFormat="false" ht="15" hidden="false" customHeight="false" outlineLevel="0" collapsed="false">
      <c r="A36" s="2" t="s">
        <v>730</v>
      </c>
      <c r="B36" s="2" t="str">
        <f aca="false">INDEX(Clean_Data!$F$2:$F$2086,MATCH(A36,Clean_Data!$B$2:$B$2086,0))</f>
        <v>Small Business</v>
      </c>
      <c r="C36" s="2" t="n">
        <f aca="false">COUNTIFS(Clean_Data!$B$2:$B$2086,A36)</f>
        <v>4</v>
      </c>
      <c r="D36" s="11" t="n">
        <f aca="false">SUMIFS(Clean_Data!$M$2:$M$2086,Clean_Data!$B$2:$B$2086,A36)</f>
        <v>96025</v>
      </c>
      <c r="E36" s="11" t="n">
        <f aca="false">SUMIFS(Clean_Data!$N$2:$N$2086,Clean_Data!$B$2:$B$2086,A36)</f>
        <v>25725</v>
      </c>
      <c r="F36" s="2" t="str">
        <f aca="false">IF(C36&gt;1,"Repeat","One-time")</f>
        <v>Repeat</v>
      </c>
      <c r="G36" s="13" t="n">
        <f aca="false">SUM($D$2:D36)/SUM($D$2:$D$800)</f>
        <v>0.256702298429146</v>
      </c>
    </row>
    <row r="37" customFormat="false" ht="15" hidden="false" customHeight="false" outlineLevel="0" collapsed="false">
      <c r="A37" s="2" t="s">
        <v>2699</v>
      </c>
      <c r="B37" s="2" t="str">
        <f aca="false">INDEX(Clean_Data!$F$2:$F$2086,MATCH(A37,Clean_Data!$B$2:$B$2086,0))</f>
        <v>Small Business</v>
      </c>
      <c r="C37" s="2" t="n">
        <f aca="false">COUNTIFS(Clean_Data!$B$2:$B$2086,A37)</f>
        <v>10</v>
      </c>
      <c r="D37" s="11" t="n">
        <f aca="false">SUMIFS(Clean_Data!$M$2:$M$2086,Clean_Data!$B$2:$B$2086,A37)</f>
        <v>94610</v>
      </c>
      <c r="E37" s="11" t="n">
        <f aca="false">SUMIFS(Clean_Data!$N$2:$N$2086,Clean_Data!$B$2:$B$2086,A37)</f>
        <v>30310</v>
      </c>
      <c r="F37" s="2" t="str">
        <f aca="false">IF(C37&gt;1,"Repeat","One-time")</f>
        <v>Repeat</v>
      </c>
      <c r="G37" s="13" t="n">
        <f aca="false">SUM($D$2:D37)/SUM($D$2:$D$800)</f>
        <v>0.261301319879296</v>
      </c>
    </row>
    <row r="38" customFormat="false" ht="15" hidden="false" customHeight="false" outlineLevel="0" collapsed="false">
      <c r="A38" s="2" t="s">
        <v>2934</v>
      </c>
      <c r="B38" s="2" t="str">
        <f aca="false">INDEX(Clean_Data!$F$2:$F$2086,MATCH(A38,Clean_Data!$B$2:$B$2086,0))</f>
        <v>Small Business</v>
      </c>
      <c r="C38" s="2" t="n">
        <f aca="false">COUNTIFS(Clean_Data!$B$2:$B$2086,A38)</f>
        <v>8</v>
      </c>
      <c r="D38" s="11" t="n">
        <f aca="false">SUMIFS(Clean_Data!$M$2:$M$2086,Clean_Data!$B$2:$B$2086,A38)</f>
        <v>94310</v>
      </c>
      <c r="E38" s="11" t="n">
        <f aca="false">SUMIFS(Clean_Data!$N$2:$N$2086,Clean_Data!$B$2:$B$2086,A38)</f>
        <v>31510</v>
      </c>
      <c r="F38" s="2" t="str">
        <f aca="false">IF(C38&gt;1,"Repeat","One-time")</f>
        <v>Repeat</v>
      </c>
      <c r="G38" s="13" t="n">
        <f aca="false">SUM($D$2:D38)/SUM($D$2:$D$800)</f>
        <v>0.265885758236379</v>
      </c>
    </row>
    <row r="39" customFormat="false" ht="15" hidden="false" customHeight="false" outlineLevel="0" collapsed="false">
      <c r="A39" s="2" t="s">
        <v>1627</v>
      </c>
      <c r="B39" s="2" t="str">
        <f aca="false">INDEX(Clean_Data!$F$2:$F$2086,MATCH(A39,Clean_Data!$B$2:$B$2086,0))</f>
        <v>Corporate</v>
      </c>
      <c r="C39" s="2" t="n">
        <f aca="false">COUNTIFS(Clean_Data!$B$2:$B$2086,A39)</f>
        <v>5</v>
      </c>
      <c r="D39" s="11" t="n">
        <f aca="false">SUMIFS(Clean_Data!$M$2:$M$2086,Clean_Data!$B$2:$B$2086,A39)</f>
        <v>93075</v>
      </c>
      <c r="E39" s="11" t="n">
        <f aca="false">SUMIFS(Clean_Data!$N$2:$N$2086,Clean_Data!$B$2:$B$2086,A39)</f>
        <v>29375</v>
      </c>
      <c r="F39" s="2" t="str">
        <f aca="false">IF(C39&gt;1,"Repeat","One-time")</f>
        <v>Repeat</v>
      </c>
      <c r="G39" s="13" t="n">
        <f aca="false">SUM($D$2:D39)/SUM($D$2:$D$800)</f>
        <v>0.270410162860338</v>
      </c>
    </row>
    <row r="40" customFormat="false" ht="15" hidden="false" customHeight="false" outlineLevel="0" collapsed="false">
      <c r="A40" s="2" t="s">
        <v>310</v>
      </c>
      <c r="B40" s="2" t="str">
        <f aca="false">INDEX(Clean_Data!$F$2:$F$2086,MATCH(A40,Clean_Data!$B$2:$B$2086,0))</f>
        <v>Small Business</v>
      </c>
      <c r="C40" s="2" t="n">
        <f aca="false">COUNTIFS(Clean_Data!$B$2:$B$2086,A40)</f>
        <v>10</v>
      </c>
      <c r="D40" s="11" t="n">
        <f aca="false">SUMIFS(Clean_Data!$M$2:$M$2086,Clean_Data!$B$2:$B$2086,A40)</f>
        <v>92485</v>
      </c>
      <c r="E40" s="11" t="n">
        <f aca="false">SUMIFS(Clean_Data!$N$2:$N$2086,Clean_Data!$B$2:$B$2086,A40)</f>
        <v>28385</v>
      </c>
      <c r="F40" s="2" t="str">
        <f aca="false">IF(C40&gt;1,"Repeat","One-time")</f>
        <v>Repeat</v>
      </c>
      <c r="G40" s="13" t="n">
        <f aca="false">SUM($D$2:D40)/SUM($D$2:$D$800)</f>
        <v>0.274905887401265</v>
      </c>
    </row>
    <row r="41" customFormat="false" ht="15" hidden="false" customHeight="false" outlineLevel="0" collapsed="false">
      <c r="A41" s="2" t="s">
        <v>943</v>
      </c>
      <c r="B41" s="2" t="str">
        <f aca="false">INDEX(Clean_Data!$F$2:$F$2086,MATCH(A41,Clean_Data!$B$2:$B$2086,0))</f>
        <v>Small Business</v>
      </c>
      <c r="C41" s="2" t="n">
        <f aca="false">COUNTIFS(Clean_Data!$B$2:$B$2086,A41)</f>
        <v>5</v>
      </c>
      <c r="D41" s="11" t="n">
        <f aca="false">SUMIFS(Clean_Data!$M$2:$M$2086,Clean_Data!$B$2:$B$2086,A41)</f>
        <v>89625</v>
      </c>
      <c r="E41" s="11" t="n">
        <f aca="false">SUMIFS(Clean_Data!$N$2:$N$2086,Clean_Data!$B$2:$B$2086,A41)</f>
        <v>27525</v>
      </c>
      <c r="F41" s="2" t="str">
        <f aca="false">IF(C41&gt;1,"Repeat","One-time")</f>
        <v>Repeat</v>
      </c>
      <c r="G41" s="13" t="n">
        <f aca="false">SUM($D$2:D41)/SUM($D$2:$D$800)</f>
        <v>0.279262586454956</v>
      </c>
    </row>
    <row r="42" customFormat="false" ht="15" hidden="false" customHeight="false" outlineLevel="0" collapsed="false">
      <c r="A42" s="2" t="s">
        <v>1691</v>
      </c>
      <c r="B42" s="2" t="str">
        <f aca="false">INDEX(Clean_Data!$F$2:$F$2086,MATCH(A42,Clean_Data!$B$2:$B$2086,0))</f>
        <v>Small Business</v>
      </c>
      <c r="C42" s="2" t="n">
        <f aca="false">COUNTIFS(Clean_Data!$B$2:$B$2086,A42)</f>
        <v>6</v>
      </c>
      <c r="D42" s="11" t="n">
        <f aca="false">SUMIFS(Clean_Data!$M$2:$M$2086,Clean_Data!$B$2:$B$2086,A42)</f>
        <v>88512.5</v>
      </c>
      <c r="E42" s="11" t="n">
        <f aca="false">SUMIFS(Clean_Data!$N$2:$N$2086,Clean_Data!$B$2:$B$2086,A42)</f>
        <v>28712.5</v>
      </c>
      <c r="F42" s="2" t="str">
        <f aca="false">IF(C42&gt;1,"Repeat","One-time")</f>
        <v>Repeat</v>
      </c>
      <c r="G42" s="13" t="n">
        <f aca="false">SUM($D$2:D42)/SUM($D$2:$D$800)</f>
        <v>0.283565206538524</v>
      </c>
    </row>
    <row r="43" customFormat="false" ht="15" hidden="false" customHeight="false" outlineLevel="0" collapsed="false">
      <c r="A43" s="2" t="s">
        <v>2865</v>
      </c>
      <c r="B43" s="2" t="str">
        <f aca="false">INDEX(Clean_Data!$F$2:$F$2086,MATCH(A43,Clean_Data!$B$2:$B$2086,0))</f>
        <v>Small Business</v>
      </c>
      <c r="C43" s="2" t="n">
        <f aca="false">COUNTIFS(Clean_Data!$B$2:$B$2086,A43)</f>
        <v>4</v>
      </c>
      <c r="D43" s="11" t="n">
        <f aca="false">SUMIFS(Clean_Data!$M$2:$M$2086,Clean_Data!$B$2:$B$2086,A43)</f>
        <v>85275</v>
      </c>
      <c r="E43" s="11" t="n">
        <f aca="false">SUMIFS(Clean_Data!$N$2:$N$2086,Clean_Data!$B$2:$B$2086,A43)</f>
        <v>27175</v>
      </c>
      <c r="F43" s="2" t="str">
        <f aca="false">IF(C43&gt;1,"Repeat","One-time")</f>
        <v>Repeat</v>
      </c>
      <c r="G43" s="13" t="n">
        <f aca="false">SUM($D$2:D43)/SUM($D$2:$D$800)</f>
        <v>0.287710450742747</v>
      </c>
    </row>
    <row r="44" customFormat="false" ht="15" hidden="false" customHeight="false" outlineLevel="0" collapsed="false">
      <c r="A44" s="2" t="s">
        <v>1797</v>
      </c>
      <c r="B44" s="2" t="str">
        <f aca="false">INDEX(Clean_Data!$F$2:$F$2086,MATCH(A44,Clean_Data!$B$2:$B$2086,0))</f>
        <v>Corporate</v>
      </c>
      <c r="C44" s="2" t="n">
        <f aca="false">COUNTIFS(Clean_Data!$B$2:$B$2086,A44)</f>
        <v>3</v>
      </c>
      <c r="D44" s="11" t="n">
        <f aca="false">SUMIFS(Clean_Data!$M$2:$M$2086,Clean_Data!$B$2:$B$2086,A44)</f>
        <v>85125</v>
      </c>
      <c r="E44" s="11" t="n">
        <f aca="false">SUMIFS(Clean_Data!$N$2:$N$2086,Clean_Data!$B$2:$B$2086,A44)</f>
        <v>24825</v>
      </c>
      <c r="F44" s="2" t="str">
        <f aca="false">IF(C44&gt;1,"Repeat","One-time")</f>
        <v>Repeat</v>
      </c>
      <c r="G44" s="13" t="n">
        <f aca="false">SUM($D$2:D44)/SUM($D$2:$D$800)</f>
        <v>0.291848403400437</v>
      </c>
    </row>
    <row r="45" customFormat="false" ht="15" hidden="false" customHeight="false" outlineLevel="0" collapsed="false">
      <c r="A45" s="2" t="s">
        <v>1382</v>
      </c>
      <c r="B45" s="2" t="str">
        <f aca="false">INDEX(Clean_Data!$F$2:$F$2086,MATCH(A45,Clean_Data!$B$2:$B$2086,0))</f>
        <v>Corporate</v>
      </c>
      <c r="C45" s="2" t="n">
        <f aca="false">COUNTIFS(Clean_Data!$B$2:$B$2086,A45)</f>
        <v>4</v>
      </c>
      <c r="D45" s="11" t="n">
        <f aca="false">SUMIFS(Clean_Data!$M$2:$M$2086,Clean_Data!$B$2:$B$2086,A45)</f>
        <v>85060</v>
      </c>
      <c r="E45" s="11" t="n">
        <f aca="false">SUMIFS(Clean_Data!$N$2:$N$2086,Clean_Data!$B$2:$B$2086,A45)</f>
        <v>26260</v>
      </c>
      <c r="F45" s="2" t="str">
        <f aca="false">IF(C45&gt;1,"Repeat","One-time")</f>
        <v>Repeat</v>
      </c>
      <c r="G45" s="13" t="n">
        <f aca="false">SUM($D$2:D45)/SUM($D$2:$D$800)</f>
        <v>0.295983196387962</v>
      </c>
    </row>
    <row r="46" customFormat="false" ht="15" hidden="false" customHeight="false" outlineLevel="0" collapsed="false">
      <c r="A46" s="2" t="s">
        <v>267</v>
      </c>
      <c r="B46" s="2" t="str">
        <f aca="false">INDEX(Clean_Data!$F$2:$F$2086,MATCH(A46,Clean_Data!$B$2:$B$2086,0))</f>
        <v>Corporate</v>
      </c>
      <c r="C46" s="2" t="n">
        <f aca="false">COUNTIFS(Clean_Data!$B$2:$B$2086,A46)</f>
        <v>4</v>
      </c>
      <c r="D46" s="11" t="n">
        <f aca="false">SUMIFS(Clean_Data!$M$2:$M$2086,Clean_Data!$B$2:$B$2086,A46)</f>
        <v>83575</v>
      </c>
      <c r="E46" s="11" t="n">
        <f aca="false">SUMIFS(Clean_Data!$N$2:$N$2086,Clean_Data!$B$2:$B$2086,A46)</f>
        <v>20975</v>
      </c>
      <c r="F46" s="2" t="str">
        <f aca="false">IF(C46&gt;1,"Repeat","One-time")</f>
        <v>Repeat</v>
      </c>
      <c r="G46" s="13" t="n">
        <f aca="false">SUM($D$2:D46)/SUM($D$2:$D$800)</f>
        <v>0.300045803064807</v>
      </c>
    </row>
    <row r="47" customFormat="false" ht="15" hidden="false" customHeight="false" outlineLevel="0" collapsed="false">
      <c r="A47" s="2" t="s">
        <v>2980</v>
      </c>
      <c r="B47" s="2" t="str">
        <f aca="false">INDEX(Clean_Data!$F$2:$F$2086,MATCH(A47,Clean_Data!$B$2:$B$2086,0))</f>
        <v>Corporate</v>
      </c>
      <c r="C47" s="2" t="n">
        <f aca="false">COUNTIFS(Clean_Data!$B$2:$B$2086,A47)</f>
        <v>4</v>
      </c>
      <c r="D47" s="11" t="n">
        <f aca="false">SUMIFS(Clean_Data!$M$2:$M$2086,Clean_Data!$B$2:$B$2086,A47)</f>
        <v>83570</v>
      </c>
      <c r="E47" s="11" t="n">
        <f aca="false">SUMIFS(Clean_Data!$N$2:$N$2086,Clean_Data!$B$2:$B$2086,A47)</f>
        <v>26770</v>
      </c>
      <c r="F47" s="2" t="str">
        <f aca="false">IF(C47&gt;1,"Repeat","One-time")</f>
        <v>Repeat</v>
      </c>
      <c r="G47" s="13" t="n">
        <f aca="false">SUM($D$2:D47)/SUM($D$2:$D$800)</f>
        <v>0.304108166690101</v>
      </c>
    </row>
    <row r="48" customFormat="false" ht="15" hidden="false" customHeight="false" outlineLevel="0" collapsed="false">
      <c r="A48" s="2" t="s">
        <v>450</v>
      </c>
      <c r="B48" s="2" t="str">
        <f aca="false">INDEX(Clean_Data!$F$2:$F$2086,MATCH(A48,Clean_Data!$B$2:$B$2086,0))</f>
        <v>Consumer</v>
      </c>
      <c r="C48" s="2" t="n">
        <f aca="false">COUNTIFS(Clean_Data!$B$2:$B$2086,A48)</f>
        <v>10</v>
      </c>
      <c r="D48" s="11" t="n">
        <f aca="false">SUMIFS(Clean_Data!$M$2:$M$2086,Clean_Data!$B$2:$B$2086,A48)</f>
        <v>83150</v>
      </c>
      <c r="E48" s="11" t="n">
        <f aca="false">SUMIFS(Clean_Data!$N$2:$N$2086,Clean_Data!$B$2:$B$2086,A48)</f>
        <v>25550</v>
      </c>
      <c r="F48" s="2" t="str">
        <f aca="false">IF(C48&gt;1,"Repeat","One-time")</f>
        <v>Repeat</v>
      </c>
      <c r="G48" s="13" t="n">
        <f aca="false">SUM($D$2:D48)/SUM($D$2:$D$800)</f>
        <v>0.308150113985101</v>
      </c>
    </row>
    <row r="49" customFormat="false" ht="15" hidden="false" customHeight="false" outlineLevel="0" collapsed="false">
      <c r="A49" s="2" t="s">
        <v>1096</v>
      </c>
      <c r="B49" s="2" t="str">
        <f aca="false">INDEX(Clean_Data!$F$2:$F$2086,MATCH(A49,Clean_Data!$B$2:$B$2086,0))</f>
        <v>Corporate</v>
      </c>
      <c r="C49" s="2" t="n">
        <f aca="false">COUNTIFS(Clean_Data!$B$2:$B$2086,A49)</f>
        <v>2</v>
      </c>
      <c r="D49" s="11" t="n">
        <f aca="false">SUMIFS(Clean_Data!$M$2:$M$2086,Clean_Data!$B$2:$B$2086,A49)</f>
        <v>82350</v>
      </c>
      <c r="E49" s="11" t="n">
        <f aca="false">SUMIFS(Clean_Data!$N$2:$N$2086,Clean_Data!$B$2:$B$2086,A49)</f>
        <v>20350</v>
      </c>
      <c r="F49" s="2" t="str">
        <f aca="false">IF(C49&gt;1,"Repeat","One-time")</f>
        <v>Repeat</v>
      </c>
      <c r="G49" s="13" t="n">
        <f aca="false">SUM($D$2:D49)/SUM($D$2:$D$800)</f>
        <v>0.312153173031923</v>
      </c>
    </row>
    <row r="50" customFormat="false" ht="15" hidden="false" customHeight="false" outlineLevel="0" collapsed="false">
      <c r="A50" s="2" t="s">
        <v>2034</v>
      </c>
      <c r="B50" s="2" t="str">
        <f aca="false">INDEX(Clean_Data!$F$2:$F$2086,MATCH(A50,Clean_Data!$B$2:$B$2086,0))</f>
        <v>Small Business</v>
      </c>
      <c r="C50" s="2" t="n">
        <f aca="false">COUNTIFS(Clean_Data!$B$2:$B$2086,A50)</f>
        <v>5</v>
      </c>
      <c r="D50" s="11" t="n">
        <f aca="false">SUMIFS(Clean_Data!$M$2:$M$2086,Clean_Data!$B$2:$B$2086,A50)</f>
        <v>82300</v>
      </c>
      <c r="E50" s="11" t="n">
        <f aca="false">SUMIFS(Clean_Data!$N$2:$N$2086,Clean_Data!$B$2:$B$2086,A50)</f>
        <v>21900</v>
      </c>
      <c r="F50" s="2" t="str">
        <f aca="false">IF(C50&gt;1,"Repeat","One-time")</f>
        <v>Repeat</v>
      </c>
      <c r="G50" s="13" t="n">
        <f aca="false">SUM($D$2:D50)/SUM($D$2:$D$800)</f>
        <v>0.316153801563235</v>
      </c>
    </row>
    <row r="51" customFormat="false" ht="15" hidden="false" customHeight="false" outlineLevel="0" collapsed="false">
      <c r="A51" s="2" t="s">
        <v>1179</v>
      </c>
      <c r="B51" s="2" t="str">
        <f aca="false">INDEX(Clean_Data!$F$2:$F$2086,MATCH(A51,Clean_Data!$B$2:$B$2086,0))</f>
        <v>Corporate</v>
      </c>
      <c r="C51" s="2" t="n">
        <f aca="false">COUNTIFS(Clean_Data!$B$2:$B$2086,A51)</f>
        <v>5</v>
      </c>
      <c r="D51" s="11" t="n">
        <f aca="false">SUMIFS(Clean_Data!$M$2:$M$2086,Clean_Data!$B$2:$B$2086,A51)</f>
        <v>82250</v>
      </c>
      <c r="E51" s="11" t="n">
        <f aca="false">SUMIFS(Clean_Data!$N$2:$N$2086,Clean_Data!$B$2:$B$2086,A51)</f>
        <v>22050</v>
      </c>
      <c r="F51" s="2" t="str">
        <f aca="false">IF(C51&gt;1,"Repeat","One-time")</f>
        <v>Repeat</v>
      </c>
      <c r="G51" s="13" t="n">
        <f aca="false">SUM($D$2:D51)/SUM($D$2:$D$800)</f>
        <v>0.320151999579035</v>
      </c>
    </row>
    <row r="52" customFormat="false" ht="15" hidden="false" customHeight="false" outlineLevel="0" collapsed="false">
      <c r="A52" s="2" t="s">
        <v>2846</v>
      </c>
      <c r="B52" s="2" t="str">
        <f aca="false">INDEX(Clean_Data!$F$2:$F$2086,MATCH(A52,Clean_Data!$B$2:$B$2086,0))</f>
        <v>Small Business</v>
      </c>
      <c r="C52" s="2" t="n">
        <f aca="false">COUNTIFS(Clean_Data!$B$2:$B$2086,A52)</f>
        <v>6</v>
      </c>
      <c r="D52" s="11" t="n">
        <f aca="false">SUMIFS(Clean_Data!$M$2:$M$2086,Clean_Data!$B$2:$B$2086,A52)</f>
        <v>82200</v>
      </c>
      <c r="E52" s="11" t="n">
        <f aca="false">SUMIFS(Clean_Data!$N$2:$N$2086,Clean_Data!$B$2:$B$2086,A52)</f>
        <v>27500</v>
      </c>
      <c r="F52" s="2" t="str">
        <f aca="false">IF(C52&gt;1,"Repeat","One-time")</f>
        <v>Repeat</v>
      </c>
      <c r="G52" s="13" t="n">
        <f aca="false">SUM($D$2:D52)/SUM($D$2:$D$800)</f>
        <v>0.324147767079324</v>
      </c>
    </row>
    <row r="53" customFormat="false" ht="15" hidden="false" customHeight="false" outlineLevel="0" collapsed="false">
      <c r="A53" s="2" t="s">
        <v>1981</v>
      </c>
      <c r="B53" s="2" t="str">
        <f aca="false">INDEX(Clean_Data!$F$2:$F$2086,MATCH(A53,Clean_Data!$B$2:$B$2086,0))</f>
        <v>Corporate</v>
      </c>
      <c r="C53" s="2" t="n">
        <f aca="false">COUNTIFS(Clean_Data!$B$2:$B$2086,A53)</f>
        <v>5</v>
      </c>
      <c r="D53" s="11" t="n">
        <f aca="false">SUMIFS(Clean_Data!$M$2:$M$2086,Clean_Data!$B$2:$B$2086,A53)</f>
        <v>81750</v>
      </c>
      <c r="E53" s="11" t="n">
        <f aca="false">SUMIFS(Clean_Data!$N$2:$N$2086,Clean_Data!$B$2:$B$2086,A53)</f>
        <v>19750</v>
      </c>
      <c r="F53" s="2" t="str">
        <f aca="false">IF(C53&gt;1,"Repeat","One-time")</f>
        <v>Repeat</v>
      </c>
      <c r="G53" s="13" t="n">
        <f aca="false">SUM($D$2:D53)/SUM($D$2:$D$800)</f>
        <v>0.328121659940012</v>
      </c>
    </row>
    <row r="54" customFormat="false" ht="15" hidden="false" customHeight="false" outlineLevel="0" collapsed="false">
      <c r="A54" s="2" t="s">
        <v>361</v>
      </c>
      <c r="B54" s="2" t="str">
        <f aca="false">INDEX(Clean_Data!$F$2:$F$2086,MATCH(A54,Clean_Data!$B$2:$B$2086,0))</f>
        <v>Consumer</v>
      </c>
      <c r="C54" s="2" t="n">
        <f aca="false">COUNTIFS(Clean_Data!$B$2:$B$2086,A54)</f>
        <v>12</v>
      </c>
      <c r="D54" s="11" t="n">
        <f aca="false">SUMIFS(Clean_Data!$M$2:$M$2086,Clean_Data!$B$2:$B$2086,A54)</f>
        <v>80777.5</v>
      </c>
      <c r="E54" s="11" t="n">
        <f aca="false">SUMIFS(Clean_Data!$N$2:$N$2086,Clean_Data!$B$2:$B$2086,A54)</f>
        <v>24977.5</v>
      </c>
      <c r="F54" s="2" t="str">
        <f aca="false">IF(C54&gt;1,"Repeat","One-time")</f>
        <v>Repeat</v>
      </c>
      <c r="G54" s="13" t="n">
        <f aca="false">SUM($D$2:D54)/SUM($D$2:$D$800)</f>
        <v>0.33204827927401</v>
      </c>
    </row>
    <row r="55" customFormat="false" ht="15" hidden="false" customHeight="false" outlineLevel="0" collapsed="false">
      <c r="A55" s="2" t="s">
        <v>680</v>
      </c>
      <c r="B55" s="2" t="str">
        <f aca="false">INDEX(Clean_Data!$F$2:$F$2086,MATCH(A55,Clean_Data!$B$2:$B$2086,0))</f>
        <v>Small Business</v>
      </c>
      <c r="C55" s="2" t="n">
        <f aca="false">COUNTIFS(Clean_Data!$B$2:$B$2086,A55)</f>
        <v>3</v>
      </c>
      <c r="D55" s="11" t="n">
        <f aca="false">SUMIFS(Clean_Data!$M$2:$M$2086,Clean_Data!$B$2:$B$2086,A55)</f>
        <v>79700</v>
      </c>
      <c r="E55" s="11" t="n">
        <f aca="false">SUMIFS(Clean_Data!$N$2:$N$2086,Clean_Data!$B$2:$B$2086,A55)</f>
        <v>22900</v>
      </c>
      <c r="F55" s="2" t="str">
        <f aca="false">IF(C55&gt;1,"Repeat","One-time")</f>
        <v>Repeat</v>
      </c>
      <c r="G55" s="13" t="n">
        <f aca="false">SUM($D$2:D55)/SUM($D$2:$D$800)</f>
        <v>0.335922520998743</v>
      </c>
    </row>
    <row r="56" customFormat="false" ht="15" hidden="false" customHeight="false" outlineLevel="0" collapsed="false">
      <c r="A56" s="2" t="s">
        <v>1633</v>
      </c>
      <c r="B56" s="2" t="str">
        <f aca="false">INDEX(Clean_Data!$F$2:$F$2086,MATCH(A56,Clean_Data!$B$2:$B$2086,0))</f>
        <v>Corporate</v>
      </c>
      <c r="C56" s="2" t="n">
        <f aca="false">COUNTIFS(Clean_Data!$B$2:$B$2086,A56)</f>
        <v>4</v>
      </c>
      <c r="D56" s="11" t="n">
        <f aca="false">SUMIFS(Clean_Data!$M$2:$M$2086,Clean_Data!$B$2:$B$2086,A56)</f>
        <v>78275</v>
      </c>
      <c r="E56" s="11" t="n">
        <f aca="false">SUMIFS(Clean_Data!$N$2:$N$2086,Clean_Data!$B$2:$B$2086,A56)</f>
        <v>23975</v>
      </c>
      <c r="F56" s="2" t="str">
        <f aca="false">IF(C56&gt;1,"Repeat","One-time")</f>
        <v>Repeat</v>
      </c>
      <c r="G56" s="13" t="n">
        <f aca="false">SUM($D$2:D56)/SUM($D$2:$D$800)</f>
        <v>0.339727493031408</v>
      </c>
    </row>
    <row r="57" customFormat="false" ht="15" hidden="false" customHeight="false" outlineLevel="0" collapsed="false">
      <c r="A57" s="2" t="s">
        <v>1045</v>
      </c>
      <c r="B57" s="2" t="str">
        <f aca="false">INDEX(Clean_Data!$F$2:$F$2086,MATCH(A57,Clean_Data!$B$2:$B$2086,0))</f>
        <v>Small Business</v>
      </c>
      <c r="C57" s="2" t="n">
        <f aca="false">COUNTIFS(Clean_Data!$B$2:$B$2086,A57)</f>
        <v>5</v>
      </c>
      <c r="D57" s="11" t="n">
        <f aca="false">SUMIFS(Clean_Data!$M$2:$M$2086,Clean_Data!$B$2:$B$2086,A57)</f>
        <v>76700</v>
      </c>
      <c r="E57" s="11" t="n">
        <f aca="false">SUMIFS(Clean_Data!$N$2:$N$2086,Clean_Data!$B$2:$B$2086,A57)</f>
        <v>24150</v>
      </c>
      <c r="F57" s="2" t="str">
        <f aca="false">IF(C57&gt;1,"Repeat","One-time")</f>
        <v>Repeat</v>
      </c>
      <c r="G57" s="13" t="n">
        <f aca="false">SUM($D$2:D57)/SUM($D$2:$D$800)</f>
        <v>0.343455903825473</v>
      </c>
    </row>
    <row r="58" customFormat="false" ht="15" hidden="false" customHeight="false" outlineLevel="0" collapsed="false">
      <c r="A58" s="2" t="s">
        <v>2626</v>
      </c>
      <c r="B58" s="2" t="str">
        <f aca="false">INDEX(Clean_Data!$F$2:$F$2086,MATCH(A58,Clean_Data!$B$2:$B$2086,0))</f>
        <v>Corporate</v>
      </c>
      <c r="C58" s="2" t="n">
        <f aca="false">COUNTIFS(Clean_Data!$B$2:$B$2086,A58)</f>
        <v>2</v>
      </c>
      <c r="D58" s="11" t="n">
        <f aca="false">SUMIFS(Clean_Data!$M$2:$M$2086,Clean_Data!$B$2:$B$2086,A58)</f>
        <v>76300</v>
      </c>
      <c r="E58" s="11" t="n">
        <f aca="false">SUMIFS(Clean_Data!$N$2:$N$2086,Clean_Data!$B$2:$B$2086,A58)</f>
        <v>17500</v>
      </c>
      <c r="F58" s="2" t="str">
        <f aca="false">IF(C58&gt;1,"Repeat","One-time")</f>
        <v>Repeat</v>
      </c>
      <c r="G58" s="13" t="n">
        <f aca="false">SUM($D$2:D58)/SUM($D$2:$D$800)</f>
        <v>0.34716487049545</v>
      </c>
    </row>
    <row r="59" customFormat="false" ht="15" hidden="false" customHeight="false" outlineLevel="0" collapsed="false">
      <c r="A59" s="2" t="s">
        <v>2040</v>
      </c>
      <c r="B59" s="2" t="str">
        <f aca="false">INDEX(Clean_Data!$F$2:$F$2086,MATCH(A59,Clean_Data!$B$2:$B$2086,0))</f>
        <v>Corporate</v>
      </c>
      <c r="C59" s="2" t="n">
        <f aca="false">COUNTIFS(Clean_Data!$B$2:$B$2086,A59)</f>
        <v>5</v>
      </c>
      <c r="D59" s="11" t="n">
        <f aca="false">SUMIFS(Clean_Data!$M$2:$M$2086,Clean_Data!$B$2:$B$2086,A59)</f>
        <v>74925</v>
      </c>
      <c r="E59" s="11" t="n">
        <f aca="false">SUMIFS(Clean_Data!$N$2:$N$2086,Clean_Data!$B$2:$B$2086,A59)</f>
        <v>21925</v>
      </c>
      <c r="F59" s="2" t="str">
        <f aca="false">IF(C59&gt;1,"Repeat","One-time")</f>
        <v>Repeat</v>
      </c>
      <c r="G59" s="13" t="n">
        <f aca="false">SUM($D$2:D59)/SUM($D$2:$D$800)</f>
        <v>0.35080699798887</v>
      </c>
    </row>
    <row r="60" customFormat="false" ht="15" hidden="false" customHeight="false" outlineLevel="0" collapsed="false">
      <c r="A60" s="2" t="s">
        <v>90</v>
      </c>
      <c r="B60" s="2" t="str">
        <f aca="false">INDEX(Clean_Data!$F$2:$F$2086,MATCH(A60,Clean_Data!$B$2:$B$2086,0))</f>
        <v>Corporate</v>
      </c>
      <c r="C60" s="2" t="n">
        <f aca="false">COUNTIFS(Clean_Data!$B$2:$B$2086,A60)</f>
        <v>3</v>
      </c>
      <c r="D60" s="11" t="n">
        <f aca="false">SUMIFS(Clean_Data!$M$2:$M$2086,Clean_Data!$B$2:$B$2086,A60)</f>
        <v>74340</v>
      </c>
      <c r="E60" s="11" t="n">
        <f aca="false">SUMIFS(Clean_Data!$N$2:$N$2086,Clean_Data!$B$2:$B$2086,A60)</f>
        <v>16740</v>
      </c>
      <c r="F60" s="2" t="str">
        <f aca="false">IF(C60&gt;1,"Repeat","One-time")</f>
        <v>Repeat</v>
      </c>
      <c r="G60" s="13" t="n">
        <f aca="false">SUM($D$2:D60)/SUM($D$2:$D$800)</f>
        <v>0.35442068845081</v>
      </c>
    </row>
    <row r="61" customFormat="false" ht="15" hidden="false" customHeight="false" outlineLevel="0" collapsed="false">
      <c r="A61" s="2" t="s">
        <v>1579</v>
      </c>
      <c r="B61" s="2" t="str">
        <f aca="false">INDEX(Clean_Data!$F$2:$F$2086,MATCH(A61,Clean_Data!$B$2:$B$2086,0))</f>
        <v>Corporate</v>
      </c>
      <c r="C61" s="2" t="n">
        <f aca="false">COUNTIFS(Clean_Data!$B$2:$B$2086,A61)</f>
        <v>6</v>
      </c>
      <c r="D61" s="11" t="n">
        <f aca="false">SUMIFS(Clean_Data!$M$2:$M$2086,Clean_Data!$B$2:$B$2086,A61)</f>
        <v>72860</v>
      </c>
      <c r="E61" s="11" t="n">
        <f aca="false">SUMIFS(Clean_Data!$N$2:$N$2086,Clean_Data!$B$2:$B$2086,A61)</f>
        <v>20060</v>
      </c>
      <c r="F61" s="2" t="str">
        <f aca="false">IF(C61&gt;1,"Repeat","One-time")</f>
        <v>Repeat</v>
      </c>
      <c r="G61" s="13" t="n">
        <f aca="false">SUM($D$2:D61)/SUM($D$2:$D$800)</f>
        <v>0.357962435653621</v>
      </c>
    </row>
    <row r="62" customFormat="false" ht="15" hidden="false" customHeight="false" outlineLevel="0" collapsed="false">
      <c r="A62" s="2" t="s">
        <v>1686</v>
      </c>
      <c r="B62" s="2" t="str">
        <f aca="false">INDEX(Clean_Data!$F$2:$F$2086,MATCH(A62,Clean_Data!$B$2:$B$2086,0))</f>
        <v>Corporate</v>
      </c>
      <c r="C62" s="2" t="n">
        <f aca="false">COUNTIFS(Clean_Data!$B$2:$B$2086,A62)</f>
        <v>4</v>
      </c>
      <c r="D62" s="11" t="n">
        <f aca="false">SUMIFS(Clean_Data!$M$2:$M$2086,Clean_Data!$B$2:$B$2086,A62)</f>
        <v>72675</v>
      </c>
      <c r="E62" s="11" t="n">
        <f aca="false">SUMIFS(Clean_Data!$N$2:$N$2086,Clean_Data!$B$2:$B$2086,A62)</f>
        <v>20175</v>
      </c>
      <c r="F62" s="2" t="str">
        <f aca="false">IF(C62&gt;1,"Repeat","One-time")</f>
        <v>Repeat</v>
      </c>
      <c r="G62" s="13" t="n">
        <f aca="false">SUM($D$2:D62)/SUM($D$2:$D$800)</f>
        <v>0.361495189949041</v>
      </c>
    </row>
    <row r="63" customFormat="false" ht="15" hidden="false" customHeight="false" outlineLevel="0" collapsed="false">
      <c r="A63" s="2" t="s">
        <v>2884</v>
      </c>
      <c r="B63" s="2" t="str">
        <f aca="false">INDEX(Clean_Data!$F$2:$F$2086,MATCH(A63,Clean_Data!$B$2:$B$2086,0))</f>
        <v>Corporate</v>
      </c>
      <c r="C63" s="2" t="n">
        <f aca="false">COUNTIFS(Clean_Data!$B$2:$B$2086,A63)</f>
        <v>4</v>
      </c>
      <c r="D63" s="11" t="n">
        <f aca="false">SUMIFS(Clean_Data!$M$2:$M$2086,Clean_Data!$B$2:$B$2086,A63)</f>
        <v>71850</v>
      </c>
      <c r="E63" s="11" t="n">
        <f aca="false">SUMIFS(Clean_Data!$N$2:$N$2086,Clean_Data!$B$2:$B$2086,A63)</f>
        <v>18750</v>
      </c>
      <c r="F63" s="2" t="str">
        <f aca="false">IF(C63&gt;1,"Repeat","One-time")</f>
        <v>Repeat</v>
      </c>
      <c r="G63" s="13" t="n">
        <f aca="false">SUM($D$2:D63)/SUM($D$2:$D$800)</f>
        <v>0.364987840738527</v>
      </c>
    </row>
    <row r="64" customFormat="false" ht="15" hidden="false" customHeight="false" outlineLevel="0" collapsed="false">
      <c r="A64" s="2" t="s">
        <v>1497</v>
      </c>
      <c r="B64" s="2" t="str">
        <f aca="false">INDEX(Clean_Data!$F$2:$F$2086,MATCH(A64,Clean_Data!$B$2:$B$2086,0))</f>
        <v>Small Business</v>
      </c>
      <c r="C64" s="2" t="n">
        <f aca="false">COUNTIFS(Clean_Data!$B$2:$B$2086,A64)</f>
        <v>8</v>
      </c>
      <c r="D64" s="11" t="n">
        <f aca="false">SUMIFS(Clean_Data!$M$2:$M$2086,Clean_Data!$B$2:$B$2086,A64)</f>
        <v>71015</v>
      </c>
      <c r="E64" s="11" t="n">
        <f aca="false">SUMIFS(Clean_Data!$N$2:$N$2086,Clean_Data!$B$2:$B$2086,A64)</f>
        <v>25515</v>
      </c>
      <c r="F64" s="2" t="str">
        <f aca="false">IF(C64&gt;1,"Repeat","One-time")</f>
        <v>Repeat</v>
      </c>
      <c r="G64" s="13" t="n">
        <f aca="false">SUM($D$2:D64)/SUM($D$2:$D$800)</f>
        <v>0.368439901918977</v>
      </c>
    </row>
    <row r="65" customFormat="false" ht="15" hidden="false" customHeight="false" outlineLevel="0" collapsed="false">
      <c r="A65" s="2" t="s">
        <v>335</v>
      </c>
      <c r="B65" s="2" t="str">
        <f aca="false">INDEX(Clean_Data!$F$2:$F$2086,MATCH(A65,Clean_Data!$B$2:$B$2086,0))</f>
        <v>Corporate</v>
      </c>
      <c r="C65" s="2" t="n">
        <f aca="false">COUNTIFS(Clean_Data!$B$2:$B$2086,A65)</f>
        <v>4</v>
      </c>
      <c r="D65" s="11" t="n">
        <f aca="false">SUMIFS(Clean_Data!$M$2:$M$2086,Clean_Data!$B$2:$B$2086,A65)</f>
        <v>70425</v>
      </c>
      <c r="E65" s="11" t="n">
        <f aca="false">SUMIFS(Clean_Data!$N$2:$N$2086,Clean_Data!$B$2:$B$2086,A65)</f>
        <v>21225</v>
      </c>
      <c r="F65" s="2" t="str">
        <f aca="false">IF(C65&gt;1,"Repeat","One-time")</f>
        <v>Repeat</v>
      </c>
      <c r="G65" s="13" t="n">
        <f aca="false">SUM($D$2:D65)/SUM($D$2:$D$800)</f>
        <v>0.371863283016396</v>
      </c>
    </row>
    <row r="66" customFormat="false" ht="15" hidden="false" customHeight="false" outlineLevel="0" collapsed="false">
      <c r="A66" s="2" t="s">
        <v>834</v>
      </c>
      <c r="B66" s="2" t="str">
        <f aca="false">INDEX(Clean_Data!$F$2:$F$2086,MATCH(A66,Clean_Data!$B$2:$B$2086,0))</f>
        <v>Corporate</v>
      </c>
      <c r="C66" s="2" t="n">
        <f aca="false">COUNTIFS(Clean_Data!$B$2:$B$2086,A66)</f>
        <v>2</v>
      </c>
      <c r="D66" s="11" t="n">
        <f aca="false">SUMIFS(Clean_Data!$M$2:$M$2086,Clean_Data!$B$2:$B$2086,A66)</f>
        <v>70000</v>
      </c>
      <c r="E66" s="11" t="n">
        <f aca="false">SUMIFS(Clean_Data!$N$2:$N$2086,Clean_Data!$B$2:$B$2086,A66)</f>
        <v>20800</v>
      </c>
      <c r="F66" s="2" t="str">
        <f aca="false">IF(C66&gt;1,"Repeat","One-time")</f>
        <v>Repeat</v>
      </c>
      <c r="G66" s="13" t="n">
        <f aca="false">SUM($D$2:D66)/SUM($D$2:$D$800)</f>
        <v>0.375266004731971</v>
      </c>
    </row>
    <row r="67" customFormat="false" ht="15" hidden="false" customHeight="false" outlineLevel="0" collapsed="false">
      <c r="A67" s="2" t="s">
        <v>430</v>
      </c>
      <c r="B67" s="2" t="str">
        <f aca="false">INDEX(Clean_Data!$F$2:$F$2086,MATCH(A67,Clean_Data!$B$2:$B$2086,0))</f>
        <v>Corporate</v>
      </c>
      <c r="C67" s="2" t="n">
        <f aca="false">COUNTIFS(Clean_Data!$B$2:$B$2086,A67)</f>
        <v>4</v>
      </c>
      <c r="D67" s="11" t="n">
        <f aca="false">SUMIFS(Clean_Data!$M$2:$M$2086,Clean_Data!$B$2:$B$2086,A67)</f>
        <v>69950</v>
      </c>
      <c r="E67" s="11" t="n">
        <f aca="false">SUMIFS(Clean_Data!$N$2:$N$2086,Clean_Data!$B$2:$B$2086,A67)</f>
        <v>17250</v>
      </c>
      <c r="F67" s="2" t="str">
        <f aca="false">IF(C67&gt;1,"Repeat","One-time")</f>
        <v>Repeat</v>
      </c>
      <c r="G67" s="13" t="n">
        <f aca="false">SUM($D$2:D67)/SUM($D$2:$D$800)</f>
        <v>0.378666295932034</v>
      </c>
    </row>
    <row r="68" customFormat="false" ht="15" hidden="false" customHeight="false" outlineLevel="0" collapsed="false">
      <c r="A68" s="2" t="s">
        <v>2465</v>
      </c>
      <c r="B68" s="2" t="str">
        <f aca="false">INDEX(Clean_Data!$F$2:$F$2086,MATCH(A68,Clean_Data!$B$2:$B$2086,0))</f>
        <v>Corporate</v>
      </c>
      <c r="C68" s="2" t="n">
        <f aca="false">COUNTIFS(Clean_Data!$B$2:$B$2086,A68)</f>
        <v>3</v>
      </c>
      <c r="D68" s="11" t="n">
        <f aca="false">SUMIFS(Clean_Data!$M$2:$M$2086,Clean_Data!$B$2:$B$2086,A68)</f>
        <v>69650</v>
      </c>
      <c r="E68" s="11" t="n">
        <f aca="false">SUMIFS(Clean_Data!$N$2:$N$2086,Clean_Data!$B$2:$B$2086,A68)</f>
        <v>16050</v>
      </c>
      <c r="F68" s="2" t="str">
        <f aca="false">IF(C68&gt;1,"Repeat","One-time")</f>
        <v>Repeat</v>
      </c>
      <c r="G68" s="13" t="n">
        <f aca="false">SUM($D$2:D68)/SUM($D$2:$D$800)</f>
        <v>0.382052004039031</v>
      </c>
    </row>
    <row r="69" customFormat="false" ht="15" hidden="false" customHeight="false" outlineLevel="0" collapsed="false">
      <c r="A69" s="2" t="s">
        <v>924</v>
      </c>
      <c r="B69" s="2" t="str">
        <f aca="false">INDEX(Clean_Data!$F$2:$F$2086,MATCH(A69,Clean_Data!$B$2:$B$2086,0))</f>
        <v>Consumer</v>
      </c>
      <c r="C69" s="2" t="n">
        <f aca="false">COUNTIFS(Clean_Data!$B$2:$B$2086,A69)</f>
        <v>6</v>
      </c>
      <c r="D69" s="11" t="n">
        <f aca="false">SUMIFS(Clean_Data!$M$2:$M$2086,Clean_Data!$B$2:$B$2086,A69)</f>
        <v>69275</v>
      </c>
      <c r="E69" s="11" t="n">
        <f aca="false">SUMIFS(Clean_Data!$N$2:$N$2086,Clean_Data!$B$2:$B$2086,A69)</f>
        <v>18575</v>
      </c>
      <c r="F69" s="2" t="str">
        <f aca="false">IF(C69&gt;1,"Repeat","One-time")</f>
        <v>Repeat</v>
      </c>
      <c r="G69" s="13" t="n">
        <f aca="false">SUM($D$2:D69)/SUM($D$2:$D$800)</f>
        <v>0.385419483279694</v>
      </c>
    </row>
    <row r="70" customFormat="false" ht="15" hidden="false" customHeight="false" outlineLevel="0" collapsed="false">
      <c r="A70" s="2" t="s">
        <v>341</v>
      </c>
      <c r="B70" s="2" t="str">
        <f aca="false">INDEX(Clean_Data!$F$2:$F$2086,MATCH(A70,Clean_Data!$B$2:$B$2086,0))</f>
        <v>Corporate</v>
      </c>
      <c r="C70" s="2" t="n">
        <f aca="false">COUNTIFS(Clean_Data!$B$2:$B$2086,A70)</f>
        <v>3</v>
      </c>
      <c r="D70" s="11" t="n">
        <f aca="false">SUMIFS(Clean_Data!$M$2:$M$2086,Clean_Data!$B$2:$B$2086,A70)</f>
        <v>68760</v>
      </c>
      <c r="E70" s="11" t="n">
        <f aca="false">SUMIFS(Clean_Data!$N$2:$N$2086,Clean_Data!$B$2:$B$2086,A70)</f>
        <v>18960</v>
      </c>
      <c r="F70" s="2" t="str">
        <f aca="false">IF(C70&gt;1,"Repeat","One-time")</f>
        <v>Repeat</v>
      </c>
      <c r="G70" s="13" t="n">
        <f aca="false">SUM($D$2:D70)/SUM($D$2:$D$800)</f>
        <v>0.388761928210593</v>
      </c>
    </row>
    <row r="71" customFormat="false" ht="15" hidden="false" customHeight="false" outlineLevel="0" collapsed="false">
      <c r="A71" s="2" t="s">
        <v>1843</v>
      </c>
      <c r="B71" s="2" t="str">
        <f aca="false">INDEX(Clean_Data!$F$2:$F$2086,MATCH(A71,Clean_Data!$B$2:$B$2086,0))</f>
        <v>Consumer</v>
      </c>
      <c r="C71" s="2" t="n">
        <f aca="false">COUNTIFS(Clean_Data!$B$2:$B$2086,A71)</f>
        <v>12</v>
      </c>
      <c r="D71" s="11" t="n">
        <f aca="false">SUMIFS(Clean_Data!$M$2:$M$2086,Clean_Data!$B$2:$B$2086,A71)</f>
        <v>67695</v>
      </c>
      <c r="E71" s="11" t="n">
        <f aca="false">SUMIFS(Clean_Data!$N$2:$N$2086,Clean_Data!$B$2:$B$2086,A71)</f>
        <v>22545</v>
      </c>
      <c r="F71" s="2" t="str">
        <f aca="false">IF(C71&gt;1,"Repeat","One-time")</f>
        <v>Repeat</v>
      </c>
      <c r="G71" s="13" t="n">
        <f aca="false">SUM($D$2:D71)/SUM($D$2:$D$800)</f>
        <v>0.392052603161104</v>
      </c>
    </row>
    <row r="72" customFormat="false" ht="15" hidden="false" customHeight="false" outlineLevel="0" collapsed="false">
      <c r="A72" s="2" t="s">
        <v>816</v>
      </c>
      <c r="B72" s="2" t="str">
        <f aca="false">INDEX(Clean_Data!$F$2:$F$2086,MATCH(A72,Clean_Data!$B$2:$B$2086,0))</f>
        <v>Small Business</v>
      </c>
      <c r="C72" s="2" t="n">
        <f aca="false">COUNTIFS(Clean_Data!$B$2:$B$2086,A72)</f>
        <v>5</v>
      </c>
      <c r="D72" s="11" t="n">
        <f aca="false">SUMIFS(Clean_Data!$M$2:$M$2086,Clean_Data!$B$2:$B$2086,A72)</f>
        <v>67365</v>
      </c>
      <c r="E72" s="11" t="n">
        <f aca="false">SUMIFS(Clean_Data!$N$2:$N$2086,Clean_Data!$B$2:$B$2086,A72)</f>
        <v>15565</v>
      </c>
      <c r="F72" s="2" t="str">
        <f aca="false">IF(C72&gt;1,"Repeat","One-time")</f>
        <v>Repeat</v>
      </c>
      <c r="G72" s="13" t="n">
        <f aca="false">SUM($D$2:D72)/SUM($D$2:$D$800)</f>
        <v>0.395327236709242</v>
      </c>
    </row>
    <row r="73" customFormat="false" ht="15" hidden="false" customHeight="false" outlineLevel="0" collapsed="false">
      <c r="A73" s="2" t="s">
        <v>2406</v>
      </c>
      <c r="B73" s="2" t="str">
        <f aca="false">INDEX(Clean_Data!$F$2:$F$2086,MATCH(A73,Clean_Data!$B$2:$B$2086,0))</f>
        <v>Small Business</v>
      </c>
      <c r="C73" s="2" t="n">
        <f aca="false">COUNTIFS(Clean_Data!$B$2:$B$2086,A73)</f>
        <v>8</v>
      </c>
      <c r="D73" s="11" t="n">
        <f aca="false">SUMIFS(Clean_Data!$M$2:$M$2086,Clean_Data!$B$2:$B$2086,A73)</f>
        <v>67135</v>
      </c>
      <c r="E73" s="11" t="n">
        <f aca="false">SUMIFS(Clean_Data!$N$2:$N$2086,Clean_Data!$B$2:$B$2086,A73)</f>
        <v>23435</v>
      </c>
      <c r="F73" s="2" t="str">
        <f aca="false">IF(C73&gt;1,"Repeat","One-time")</f>
        <v>Repeat</v>
      </c>
      <c r="G73" s="13" t="n">
        <f aca="false">SUM($D$2:D73)/SUM($D$2:$D$800)</f>
        <v>0.398590689886029</v>
      </c>
    </row>
    <row r="74" customFormat="false" ht="15" hidden="false" customHeight="false" outlineLevel="0" collapsed="false">
      <c r="A74" s="2" t="s">
        <v>2318</v>
      </c>
      <c r="B74" s="2" t="str">
        <f aca="false">INDEX(Clean_Data!$F$2:$F$2086,MATCH(A74,Clean_Data!$B$2:$B$2086,0))</f>
        <v>Consumer</v>
      </c>
      <c r="C74" s="2" t="n">
        <f aca="false">COUNTIFS(Clean_Data!$B$2:$B$2086,A74)</f>
        <v>9</v>
      </c>
      <c r="D74" s="11" t="n">
        <f aca="false">SUMIFS(Clean_Data!$M$2:$M$2086,Clean_Data!$B$2:$B$2086,A74)</f>
        <v>67110</v>
      </c>
      <c r="E74" s="11" t="n">
        <f aca="false">SUMIFS(Clean_Data!$N$2:$N$2086,Clean_Data!$B$2:$B$2086,A74)</f>
        <v>18610</v>
      </c>
      <c r="F74" s="2" t="str">
        <f aca="false">IF(C74&gt;1,"Repeat","One-time")</f>
        <v>Repeat</v>
      </c>
      <c r="G74" s="13" t="n">
        <f aca="false">SUM($D$2:D74)/SUM($D$2:$D$800)</f>
        <v>0.401852927805061</v>
      </c>
    </row>
    <row r="75" customFormat="false" ht="15" hidden="false" customHeight="false" outlineLevel="0" collapsed="false">
      <c r="A75" s="2" t="s">
        <v>2118</v>
      </c>
      <c r="B75" s="2" t="str">
        <f aca="false">INDEX(Clean_Data!$F$2:$F$2086,MATCH(A75,Clean_Data!$B$2:$B$2086,0))</f>
        <v>Corporate</v>
      </c>
      <c r="C75" s="2" t="n">
        <f aca="false">COUNTIFS(Clean_Data!$B$2:$B$2086,A75)</f>
        <v>4</v>
      </c>
      <c r="D75" s="11" t="n">
        <f aca="false">SUMIFS(Clean_Data!$M$2:$M$2086,Clean_Data!$B$2:$B$2086,A75)</f>
        <v>66850</v>
      </c>
      <c r="E75" s="11" t="n">
        <f aca="false">SUMIFS(Clean_Data!$N$2:$N$2086,Clean_Data!$B$2:$B$2086,A75)</f>
        <v>18850</v>
      </c>
      <c r="F75" s="2" t="str">
        <f aca="false">IF(C75&gt;1,"Repeat","One-time")</f>
        <v>Repeat</v>
      </c>
      <c r="G75" s="13" t="n">
        <f aca="false">SUM($D$2:D75)/SUM($D$2:$D$800)</f>
        <v>0.405102527043435</v>
      </c>
    </row>
    <row r="76" customFormat="false" ht="15" hidden="false" customHeight="false" outlineLevel="0" collapsed="false">
      <c r="A76" s="2" t="s">
        <v>492</v>
      </c>
      <c r="B76" s="2" t="str">
        <f aca="false">INDEX(Clean_Data!$F$2:$F$2086,MATCH(A76,Clean_Data!$B$2:$B$2086,0))</f>
        <v>Consumer</v>
      </c>
      <c r="C76" s="2" t="n">
        <f aca="false">COUNTIFS(Clean_Data!$B$2:$B$2086,A76)</f>
        <v>10</v>
      </c>
      <c r="D76" s="11" t="n">
        <f aca="false">SUMIFS(Clean_Data!$M$2:$M$2086,Clean_Data!$B$2:$B$2086,A76)</f>
        <v>66765</v>
      </c>
      <c r="E76" s="11" t="n">
        <f aca="false">SUMIFS(Clean_Data!$N$2:$N$2086,Clean_Data!$B$2:$B$2086,A76)</f>
        <v>20365</v>
      </c>
      <c r="F76" s="2" t="str">
        <f aca="false">IF(C76&gt;1,"Repeat","One-time")</f>
        <v>Repeat</v>
      </c>
      <c r="G76" s="13" t="n">
        <f aca="false">SUM($D$2:D76)/SUM($D$2:$D$800)</f>
        <v>0.408347994405439</v>
      </c>
    </row>
    <row r="77" customFormat="false" ht="15" hidden="false" customHeight="false" outlineLevel="0" collapsed="false">
      <c r="A77" s="2" t="s">
        <v>1009</v>
      </c>
      <c r="B77" s="2" t="str">
        <f aca="false">INDEX(Clean_Data!$F$2:$F$2086,MATCH(A77,Clean_Data!$B$2:$B$2086,0))</f>
        <v>Corporate</v>
      </c>
      <c r="C77" s="2" t="n">
        <f aca="false">COUNTIFS(Clean_Data!$B$2:$B$2086,A77)</f>
        <v>4</v>
      </c>
      <c r="D77" s="11" t="n">
        <f aca="false">SUMIFS(Clean_Data!$M$2:$M$2086,Clean_Data!$B$2:$B$2086,A77)</f>
        <v>66720</v>
      </c>
      <c r="E77" s="11" t="n">
        <f aca="false">SUMIFS(Clean_Data!$N$2:$N$2086,Clean_Data!$B$2:$B$2086,A77)</f>
        <v>19120</v>
      </c>
      <c r="F77" s="2" t="str">
        <f aca="false">IF(C77&gt;1,"Repeat","One-time")</f>
        <v>Repeat</v>
      </c>
      <c r="G77" s="13" t="n">
        <f aca="false">SUM($D$2:D77)/SUM($D$2:$D$800)</f>
        <v>0.411591274303484</v>
      </c>
    </row>
    <row r="78" customFormat="false" ht="15" hidden="false" customHeight="false" outlineLevel="0" collapsed="false">
      <c r="A78" s="2" t="s">
        <v>2640</v>
      </c>
      <c r="B78" s="2" t="str">
        <f aca="false">INDEX(Clean_Data!$F$2:$F$2086,MATCH(A78,Clean_Data!$B$2:$B$2086,0))</f>
        <v>Corporate</v>
      </c>
      <c r="C78" s="2" t="n">
        <f aca="false">COUNTIFS(Clean_Data!$B$2:$B$2086,A78)</f>
        <v>3</v>
      </c>
      <c r="D78" s="11" t="n">
        <f aca="false">SUMIFS(Clean_Data!$M$2:$M$2086,Clean_Data!$B$2:$B$2086,A78)</f>
        <v>65950</v>
      </c>
      <c r="E78" s="11" t="n">
        <f aca="false">SUMIFS(Clean_Data!$N$2:$N$2086,Clean_Data!$B$2:$B$2086,A78)</f>
        <v>19950</v>
      </c>
      <c r="F78" s="2" t="str">
        <f aca="false">IF(C78&gt;1,"Repeat","One-time")</f>
        <v>Repeat</v>
      </c>
      <c r="G78" s="13" t="n">
        <f aca="false">SUM($D$2:D78)/SUM($D$2:$D$800)</f>
        <v>0.414797124262658</v>
      </c>
    </row>
    <row r="79" customFormat="false" ht="15" hidden="false" customHeight="false" outlineLevel="0" collapsed="false">
      <c r="A79" s="2" t="s">
        <v>660</v>
      </c>
      <c r="B79" s="2" t="str">
        <f aca="false">INDEX(Clean_Data!$F$2:$F$2086,MATCH(A79,Clean_Data!$B$2:$B$2086,0))</f>
        <v>Corporate</v>
      </c>
      <c r="C79" s="2" t="n">
        <f aca="false">COUNTIFS(Clean_Data!$B$2:$B$2086,A79)</f>
        <v>3</v>
      </c>
      <c r="D79" s="11" t="n">
        <f aca="false">SUMIFS(Clean_Data!$M$2:$M$2086,Clean_Data!$B$2:$B$2086,A79)</f>
        <v>65925</v>
      </c>
      <c r="E79" s="11" t="n">
        <f aca="false">SUMIFS(Clean_Data!$N$2:$N$2086,Clean_Data!$B$2:$B$2086,A79)</f>
        <v>16825</v>
      </c>
      <c r="F79" s="2" t="str">
        <f aca="false">IF(C79&gt;1,"Repeat","One-time")</f>
        <v>Repeat</v>
      </c>
      <c r="G79" s="13" t="n">
        <f aca="false">SUM($D$2:D79)/SUM($D$2:$D$800)</f>
        <v>0.418001758964075</v>
      </c>
    </row>
    <row r="80" customFormat="false" ht="15" hidden="false" customHeight="false" outlineLevel="0" collapsed="false">
      <c r="A80" s="2" t="s">
        <v>1271</v>
      </c>
      <c r="B80" s="2" t="str">
        <f aca="false">INDEX(Clean_Data!$F$2:$F$2086,MATCH(A80,Clean_Data!$B$2:$B$2086,0))</f>
        <v>Corporate</v>
      </c>
      <c r="C80" s="2" t="n">
        <f aca="false">COUNTIFS(Clean_Data!$B$2:$B$2086,A80)</f>
        <v>4</v>
      </c>
      <c r="D80" s="11" t="n">
        <f aca="false">SUMIFS(Clean_Data!$M$2:$M$2086,Clean_Data!$B$2:$B$2086,A80)</f>
        <v>65780</v>
      </c>
      <c r="E80" s="11" t="n">
        <f aca="false">SUMIFS(Clean_Data!$N$2:$N$2086,Clean_Data!$B$2:$B$2086,A80)</f>
        <v>22280</v>
      </c>
      <c r="F80" s="2" t="str">
        <f aca="false">IF(C80&gt;1,"Repeat","One-time")</f>
        <v>Repeat</v>
      </c>
      <c r="G80" s="13" t="n">
        <f aca="false">SUM($D$2:D80)/SUM($D$2:$D$800)</f>
        <v>0.421199345170511</v>
      </c>
    </row>
    <row r="81" customFormat="false" ht="15" hidden="false" customHeight="false" outlineLevel="0" collapsed="false">
      <c r="A81" s="2" t="s">
        <v>1453</v>
      </c>
      <c r="B81" s="2" t="str">
        <f aca="false">INDEX(Clean_Data!$F$2:$F$2086,MATCH(A81,Clean_Data!$B$2:$B$2086,0))</f>
        <v>Corporate</v>
      </c>
      <c r="C81" s="2" t="n">
        <f aca="false">COUNTIFS(Clean_Data!$B$2:$B$2086,A81)</f>
        <v>2</v>
      </c>
      <c r="D81" s="11" t="n">
        <f aca="false">SUMIFS(Clean_Data!$M$2:$M$2086,Clean_Data!$B$2:$B$2086,A81)</f>
        <v>64200</v>
      </c>
      <c r="E81" s="11" t="n">
        <f aca="false">SUMIFS(Clean_Data!$N$2:$N$2086,Clean_Data!$B$2:$B$2086,A81)</f>
        <v>12800</v>
      </c>
      <c r="F81" s="2" t="str">
        <f aca="false">IF(C81&gt;1,"Repeat","One-time")</f>
        <v>Repeat</v>
      </c>
      <c r="G81" s="13" t="n">
        <f aca="false">SUM($D$2:D81)/SUM($D$2:$D$800)</f>
        <v>0.424320127086795</v>
      </c>
    </row>
    <row r="82" customFormat="false" ht="15" hidden="false" customHeight="false" outlineLevel="0" collapsed="false">
      <c r="A82" s="2" t="s">
        <v>2023</v>
      </c>
      <c r="B82" s="2" t="str">
        <f aca="false">INDEX(Clean_Data!$F$2:$F$2086,MATCH(A82,Clean_Data!$B$2:$B$2086,0))</f>
        <v>Corporate</v>
      </c>
      <c r="C82" s="2" t="n">
        <f aca="false">COUNTIFS(Clean_Data!$B$2:$B$2086,A82)</f>
        <v>4</v>
      </c>
      <c r="D82" s="11" t="n">
        <f aca="false">SUMIFS(Clean_Data!$M$2:$M$2086,Clean_Data!$B$2:$B$2086,A82)</f>
        <v>63650</v>
      </c>
      <c r="E82" s="11" t="n">
        <f aca="false">SUMIFS(Clean_Data!$N$2:$N$2086,Clean_Data!$B$2:$B$2086,A82)</f>
        <v>16950</v>
      </c>
      <c r="F82" s="2" t="str">
        <f aca="false">IF(C82&gt;1,"Repeat","One-time")</f>
        <v>Repeat</v>
      </c>
      <c r="G82" s="13" t="n">
        <f aca="false">SUM($D$2:D82)/SUM($D$2:$D$800)</f>
        <v>0.427414173332457</v>
      </c>
    </row>
    <row r="83" customFormat="false" ht="15" hidden="false" customHeight="false" outlineLevel="0" collapsed="false">
      <c r="A83" s="2" t="s">
        <v>699</v>
      </c>
      <c r="B83" s="2" t="str">
        <f aca="false">INDEX(Clean_Data!$F$2:$F$2086,MATCH(A83,Clean_Data!$B$2:$B$2086,0))</f>
        <v>Corporate</v>
      </c>
      <c r="C83" s="2" t="n">
        <f aca="false">COUNTIFS(Clean_Data!$B$2:$B$2086,A83)</f>
        <v>3</v>
      </c>
      <c r="D83" s="11" t="n">
        <f aca="false">SUMIFS(Clean_Data!$M$2:$M$2086,Clean_Data!$B$2:$B$2086,A83)</f>
        <v>63580</v>
      </c>
      <c r="E83" s="11" t="n">
        <f aca="false">SUMIFS(Clean_Data!$N$2:$N$2086,Clean_Data!$B$2:$B$2086,A83)</f>
        <v>19980</v>
      </c>
      <c r="F83" s="2" t="str">
        <f aca="false">IF(C83&gt;1,"Repeat","One-time")</f>
        <v>Repeat</v>
      </c>
      <c r="G83" s="13" t="n">
        <f aca="false">SUM($D$2:D83)/SUM($D$2:$D$800)</f>
        <v>0.430504816856403</v>
      </c>
    </row>
    <row r="84" customFormat="false" ht="15" hidden="false" customHeight="false" outlineLevel="0" collapsed="false">
      <c r="A84" s="2" t="s">
        <v>2115</v>
      </c>
      <c r="B84" s="2" t="str">
        <f aca="false">INDEX(Clean_Data!$F$2:$F$2086,MATCH(A84,Clean_Data!$B$2:$B$2086,0))</f>
        <v>Corporate</v>
      </c>
      <c r="C84" s="2" t="n">
        <f aca="false">COUNTIFS(Clean_Data!$B$2:$B$2086,A84)</f>
        <v>2</v>
      </c>
      <c r="D84" s="11" t="n">
        <f aca="false">SUMIFS(Clean_Data!$M$2:$M$2086,Clean_Data!$B$2:$B$2086,A84)</f>
        <v>63200</v>
      </c>
      <c r="E84" s="11" t="n">
        <f aca="false">SUMIFS(Clean_Data!$N$2:$N$2086,Clean_Data!$B$2:$B$2086,A84)</f>
        <v>16400</v>
      </c>
      <c r="F84" s="2" t="str">
        <f aca="false">IF(C84&gt;1,"Repeat","One-time")</f>
        <v>Repeat</v>
      </c>
      <c r="G84" s="13" t="n">
        <f aca="false">SUM($D$2:D84)/SUM($D$2:$D$800)</f>
        <v>0.433576988462464</v>
      </c>
    </row>
    <row r="85" customFormat="false" ht="15" hidden="false" customHeight="false" outlineLevel="0" collapsed="false">
      <c r="A85" s="2" t="s">
        <v>1856</v>
      </c>
      <c r="B85" s="2" t="str">
        <f aca="false">INDEX(Clean_Data!$F$2:$F$2086,MATCH(A85,Clean_Data!$B$2:$B$2086,0))</f>
        <v>Corporate</v>
      </c>
      <c r="C85" s="2" t="n">
        <f aca="false">COUNTIFS(Clean_Data!$B$2:$B$2086,A85)</f>
        <v>4</v>
      </c>
      <c r="D85" s="11" t="n">
        <f aca="false">SUMIFS(Clean_Data!$M$2:$M$2086,Clean_Data!$B$2:$B$2086,A85)</f>
        <v>62760</v>
      </c>
      <c r="E85" s="11" t="n">
        <f aca="false">SUMIFS(Clean_Data!$N$2:$N$2086,Clean_Data!$B$2:$B$2086,A85)</f>
        <v>18960</v>
      </c>
      <c r="F85" s="2" t="str">
        <f aca="false">IF(C85&gt;1,"Repeat","One-time")</f>
        <v>Repeat</v>
      </c>
      <c r="G85" s="13" t="n">
        <f aca="false">SUM($D$2:D85)/SUM($D$2:$D$800)</f>
        <v>0.436627771532028</v>
      </c>
    </row>
    <row r="86" customFormat="false" ht="15" hidden="false" customHeight="false" outlineLevel="0" collapsed="false">
      <c r="A86" s="2" t="s">
        <v>1931</v>
      </c>
      <c r="B86" s="2" t="str">
        <f aca="false">INDEX(Clean_Data!$F$2:$F$2086,MATCH(A86,Clean_Data!$B$2:$B$2086,0))</f>
        <v>Small Business</v>
      </c>
      <c r="C86" s="2" t="n">
        <f aca="false">COUNTIFS(Clean_Data!$B$2:$B$2086,A86)</f>
        <v>3</v>
      </c>
      <c r="D86" s="11" t="n">
        <f aca="false">SUMIFS(Clean_Data!$M$2:$M$2086,Clean_Data!$B$2:$B$2086,A86)</f>
        <v>62700</v>
      </c>
      <c r="E86" s="11" t="n">
        <f aca="false">SUMIFS(Clean_Data!$N$2:$N$2086,Clean_Data!$B$2:$B$2086,A86)</f>
        <v>18300</v>
      </c>
      <c r="F86" s="2" t="str">
        <f aca="false">IF(C86&gt;1,"Repeat","One-time")</f>
        <v>Repeat</v>
      </c>
      <c r="G86" s="13" t="n">
        <f aca="false">SUM($D$2:D86)/SUM($D$2:$D$800)</f>
        <v>0.439675637982978</v>
      </c>
    </row>
    <row r="87" customFormat="false" ht="15" hidden="false" customHeight="false" outlineLevel="0" collapsed="false">
      <c r="A87" s="2" t="s">
        <v>2393</v>
      </c>
      <c r="B87" s="2" t="str">
        <f aca="false">INDEX(Clean_Data!$F$2:$F$2086,MATCH(A87,Clean_Data!$B$2:$B$2086,0))</f>
        <v>Small Business</v>
      </c>
      <c r="C87" s="2" t="n">
        <f aca="false">COUNTIFS(Clean_Data!$B$2:$B$2086,A87)</f>
        <v>5</v>
      </c>
      <c r="D87" s="11" t="n">
        <f aca="false">SUMIFS(Clean_Data!$M$2:$M$2086,Clean_Data!$B$2:$B$2086,A87)</f>
        <v>62690</v>
      </c>
      <c r="E87" s="11" t="n">
        <f aca="false">SUMIFS(Clean_Data!$N$2:$N$2086,Clean_Data!$B$2:$B$2086,A87)</f>
        <v>18390</v>
      </c>
      <c r="F87" s="2" t="str">
        <f aca="false">IF(C87&gt;1,"Repeat","One-time")</f>
        <v>Repeat</v>
      </c>
      <c r="G87" s="13" t="n">
        <f aca="false">SUM($D$2:D87)/SUM($D$2:$D$800)</f>
        <v>0.442723018330826</v>
      </c>
    </row>
    <row r="88" customFormat="false" ht="15" hidden="false" customHeight="false" outlineLevel="0" collapsed="false">
      <c r="A88" s="2" t="s">
        <v>305</v>
      </c>
      <c r="B88" s="2" t="str">
        <f aca="false">INDEX(Clean_Data!$F$2:$F$2086,MATCH(A88,Clean_Data!$B$2:$B$2086,0))</f>
        <v>Corporate</v>
      </c>
      <c r="C88" s="2" t="n">
        <f aca="false">COUNTIFS(Clean_Data!$B$2:$B$2086,A88)</f>
        <v>4</v>
      </c>
      <c r="D88" s="11" t="n">
        <f aca="false">SUMIFS(Clean_Data!$M$2:$M$2086,Clean_Data!$B$2:$B$2086,A88)</f>
        <v>62600</v>
      </c>
      <c r="E88" s="11" t="n">
        <f aca="false">SUMIFS(Clean_Data!$N$2:$N$2086,Clean_Data!$B$2:$B$2086,A88)</f>
        <v>14600</v>
      </c>
      <c r="F88" s="2" t="str">
        <f aca="false">IF(C88&gt;1,"Repeat","One-time")</f>
        <v>Repeat</v>
      </c>
      <c r="G88" s="13" t="n">
        <f aca="false">SUM($D$2:D88)/SUM($D$2:$D$800)</f>
        <v>0.445766023750755</v>
      </c>
    </row>
    <row r="89" customFormat="false" ht="15" hidden="false" customHeight="false" outlineLevel="0" collapsed="false">
      <c r="A89" s="2" t="s">
        <v>1770</v>
      </c>
      <c r="B89" s="2" t="str">
        <f aca="false">INDEX(Clean_Data!$F$2:$F$2086,MATCH(A89,Clean_Data!$B$2:$B$2086,0))</f>
        <v>Small Business</v>
      </c>
      <c r="C89" s="2" t="n">
        <f aca="false">COUNTIFS(Clean_Data!$B$2:$B$2086,A89)</f>
        <v>5</v>
      </c>
      <c r="D89" s="11" t="n">
        <f aca="false">SUMIFS(Clean_Data!$M$2:$M$2086,Clean_Data!$B$2:$B$2086,A89)</f>
        <v>62330</v>
      </c>
      <c r="E89" s="11" t="n">
        <f aca="false">SUMIFS(Clean_Data!$N$2:$N$2086,Clean_Data!$B$2:$B$2086,A89)</f>
        <v>20230</v>
      </c>
      <c r="F89" s="2" t="str">
        <f aca="false">IF(C89&gt;1,"Repeat","One-time")</f>
        <v>Repeat</v>
      </c>
      <c r="G89" s="13" t="n">
        <f aca="false">SUM($D$2:D89)/SUM($D$2:$D$800)</f>
        <v>0.448795904386923</v>
      </c>
    </row>
    <row r="90" customFormat="false" ht="15" hidden="false" customHeight="false" outlineLevel="0" collapsed="false">
      <c r="A90" s="2" t="s">
        <v>2598</v>
      </c>
      <c r="B90" s="2" t="str">
        <f aca="false">INDEX(Clean_Data!$F$2:$F$2086,MATCH(A90,Clean_Data!$B$2:$B$2086,0))</f>
        <v>Small Business</v>
      </c>
      <c r="C90" s="2" t="n">
        <f aca="false">COUNTIFS(Clean_Data!$B$2:$B$2086,A90)</f>
        <v>3</v>
      </c>
      <c r="D90" s="11" t="n">
        <f aca="false">SUMIFS(Clean_Data!$M$2:$M$2086,Clean_Data!$B$2:$B$2086,A90)</f>
        <v>62190</v>
      </c>
      <c r="E90" s="11" t="n">
        <f aca="false">SUMIFS(Clean_Data!$N$2:$N$2086,Clean_Data!$B$2:$B$2086,A90)</f>
        <v>17790</v>
      </c>
      <c r="F90" s="2" t="str">
        <f aca="false">IF(C90&gt;1,"Repeat","One-time")</f>
        <v>Repeat</v>
      </c>
      <c r="G90" s="13" t="n">
        <f aca="false">SUM($D$2:D90)/SUM($D$2:$D$800)</f>
        <v>0.451818979579659</v>
      </c>
    </row>
    <row r="91" customFormat="false" ht="15" hidden="false" customHeight="false" outlineLevel="0" collapsed="false">
      <c r="A91" s="2" t="s">
        <v>254</v>
      </c>
      <c r="B91" s="2" t="str">
        <f aca="false">INDEX(Clean_Data!$F$2:$F$2086,MATCH(A91,Clean_Data!$B$2:$B$2086,0))</f>
        <v>Consumer</v>
      </c>
      <c r="C91" s="2" t="n">
        <f aca="false">COUNTIFS(Clean_Data!$B$2:$B$2086,A91)</f>
        <v>8</v>
      </c>
      <c r="D91" s="11" t="n">
        <f aca="false">SUMIFS(Clean_Data!$M$2:$M$2086,Clean_Data!$B$2:$B$2086,A91)</f>
        <v>62105</v>
      </c>
      <c r="E91" s="11" t="n">
        <f aca="false">SUMIFS(Clean_Data!$N$2:$N$2086,Clean_Data!$B$2:$B$2086,A91)</f>
        <v>18605</v>
      </c>
      <c r="F91" s="2" t="str">
        <f aca="false">IF(C91&gt;1,"Repeat","One-time")</f>
        <v>Repeat</v>
      </c>
      <c r="G91" s="13" t="n">
        <f aca="false">SUM($D$2:D91)/SUM($D$2:$D$800)</f>
        <v>0.454837922896027</v>
      </c>
    </row>
    <row r="92" customFormat="false" ht="15" hidden="false" customHeight="false" outlineLevel="0" collapsed="false">
      <c r="A92" s="2" t="s">
        <v>1751</v>
      </c>
      <c r="B92" s="2" t="str">
        <f aca="false">INDEX(Clean_Data!$F$2:$F$2086,MATCH(A92,Clean_Data!$B$2:$B$2086,0))</f>
        <v>Small Business</v>
      </c>
      <c r="C92" s="2" t="n">
        <f aca="false">COUNTIFS(Clean_Data!$B$2:$B$2086,A92)</f>
        <v>3</v>
      </c>
      <c r="D92" s="11" t="n">
        <f aca="false">SUMIFS(Clean_Data!$M$2:$M$2086,Clean_Data!$B$2:$B$2086,A92)</f>
        <v>61990</v>
      </c>
      <c r="E92" s="11" t="n">
        <f aca="false">SUMIFS(Clean_Data!$N$2:$N$2086,Clean_Data!$B$2:$B$2086,A92)</f>
        <v>17890</v>
      </c>
      <c r="F92" s="2" t="str">
        <f aca="false">IF(C92&gt;1,"Repeat","One-time")</f>
        <v>Repeat</v>
      </c>
      <c r="G92" s="13" t="n">
        <f aca="false">SUM($D$2:D92)/SUM($D$2:$D$800)</f>
        <v>0.45785127602672</v>
      </c>
    </row>
    <row r="93" customFormat="false" ht="15" hidden="false" customHeight="false" outlineLevel="0" collapsed="false">
      <c r="A93" s="2" t="s">
        <v>2310</v>
      </c>
      <c r="B93" s="2" t="str">
        <f aca="false">INDEX(Clean_Data!$F$2:$F$2086,MATCH(A93,Clean_Data!$B$2:$B$2086,0))</f>
        <v>Small Business</v>
      </c>
      <c r="C93" s="2" t="n">
        <f aca="false">COUNTIFS(Clean_Data!$B$2:$B$2086,A93)</f>
        <v>4</v>
      </c>
      <c r="D93" s="11" t="n">
        <f aca="false">SUMIFS(Clean_Data!$M$2:$M$2086,Clean_Data!$B$2:$B$2086,A93)</f>
        <v>61525</v>
      </c>
      <c r="E93" s="11" t="n">
        <f aca="false">SUMIFS(Clean_Data!$N$2:$N$2086,Clean_Data!$B$2:$B$2086,A93)</f>
        <v>16975</v>
      </c>
      <c r="F93" s="2" t="str">
        <f aca="false">IF(C93&gt;1,"Repeat","One-time")</f>
        <v>Repeat</v>
      </c>
      <c r="G93" s="13" t="n">
        <f aca="false">SUM($D$2:D93)/SUM($D$2:$D$800)</f>
        <v>0.460842025363159</v>
      </c>
    </row>
    <row r="94" customFormat="false" ht="15" hidden="false" customHeight="false" outlineLevel="0" collapsed="false">
      <c r="A94" s="2" t="s">
        <v>951</v>
      </c>
      <c r="B94" s="2" t="str">
        <f aca="false">INDEX(Clean_Data!$F$2:$F$2086,MATCH(A94,Clean_Data!$B$2:$B$2086,0))</f>
        <v>Corporate</v>
      </c>
      <c r="C94" s="2" t="n">
        <f aca="false">COUNTIFS(Clean_Data!$B$2:$B$2086,A94)</f>
        <v>4</v>
      </c>
      <c r="D94" s="11" t="n">
        <f aca="false">SUMIFS(Clean_Data!$M$2:$M$2086,Clean_Data!$B$2:$B$2086,A94)</f>
        <v>61200</v>
      </c>
      <c r="E94" s="11" t="n">
        <f aca="false">SUMIFS(Clean_Data!$N$2:$N$2086,Clean_Data!$B$2:$B$2086,A94)</f>
        <v>15600</v>
      </c>
      <c r="F94" s="2" t="str">
        <f aca="false">IF(C94&gt;1,"Repeat","One-time")</f>
        <v>Repeat</v>
      </c>
      <c r="G94" s="13" t="n">
        <f aca="false">SUM($D$2:D94)/SUM($D$2:$D$800)</f>
        <v>0.463816976348775</v>
      </c>
    </row>
    <row r="95" customFormat="false" ht="15" hidden="false" customHeight="false" outlineLevel="0" collapsed="false">
      <c r="A95" s="2" t="s">
        <v>80</v>
      </c>
      <c r="B95" s="2" t="str">
        <f aca="false">INDEX(Clean_Data!$F$2:$F$2086,MATCH(A95,Clean_Data!$B$2:$B$2086,0))</f>
        <v>Small Business</v>
      </c>
      <c r="C95" s="2" t="n">
        <f aca="false">COUNTIFS(Clean_Data!$B$2:$B$2086,A95)</f>
        <v>5</v>
      </c>
      <c r="D95" s="11" t="n">
        <f aca="false">SUMIFS(Clean_Data!$M$2:$M$2086,Clean_Data!$B$2:$B$2086,A95)</f>
        <v>61175</v>
      </c>
      <c r="E95" s="11" t="n">
        <f aca="false">SUMIFS(Clean_Data!$N$2:$N$2086,Clean_Data!$B$2:$B$2086,A95)</f>
        <v>20375</v>
      </c>
      <c r="F95" s="2" t="str">
        <f aca="false">IF(C95&gt;1,"Repeat","One-time")</f>
        <v>Repeat</v>
      </c>
      <c r="G95" s="13" t="n">
        <f aca="false">SUM($D$2:D95)/SUM($D$2:$D$800)</f>
        <v>0.466790712076636</v>
      </c>
    </row>
    <row r="96" customFormat="false" ht="15" hidden="false" customHeight="false" outlineLevel="0" collapsed="false">
      <c r="A96" s="2" t="s">
        <v>2209</v>
      </c>
      <c r="B96" s="2" t="str">
        <f aca="false">INDEX(Clean_Data!$F$2:$F$2086,MATCH(A96,Clean_Data!$B$2:$B$2086,0))</f>
        <v>Corporate</v>
      </c>
      <c r="C96" s="2" t="n">
        <f aca="false">COUNTIFS(Clean_Data!$B$2:$B$2086,A96)</f>
        <v>3</v>
      </c>
      <c r="D96" s="11" t="n">
        <f aca="false">SUMIFS(Clean_Data!$M$2:$M$2086,Clean_Data!$B$2:$B$2086,A96)</f>
        <v>60960</v>
      </c>
      <c r="E96" s="11" t="n">
        <f aca="false">SUMIFS(Clean_Data!$N$2:$N$2086,Clean_Data!$B$2:$B$2086,A96)</f>
        <v>19760</v>
      </c>
      <c r="F96" s="2" t="str">
        <f aca="false">IF(C96&gt;1,"Repeat","One-time")</f>
        <v>Repeat</v>
      </c>
      <c r="G96" s="13" t="n">
        <f aca="false">SUM($D$2:D96)/SUM($D$2:$D$800)</f>
        <v>0.469753996587799</v>
      </c>
    </row>
    <row r="97" customFormat="false" ht="15" hidden="false" customHeight="false" outlineLevel="0" collapsed="false">
      <c r="A97" s="2" t="s">
        <v>2226</v>
      </c>
      <c r="B97" s="2" t="str">
        <f aca="false">INDEX(Clean_Data!$F$2:$F$2086,MATCH(A97,Clean_Data!$B$2:$B$2086,0))</f>
        <v>Corporate</v>
      </c>
      <c r="C97" s="2" t="n">
        <f aca="false">COUNTIFS(Clean_Data!$B$2:$B$2086,A97)</f>
        <v>3</v>
      </c>
      <c r="D97" s="11" t="n">
        <f aca="false">SUMIFS(Clean_Data!$M$2:$M$2086,Clean_Data!$B$2:$B$2086,A97)</f>
        <v>60940</v>
      </c>
      <c r="E97" s="11" t="n">
        <f aca="false">SUMIFS(Clean_Data!$N$2:$N$2086,Clean_Data!$B$2:$B$2086,A97)</f>
        <v>16940</v>
      </c>
      <c r="F97" s="2" t="str">
        <f aca="false">IF(C97&gt;1,"Repeat","One-time")</f>
        <v>Repeat</v>
      </c>
      <c r="G97" s="13" t="n">
        <f aca="false">SUM($D$2:D97)/SUM($D$2:$D$800)</f>
        <v>0.472716308892758</v>
      </c>
    </row>
    <row r="98" customFormat="false" ht="15" hidden="false" customHeight="false" outlineLevel="0" collapsed="false">
      <c r="A98" s="2" t="s">
        <v>2977</v>
      </c>
      <c r="B98" s="2" t="str">
        <f aca="false">INDEX(Clean_Data!$F$2:$F$2086,MATCH(A98,Clean_Data!$B$2:$B$2086,0))</f>
        <v>Small Business</v>
      </c>
      <c r="C98" s="2" t="n">
        <f aca="false">COUNTIFS(Clean_Data!$B$2:$B$2086,A98)</f>
        <v>2</v>
      </c>
      <c r="D98" s="11" t="n">
        <f aca="false">SUMIFS(Clean_Data!$M$2:$M$2086,Clean_Data!$B$2:$B$2086,A98)</f>
        <v>60450</v>
      </c>
      <c r="E98" s="11" t="n">
        <f aca="false">SUMIFS(Clean_Data!$N$2:$N$2086,Clean_Data!$B$2:$B$2086,A98)</f>
        <v>15050</v>
      </c>
      <c r="F98" s="2" t="str">
        <f aca="false">IF(C98&gt;1,"Repeat","One-time")</f>
        <v>Repeat</v>
      </c>
      <c r="G98" s="13" t="n">
        <f aca="false">SUM($D$2:D98)/SUM($D$2:$D$800)</f>
        <v>0.475654802145708</v>
      </c>
    </row>
    <row r="99" customFormat="false" ht="15" hidden="false" customHeight="false" outlineLevel="0" collapsed="false">
      <c r="A99" s="2" t="s">
        <v>218</v>
      </c>
      <c r="B99" s="2" t="str">
        <f aca="false">INDEX(Clean_Data!$F$2:$F$2086,MATCH(A99,Clean_Data!$B$2:$B$2086,0))</f>
        <v>Small Business</v>
      </c>
      <c r="C99" s="2" t="n">
        <f aca="false">COUNTIFS(Clean_Data!$B$2:$B$2086,A99)</f>
        <v>5</v>
      </c>
      <c r="D99" s="11" t="n">
        <f aca="false">SUMIFS(Clean_Data!$M$2:$M$2086,Clean_Data!$B$2:$B$2086,A99)</f>
        <v>60205</v>
      </c>
      <c r="E99" s="11" t="n">
        <f aca="false">SUMIFS(Clean_Data!$N$2:$N$2086,Clean_Data!$B$2:$B$2086,A99)</f>
        <v>19205</v>
      </c>
      <c r="F99" s="2" t="str">
        <f aca="false">IF(C99&gt;1,"Repeat","One-time")</f>
        <v>Repeat</v>
      </c>
      <c r="G99" s="13" t="n">
        <f aca="false">SUM($D$2:D99)/SUM($D$2:$D$800)</f>
        <v>0.478581385872653</v>
      </c>
    </row>
    <row r="100" customFormat="false" ht="15" hidden="false" customHeight="false" outlineLevel="0" collapsed="false">
      <c r="A100" s="2" t="s">
        <v>1023</v>
      </c>
      <c r="B100" s="2" t="str">
        <f aca="false">INDEX(Clean_Data!$F$2:$F$2086,MATCH(A100,Clean_Data!$B$2:$B$2086,0))</f>
        <v>Corporate</v>
      </c>
      <c r="C100" s="2" t="n">
        <f aca="false">COUNTIFS(Clean_Data!$B$2:$B$2086,A100)</f>
        <v>3</v>
      </c>
      <c r="D100" s="11" t="n">
        <f aca="false">SUMIFS(Clean_Data!$M$2:$M$2086,Clean_Data!$B$2:$B$2086,A100)</f>
        <v>59800</v>
      </c>
      <c r="E100" s="11" t="n">
        <f aca="false">SUMIFS(Clean_Data!$N$2:$N$2086,Clean_Data!$B$2:$B$2086,A100)</f>
        <v>19600</v>
      </c>
      <c r="F100" s="2" t="str">
        <f aca="false">IF(C100&gt;1,"Repeat","One-time")</f>
        <v>Repeat</v>
      </c>
      <c r="G100" s="13" t="n">
        <f aca="false">SUM($D$2:D100)/SUM($D$2:$D$800)</f>
        <v>0.481488282423958</v>
      </c>
    </row>
    <row r="101" customFormat="false" ht="15" hidden="false" customHeight="false" outlineLevel="0" collapsed="false">
      <c r="A101" s="2" t="s">
        <v>1160</v>
      </c>
      <c r="B101" s="2" t="str">
        <f aca="false">INDEX(Clean_Data!$F$2:$F$2086,MATCH(A101,Clean_Data!$B$2:$B$2086,0))</f>
        <v>Corporate</v>
      </c>
      <c r="C101" s="2" t="n">
        <f aca="false">COUNTIFS(Clean_Data!$B$2:$B$2086,A101)</f>
        <v>2</v>
      </c>
      <c r="D101" s="11" t="n">
        <f aca="false">SUMIFS(Clean_Data!$M$2:$M$2086,Clean_Data!$B$2:$B$2086,A101)</f>
        <v>59275</v>
      </c>
      <c r="E101" s="11" t="n">
        <f aca="false">SUMIFS(Clean_Data!$N$2:$N$2086,Clean_Data!$B$2:$B$2086,A101)</f>
        <v>18175</v>
      </c>
      <c r="F101" s="2" t="str">
        <f aca="false">IF(C101&gt;1,"Repeat","One-time")</f>
        <v>Repeat</v>
      </c>
      <c r="G101" s="13" t="n">
        <f aca="false">SUM($D$2:D101)/SUM($D$2:$D$800)</f>
        <v>0.484369658562396</v>
      </c>
    </row>
    <row r="102" customFormat="false" ht="15" hidden="false" customHeight="false" outlineLevel="0" collapsed="false">
      <c r="A102" s="2" t="s">
        <v>646</v>
      </c>
      <c r="B102" s="2" t="str">
        <f aca="false">INDEX(Clean_Data!$F$2:$F$2086,MATCH(A102,Clean_Data!$B$2:$B$2086,0))</f>
        <v>Corporate</v>
      </c>
      <c r="C102" s="2" t="n">
        <f aca="false">COUNTIFS(Clean_Data!$B$2:$B$2086,A102)</f>
        <v>2</v>
      </c>
      <c r="D102" s="11" t="n">
        <f aca="false">SUMIFS(Clean_Data!$M$2:$M$2086,Clean_Data!$B$2:$B$2086,A102)</f>
        <v>59240</v>
      </c>
      <c r="E102" s="11" t="n">
        <f aca="false">SUMIFS(Clean_Data!$N$2:$N$2086,Clean_Data!$B$2:$B$2086,A102)</f>
        <v>19040</v>
      </c>
      <c r="F102" s="2" t="str">
        <f aca="false">IF(C102&gt;1,"Repeat","One-time")</f>
        <v>Repeat</v>
      </c>
      <c r="G102" s="13" t="n">
        <f aca="false">SUM($D$2:D102)/SUM($D$2:$D$800)</f>
        <v>0.487249333339977</v>
      </c>
    </row>
    <row r="103" customFormat="false" ht="15" hidden="false" customHeight="false" outlineLevel="0" collapsed="false">
      <c r="A103" s="2" t="s">
        <v>2436</v>
      </c>
      <c r="B103" s="2" t="str">
        <f aca="false">INDEX(Clean_Data!$F$2:$F$2086,MATCH(A103,Clean_Data!$B$2:$B$2086,0))</f>
        <v>Corporate</v>
      </c>
      <c r="C103" s="2" t="n">
        <f aca="false">COUNTIFS(Clean_Data!$B$2:$B$2086,A103)</f>
        <v>3</v>
      </c>
      <c r="D103" s="11" t="n">
        <f aca="false">SUMIFS(Clean_Data!$M$2:$M$2086,Clean_Data!$B$2:$B$2086,A103)</f>
        <v>58600</v>
      </c>
      <c r="E103" s="11" t="n">
        <f aca="false">SUMIFS(Clean_Data!$N$2:$N$2086,Clean_Data!$B$2:$B$2086,A103)</f>
        <v>15400</v>
      </c>
      <c r="F103" s="2" t="str">
        <f aca="false">IF(C103&gt;1,"Repeat","One-time")</f>
        <v>Repeat</v>
      </c>
      <c r="G103" s="13" t="n">
        <f aca="false">SUM($D$2:D103)/SUM($D$2:$D$800)</f>
        <v>0.490097897519015</v>
      </c>
    </row>
    <row r="104" customFormat="false" ht="15" hidden="false" customHeight="false" outlineLevel="0" collapsed="false">
      <c r="A104" s="2" t="s">
        <v>2993</v>
      </c>
      <c r="B104" s="2" t="str">
        <f aca="false">INDEX(Clean_Data!$F$2:$F$2086,MATCH(A104,Clean_Data!$B$2:$B$2086,0))</f>
        <v>Corporate</v>
      </c>
      <c r="C104" s="2" t="n">
        <f aca="false">COUNTIFS(Clean_Data!$B$2:$B$2086,A104)</f>
        <v>4</v>
      </c>
      <c r="D104" s="11" t="n">
        <f aca="false">SUMIFS(Clean_Data!$M$2:$M$2086,Clean_Data!$B$2:$B$2086,A104)</f>
        <v>57375</v>
      </c>
      <c r="E104" s="11" t="n">
        <f aca="false">SUMIFS(Clean_Data!$N$2:$N$2086,Clean_Data!$B$2:$B$2086,A104)</f>
        <v>14475</v>
      </c>
      <c r="F104" s="2" t="str">
        <f aca="false">IF(C104&gt;1,"Repeat","One-time")</f>
        <v>Repeat</v>
      </c>
      <c r="G104" s="13" t="n">
        <f aca="false">SUM($D$2:D104)/SUM($D$2:$D$800)</f>
        <v>0.49288691406803</v>
      </c>
    </row>
    <row r="105" customFormat="false" ht="15" hidden="false" customHeight="false" outlineLevel="0" collapsed="false">
      <c r="A105" s="2" t="s">
        <v>1712</v>
      </c>
      <c r="B105" s="2" t="str">
        <f aca="false">INDEX(Clean_Data!$F$2:$F$2086,MATCH(A105,Clean_Data!$B$2:$B$2086,0))</f>
        <v>Consumer</v>
      </c>
      <c r="C105" s="2" t="n">
        <f aca="false">COUNTIFS(Clean_Data!$B$2:$B$2086,A105)</f>
        <v>10</v>
      </c>
      <c r="D105" s="11" t="n">
        <f aca="false">SUMIFS(Clean_Data!$M$2:$M$2086,Clean_Data!$B$2:$B$2086,A105)</f>
        <v>57170</v>
      </c>
      <c r="E105" s="11" t="n">
        <f aca="false">SUMIFS(Clean_Data!$N$2:$N$2086,Clean_Data!$B$2:$B$2086,A105)</f>
        <v>21170</v>
      </c>
      <c r="F105" s="2" t="str">
        <f aca="false">IF(C105&gt;1,"Repeat","One-time")</f>
        <v>Repeat</v>
      </c>
      <c r="G105" s="13" t="n">
        <f aca="false">SUM($D$2:D105)/SUM($D$2:$D$800)</f>
        <v>0.49566596550345</v>
      </c>
    </row>
    <row r="106" customFormat="false" ht="15" hidden="false" customHeight="false" outlineLevel="0" collapsed="false">
      <c r="A106" s="2" t="s">
        <v>1553</v>
      </c>
      <c r="B106" s="2" t="str">
        <f aca="false">INDEX(Clean_Data!$F$2:$F$2086,MATCH(A106,Clean_Data!$B$2:$B$2086,0))</f>
        <v>Corporate</v>
      </c>
      <c r="C106" s="2" t="n">
        <f aca="false">COUNTIFS(Clean_Data!$B$2:$B$2086,A106)</f>
        <v>4</v>
      </c>
      <c r="D106" s="11" t="n">
        <f aca="false">SUMIFS(Clean_Data!$M$2:$M$2086,Clean_Data!$B$2:$B$2086,A106)</f>
        <v>55775</v>
      </c>
      <c r="E106" s="11" t="n">
        <f aca="false">SUMIFS(Clean_Data!$N$2:$N$2086,Clean_Data!$B$2:$B$2086,A106)</f>
        <v>15275</v>
      </c>
      <c r="F106" s="2" t="str">
        <f aca="false">IF(C106&gt;1,"Repeat","One-time")</f>
        <v>Repeat</v>
      </c>
      <c r="G106" s="13" t="n">
        <f aca="false">SUM($D$2:D106)/SUM($D$2:$D$800)</f>
        <v>0.49837720555611</v>
      </c>
    </row>
    <row r="107" customFormat="false" ht="15" hidden="false" customHeight="false" outlineLevel="0" collapsed="false">
      <c r="A107" s="2" t="s">
        <v>2382</v>
      </c>
      <c r="B107" s="2" t="str">
        <f aca="false">INDEX(Clean_Data!$F$2:$F$2086,MATCH(A107,Clean_Data!$B$2:$B$2086,0))</f>
        <v>Small Business</v>
      </c>
      <c r="C107" s="2" t="n">
        <f aca="false">COUNTIFS(Clean_Data!$B$2:$B$2086,A107)</f>
        <v>2</v>
      </c>
      <c r="D107" s="11" t="n">
        <f aca="false">SUMIFS(Clean_Data!$M$2:$M$2086,Clean_Data!$B$2:$B$2086,A107)</f>
        <v>55200</v>
      </c>
      <c r="E107" s="11" t="n">
        <f aca="false">SUMIFS(Clean_Data!$N$2:$N$2086,Clean_Data!$B$2:$B$2086,A107)</f>
        <v>16000</v>
      </c>
      <c r="F107" s="2" t="str">
        <f aca="false">IF(C107&gt;1,"Repeat","One-time")</f>
        <v>Repeat</v>
      </c>
      <c r="G107" s="13" t="n">
        <f aca="false">SUM($D$2:D107)/SUM($D$2:$D$800)</f>
        <v>0.501060494680392</v>
      </c>
    </row>
    <row r="108" customFormat="false" ht="15" hidden="false" customHeight="false" outlineLevel="0" collapsed="false">
      <c r="A108" s="2" t="s">
        <v>1126</v>
      </c>
      <c r="B108" s="2" t="str">
        <f aca="false">INDEX(Clean_Data!$F$2:$F$2086,MATCH(A108,Clean_Data!$B$2:$B$2086,0))</f>
        <v>Corporate</v>
      </c>
      <c r="C108" s="2" t="n">
        <f aca="false">COUNTIFS(Clean_Data!$B$2:$B$2086,A108)</f>
        <v>3</v>
      </c>
      <c r="D108" s="11" t="n">
        <f aca="false">SUMIFS(Clean_Data!$M$2:$M$2086,Clean_Data!$B$2:$B$2086,A108)</f>
        <v>55050</v>
      </c>
      <c r="E108" s="11" t="n">
        <f aca="false">SUMIFS(Clean_Data!$N$2:$N$2086,Clean_Data!$B$2:$B$2086,A108)</f>
        <v>15950</v>
      </c>
      <c r="F108" s="2" t="str">
        <f aca="false">IF(C108&gt;1,"Repeat","One-time")</f>
        <v>Repeat</v>
      </c>
      <c r="G108" s="13" t="n">
        <f aca="false">SUM($D$2:D108)/SUM($D$2:$D$800)</f>
        <v>0.50373649225814</v>
      </c>
    </row>
    <row r="109" customFormat="false" ht="15" hidden="false" customHeight="false" outlineLevel="0" collapsed="false">
      <c r="A109" s="2" t="s">
        <v>649</v>
      </c>
      <c r="B109" s="2" t="str">
        <f aca="false">INDEX(Clean_Data!$F$2:$F$2086,MATCH(A109,Clean_Data!$B$2:$B$2086,0))</f>
        <v>Corporate</v>
      </c>
      <c r="C109" s="2" t="n">
        <f aca="false">COUNTIFS(Clean_Data!$B$2:$B$2086,A109)</f>
        <v>3</v>
      </c>
      <c r="D109" s="11" t="n">
        <f aca="false">SUMIFS(Clean_Data!$M$2:$M$2086,Clean_Data!$B$2:$B$2086,A109)</f>
        <v>54715</v>
      </c>
      <c r="E109" s="11" t="n">
        <f aca="false">SUMIFS(Clean_Data!$N$2:$N$2086,Clean_Data!$B$2:$B$2086,A109)</f>
        <v>13715</v>
      </c>
      <c r="F109" s="2" t="str">
        <f aca="false">IF(C109&gt;1,"Repeat","One-time")</f>
        <v>Repeat</v>
      </c>
      <c r="G109" s="13" t="n">
        <f aca="false">SUM($D$2:D109)/SUM($D$2:$D$800)</f>
        <v>0.506396205381963</v>
      </c>
    </row>
    <row r="110" customFormat="false" ht="15" hidden="false" customHeight="false" outlineLevel="0" collapsed="false">
      <c r="A110" s="2" t="s">
        <v>2720</v>
      </c>
      <c r="B110" s="2" t="str">
        <f aca="false">INDEX(Clean_Data!$F$2:$F$2086,MATCH(A110,Clean_Data!$B$2:$B$2086,0))</f>
        <v>Corporate</v>
      </c>
      <c r="C110" s="2" t="n">
        <f aca="false">COUNTIFS(Clean_Data!$B$2:$B$2086,A110)</f>
        <v>4</v>
      </c>
      <c r="D110" s="11" t="n">
        <f aca="false">SUMIFS(Clean_Data!$M$2:$M$2086,Clean_Data!$B$2:$B$2086,A110)</f>
        <v>54625</v>
      </c>
      <c r="E110" s="11" t="n">
        <f aca="false">SUMIFS(Clean_Data!$N$2:$N$2086,Clean_Data!$B$2:$B$2086,A110)</f>
        <v>13825</v>
      </c>
      <c r="F110" s="2" t="str">
        <f aca="false">IF(C110&gt;1,"Repeat","One-time")</f>
        <v>Repeat</v>
      </c>
      <c r="G110" s="13" t="n">
        <f aca="false">SUM($D$2:D110)/SUM($D$2:$D$800)</f>
        <v>0.509051543577867</v>
      </c>
    </row>
    <row r="111" customFormat="false" ht="15" hidden="false" customHeight="false" outlineLevel="0" collapsed="false">
      <c r="A111" s="2" t="s">
        <v>2791</v>
      </c>
      <c r="B111" s="2" t="str">
        <f aca="false">INDEX(Clean_Data!$F$2:$F$2086,MATCH(A111,Clean_Data!$B$2:$B$2086,0))</f>
        <v>Corporate</v>
      </c>
      <c r="C111" s="2" t="n">
        <f aca="false">COUNTIFS(Clean_Data!$B$2:$B$2086,A111)</f>
        <v>3</v>
      </c>
      <c r="D111" s="11" t="n">
        <f aca="false">SUMIFS(Clean_Data!$M$2:$M$2086,Clean_Data!$B$2:$B$2086,A111)</f>
        <v>54160</v>
      </c>
      <c r="E111" s="11" t="n">
        <f aca="false">SUMIFS(Clean_Data!$N$2:$N$2086,Clean_Data!$B$2:$B$2086,A111)</f>
        <v>14160</v>
      </c>
      <c r="F111" s="2" t="str">
        <f aca="false">IF(C111&gt;1,"Repeat","One-time")</f>
        <v>Repeat</v>
      </c>
      <c r="G111" s="13" t="n">
        <f aca="false">SUM($D$2:D111)/SUM($D$2:$D$800)</f>
        <v>0.511684277979517</v>
      </c>
    </row>
    <row r="112" customFormat="false" ht="15" hidden="false" customHeight="false" outlineLevel="0" collapsed="false">
      <c r="A112" s="2" t="s">
        <v>829</v>
      </c>
      <c r="B112" s="2" t="str">
        <f aca="false">INDEX(Clean_Data!$F$2:$F$2086,MATCH(A112,Clean_Data!$B$2:$B$2086,0))</f>
        <v>Corporate</v>
      </c>
      <c r="C112" s="2" t="n">
        <f aca="false">COUNTIFS(Clean_Data!$B$2:$B$2086,A112)</f>
        <v>3</v>
      </c>
      <c r="D112" s="11" t="n">
        <f aca="false">SUMIFS(Clean_Data!$M$2:$M$2086,Clean_Data!$B$2:$B$2086,A112)</f>
        <v>53575</v>
      </c>
      <c r="E112" s="11" t="n">
        <f aca="false">SUMIFS(Clean_Data!$N$2:$N$2086,Clean_Data!$B$2:$B$2086,A112)</f>
        <v>11775</v>
      </c>
      <c r="F112" s="2" t="str">
        <f aca="false">IF(C112&gt;1,"Repeat","One-time")</f>
        <v>Repeat</v>
      </c>
      <c r="G112" s="13" t="n">
        <f aca="false">SUM($D$2:D112)/SUM($D$2:$D$800)</f>
        <v>0.514288575349687</v>
      </c>
    </row>
    <row r="113" customFormat="false" ht="15" hidden="false" customHeight="false" outlineLevel="0" collapsed="false">
      <c r="A113" s="2" t="s">
        <v>1426</v>
      </c>
      <c r="B113" s="2" t="str">
        <f aca="false">INDEX(Clean_Data!$F$2:$F$2086,MATCH(A113,Clean_Data!$B$2:$B$2086,0))</f>
        <v>Corporate</v>
      </c>
      <c r="C113" s="2" t="n">
        <f aca="false">COUNTIFS(Clean_Data!$B$2:$B$2086,A113)</f>
        <v>3</v>
      </c>
      <c r="D113" s="11" t="n">
        <f aca="false">SUMIFS(Clean_Data!$M$2:$M$2086,Clean_Data!$B$2:$B$2086,A113)</f>
        <v>52245</v>
      </c>
      <c r="E113" s="11" t="n">
        <f aca="false">SUMIFS(Clean_Data!$N$2:$N$2086,Clean_Data!$B$2:$B$2086,A113)</f>
        <v>17245</v>
      </c>
      <c r="F113" s="2" t="str">
        <f aca="false">IF(C113&gt;1,"Repeat","One-time")</f>
        <v>Repeat</v>
      </c>
      <c r="G113" s="13" t="n">
        <f aca="false">SUM($D$2:D113)/SUM($D$2:$D$800)</f>
        <v>0.516828221007262</v>
      </c>
    </row>
    <row r="114" customFormat="false" ht="15" hidden="false" customHeight="false" outlineLevel="0" collapsed="false">
      <c r="A114" s="2" t="s">
        <v>896</v>
      </c>
      <c r="B114" s="2" t="str">
        <f aca="false">INDEX(Clean_Data!$F$2:$F$2086,MATCH(A114,Clean_Data!$B$2:$B$2086,0))</f>
        <v>Small Business</v>
      </c>
      <c r="C114" s="2" t="n">
        <f aca="false">COUNTIFS(Clean_Data!$B$2:$B$2086,A114)</f>
        <v>2</v>
      </c>
      <c r="D114" s="11" t="n">
        <f aca="false">SUMIFS(Clean_Data!$M$2:$M$2086,Clean_Data!$B$2:$B$2086,A114)</f>
        <v>52125</v>
      </c>
      <c r="E114" s="11" t="n">
        <f aca="false">SUMIFS(Clean_Data!$N$2:$N$2086,Clean_Data!$B$2:$B$2086,A114)</f>
        <v>16325</v>
      </c>
      <c r="F114" s="2" t="str">
        <f aca="false">IF(C114&gt;1,"Repeat","One-time")</f>
        <v>Repeat</v>
      </c>
      <c r="G114" s="13" t="n">
        <f aca="false">SUM($D$2:D114)/SUM($D$2:$D$800)</f>
        <v>0.519362033427609</v>
      </c>
    </row>
    <row r="115" customFormat="false" ht="15" hidden="false" customHeight="false" outlineLevel="0" collapsed="false">
      <c r="A115" s="2" t="s">
        <v>1509</v>
      </c>
      <c r="B115" s="2" t="str">
        <f aca="false">INDEX(Clean_Data!$F$2:$F$2086,MATCH(A115,Clean_Data!$B$2:$B$2086,0))</f>
        <v>Corporate</v>
      </c>
      <c r="C115" s="2" t="n">
        <f aca="false">COUNTIFS(Clean_Data!$B$2:$B$2086,A115)</f>
        <v>4</v>
      </c>
      <c r="D115" s="11" t="n">
        <f aca="false">SUMIFS(Clean_Data!$M$2:$M$2086,Clean_Data!$B$2:$B$2086,A115)</f>
        <v>51940</v>
      </c>
      <c r="E115" s="11" t="n">
        <f aca="false">SUMIFS(Clean_Data!$N$2:$N$2086,Clean_Data!$B$2:$B$2086,A115)</f>
        <v>13740</v>
      </c>
      <c r="F115" s="2" t="str">
        <f aca="false">IF(C115&gt;1,"Repeat","One-time")</f>
        <v>Repeat</v>
      </c>
      <c r="G115" s="13" t="n">
        <f aca="false">SUM($D$2:D115)/SUM($D$2:$D$800)</f>
        <v>0.521886852940565</v>
      </c>
    </row>
    <row r="116" customFormat="false" ht="15" hidden="false" customHeight="false" outlineLevel="0" collapsed="false">
      <c r="A116" s="2" t="s">
        <v>2486</v>
      </c>
      <c r="B116" s="2" t="str">
        <f aca="false">INDEX(Clean_Data!$F$2:$F$2086,MATCH(A116,Clean_Data!$B$2:$B$2086,0))</f>
        <v>Consumer</v>
      </c>
      <c r="C116" s="2" t="n">
        <f aca="false">COUNTIFS(Clean_Data!$B$2:$B$2086,A116)</f>
        <v>8</v>
      </c>
      <c r="D116" s="11" t="n">
        <f aca="false">SUMIFS(Clean_Data!$M$2:$M$2086,Clean_Data!$B$2:$B$2086,A116)</f>
        <v>51775</v>
      </c>
      <c r="E116" s="11" t="n">
        <f aca="false">SUMIFS(Clean_Data!$N$2:$N$2086,Clean_Data!$B$2:$B$2086,A116)</f>
        <v>15575</v>
      </c>
      <c r="F116" s="2" t="str">
        <f aca="false">IF(C116&gt;1,"Repeat","One-time")</f>
        <v>Repeat</v>
      </c>
      <c r="G116" s="13" t="n">
        <f aca="false">SUM($D$2:D116)/SUM($D$2:$D$800)</f>
        <v>0.524403651752335</v>
      </c>
    </row>
    <row r="117" customFormat="false" ht="15" hidden="false" customHeight="false" outlineLevel="0" collapsed="false">
      <c r="A117" s="2" t="s">
        <v>1404</v>
      </c>
      <c r="B117" s="2" t="str">
        <f aca="false">INDEX(Clean_Data!$F$2:$F$2086,MATCH(A117,Clean_Data!$B$2:$B$2086,0))</f>
        <v>Consumer</v>
      </c>
      <c r="C117" s="2" t="n">
        <f aca="false">COUNTIFS(Clean_Data!$B$2:$B$2086,A117)</f>
        <v>8</v>
      </c>
      <c r="D117" s="11" t="n">
        <f aca="false">SUMIFS(Clean_Data!$M$2:$M$2086,Clean_Data!$B$2:$B$2086,A117)</f>
        <v>51685</v>
      </c>
      <c r="E117" s="11" t="n">
        <f aca="false">SUMIFS(Clean_Data!$N$2:$N$2086,Clean_Data!$B$2:$B$2086,A117)</f>
        <v>15485</v>
      </c>
      <c r="F117" s="2" t="str">
        <f aca="false">IF(C117&gt;1,"Repeat","One-time")</f>
        <v>Repeat</v>
      </c>
      <c r="G117" s="13" t="n">
        <f aca="false">SUM($D$2:D117)/SUM($D$2:$D$800)</f>
        <v>0.526916075636184</v>
      </c>
    </row>
    <row r="118" customFormat="false" ht="15" hidden="false" customHeight="false" outlineLevel="0" collapsed="false">
      <c r="A118" s="2" t="s">
        <v>2499</v>
      </c>
      <c r="B118" s="2" t="str">
        <f aca="false">INDEX(Clean_Data!$F$2:$F$2086,MATCH(A118,Clean_Data!$B$2:$B$2086,0))</f>
        <v>Corporate</v>
      </c>
      <c r="C118" s="2" t="n">
        <f aca="false">COUNTIFS(Clean_Data!$B$2:$B$2086,A118)</f>
        <v>3</v>
      </c>
      <c r="D118" s="11" t="n">
        <f aca="false">SUMIFS(Clean_Data!$M$2:$M$2086,Clean_Data!$B$2:$B$2086,A118)</f>
        <v>51465</v>
      </c>
      <c r="E118" s="11" t="n">
        <f aca="false">SUMIFS(Clean_Data!$N$2:$N$2086,Clean_Data!$B$2:$B$2086,A118)</f>
        <v>16365</v>
      </c>
      <c r="F118" s="2" t="str">
        <f aca="false">IF(C118&gt;1,"Repeat","One-time")</f>
        <v>Repeat</v>
      </c>
      <c r="G118" s="13" t="n">
        <f aca="false">SUM($D$2:D118)/SUM($D$2:$D$800)</f>
        <v>0.529417805251785</v>
      </c>
    </row>
    <row r="119" customFormat="false" ht="15" hidden="false" customHeight="false" outlineLevel="0" collapsed="false">
      <c r="A119" s="2" t="s">
        <v>752</v>
      </c>
      <c r="B119" s="2" t="str">
        <f aca="false">INDEX(Clean_Data!$F$2:$F$2086,MATCH(A119,Clean_Data!$B$2:$B$2086,0))</f>
        <v>Corporate</v>
      </c>
      <c r="C119" s="2" t="n">
        <f aca="false">COUNTIFS(Clean_Data!$B$2:$B$2086,A119)</f>
        <v>5</v>
      </c>
      <c r="D119" s="11" t="n">
        <f aca="false">SUMIFS(Clean_Data!$M$2:$M$2086,Clean_Data!$B$2:$B$2086,A119)</f>
        <v>50790</v>
      </c>
      <c r="E119" s="11" t="n">
        <f aca="false">SUMIFS(Clean_Data!$N$2:$N$2086,Clean_Data!$B$2:$B$2086,A119)</f>
        <v>14890</v>
      </c>
      <c r="F119" s="2" t="str">
        <f aca="false">IF(C119&gt;1,"Repeat","One-time")</f>
        <v>Repeat</v>
      </c>
      <c r="G119" s="13" t="n">
        <f aca="false">SUM($D$2:D119)/SUM($D$2:$D$800)</f>
        <v>0.531886722907985</v>
      </c>
    </row>
    <row r="120" customFormat="false" ht="15" hidden="false" customHeight="false" outlineLevel="0" collapsed="false">
      <c r="A120" s="2" t="s">
        <v>2968</v>
      </c>
      <c r="B120" s="2" t="str">
        <f aca="false">INDEX(Clean_Data!$F$2:$F$2086,MATCH(A120,Clean_Data!$B$2:$B$2086,0))</f>
        <v>Consumer</v>
      </c>
      <c r="C120" s="2" t="n">
        <f aca="false">COUNTIFS(Clean_Data!$B$2:$B$2086,A120)</f>
        <v>8</v>
      </c>
      <c r="D120" s="11" t="n">
        <f aca="false">SUMIFS(Clean_Data!$M$2:$M$2086,Clean_Data!$B$2:$B$2086,A120)</f>
        <v>49800</v>
      </c>
      <c r="E120" s="11" t="n">
        <f aca="false">SUMIFS(Clean_Data!$N$2:$N$2086,Clean_Data!$B$2:$B$2086,A120)</f>
        <v>16400</v>
      </c>
      <c r="F120" s="2" t="str">
        <f aca="false">IF(C120&gt;1,"Repeat","One-time")</f>
        <v>Repeat</v>
      </c>
      <c r="G120" s="13" t="n">
        <f aca="false">SUM($D$2:D120)/SUM($D$2:$D$800)</f>
        <v>0.534307516357066</v>
      </c>
    </row>
    <row r="121" customFormat="false" ht="15" hidden="false" customHeight="false" outlineLevel="0" collapsed="false">
      <c r="A121" s="2" t="s">
        <v>224</v>
      </c>
      <c r="B121" s="2" t="str">
        <f aca="false">INDEX(Clean_Data!$F$2:$F$2086,MATCH(A121,Clean_Data!$B$2:$B$2086,0))</f>
        <v>Small Business</v>
      </c>
      <c r="C121" s="2" t="n">
        <f aca="false">COUNTIFS(Clean_Data!$B$2:$B$2086,A121)</f>
        <v>2</v>
      </c>
      <c r="D121" s="11" t="n">
        <f aca="false">SUMIFS(Clean_Data!$M$2:$M$2086,Clean_Data!$B$2:$B$2086,A121)</f>
        <v>49275</v>
      </c>
      <c r="E121" s="11" t="n">
        <f aca="false">SUMIFS(Clean_Data!$N$2:$N$2086,Clean_Data!$B$2:$B$2086,A121)</f>
        <v>14975</v>
      </c>
      <c r="F121" s="2" t="str">
        <f aca="false">IF(C121&gt;1,"Repeat","One-time")</f>
        <v>Repeat</v>
      </c>
      <c r="G121" s="13" t="n">
        <f aca="false">SUM($D$2:D121)/SUM($D$2:$D$800)</f>
        <v>0.536702789393279</v>
      </c>
    </row>
    <row r="122" customFormat="false" ht="15" hidden="false" customHeight="false" outlineLevel="0" collapsed="false">
      <c r="A122" s="2" t="s">
        <v>1655</v>
      </c>
      <c r="B122" s="2" t="str">
        <f aca="false">INDEX(Clean_Data!$F$2:$F$2086,MATCH(A122,Clean_Data!$B$2:$B$2086,0))</f>
        <v>Consumer</v>
      </c>
      <c r="C122" s="2" t="n">
        <f aca="false">COUNTIFS(Clean_Data!$B$2:$B$2086,A122)</f>
        <v>8</v>
      </c>
      <c r="D122" s="11" t="n">
        <f aca="false">SUMIFS(Clean_Data!$M$2:$M$2086,Clean_Data!$B$2:$B$2086,A122)</f>
        <v>48945</v>
      </c>
      <c r="E122" s="11" t="n">
        <f aca="false">SUMIFS(Clean_Data!$N$2:$N$2086,Clean_Data!$B$2:$B$2086,A122)</f>
        <v>17545</v>
      </c>
      <c r="F122" s="2" t="str">
        <f aca="false">IF(C122&gt;1,"Repeat","One-time")</f>
        <v>Repeat</v>
      </c>
      <c r="G122" s="13" t="n">
        <f aca="false">SUM($D$2:D122)/SUM($D$2:$D$800)</f>
        <v>0.539082021027119</v>
      </c>
    </row>
    <row r="123" customFormat="false" ht="15" hidden="false" customHeight="false" outlineLevel="0" collapsed="false">
      <c r="A123" s="2" t="s">
        <v>2268</v>
      </c>
      <c r="B123" s="2" t="str">
        <f aca="false">INDEX(Clean_Data!$F$2:$F$2086,MATCH(A123,Clean_Data!$B$2:$B$2086,0))</f>
        <v>Corporate</v>
      </c>
      <c r="C123" s="2" t="n">
        <f aca="false">COUNTIFS(Clean_Data!$B$2:$B$2086,A123)</f>
        <v>3</v>
      </c>
      <c r="D123" s="11" t="n">
        <f aca="false">SUMIFS(Clean_Data!$M$2:$M$2086,Clean_Data!$B$2:$B$2086,A123)</f>
        <v>48600</v>
      </c>
      <c r="E123" s="11" t="n">
        <f aca="false">SUMIFS(Clean_Data!$N$2:$N$2086,Clean_Data!$B$2:$B$2086,A123)</f>
        <v>11400</v>
      </c>
      <c r="F123" s="2" t="str">
        <f aca="false">IF(C123&gt;1,"Repeat","One-time")</f>
        <v>Repeat</v>
      </c>
      <c r="G123" s="13" t="n">
        <f aca="false">SUM($D$2:D123)/SUM($D$2:$D$800)</f>
        <v>0.541444482103932</v>
      </c>
    </row>
    <row r="124" customFormat="false" ht="15" hidden="false" customHeight="false" outlineLevel="0" collapsed="false">
      <c r="A124" s="2" t="s">
        <v>2945</v>
      </c>
      <c r="B124" s="2" t="str">
        <f aca="false">INDEX(Clean_Data!$F$2:$F$2086,MATCH(A124,Clean_Data!$B$2:$B$2086,0))</f>
        <v>Corporate</v>
      </c>
      <c r="C124" s="2" t="n">
        <f aca="false">COUNTIFS(Clean_Data!$B$2:$B$2086,A124)</f>
        <v>3</v>
      </c>
      <c r="D124" s="11" t="n">
        <f aca="false">SUMIFS(Clean_Data!$M$2:$M$2086,Clean_Data!$B$2:$B$2086,A124)</f>
        <v>48035</v>
      </c>
      <c r="E124" s="11" t="n">
        <f aca="false">SUMIFS(Clean_Data!$N$2:$N$2086,Clean_Data!$B$2:$B$2086,A124)</f>
        <v>12235</v>
      </c>
      <c r="F124" s="2" t="str">
        <f aca="false">IF(C124&gt;1,"Repeat","One-time")</f>
        <v>Repeat</v>
      </c>
      <c r="G124" s="13" t="n">
        <f aca="false">SUM($D$2:D124)/SUM($D$2:$D$800)</f>
        <v>0.54377947835547</v>
      </c>
    </row>
    <row r="125" customFormat="false" ht="15" hidden="false" customHeight="false" outlineLevel="0" collapsed="false">
      <c r="A125" s="2" t="s">
        <v>295</v>
      </c>
      <c r="B125" s="2" t="str">
        <f aca="false">INDEX(Clean_Data!$F$2:$F$2086,MATCH(A125,Clean_Data!$B$2:$B$2086,0))</f>
        <v>Small Business</v>
      </c>
      <c r="C125" s="2" t="n">
        <f aca="false">COUNTIFS(Clean_Data!$B$2:$B$2086,A125)</f>
        <v>3</v>
      </c>
      <c r="D125" s="11" t="n">
        <f aca="false">SUMIFS(Clean_Data!$M$2:$M$2086,Clean_Data!$B$2:$B$2086,A125)</f>
        <v>47820</v>
      </c>
      <c r="E125" s="11" t="n">
        <f aca="false">SUMIFS(Clean_Data!$N$2:$N$2086,Clean_Data!$B$2:$B$2086,A125)</f>
        <v>13420</v>
      </c>
      <c r="F125" s="2" t="str">
        <f aca="false">IF(C125&gt;1,"Repeat","One-time")</f>
        <v>Repeat</v>
      </c>
      <c r="G125" s="13" t="n">
        <f aca="false">SUM($D$2:D125)/SUM($D$2:$D$800)</f>
        <v>0.546104023390309</v>
      </c>
    </row>
    <row r="126" customFormat="false" ht="15" hidden="false" customHeight="false" outlineLevel="0" collapsed="false">
      <c r="A126" s="2" t="s">
        <v>486</v>
      </c>
      <c r="B126" s="2" t="str">
        <f aca="false">INDEX(Clean_Data!$F$2:$F$2086,MATCH(A126,Clean_Data!$B$2:$B$2086,0))</f>
        <v>Consumer</v>
      </c>
      <c r="C126" s="2" t="n">
        <f aca="false">COUNTIFS(Clean_Data!$B$2:$B$2086,A126)</f>
        <v>5</v>
      </c>
      <c r="D126" s="11" t="n">
        <f aca="false">SUMIFS(Clean_Data!$M$2:$M$2086,Clean_Data!$B$2:$B$2086,A126)</f>
        <v>47350</v>
      </c>
      <c r="E126" s="11" t="n">
        <f aca="false">SUMIFS(Clean_Data!$N$2:$N$2086,Clean_Data!$B$2:$B$2086,A126)</f>
        <v>16700</v>
      </c>
      <c r="F126" s="2" t="str">
        <f aca="false">IF(C126&gt;1,"Repeat","One-time")</f>
        <v>Repeat</v>
      </c>
      <c r="G126" s="13" t="n">
        <f aca="false">SUM($D$2:D126)/SUM($D$2:$D$800)</f>
        <v>0.548405721579344</v>
      </c>
    </row>
    <row r="127" customFormat="false" ht="15" hidden="false" customHeight="false" outlineLevel="0" collapsed="false">
      <c r="A127" s="2" t="s">
        <v>2962</v>
      </c>
      <c r="B127" s="2" t="str">
        <f aca="false">INDEX(Clean_Data!$F$2:$F$2086,MATCH(A127,Clean_Data!$B$2:$B$2086,0))</f>
        <v>Corporate</v>
      </c>
      <c r="C127" s="2" t="n">
        <f aca="false">COUNTIFS(Clean_Data!$B$2:$B$2086,A127)</f>
        <v>3</v>
      </c>
      <c r="D127" s="11" t="n">
        <f aca="false">SUMIFS(Clean_Data!$M$2:$M$2086,Clean_Data!$B$2:$B$2086,A127)</f>
        <v>46800</v>
      </c>
      <c r="E127" s="11" t="n">
        <f aca="false">SUMIFS(Clean_Data!$N$2:$N$2086,Clean_Data!$B$2:$B$2086,A127)</f>
        <v>11300</v>
      </c>
      <c r="F127" s="2" t="str">
        <f aca="false">IF(C127&gt;1,"Repeat","One-time")</f>
        <v>Repeat</v>
      </c>
      <c r="G127" s="13" t="n">
        <f aca="false">SUM($D$2:D127)/SUM($D$2:$D$800)</f>
        <v>0.550680684097757</v>
      </c>
    </row>
    <row r="128" customFormat="false" ht="15" hidden="false" customHeight="false" outlineLevel="0" collapsed="false">
      <c r="A128" s="2" t="s">
        <v>2047</v>
      </c>
      <c r="B128" s="2" t="str">
        <f aca="false">INDEX(Clean_Data!$F$2:$F$2086,MATCH(A128,Clean_Data!$B$2:$B$2086,0))</f>
        <v>Consumer</v>
      </c>
      <c r="C128" s="2" t="n">
        <f aca="false">COUNTIFS(Clean_Data!$B$2:$B$2086,A128)</f>
        <v>6</v>
      </c>
      <c r="D128" s="11" t="n">
        <f aca="false">SUMIFS(Clean_Data!$M$2:$M$2086,Clean_Data!$B$2:$B$2086,A128)</f>
        <v>46730</v>
      </c>
      <c r="E128" s="11" t="n">
        <f aca="false">SUMIFS(Clean_Data!$N$2:$N$2086,Clean_Data!$B$2:$B$2086,A128)</f>
        <v>13930</v>
      </c>
      <c r="F128" s="2" t="str">
        <f aca="false">IF(C128&gt;1,"Repeat","One-time")</f>
        <v>Repeat</v>
      </c>
      <c r="G128" s="13" t="n">
        <f aca="false">SUM($D$2:D128)/SUM($D$2:$D$800)</f>
        <v>0.552952243894454</v>
      </c>
    </row>
    <row r="129" customFormat="false" ht="15" hidden="false" customHeight="false" outlineLevel="0" collapsed="false">
      <c r="A129" s="2" t="s">
        <v>561</v>
      </c>
      <c r="B129" s="2" t="str">
        <f aca="false">INDEX(Clean_Data!$F$2:$F$2086,MATCH(A129,Clean_Data!$B$2:$B$2086,0))</f>
        <v>Corporate</v>
      </c>
      <c r="C129" s="2" t="n">
        <f aca="false">COUNTIFS(Clean_Data!$B$2:$B$2086,A129)</f>
        <v>2</v>
      </c>
      <c r="D129" s="11" t="n">
        <f aca="false">SUMIFS(Clean_Data!$M$2:$M$2086,Clean_Data!$B$2:$B$2086,A129)</f>
        <v>46600</v>
      </c>
      <c r="E129" s="11" t="n">
        <f aca="false">SUMIFS(Clean_Data!$N$2:$N$2086,Clean_Data!$B$2:$B$2086,A129)</f>
        <v>15400</v>
      </c>
      <c r="F129" s="2" t="str">
        <f aca="false">IF(C129&gt;1,"Repeat","One-time")</f>
        <v>Repeat</v>
      </c>
      <c r="G129" s="13" t="n">
        <f aca="false">SUM($D$2:D129)/SUM($D$2:$D$800)</f>
        <v>0.555217484350822</v>
      </c>
    </row>
    <row r="130" customFormat="false" ht="15" hidden="false" customHeight="false" outlineLevel="0" collapsed="false">
      <c r="A130" s="2" t="s">
        <v>741</v>
      </c>
      <c r="B130" s="2" t="str">
        <f aca="false">INDEX(Clean_Data!$F$2:$F$2086,MATCH(A130,Clean_Data!$B$2:$B$2086,0))</f>
        <v>Consumer</v>
      </c>
      <c r="C130" s="2" t="n">
        <f aca="false">COUNTIFS(Clean_Data!$B$2:$B$2086,A130)</f>
        <v>5</v>
      </c>
      <c r="D130" s="11" t="n">
        <f aca="false">SUMIFS(Clean_Data!$M$2:$M$2086,Clean_Data!$B$2:$B$2086,A130)</f>
        <v>46162.5</v>
      </c>
      <c r="E130" s="11" t="n">
        <f aca="false">SUMIFS(Clean_Data!$N$2:$N$2086,Clean_Data!$B$2:$B$2086,A130)</f>
        <v>14262.5</v>
      </c>
      <c r="F130" s="2" t="str">
        <f aca="false">IF(C130&gt;1,"Repeat","One-time")</f>
        <v>Repeat</v>
      </c>
      <c r="G130" s="13" t="n">
        <f aca="false">SUM($D$2:D130)/SUM($D$2:$D$800)</f>
        <v>0.557461457796468</v>
      </c>
    </row>
    <row r="131" customFormat="false" ht="15" hidden="false" customHeight="false" outlineLevel="0" collapsed="false">
      <c r="A131" s="2" t="s">
        <v>1576</v>
      </c>
      <c r="B131" s="2" t="str">
        <f aca="false">INDEX(Clean_Data!$F$2:$F$2086,MATCH(A131,Clean_Data!$B$2:$B$2086,0))</f>
        <v>Corporate</v>
      </c>
      <c r="C131" s="2" t="n">
        <f aca="false">COUNTIFS(Clean_Data!$B$2:$B$2086,A131)</f>
        <v>2</v>
      </c>
      <c r="D131" s="11" t="n">
        <f aca="false">SUMIFS(Clean_Data!$M$2:$M$2086,Clean_Data!$B$2:$B$2086,A131)</f>
        <v>46025</v>
      </c>
      <c r="E131" s="11" t="n">
        <f aca="false">SUMIFS(Clean_Data!$N$2:$N$2086,Clean_Data!$B$2:$B$2086,A131)</f>
        <v>11225</v>
      </c>
      <c r="F131" s="2" t="str">
        <f aca="false">IF(C131&gt;1,"Repeat","One-time")</f>
        <v>Repeat</v>
      </c>
      <c r="G131" s="13" t="n">
        <f aca="false">SUM($D$2:D131)/SUM($D$2:$D$800)</f>
        <v>0.559698747324458</v>
      </c>
    </row>
    <row r="132" customFormat="false" ht="15" hidden="false" customHeight="false" outlineLevel="0" collapsed="false">
      <c r="A132" s="2" t="s">
        <v>778</v>
      </c>
      <c r="B132" s="2" t="str">
        <f aca="false">INDEX(Clean_Data!$F$2:$F$2086,MATCH(A132,Clean_Data!$B$2:$B$2086,0))</f>
        <v>Corporate</v>
      </c>
      <c r="C132" s="2" t="n">
        <f aca="false">COUNTIFS(Clean_Data!$B$2:$B$2086,A132)</f>
        <v>4</v>
      </c>
      <c r="D132" s="11" t="n">
        <f aca="false">SUMIFS(Clean_Data!$M$2:$M$2086,Clean_Data!$B$2:$B$2086,A132)</f>
        <v>45762.5</v>
      </c>
      <c r="E132" s="11" t="n">
        <f aca="false">SUMIFS(Clean_Data!$N$2:$N$2086,Clean_Data!$B$2:$B$2086,A132)</f>
        <v>20512.5</v>
      </c>
      <c r="F132" s="2" t="str">
        <f aca="false">IF(C132&gt;1,"Repeat","One-time")</f>
        <v>Repeat</v>
      </c>
      <c r="G132" s="13" t="n">
        <f aca="false">SUM($D$2:D132)/SUM($D$2:$D$800)</f>
        <v>0.561923276646015</v>
      </c>
    </row>
    <row r="133" customFormat="false" ht="15" hidden="false" customHeight="false" outlineLevel="0" collapsed="false">
      <c r="A133" s="2" t="s">
        <v>976</v>
      </c>
      <c r="B133" s="2" t="str">
        <f aca="false">INDEX(Clean_Data!$F$2:$F$2086,MATCH(A133,Clean_Data!$B$2:$B$2086,0))</f>
        <v>Small Business</v>
      </c>
      <c r="C133" s="2" t="n">
        <f aca="false">COUNTIFS(Clean_Data!$B$2:$B$2086,A133)</f>
        <v>5</v>
      </c>
      <c r="D133" s="11" t="n">
        <f aca="false">SUMIFS(Clean_Data!$M$2:$M$2086,Clean_Data!$B$2:$B$2086,A133)</f>
        <v>45525</v>
      </c>
      <c r="E133" s="11" t="n">
        <f aca="false">SUMIFS(Clean_Data!$N$2:$N$2086,Clean_Data!$B$2:$B$2086,A133)</f>
        <v>14275</v>
      </c>
      <c r="F133" s="2" t="str">
        <f aca="false">IF(C133&gt;1,"Repeat","One-time")</f>
        <v>Repeat</v>
      </c>
      <c r="G133" s="13" t="n">
        <f aca="false">SUM($D$2:D133)/SUM($D$2:$D$800)</f>
        <v>0.564136261018894</v>
      </c>
    </row>
    <row r="134" customFormat="false" ht="15" hidden="false" customHeight="false" outlineLevel="0" collapsed="false">
      <c r="A134" s="2" t="s">
        <v>1030</v>
      </c>
      <c r="B134" s="2" t="str">
        <f aca="false">INDEX(Clean_Data!$F$2:$F$2086,MATCH(A134,Clean_Data!$B$2:$B$2086,0))</f>
        <v>Consumer</v>
      </c>
      <c r="C134" s="2" t="n">
        <f aca="false">COUNTIFS(Clean_Data!$B$2:$B$2086,A134)</f>
        <v>8</v>
      </c>
      <c r="D134" s="11" t="n">
        <f aca="false">SUMIFS(Clean_Data!$M$2:$M$2086,Clean_Data!$B$2:$B$2086,A134)</f>
        <v>45480</v>
      </c>
      <c r="E134" s="11" t="n">
        <f aca="false">SUMIFS(Clean_Data!$N$2:$N$2086,Clean_Data!$B$2:$B$2086,A134)</f>
        <v>15980</v>
      </c>
      <c r="F134" s="2" t="str">
        <f aca="false">IF(C134&gt;1,"Repeat","One-time")</f>
        <v>Repeat</v>
      </c>
      <c r="G134" s="13" t="n">
        <f aca="false">SUM($D$2:D134)/SUM($D$2:$D$800)</f>
        <v>0.566347057927813</v>
      </c>
    </row>
    <row r="135" customFormat="false" ht="15" hidden="false" customHeight="false" outlineLevel="0" collapsed="false">
      <c r="A135" s="2" t="s">
        <v>1375</v>
      </c>
      <c r="B135" s="2" t="str">
        <f aca="false">INDEX(Clean_Data!$F$2:$F$2086,MATCH(A135,Clean_Data!$B$2:$B$2086,0))</f>
        <v>Small Business</v>
      </c>
      <c r="C135" s="2" t="n">
        <f aca="false">COUNTIFS(Clean_Data!$B$2:$B$2086,A135)</f>
        <v>4</v>
      </c>
      <c r="D135" s="11" t="n">
        <f aca="false">SUMIFS(Clean_Data!$M$2:$M$2086,Clean_Data!$B$2:$B$2086,A135)</f>
        <v>45380</v>
      </c>
      <c r="E135" s="11" t="n">
        <f aca="false">SUMIFS(Clean_Data!$N$2:$N$2086,Clean_Data!$B$2:$B$2086,A135)</f>
        <v>14980</v>
      </c>
      <c r="F135" s="2" t="str">
        <f aca="false">IF(C135&gt;1,"Repeat","One-time")</f>
        <v>Repeat</v>
      </c>
      <c r="G135" s="13" t="n">
        <f aca="false">SUM($D$2:D135)/SUM($D$2:$D$800)</f>
        <v>0.56855299380571</v>
      </c>
    </row>
    <row r="136" customFormat="false" ht="15" hidden="false" customHeight="false" outlineLevel="0" collapsed="false">
      <c r="A136" s="2" t="s">
        <v>1115</v>
      </c>
      <c r="B136" s="2" t="str">
        <f aca="false">INDEX(Clean_Data!$F$2:$F$2086,MATCH(A136,Clean_Data!$B$2:$B$2086,0))</f>
        <v>Corporate</v>
      </c>
      <c r="C136" s="2" t="n">
        <f aca="false">COUNTIFS(Clean_Data!$B$2:$B$2086,A136)</f>
        <v>3</v>
      </c>
      <c r="D136" s="11" t="n">
        <f aca="false">SUMIFS(Clean_Data!$M$2:$M$2086,Clean_Data!$B$2:$B$2086,A136)</f>
        <v>45360</v>
      </c>
      <c r="E136" s="11" t="n">
        <f aca="false">SUMIFS(Clean_Data!$N$2:$N$2086,Clean_Data!$B$2:$B$2086,A136)</f>
        <v>13360</v>
      </c>
      <c r="F136" s="2" t="str">
        <f aca="false">IF(C136&gt;1,"Repeat","One-time")</f>
        <v>Repeat</v>
      </c>
      <c r="G136" s="13" t="n">
        <f aca="false">SUM($D$2:D136)/SUM($D$2:$D$800)</f>
        <v>0.570757957477402</v>
      </c>
    </row>
    <row r="137" customFormat="false" ht="15" hidden="false" customHeight="false" outlineLevel="0" collapsed="false">
      <c r="A137" s="2" t="s">
        <v>1210</v>
      </c>
      <c r="B137" s="2" t="str">
        <f aca="false">INDEX(Clean_Data!$F$2:$F$2086,MATCH(A137,Clean_Data!$B$2:$B$2086,0))</f>
        <v>Corporate</v>
      </c>
      <c r="C137" s="2" t="n">
        <f aca="false">COUNTIFS(Clean_Data!$B$2:$B$2086,A137)</f>
        <v>5</v>
      </c>
      <c r="D137" s="11" t="n">
        <f aca="false">SUMIFS(Clean_Data!$M$2:$M$2086,Clean_Data!$B$2:$B$2086,A137)</f>
        <v>45155</v>
      </c>
      <c r="E137" s="11" t="n">
        <f aca="false">SUMIFS(Clean_Data!$N$2:$N$2086,Clean_Data!$B$2:$B$2086,A137)</f>
        <v>18155</v>
      </c>
      <c r="F137" s="2" t="str">
        <f aca="false">IF(C137&gt;1,"Repeat","One-time")</f>
        <v>Repeat</v>
      </c>
      <c r="G137" s="13" t="n">
        <f aca="false">SUM($D$2:D137)/SUM($D$2:$D$800)</f>
        <v>0.572952956035499</v>
      </c>
    </row>
    <row r="138" customFormat="false" ht="15" hidden="false" customHeight="false" outlineLevel="0" collapsed="false">
      <c r="A138" s="2" t="s">
        <v>858</v>
      </c>
      <c r="B138" s="2" t="str">
        <f aca="false">INDEX(Clean_Data!$F$2:$F$2086,MATCH(A138,Clean_Data!$B$2:$B$2086,0))</f>
        <v>Small Business</v>
      </c>
      <c r="C138" s="2" t="n">
        <f aca="false">COUNTIFS(Clean_Data!$B$2:$B$2086,A138)</f>
        <v>1</v>
      </c>
      <c r="D138" s="11" t="n">
        <f aca="false">SUMIFS(Clean_Data!$M$2:$M$2086,Clean_Data!$B$2:$B$2086,A138)</f>
        <v>45000</v>
      </c>
      <c r="E138" s="11" t="n">
        <f aca="false">SUMIFS(Clean_Data!$N$2:$N$2086,Clean_Data!$B$2:$B$2086,A138)</f>
        <v>14000</v>
      </c>
      <c r="F138" s="2" t="str">
        <f aca="false">IF(C138&gt;1,"Repeat","One-time")</f>
        <v>One-time</v>
      </c>
      <c r="G138" s="13" t="n">
        <f aca="false">SUM($D$2:D138)/SUM($D$2:$D$800)</f>
        <v>0.575140419995511</v>
      </c>
    </row>
    <row r="139" customFormat="false" ht="15" hidden="false" customHeight="false" outlineLevel="0" collapsed="false">
      <c r="A139" s="2" t="s">
        <v>1358</v>
      </c>
      <c r="B139" s="2" t="str">
        <f aca="false">INDEX(Clean_Data!$F$2:$F$2086,MATCH(A139,Clean_Data!$B$2:$B$2086,0))</f>
        <v>Consumer</v>
      </c>
      <c r="C139" s="2" t="n">
        <f aca="false">COUNTIFS(Clean_Data!$B$2:$B$2086,A139)</f>
        <v>8</v>
      </c>
      <c r="D139" s="11" t="n">
        <f aca="false">SUMIFS(Clean_Data!$M$2:$M$2086,Clean_Data!$B$2:$B$2086,A139)</f>
        <v>44875</v>
      </c>
      <c r="E139" s="11" t="n">
        <f aca="false">SUMIFS(Clean_Data!$N$2:$N$2086,Clean_Data!$B$2:$B$2086,A139)</f>
        <v>14575</v>
      </c>
      <c r="F139" s="2" t="str">
        <f aca="false">IF(C139&gt;1,"Repeat","One-time")</f>
        <v>Repeat</v>
      </c>
      <c r="G139" s="13" t="n">
        <f aca="false">SUM($D$2:D139)/SUM($D$2:$D$800)</f>
        <v>0.577321807666745</v>
      </c>
    </row>
    <row r="140" customFormat="false" ht="15" hidden="false" customHeight="false" outlineLevel="0" collapsed="false">
      <c r="A140" s="2" t="s">
        <v>2795</v>
      </c>
      <c r="B140" s="2" t="str">
        <f aca="false">INDEX(Clean_Data!$F$2:$F$2086,MATCH(A140,Clean_Data!$B$2:$B$2086,0))</f>
        <v>Consumer</v>
      </c>
      <c r="C140" s="2" t="n">
        <f aca="false">COUNTIFS(Clean_Data!$B$2:$B$2086,A140)</f>
        <v>8</v>
      </c>
      <c r="D140" s="11" t="n">
        <f aca="false">SUMIFS(Clean_Data!$M$2:$M$2086,Clean_Data!$B$2:$B$2086,A140)</f>
        <v>44785</v>
      </c>
      <c r="E140" s="11" t="n">
        <f aca="false">SUMIFS(Clean_Data!$N$2:$N$2086,Clean_Data!$B$2:$B$2086,A140)</f>
        <v>15385</v>
      </c>
      <c r="F140" s="2" t="str">
        <f aca="false">IF(C140&gt;1,"Repeat","One-time")</f>
        <v>Repeat</v>
      </c>
      <c r="G140" s="13" t="n">
        <f aca="false">SUM($D$2:D140)/SUM($D$2:$D$800)</f>
        <v>0.57949882041006</v>
      </c>
    </row>
    <row r="141" customFormat="false" ht="15" hidden="false" customHeight="false" outlineLevel="0" collapsed="false">
      <c r="A141" s="2" t="s">
        <v>2549</v>
      </c>
      <c r="B141" s="2" t="str">
        <f aca="false">INDEX(Clean_Data!$F$2:$F$2086,MATCH(A141,Clean_Data!$B$2:$B$2086,0))</f>
        <v>Consumer</v>
      </c>
      <c r="C141" s="2" t="n">
        <f aca="false">COUNTIFS(Clean_Data!$B$2:$B$2086,A141)</f>
        <v>10</v>
      </c>
      <c r="D141" s="11" t="n">
        <f aca="false">SUMIFS(Clean_Data!$M$2:$M$2086,Clean_Data!$B$2:$B$2086,A141)</f>
        <v>44540</v>
      </c>
      <c r="E141" s="11" t="n">
        <f aca="false">SUMIFS(Clean_Data!$N$2:$N$2086,Clean_Data!$B$2:$B$2086,A141)</f>
        <v>13640</v>
      </c>
      <c r="F141" s="2" t="str">
        <f aca="false">IF(C141&gt;1,"Repeat","One-time")</f>
        <v>Repeat</v>
      </c>
      <c r="G141" s="13" t="n">
        <f aca="false">SUM($D$2:D141)/SUM($D$2:$D$800)</f>
        <v>0.581663923627369</v>
      </c>
    </row>
    <row r="142" customFormat="false" ht="15" hidden="false" customHeight="false" outlineLevel="0" collapsed="false">
      <c r="A142" s="2" t="s">
        <v>1108</v>
      </c>
      <c r="B142" s="2" t="str">
        <f aca="false">INDEX(Clean_Data!$F$2:$F$2086,MATCH(A142,Clean_Data!$B$2:$B$2086,0))</f>
        <v>Consumer</v>
      </c>
      <c r="C142" s="2" t="n">
        <f aca="false">COUNTIFS(Clean_Data!$B$2:$B$2086,A142)</f>
        <v>6</v>
      </c>
      <c r="D142" s="11" t="n">
        <f aca="false">SUMIFS(Clean_Data!$M$2:$M$2086,Clean_Data!$B$2:$B$2086,A142)</f>
        <v>44010</v>
      </c>
      <c r="E142" s="11" t="n">
        <f aca="false">SUMIFS(Clean_Data!$N$2:$N$2086,Clean_Data!$B$2:$B$2086,A142)</f>
        <v>13510</v>
      </c>
      <c r="F142" s="2" t="str">
        <f aca="false">IF(C142&gt;1,"Repeat","One-time")</f>
        <v>Repeat</v>
      </c>
      <c r="G142" s="13" t="n">
        <f aca="false">SUM($D$2:D142)/SUM($D$2:$D$800)</f>
        <v>0.583803263380261</v>
      </c>
    </row>
    <row r="143" customFormat="false" ht="15" hidden="false" customHeight="false" outlineLevel="0" collapsed="false">
      <c r="A143" s="2" t="s">
        <v>2449</v>
      </c>
      <c r="B143" s="2" t="str">
        <f aca="false">INDEX(Clean_Data!$F$2:$F$2086,MATCH(A143,Clean_Data!$B$2:$B$2086,0))</f>
        <v>Small Business</v>
      </c>
      <c r="C143" s="2" t="n">
        <f aca="false">COUNTIFS(Clean_Data!$B$2:$B$2086,A143)</f>
        <v>4</v>
      </c>
      <c r="D143" s="11" t="n">
        <f aca="false">SUMIFS(Clean_Data!$M$2:$M$2086,Clean_Data!$B$2:$B$2086,A143)</f>
        <v>43880</v>
      </c>
      <c r="E143" s="11" t="n">
        <f aca="false">SUMIFS(Clean_Data!$N$2:$N$2086,Clean_Data!$B$2:$B$2086,A143)</f>
        <v>11280</v>
      </c>
      <c r="F143" s="2" t="str">
        <f aca="false">IF(C143&gt;1,"Repeat","One-time")</f>
        <v>Repeat</v>
      </c>
      <c r="G143" s="13" t="n">
        <f aca="false">SUM($D$2:D143)/SUM($D$2:$D$800)</f>
        <v>0.585936283792824</v>
      </c>
    </row>
    <row r="144" customFormat="false" ht="15" hidden="false" customHeight="false" outlineLevel="0" collapsed="false">
      <c r="A144" s="2" t="s">
        <v>1506</v>
      </c>
      <c r="B144" s="2" t="str">
        <f aca="false">INDEX(Clean_Data!$F$2:$F$2086,MATCH(A144,Clean_Data!$B$2:$B$2086,0))</f>
        <v>Consumer</v>
      </c>
      <c r="C144" s="2" t="n">
        <f aca="false">COUNTIFS(Clean_Data!$B$2:$B$2086,A144)</f>
        <v>2</v>
      </c>
      <c r="D144" s="11" t="n">
        <f aca="false">SUMIFS(Clean_Data!$M$2:$M$2086,Clean_Data!$B$2:$B$2086,A144)</f>
        <v>43200</v>
      </c>
      <c r="E144" s="11" t="n">
        <f aca="false">SUMIFS(Clean_Data!$N$2:$N$2086,Clean_Data!$B$2:$B$2086,A144)</f>
        <v>12200</v>
      </c>
      <c r="F144" s="2" t="str">
        <f aca="false">IF(C144&gt;1,"Repeat","One-time")</f>
        <v>Repeat</v>
      </c>
      <c r="G144" s="13" t="n">
        <f aca="false">SUM($D$2:D144)/SUM($D$2:$D$800)</f>
        <v>0.588036249194436</v>
      </c>
    </row>
    <row r="145" customFormat="false" ht="15" hidden="false" customHeight="false" outlineLevel="0" collapsed="false">
      <c r="A145" s="2" t="s">
        <v>2757</v>
      </c>
      <c r="B145" s="2" t="str">
        <f aca="false">INDEX(Clean_Data!$F$2:$F$2086,MATCH(A145,Clean_Data!$B$2:$B$2086,0))</f>
        <v>Corporate</v>
      </c>
      <c r="C145" s="2" t="n">
        <f aca="false">COUNTIFS(Clean_Data!$B$2:$B$2086,A145)</f>
        <v>4</v>
      </c>
      <c r="D145" s="11" t="n">
        <f aca="false">SUMIFS(Clean_Data!$M$2:$M$2086,Clean_Data!$B$2:$B$2086,A145)</f>
        <v>43075</v>
      </c>
      <c r="E145" s="11" t="n">
        <f aca="false">SUMIFS(Clean_Data!$N$2:$N$2086,Clean_Data!$B$2:$B$2086,A145)</f>
        <v>15725</v>
      </c>
      <c r="F145" s="2" t="str">
        <f aca="false">IF(C145&gt;1,"Repeat","One-time")</f>
        <v>Repeat</v>
      </c>
      <c r="G145" s="13" t="n">
        <f aca="false">SUM($D$2:D145)/SUM($D$2:$D$800)</f>
        <v>0.59013013830727</v>
      </c>
    </row>
    <row r="146" customFormat="false" ht="15" hidden="false" customHeight="false" outlineLevel="0" collapsed="false">
      <c r="A146" s="2" t="s">
        <v>2912</v>
      </c>
      <c r="B146" s="2" t="str">
        <f aca="false">INDEX(Clean_Data!$F$2:$F$2086,MATCH(A146,Clean_Data!$B$2:$B$2086,0))</f>
        <v>Small Business</v>
      </c>
      <c r="C146" s="2" t="n">
        <f aca="false">COUNTIFS(Clean_Data!$B$2:$B$2086,A146)</f>
        <v>3</v>
      </c>
      <c r="D146" s="11" t="n">
        <f aca="false">SUMIFS(Clean_Data!$M$2:$M$2086,Clean_Data!$B$2:$B$2086,A146)</f>
        <v>43070</v>
      </c>
      <c r="E146" s="11" t="n">
        <f aca="false">SUMIFS(Clean_Data!$N$2:$N$2086,Clean_Data!$B$2:$B$2086,A146)</f>
        <v>14770</v>
      </c>
      <c r="F146" s="2" t="str">
        <f aca="false">IF(C146&gt;1,"Repeat","One-time")</f>
        <v>Repeat</v>
      </c>
      <c r="G146" s="13" t="n">
        <f aca="false">SUM($D$2:D146)/SUM($D$2:$D$800)</f>
        <v>0.592223784368553</v>
      </c>
    </row>
    <row r="147" customFormat="false" ht="15" hidden="false" customHeight="false" outlineLevel="0" collapsed="false">
      <c r="A147" s="2" t="s">
        <v>2662</v>
      </c>
      <c r="B147" s="2" t="str">
        <f aca="false">INDEX(Clean_Data!$F$2:$F$2086,MATCH(A147,Clean_Data!$B$2:$B$2086,0))</f>
        <v>Small Business</v>
      </c>
      <c r="C147" s="2" t="n">
        <f aca="false">COUNTIFS(Clean_Data!$B$2:$B$2086,A147)</f>
        <v>2</v>
      </c>
      <c r="D147" s="11" t="n">
        <f aca="false">SUMIFS(Clean_Data!$M$2:$M$2086,Clean_Data!$B$2:$B$2086,A147)</f>
        <v>43000</v>
      </c>
      <c r="E147" s="11" t="n">
        <f aca="false">SUMIFS(Clean_Data!$N$2:$N$2086,Clean_Data!$B$2:$B$2086,A147)</f>
        <v>15000</v>
      </c>
      <c r="F147" s="2" t="str">
        <f aca="false">IF(C147&gt;1,"Repeat","One-time")</f>
        <v>Repeat</v>
      </c>
      <c r="G147" s="13" t="n">
        <f aca="false">SUM($D$2:D147)/SUM($D$2:$D$800)</f>
        <v>0.59431402770812</v>
      </c>
    </row>
    <row r="148" customFormat="false" ht="15" hidden="false" customHeight="false" outlineLevel="0" collapsed="false">
      <c r="A148" s="2" t="s">
        <v>807</v>
      </c>
      <c r="B148" s="2" t="str">
        <f aca="false">INDEX(Clean_Data!$F$2:$F$2086,MATCH(A148,Clean_Data!$B$2:$B$2086,0))</f>
        <v>Consumer</v>
      </c>
      <c r="C148" s="2" t="n">
        <f aca="false">COUNTIFS(Clean_Data!$B$2:$B$2086,A148)</f>
        <v>4</v>
      </c>
      <c r="D148" s="11" t="n">
        <f aca="false">SUMIFS(Clean_Data!$M$2:$M$2086,Clean_Data!$B$2:$B$2086,A148)</f>
        <v>42845</v>
      </c>
      <c r="E148" s="11" t="n">
        <f aca="false">SUMIFS(Clean_Data!$N$2:$N$2086,Clean_Data!$B$2:$B$2086,A148)</f>
        <v>13445</v>
      </c>
      <c r="F148" s="2" t="str">
        <f aca="false">IF(C148&gt;1,"Repeat","One-time")</f>
        <v>Repeat</v>
      </c>
      <c r="G148" s="13" t="n">
        <f aca="false">SUM($D$2:D148)/SUM($D$2:$D$800)</f>
        <v>0.596396736449603</v>
      </c>
    </row>
    <row r="149" customFormat="false" ht="15" hidden="false" customHeight="false" outlineLevel="0" collapsed="false">
      <c r="A149" s="2" t="s">
        <v>584</v>
      </c>
      <c r="B149" s="2" t="str">
        <f aca="false">INDEX(Clean_Data!$F$2:$F$2086,MATCH(A149,Clean_Data!$B$2:$B$2086,0))</f>
        <v>Consumer</v>
      </c>
      <c r="C149" s="2" t="n">
        <f aca="false">COUNTIFS(Clean_Data!$B$2:$B$2086,A149)</f>
        <v>6</v>
      </c>
      <c r="D149" s="11" t="n">
        <f aca="false">SUMIFS(Clean_Data!$M$2:$M$2086,Clean_Data!$B$2:$B$2086,A149)</f>
        <v>42837.5</v>
      </c>
      <c r="E149" s="11" t="n">
        <f aca="false">SUMIFS(Clean_Data!$N$2:$N$2086,Clean_Data!$B$2:$B$2086,A149)</f>
        <v>10987.5</v>
      </c>
      <c r="F149" s="2" t="str">
        <f aca="false">IF(C149&gt;1,"Repeat","One-time")</f>
        <v>Repeat</v>
      </c>
      <c r="G149" s="13" t="n">
        <f aca="false">SUM($D$2:D149)/SUM($D$2:$D$800)</f>
        <v>0.598479080613759</v>
      </c>
    </row>
    <row r="150" customFormat="false" ht="15" hidden="false" customHeight="false" outlineLevel="0" collapsed="false">
      <c r="A150" s="2" t="s">
        <v>1805</v>
      </c>
      <c r="B150" s="2" t="str">
        <f aca="false">INDEX(Clean_Data!$F$2:$F$2086,MATCH(A150,Clean_Data!$B$2:$B$2086,0))</f>
        <v>Consumer</v>
      </c>
      <c r="C150" s="2" t="n">
        <f aca="false">COUNTIFS(Clean_Data!$B$2:$B$2086,A150)</f>
        <v>5</v>
      </c>
      <c r="D150" s="11" t="n">
        <f aca="false">SUMIFS(Clean_Data!$M$2:$M$2086,Clean_Data!$B$2:$B$2086,A150)</f>
        <v>42380</v>
      </c>
      <c r="E150" s="11" t="n">
        <f aca="false">SUMIFS(Clean_Data!$N$2:$N$2086,Clean_Data!$B$2:$B$2086,A150)</f>
        <v>12080</v>
      </c>
      <c r="F150" s="2" t="str">
        <f aca="false">IF(C150&gt;1,"Repeat","One-time")</f>
        <v>Repeat</v>
      </c>
      <c r="G150" s="13" t="n">
        <f aca="false">SUM($D$2:D150)/SUM($D$2:$D$800)</f>
        <v>0.600539185560988</v>
      </c>
    </row>
    <row r="151" customFormat="false" ht="15" hidden="false" customHeight="false" outlineLevel="0" collapsed="false">
      <c r="A151" s="2" t="s">
        <v>1937</v>
      </c>
      <c r="B151" s="2" t="str">
        <f aca="false">INDEX(Clean_Data!$F$2:$F$2086,MATCH(A151,Clean_Data!$B$2:$B$2086,0))</f>
        <v>Corporate</v>
      </c>
      <c r="C151" s="2" t="n">
        <f aca="false">COUNTIFS(Clean_Data!$B$2:$B$2086,A151)</f>
        <v>2</v>
      </c>
      <c r="D151" s="11" t="n">
        <f aca="false">SUMIFS(Clean_Data!$M$2:$M$2086,Clean_Data!$B$2:$B$2086,A151)</f>
        <v>42125</v>
      </c>
      <c r="E151" s="11" t="n">
        <f aca="false">SUMIFS(Clean_Data!$N$2:$N$2086,Clean_Data!$B$2:$B$2086,A151)</f>
        <v>10125</v>
      </c>
      <c r="F151" s="2" t="str">
        <f aca="false">IF(C151&gt;1,"Repeat","One-time")</f>
        <v>Repeat</v>
      </c>
      <c r="G151" s="13" t="n">
        <f aca="false">SUM($D$2:D151)/SUM($D$2:$D$800)</f>
        <v>0.60258689487911</v>
      </c>
    </row>
    <row r="152" customFormat="false" ht="15" hidden="false" customHeight="false" outlineLevel="0" collapsed="false">
      <c r="A152" s="2" t="s">
        <v>2249</v>
      </c>
      <c r="B152" s="2" t="str">
        <f aca="false">INDEX(Clean_Data!$F$2:$F$2086,MATCH(A152,Clean_Data!$B$2:$B$2086,0))</f>
        <v>Small Business</v>
      </c>
      <c r="C152" s="2" t="n">
        <f aca="false">COUNTIFS(Clean_Data!$B$2:$B$2086,A152)</f>
        <v>2</v>
      </c>
      <c r="D152" s="11" t="n">
        <f aca="false">SUMIFS(Clean_Data!$M$2:$M$2086,Clean_Data!$B$2:$B$2086,A152)</f>
        <v>42000</v>
      </c>
      <c r="E152" s="11" t="n">
        <f aca="false">SUMIFS(Clean_Data!$N$2:$N$2086,Clean_Data!$B$2:$B$2086,A152)</f>
        <v>14500</v>
      </c>
      <c r="F152" s="2" t="str">
        <f aca="false">IF(C152&gt;1,"Repeat","One-time")</f>
        <v>Repeat</v>
      </c>
      <c r="G152" s="13" t="n">
        <f aca="false">SUM($D$2:D152)/SUM($D$2:$D$800)</f>
        <v>0.604628527908455</v>
      </c>
    </row>
    <row r="153" customFormat="false" ht="15" hidden="false" customHeight="false" outlineLevel="0" collapsed="false">
      <c r="A153" s="2" t="s">
        <v>1063</v>
      </c>
      <c r="B153" s="2" t="str">
        <f aca="false">INDEX(Clean_Data!$F$2:$F$2086,MATCH(A153,Clean_Data!$B$2:$B$2086,0))</f>
        <v>Consumer</v>
      </c>
      <c r="C153" s="2" t="n">
        <f aca="false">COUNTIFS(Clean_Data!$B$2:$B$2086,A153)</f>
        <v>5</v>
      </c>
      <c r="D153" s="11" t="n">
        <f aca="false">SUMIFS(Clean_Data!$M$2:$M$2086,Clean_Data!$B$2:$B$2086,A153)</f>
        <v>41760</v>
      </c>
      <c r="E153" s="11" t="n">
        <f aca="false">SUMIFS(Clean_Data!$N$2:$N$2086,Clean_Data!$B$2:$B$2086,A153)</f>
        <v>12210</v>
      </c>
      <c r="F153" s="2" t="str">
        <f aca="false">IF(C153&gt;1,"Repeat","One-time")</f>
        <v>Repeat</v>
      </c>
      <c r="G153" s="13" t="n">
        <f aca="false">SUM($D$2:D153)/SUM($D$2:$D$800)</f>
        <v>0.606658494463346</v>
      </c>
    </row>
    <row r="154" customFormat="false" ht="15" hidden="false" customHeight="false" outlineLevel="0" collapsed="false">
      <c r="A154" s="2" t="s">
        <v>2337</v>
      </c>
      <c r="B154" s="2" t="str">
        <f aca="false">INDEX(Clean_Data!$F$2:$F$2086,MATCH(A154,Clean_Data!$B$2:$B$2086,0))</f>
        <v>Small Business</v>
      </c>
      <c r="C154" s="2" t="n">
        <f aca="false">COUNTIFS(Clean_Data!$B$2:$B$2086,A154)</f>
        <v>4</v>
      </c>
      <c r="D154" s="11" t="n">
        <f aca="false">SUMIFS(Clean_Data!$M$2:$M$2086,Clean_Data!$B$2:$B$2086,A154)</f>
        <v>41662.5</v>
      </c>
      <c r="E154" s="11" t="n">
        <f aca="false">SUMIFS(Clean_Data!$N$2:$N$2086,Clean_Data!$B$2:$B$2086,A154)</f>
        <v>12212.5</v>
      </c>
      <c r="F154" s="2" t="str">
        <f aca="false">IF(C154&gt;1,"Repeat","One-time")</f>
        <v>Repeat</v>
      </c>
      <c r="G154" s="13" t="n">
        <f aca="false">SUM($D$2:D154)/SUM($D$2:$D$800)</f>
        <v>0.608683721512991</v>
      </c>
    </row>
    <row r="155" customFormat="false" ht="15" hidden="false" customHeight="false" outlineLevel="0" collapsed="false">
      <c r="A155" s="2" t="s">
        <v>175</v>
      </c>
      <c r="B155" s="2" t="str">
        <f aca="false">INDEX(Clean_Data!$F$2:$F$2086,MATCH(A155,Clean_Data!$B$2:$B$2086,0))</f>
        <v>Consumer</v>
      </c>
      <c r="C155" s="2" t="n">
        <f aca="false">COUNTIFS(Clean_Data!$B$2:$B$2086,A155)</f>
        <v>10</v>
      </c>
      <c r="D155" s="11" t="n">
        <f aca="false">SUMIFS(Clean_Data!$M$2:$M$2086,Clean_Data!$B$2:$B$2086,A155)</f>
        <v>41240</v>
      </c>
      <c r="E155" s="11" t="n">
        <f aca="false">SUMIFS(Clean_Data!$N$2:$N$2086,Clean_Data!$B$2:$B$2086,A155)</f>
        <v>15740</v>
      </c>
      <c r="F155" s="2" t="str">
        <f aca="false">IF(C155&gt;1,"Repeat","One-time")</f>
        <v>Repeat</v>
      </c>
      <c r="G155" s="13" t="n">
        <f aca="false">SUM($D$2:D155)/SUM($D$2:$D$800)</f>
        <v>0.610688410706567</v>
      </c>
    </row>
    <row r="156" customFormat="false" ht="15" hidden="false" customHeight="false" outlineLevel="0" collapsed="false">
      <c r="A156" s="2" t="s">
        <v>2065</v>
      </c>
      <c r="B156" s="2" t="str">
        <f aca="false">INDEX(Clean_Data!$F$2:$F$2086,MATCH(A156,Clean_Data!$B$2:$B$2086,0))</f>
        <v>Consumer</v>
      </c>
      <c r="C156" s="2" t="n">
        <f aca="false">COUNTIFS(Clean_Data!$B$2:$B$2086,A156)</f>
        <v>3</v>
      </c>
      <c r="D156" s="11" t="n">
        <f aca="false">SUMIFS(Clean_Data!$M$2:$M$2086,Clean_Data!$B$2:$B$2086,A156)</f>
        <v>41212.5</v>
      </c>
      <c r="E156" s="11" t="n">
        <f aca="false">SUMIFS(Clean_Data!$N$2:$N$2086,Clean_Data!$B$2:$B$2086,A156)</f>
        <v>12412.5</v>
      </c>
      <c r="F156" s="2" t="str">
        <f aca="false">IF(C156&gt;1,"Repeat","One-time")</f>
        <v>Repeat</v>
      </c>
      <c r="G156" s="13" t="n">
        <f aca="false">SUM($D$2:D156)/SUM($D$2:$D$800)</f>
        <v>0.612691763116611</v>
      </c>
    </row>
    <row r="157" customFormat="false" ht="15" hidden="false" customHeight="false" outlineLevel="0" collapsed="false">
      <c r="A157" s="2" t="s">
        <v>1223</v>
      </c>
      <c r="B157" s="2" t="str">
        <f aca="false">INDEX(Clean_Data!$F$2:$F$2086,MATCH(A157,Clean_Data!$B$2:$B$2086,0))</f>
        <v>Small Business</v>
      </c>
      <c r="C157" s="2" t="n">
        <f aca="false">COUNTIFS(Clean_Data!$B$2:$B$2086,A157)</f>
        <v>3</v>
      </c>
      <c r="D157" s="11" t="n">
        <f aca="false">SUMIFS(Clean_Data!$M$2:$M$2086,Clean_Data!$B$2:$B$2086,A157)</f>
        <v>40850</v>
      </c>
      <c r="E157" s="11" t="n">
        <f aca="false">SUMIFS(Clean_Data!$N$2:$N$2086,Clean_Data!$B$2:$B$2086,A157)</f>
        <v>13450</v>
      </c>
      <c r="F157" s="2" t="str">
        <f aca="false">IF(C157&gt;1,"Repeat","One-time")</f>
        <v>Repeat</v>
      </c>
      <c r="G157" s="13" t="n">
        <f aca="false">SUM($D$2:D157)/SUM($D$2:$D$800)</f>
        <v>0.6146774942892</v>
      </c>
    </row>
    <row r="158" customFormat="false" ht="15" hidden="false" customHeight="false" outlineLevel="0" collapsed="false">
      <c r="A158" s="2" t="s">
        <v>2354</v>
      </c>
      <c r="B158" s="2" t="str">
        <f aca="false">INDEX(Clean_Data!$F$2:$F$2086,MATCH(A158,Clean_Data!$B$2:$B$2086,0))</f>
        <v>Corporate</v>
      </c>
      <c r="C158" s="2" t="n">
        <f aca="false">COUNTIFS(Clean_Data!$B$2:$B$2086,A158)</f>
        <v>2</v>
      </c>
      <c r="D158" s="11" t="n">
        <f aca="false">SUMIFS(Clean_Data!$M$2:$M$2086,Clean_Data!$B$2:$B$2086,A158)</f>
        <v>40540</v>
      </c>
      <c r="E158" s="11" t="n">
        <f aca="false">SUMIFS(Clean_Data!$N$2:$N$2086,Clean_Data!$B$2:$B$2086,A158)</f>
        <v>14140</v>
      </c>
      <c r="F158" s="2" t="str">
        <f aca="false">IF(C158&gt;1,"Repeat","One-time")</f>
        <v>Repeat</v>
      </c>
      <c r="G158" s="13" t="n">
        <f aca="false">SUM($D$2:D158)/SUM($D$2:$D$800)</f>
        <v>0.61664815626562</v>
      </c>
    </row>
    <row r="159" customFormat="false" ht="15" hidden="false" customHeight="false" outlineLevel="0" collapsed="false">
      <c r="A159" s="2" t="s">
        <v>281</v>
      </c>
      <c r="B159" s="2" t="str">
        <f aca="false">INDEX(Clean_Data!$F$2:$F$2086,MATCH(A159,Clean_Data!$B$2:$B$2086,0))</f>
        <v>Small Business</v>
      </c>
      <c r="C159" s="2" t="n">
        <f aca="false">COUNTIFS(Clean_Data!$B$2:$B$2086,A159)</f>
        <v>2</v>
      </c>
      <c r="D159" s="11" t="n">
        <f aca="false">SUMIFS(Clean_Data!$M$2:$M$2086,Clean_Data!$B$2:$B$2086,A159)</f>
        <v>40500</v>
      </c>
      <c r="E159" s="11" t="n">
        <f aca="false">SUMIFS(Clean_Data!$N$2:$N$2086,Clean_Data!$B$2:$B$2086,A159)</f>
        <v>11100</v>
      </c>
      <c r="F159" s="2" t="str">
        <f aca="false">IF(C159&gt;1,"Repeat","One-time")</f>
        <v>Repeat</v>
      </c>
      <c r="G159" s="13" t="n">
        <f aca="false">SUM($D$2:D159)/SUM($D$2:$D$800)</f>
        <v>0.618616873829631</v>
      </c>
    </row>
    <row r="160" customFormat="false" ht="15" hidden="false" customHeight="false" outlineLevel="0" collapsed="false">
      <c r="A160" s="2" t="s">
        <v>376</v>
      </c>
      <c r="B160" s="2" t="str">
        <f aca="false">INDEX(Clean_Data!$F$2:$F$2086,MATCH(A160,Clean_Data!$B$2:$B$2086,0))</f>
        <v>Consumer</v>
      </c>
      <c r="C160" s="2" t="n">
        <f aca="false">COUNTIFS(Clean_Data!$B$2:$B$2086,A160)</f>
        <v>4</v>
      </c>
      <c r="D160" s="11" t="n">
        <f aca="false">SUMIFS(Clean_Data!$M$2:$M$2086,Clean_Data!$B$2:$B$2086,A160)</f>
        <v>40350</v>
      </c>
      <c r="E160" s="11" t="n">
        <f aca="false">SUMIFS(Clean_Data!$N$2:$N$2086,Clean_Data!$B$2:$B$2086,A160)</f>
        <v>10350</v>
      </c>
      <c r="F160" s="2" t="str">
        <f aca="false">IF(C160&gt;1,"Repeat","One-time")</f>
        <v>Repeat</v>
      </c>
      <c r="G160" s="13" t="n">
        <f aca="false">SUM($D$2:D160)/SUM($D$2:$D$800)</f>
        <v>0.620578299847108</v>
      </c>
    </row>
    <row r="161" customFormat="false" ht="15" hidden="false" customHeight="false" outlineLevel="0" collapsed="false">
      <c r="A161" s="2" t="s">
        <v>120</v>
      </c>
      <c r="B161" s="2" t="str">
        <f aca="false">INDEX(Clean_Data!$F$2:$F$2086,MATCH(A161,Clean_Data!$B$2:$B$2086,0))</f>
        <v>Consumer</v>
      </c>
      <c r="C161" s="2" t="n">
        <f aca="false">COUNTIFS(Clean_Data!$B$2:$B$2086,A161)</f>
        <v>6</v>
      </c>
      <c r="D161" s="11" t="n">
        <f aca="false">SUMIFS(Clean_Data!$M$2:$M$2086,Clean_Data!$B$2:$B$2086,A161)</f>
        <v>40350</v>
      </c>
      <c r="E161" s="11" t="n">
        <f aca="false">SUMIFS(Clean_Data!$N$2:$N$2086,Clean_Data!$B$2:$B$2086,A161)</f>
        <v>12650</v>
      </c>
      <c r="F161" s="2" t="str">
        <f aca="false">IF(C161&gt;1,"Repeat","One-time")</f>
        <v>Repeat</v>
      </c>
      <c r="G161" s="13" t="n">
        <f aca="false">SUM($D$2:D161)/SUM($D$2:$D$800)</f>
        <v>0.622539725864586</v>
      </c>
    </row>
    <row r="162" customFormat="false" ht="15" hidden="false" customHeight="false" outlineLevel="0" collapsed="false">
      <c r="A162" s="2" t="s">
        <v>2401</v>
      </c>
      <c r="B162" s="2" t="str">
        <f aca="false">INDEX(Clean_Data!$F$2:$F$2086,MATCH(A162,Clean_Data!$B$2:$B$2086,0))</f>
        <v>Small Business</v>
      </c>
      <c r="C162" s="2" t="n">
        <f aca="false">COUNTIFS(Clean_Data!$B$2:$B$2086,A162)</f>
        <v>2</v>
      </c>
      <c r="D162" s="11" t="n">
        <f aca="false">SUMIFS(Clean_Data!$M$2:$M$2086,Clean_Data!$B$2:$B$2086,A162)</f>
        <v>39800</v>
      </c>
      <c r="E162" s="11" t="n">
        <f aca="false">SUMIFS(Clean_Data!$N$2:$N$2086,Clean_Data!$B$2:$B$2086,A162)</f>
        <v>13400</v>
      </c>
      <c r="F162" s="2" t="str">
        <f aca="false">IF(C162&gt;1,"Repeat","One-time")</f>
        <v>Repeat</v>
      </c>
      <c r="G162" s="13" t="n">
        <f aca="false">SUM($D$2:D162)/SUM($D$2:$D$800)</f>
        <v>0.624474416211441</v>
      </c>
    </row>
    <row r="163" customFormat="false" ht="15" hidden="false" customHeight="false" outlineLevel="0" collapsed="false">
      <c r="A163" s="2" t="s">
        <v>2667</v>
      </c>
      <c r="B163" s="2" t="str">
        <f aca="false">INDEX(Clean_Data!$F$2:$F$2086,MATCH(A163,Clean_Data!$B$2:$B$2086,0))</f>
        <v>Consumer</v>
      </c>
      <c r="C163" s="2" t="n">
        <f aca="false">COUNTIFS(Clean_Data!$B$2:$B$2086,A163)</f>
        <v>6</v>
      </c>
      <c r="D163" s="11" t="n">
        <f aca="false">SUMIFS(Clean_Data!$M$2:$M$2086,Clean_Data!$B$2:$B$2086,A163)</f>
        <v>39280</v>
      </c>
      <c r="E163" s="11" t="n">
        <f aca="false">SUMIFS(Clean_Data!$N$2:$N$2086,Clean_Data!$B$2:$B$2086,A163)</f>
        <v>14280</v>
      </c>
      <c r="F163" s="2" t="str">
        <f aca="false">IF(C163&gt;1,"Repeat","One-time")</f>
        <v>Repeat</v>
      </c>
      <c r="G163" s="13" t="n">
        <f aca="false">SUM($D$2:D163)/SUM($D$2:$D$800)</f>
        <v>0.626383829196981</v>
      </c>
    </row>
    <row r="164" customFormat="false" ht="15" hidden="false" customHeight="false" outlineLevel="0" collapsed="false">
      <c r="A164" s="2" t="s">
        <v>706</v>
      </c>
      <c r="B164" s="2" t="str">
        <f aca="false">INDEX(Clean_Data!$F$2:$F$2086,MATCH(A164,Clean_Data!$B$2:$B$2086,0))</f>
        <v>Small Business</v>
      </c>
      <c r="C164" s="2" t="n">
        <f aca="false">COUNTIFS(Clean_Data!$B$2:$B$2086,A164)</f>
        <v>4</v>
      </c>
      <c r="D164" s="11" t="n">
        <f aca="false">SUMIFS(Clean_Data!$M$2:$M$2086,Clean_Data!$B$2:$B$2086,A164)</f>
        <v>38940</v>
      </c>
      <c r="E164" s="11" t="n">
        <f aca="false">SUMIFS(Clean_Data!$N$2:$N$2086,Clean_Data!$B$2:$B$2086,A164)</f>
        <v>11140</v>
      </c>
      <c r="F164" s="2" t="str">
        <f aca="false">IF(C164&gt;1,"Repeat","One-time")</f>
        <v>Repeat</v>
      </c>
      <c r="G164" s="13" t="n">
        <f aca="false">SUM($D$2:D164)/SUM($D$2:$D$800)</f>
        <v>0.628276714677045</v>
      </c>
    </row>
    <row r="165" customFormat="false" ht="15" hidden="false" customHeight="false" outlineLevel="0" collapsed="false">
      <c r="A165" s="2" t="s">
        <v>2151</v>
      </c>
      <c r="B165" s="2" t="str">
        <f aca="false">INDEX(Clean_Data!$F$2:$F$2086,MATCH(A165,Clean_Data!$B$2:$B$2086,0))</f>
        <v>Consumer</v>
      </c>
      <c r="C165" s="2" t="n">
        <f aca="false">COUNTIFS(Clean_Data!$B$2:$B$2086,A165)</f>
        <v>6</v>
      </c>
      <c r="D165" s="11" t="n">
        <f aca="false">SUMIFS(Clean_Data!$M$2:$M$2086,Clean_Data!$B$2:$B$2086,A165)</f>
        <v>38820</v>
      </c>
      <c r="E165" s="11" t="n">
        <f aca="false">SUMIFS(Clean_Data!$N$2:$N$2086,Clean_Data!$B$2:$B$2086,A165)</f>
        <v>12920</v>
      </c>
      <c r="F165" s="2" t="str">
        <f aca="false">IF(C165&gt;1,"Repeat","One-time")</f>
        <v>Repeat</v>
      </c>
      <c r="G165" s="13" t="n">
        <f aca="false">SUM($D$2:D165)/SUM($D$2:$D$800)</f>
        <v>0.630163766919882</v>
      </c>
    </row>
    <row r="166" customFormat="false" ht="15" hidden="false" customHeight="false" outlineLevel="0" collapsed="false">
      <c r="A166" s="2" t="s">
        <v>68</v>
      </c>
      <c r="B166" s="2" t="str">
        <f aca="false">INDEX(Clean_Data!$F$2:$F$2086,MATCH(A166,Clean_Data!$B$2:$B$2086,0))</f>
        <v>Small Business</v>
      </c>
      <c r="C166" s="2" t="n">
        <f aca="false">COUNTIFS(Clean_Data!$B$2:$B$2086,A166)</f>
        <v>2</v>
      </c>
      <c r="D166" s="11" t="n">
        <f aca="false">SUMIFS(Clean_Data!$M$2:$M$2086,Clean_Data!$B$2:$B$2086,A166)</f>
        <v>38625</v>
      </c>
      <c r="E166" s="11" t="n">
        <f aca="false">SUMIFS(Clean_Data!$N$2:$N$2086,Clean_Data!$B$2:$B$2086,A166)</f>
        <v>11425</v>
      </c>
      <c r="F166" s="2" t="str">
        <f aca="false">IF(C166&gt;1,"Repeat","One-time")</f>
        <v>Repeat</v>
      </c>
      <c r="G166" s="13" t="n">
        <f aca="false">SUM($D$2:D166)/SUM($D$2:$D$800)</f>
        <v>0.632041340152226</v>
      </c>
    </row>
    <row r="167" customFormat="false" ht="15" hidden="false" customHeight="false" outlineLevel="0" collapsed="false">
      <c r="A167" s="2" t="s">
        <v>915</v>
      </c>
      <c r="B167" s="2" t="str">
        <f aca="false">INDEX(Clean_Data!$F$2:$F$2086,MATCH(A167,Clean_Data!$B$2:$B$2086,0))</f>
        <v>Consumer</v>
      </c>
      <c r="C167" s="2" t="n">
        <f aca="false">COUNTIFS(Clean_Data!$B$2:$B$2086,A167)</f>
        <v>3</v>
      </c>
      <c r="D167" s="11" t="n">
        <f aca="false">SUMIFS(Clean_Data!$M$2:$M$2086,Clean_Data!$B$2:$B$2086,A167)</f>
        <v>38550</v>
      </c>
      <c r="E167" s="11" t="n">
        <f aca="false">SUMIFS(Clean_Data!$N$2:$N$2086,Clean_Data!$B$2:$B$2086,A167)</f>
        <v>10850</v>
      </c>
      <c r="F167" s="2" t="str">
        <f aca="false">IF(C167&gt;1,"Repeat","One-time")</f>
        <v>Repeat</v>
      </c>
      <c r="G167" s="13" t="n">
        <f aca="false">SUM($D$2:D167)/SUM($D$2:$D$800)</f>
        <v>0.633915267611303</v>
      </c>
    </row>
    <row r="168" customFormat="false" ht="15" hidden="false" customHeight="false" outlineLevel="0" collapsed="false">
      <c r="A168" s="2" t="s">
        <v>113</v>
      </c>
      <c r="B168" s="2" t="str">
        <f aca="false">INDEX(Clean_Data!$F$2:$F$2086,MATCH(A168,Clean_Data!$B$2:$B$2086,0))</f>
        <v>Small Business</v>
      </c>
      <c r="C168" s="2" t="n">
        <f aca="false">COUNTIFS(Clean_Data!$B$2:$B$2086,A168)</f>
        <v>3</v>
      </c>
      <c r="D168" s="11" t="n">
        <f aca="false">SUMIFS(Clean_Data!$M$2:$M$2086,Clean_Data!$B$2:$B$2086,A168)</f>
        <v>37900</v>
      </c>
      <c r="E168" s="11" t="n">
        <f aca="false">SUMIFS(Clean_Data!$N$2:$N$2086,Clean_Data!$B$2:$B$2086,A168)</f>
        <v>12500</v>
      </c>
      <c r="F168" s="2" t="str">
        <f aca="false">IF(C168&gt;1,"Repeat","One-time")</f>
        <v>Repeat</v>
      </c>
      <c r="G168" s="13" t="n">
        <f aca="false">SUM($D$2:D168)/SUM($D$2:$D$800)</f>
        <v>0.635757598368735</v>
      </c>
    </row>
    <row r="169" customFormat="false" ht="15" hidden="false" customHeight="false" outlineLevel="0" collapsed="false">
      <c r="A169" s="2" t="s">
        <v>2469</v>
      </c>
      <c r="B169" s="2" t="str">
        <f aca="false">INDEX(Clean_Data!$F$2:$F$2086,MATCH(A169,Clean_Data!$B$2:$B$2086,0))</f>
        <v>Consumer</v>
      </c>
      <c r="C169" s="2" t="n">
        <f aca="false">COUNTIFS(Clean_Data!$B$2:$B$2086,A169)</f>
        <v>7</v>
      </c>
      <c r="D169" s="11" t="n">
        <f aca="false">SUMIFS(Clean_Data!$M$2:$M$2086,Clean_Data!$B$2:$B$2086,A169)</f>
        <v>37600</v>
      </c>
      <c r="E169" s="11" t="n">
        <f aca="false">SUMIFS(Clean_Data!$N$2:$N$2086,Clean_Data!$B$2:$B$2086,A169)</f>
        <v>11750</v>
      </c>
      <c r="F169" s="2" t="str">
        <f aca="false">IF(C169&gt;1,"Repeat","One-time")</f>
        <v>Repeat</v>
      </c>
      <c r="G169" s="13" t="n">
        <f aca="false">SUM($D$2:D169)/SUM($D$2:$D$800)</f>
        <v>0.637585346033101</v>
      </c>
    </row>
    <row r="170" customFormat="false" ht="15" hidden="false" customHeight="false" outlineLevel="0" collapsed="false">
      <c r="A170" s="2" t="s">
        <v>2237</v>
      </c>
      <c r="B170" s="2" t="str">
        <f aca="false">INDEX(Clean_Data!$F$2:$F$2086,MATCH(A170,Clean_Data!$B$2:$B$2086,0))</f>
        <v>Consumer</v>
      </c>
      <c r="C170" s="2" t="n">
        <f aca="false">COUNTIFS(Clean_Data!$B$2:$B$2086,A170)</f>
        <v>5</v>
      </c>
      <c r="D170" s="11" t="n">
        <f aca="false">SUMIFS(Clean_Data!$M$2:$M$2086,Clean_Data!$B$2:$B$2086,A170)</f>
        <v>37275</v>
      </c>
      <c r="E170" s="11" t="n">
        <f aca="false">SUMIFS(Clean_Data!$N$2:$N$2086,Clean_Data!$B$2:$B$2086,A170)</f>
        <v>11225</v>
      </c>
      <c r="F170" s="2" t="str">
        <f aca="false">IF(C170&gt;1,"Repeat","One-time")</f>
        <v>Repeat</v>
      </c>
      <c r="G170" s="13" t="n">
        <f aca="false">SUM($D$2:D170)/SUM($D$2:$D$800)</f>
        <v>0.639397295346644</v>
      </c>
    </row>
    <row r="171" customFormat="false" ht="15" hidden="false" customHeight="false" outlineLevel="0" collapsed="false">
      <c r="A171" s="2" t="s">
        <v>1783</v>
      </c>
      <c r="B171" s="2" t="str">
        <f aca="false">INDEX(Clean_Data!$F$2:$F$2086,MATCH(A171,Clean_Data!$B$2:$B$2086,0))</f>
        <v>Consumer</v>
      </c>
      <c r="C171" s="2" t="n">
        <f aca="false">COUNTIFS(Clean_Data!$B$2:$B$2086,A171)</f>
        <v>5</v>
      </c>
      <c r="D171" s="11" t="n">
        <f aca="false">SUMIFS(Clean_Data!$M$2:$M$2086,Clean_Data!$B$2:$B$2086,A171)</f>
        <v>37060</v>
      </c>
      <c r="E171" s="11" t="n">
        <f aca="false">SUMIFS(Clean_Data!$N$2:$N$2086,Clean_Data!$B$2:$B$2086,A171)</f>
        <v>12660</v>
      </c>
      <c r="F171" s="2" t="str">
        <f aca="false">IF(C171&gt;1,"Repeat","One-time")</f>
        <v>Repeat</v>
      </c>
      <c r="G171" s="13" t="n">
        <f aca="false">SUM($D$2:D171)/SUM($D$2:$D$800)</f>
        <v>0.64119879344349</v>
      </c>
    </row>
    <row r="172" customFormat="false" ht="15" hidden="false" customHeight="false" outlineLevel="0" collapsed="false">
      <c r="A172" s="2" t="s">
        <v>822</v>
      </c>
      <c r="B172" s="2" t="str">
        <f aca="false">INDEX(Clean_Data!$F$2:$F$2086,MATCH(A172,Clean_Data!$B$2:$B$2086,0))</f>
        <v>Small Business</v>
      </c>
      <c r="C172" s="2" t="n">
        <f aca="false">COUNTIFS(Clean_Data!$B$2:$B$2086,A172)</f>
        <v>3</v>
      </c>
      <c r="D172" s="11" t="n">
        <f aca="false">SUMIFS(Clean_Data!$M$2:$M$2086,Clean_Data!$B$2:$B$2086,A172)</f>
        <v>37050</v>
      </c>
      <c r="E172" s="11" t="n">
        <f aca="false">SUMIFS(Clean_Data!$N$2:$N$2086,Clean_Data!$B$2:$B$2086,A172)</f>
        <v>11250</v>
      </c>
      <c r="F172" s="2" t="str">
        <f aca="false">IF(C172&gt;1,"Repeat","One-time")</f>
        <v>Repeat</v>
      </c>
      <c r="G172" s="13" t="n">
        <f aca="false">SUM($D$2:D172)/SUM($D$2:$D$800)</f>
        <v>0.642999805437233</v>
      </c>
    </row>
    <row r="173" customFormat="false" ht="15" hidden="false" customHeight="false" outlineLevel="0" collapsed="false">
      <c r="A173" s="2" t="s">
        <v>422</v>
      </c>
      <c r="B173" s="2" t="str">
        <f aca="false">INDEX(Clean_Data!$F$2:$F$2086,MATCH(A173,Clean_Data!$B$2:$B$2086,0))</f>
        <v>Corporate</v>
      </c>
      <c r="C173" s="2" t="n">
        <f aca="false">COUNTIFS(Clean_Data!$B$2:$B$2086,A173)</f>
        <v>3</v>
      </c>
      <c r="D173" s="11" t="n">
        <f aca="false">SUMIFS(Clean_Data!$M$2:$M$2086,Clean_Data!$B$2:$B$2086,A173)</f>
        <v>36930</v>
      </c>
      <c r="E173" s="11" t="n">
        <f aca="false">SUMIFS(Clean_Data!$N$2:$N$2086,Clean_Data!$B$2:$B$2086,A173)</f>
        <v>10530</v>
      </c>
      <c r="F173" s="2" t="str">
        <f aca="false">IF(C173&gt;1,"Repeat","One-time")</f>
        <v>Repeat</v>
      </c>
      <c r="G173" s="13" t="n">
        <f aca="false">SUM($D$2:D173)/SUM($D$2:$D$800)</f>
        <v>0.64479498419375</v>
      </c>
    </row>
    <row r="174" customFormat="false" ht="15" hidden="false" customHeight="false" outlineLevel="0" collapsed="false">
      <c r="A174" s="2" t="s">
        <v>713</v>
      </c>
      <c r="B174" s="2" t="str">
        <f aca="false">INDEX(Clean_Data!$F$2:$F$2086,MATCH(A174,Clean_Data!$B$2:$B$2086,0))</f>
        <v>Consumer</v>
      </c>
      <c r="C174" s="2" t="n">
        <f aca="false">COUNTIFS(Clean_Data!$B$2:$B$2086,A174)</f>
        <v>3</v>
      </c>
      <c r="D174" s="11" t="n">
        <f aca="false">SUMIFS(Clean_Data!$M$2:$M$2086,Clean_Data!$B$2:$B$2086,A174)</f>
        <v>36900</v>
      </c>
      <c r="E174" s="11" t="n">
        <f aca="false">SUMIFS(Clean_Data!$N$2:$N$2086,Clean_Data!$B$2:$B$2086,A174)</f>
        <v>10300</v>
      </c>
      <c r="F174" s="2" t="str">
        <f aca="false">IF(C174&gt;1,"Repeat","One-time")</f>
        <v>Repeat</v>
      </c>
      <c r="G174" s="13" t="n">
        <f aca="false">SUM($D$2:D174)/SUM($D$2:$D$800)</f>
        <v>0.64658870464096</v>
      </c>
    </row>
    <row r="175" customFormat="false" ht="15" hidden="false" customHeight="false" outlineLevel="0" collapsed="false">
      <c r="A175" s="2" t="s">
        <v>388</v>
      </c>
      <c r="B175" s="2" t="str">
        <f aca="false">INDEX(Clean_Data!$F$2:$F$2086,MATCH(A175,Clean_Data!$B$2:$B$2086,0))</f>
        <v>Consumer</v>
      </c>
      <c r="C175" s="2" t="n">
        <f aca="false">COUNTIFS(Clean_Data!$B$2:$B$2086,A175)</f>
        <v>5</v>
      </c>
      <c r="D175" s="11" t="n">
        <f aca="false">SUMIFS(Clean_Data!$M$2:$M$2086,Clean_Data!$B$2:$B$2086,A175)</f>
        <v>36870</v>
      </c>
      <c r="E175" s="11" t="n">
        <f aca="false">SUMIFS(Clean_Data!$N$2:$N$2086,Clean_Data!$B$2:$B$2086,A175)</f>
        <v>11870</v>
      </c>
      <c r="F175" s="2" t="str">
        <f aca="false">IF(C175&gt;1,"Repeat","One-time")</f>
        <v>Repeat</v>
      </c>
      <c r="G175" s="13" t="n">
        <f aca="false">SUM($D$2:D175)/SUM($D$2:$D$800)</f>
        <v>0.648380966778863</v>
      </c>
    </row>
    <row r="176" customFormat="false" ht="15" hidden="false" customHeight="false" outlineLevel="0" collapsed="false">
      <c r="A176" s="2" t="s">
        <v>2929</v>
      </c>
      <c r="B176" s="2" t="str">
        <f aca="false">INDEX(Clean_Data!$F$2:$F$2086,MATCH(A176,Clean_Data!$B$2:$B$2086,0))</f>
        <v>Consumer</v>
      </c>
      <c r="C176" s="2" t="n">
        <f aca="false">COUNTIFS(Clean_Data!$B$2:$B$2086,A176)</f>
        <v>4</v>
      </c>
      <c r="D176" s="11" t="n">
        <f aca="false">SUMIFS(Clean_Data!$M$2:$M$2086,Clean_Data!$B$2:$B$2086,A176)</f>
        <v>36650</v>
      </c>
      <c r="E176" s="11" t="n">
        <f aca="false">SUMIFS(Clean_Data!$N$2:$N$2086,Clean_Data!$B$2:$B$2086,A176)</f>
        <v>11050</v>
      </c>
      <c r="F176" s="2" t="str">
        <f aca="false">IF(C176&gt;1,"Repeat","One-time")</f>
        <v>Repeat</v>
      </c>
      <c r="G176" s="13" t="n">
        <f aca="false">SUM($D$2:D176)/SUM($D$2:$D$800)</f>
        <v>0.650162534648518</v>
      </c>
    </row>
    <row r="177" customFormat="false" ht="15" hidden="false" customHeight="false" outlineLevel="0" collapsed="false">
      <c r="A177" s="2" t="s">
        <v>1055</v>
      </c>
      <c r="B177" s="2" t="str">
        <f aca="false">INDEX(Clean_Data!$F$2:$F$2086,MATCH(A177,Clean_Data!$B$2:$B$2086,0))</f>
        <v>Corporate</v>
      </c>
      <c r="C177" s="2" t="n">
        <f aca="false">COUNTIFS(Clean_Data!$B$2:$B$2086,A177)</f>
        <v>3</v>
      </c>
      <c r="D177" s="11" t="n">
        <f aca="false">SUMIFS(Clean_Data!$M$2:$M$2086,Clean_Data!$B$2:$B$2086,A177)</f>
        <v>36575</v>
      </c>
      <c r="E177" s="11" t="n">
        <f aca="false">SUMIFS(Clean_Data!$N$2:$N$2086,Clean_Data!$B$2:$B$2086,A177)</f>
        <v>13825</v>
      </c>
      <c r="F177" s="2" t="str">
        <f aca="false">IF(C177&gt;1,"Repeat","One-time")</f>
        <v>Repeat</v>
      </c>
      <c r="G177" s="13" t="n">
        <f aca="false">SUM($D$2:D177)/SUM($D$2:$D$800)</f>
        <v>0.651940456744905</v>
      </c>
    </row>
    <row r="178" customFormat="false" ht="15" hidden="false" customHeight="false" outlineLevel="0" collapsed="false">
      <c r="A178" s="2" t="s">
        <v>2232</v>
      </c>
      <c r="B178" s="2" t="str">
        <f aca="false">INDEX(Clean_Data!$F$2:$F$2086,MATCH(A178,Clean_Data!$B$2:$B$2086,0))</f>
        <v>Small Business</v>
      </c>
      <c r="C178" s="2" t="n">
        <f aca="false">COUNTIFS(Clean_Data!$B$2:$B$2086,A178)</f>
        <v>2</v>
      </c>
      <c r="D178" s="11" t="n">
        <f aca="false">SUMIFS(Clean_Data!$M$2:$M$2086,Clean_Data!$B$2:$B$2086,A178)</f>
        <v>36500</v>
      </c>
      <c r="E178" s="11" t="n">
        <f aca="false">SUMIFS(Clean_Data!$N$2:$N$2086,Clean_Data!$B$2:$B$2086,A178)</f>
        <v>12500</v>
      </c>
      <c r="F178" s="2" t="str">
        <f aca="false">IF(C178&gt;1,"Repeat","One-time")</f>
        <v>Repeat</v>
      </c>
      <c r="G178" s="13" t="n">
        <f aca="false">SUM($D$2:D178)/SUM($D$2:$D$800)</f>
        <v>0.653714733068026</v>
      </c>
    </row>
    <row r="179" customFormat="false" ht="15" hidden="false" customHeight="false" outlineLevel="0" collapsed="false">
      <c r="A179" s="2" t="s">
        <v>1531</v>
      </c>
      <c r="B179" s="2" t="str">
        <f aca="false">INDEX(Clean_Data!$F$2:$F$2086,MATCH(A179,Clean_Data!$B$2:$B$2086,0))</f>
        <v>Small Business</v>
      </c>
      <c r="C179" s="2" t="n">
        <f aca="false">COUNTIFS(Clean_Data!$B$2:$B$2086,A179)</f>
        <v>2</v>
      </c>
      <c r="D179" s="11" t="n">
        <f aca="false">SUMIFS(Clean_Data!$M$2:$M$2086,Clean_Data!$B$2:$B$2086,A179)</f>
        <v>36350</v>
      </c>
      <c r="E179" s="11" t="n">
        <f aca="false">SUMIFS(Clean_Data!$N$2:$N$2086,Clean_Data!$B$2:$B$2086,A179)</f>
        <v>11450</v>
      </c>
      <c r="F179" s="2" t="str">
        <f aca="false">IF(C179&gt;1,"Repeat","One-time")</f>
        <v>Repeat</v>
      </c>
      <c r="G179" s="13" t="n">
        <f aca="false">SUM($D$2:D179)/SUM($D$2:$D$800)</f>
        <v>0.655481717844614</v>
      </c>
    </row>
    <row r="180" customFormat="false" ht="15" hidden="false" customHeight="false" outlineLevel="0" collapsed="false">
      <c r="A180" s="2" t="s">
        <v>2804</v>
      </c>
      <c r="B180" s="2" t="str">
        <f aca="false">INDEX(Clean_Data!$F$2:$F$2086,MATCH(A180,Clean_Data!$B$2:$B$2086,0))</f>
        <v>Small Business</v>
      </c>
      <c r="C180" s="2" t="n">
        <f aca="false">COUNTIFS(Clean_Data!$B$2:$B$2086,A180)</f>
        <v>4</v>
      </c>
      <c r="D180" s="11" t="n">
        <f aca="false">SUMIFS(Clean_Data!$M$2:$M$2086,Clean_Data!$B$2:$B$2086,A180)</f>
        <v>36075</v>
      </c>
      <c r="E180" s="11" t="n">
        <f aca="false">SUMIFS(Clean_Data!$N$2:$N$2086,Clean_Data!$B$2:$B$2086,A180)</f>
        <v>10975</v>
      </c>
      <c r="F180" s="2" t="str">
        <f aca="false">IF(C180&gt;1,"Repeat","One-time")</f>
        <v>Repeat</v>
      </c>
      <c r="G180" s="13" t="n">
        <f aca="false">SUM($D$2:D180)/SUM($D$2:$D$800)</f>
        <v>0.657235334785891</v>
      </c>
    </row>
    <row r="181" customFormat="false" ht="15" hidden="false" customHeight="false" outlineLevel="0" collapsed="false">
      <c r="A181" s="2" t="s">
        <v>1801</v>
      </c>
      <c r="B181" s="2" t="str">
        <f aca="false">INDEX(Clean_Data!$F$2:$F$2086,MATCH(A181,Clean_Data!$B$2:$B$2086,0))</f>
        <v>Small Business</v>
      </c>
      <c r="C181" s="2" t="n">
        <f aca="false">COUNTIFS(Clean_Data!$B$2:$B$2086,A181)</f>
        <v>1</v>
      </c>
      <c r="D181" s="11" t="n">
        <f aca="false">SUMIFS(Clean_Data!$M$2:$M$2086,Clean_Data!$B$2:$B$2086,A181)</f>
        <v>36000</v>
      </c>
      <c r="E181" s="11" t="n">
        <f aca="false">SUMIFS(Clean_Data!$N$2:$N$2086,Clean_Data!$B$2:$B$2086,A181)</f>
        <v>11200</v>
      </c>
      <c r="F181" s="2" t="str">
        <f aca="false">IF(C181&gt;1,"Repeat","One-time")</f>
        <v>One-time</v>
      </c>
      <c r="G181" s="13" t="n">
        <f aca="false">SUM($D$2:D181)/SUM($D$2:$D$800)</f>
        <v>0.6589853059539</v>
      </c>
    </row>
    <row r="182" customFormat="false" ht="15" hidden="false" customHeight="false" outlineLevel="0" collapsed="false">
      <c r="A182" s="2" t="s">
        <v>2839</v>
      </c>
      <c r="B182" s="2" t="str">
        <f aca="false">INDEX(Clean_Data!$F$2:$F$2086,MATCH(A182,Clean_Data!$B$2:$B$2086,0))</f>
        <v>Small Business</v>
      </c>
      <c r="C182" s="2" t="n">
        <f aca="false">COUNTIFS(Clean_Data!$B$2:$B$2086,A182)</f>
        <v>1</v>
      </c>
      <c r="D182" s="11" t="n">
        <f aca="false">SUMIFS(Clean_Data!$M$2:$M$2086,Clean_Data!$B$2:$B$2086,A182)</f>
        <v>36000</v>
      </c>
      <c r="E182" s="11" t="n">
        <f aca="false">SUMIFS(Clean_Data!$N$2:$N$2086,Clean_Data!$B$2:$B$2086,A182)</f>
        <v>11200</v>
      </c>
      <c r="F182" s="2" t="str">
        <f aca="false">IF(C182&gt;1,"Repeat","One-time")</f>
        <v>One-time</v>
      </c>
      <c r="G182" s="13" t="n">
        <f aca="false">SUM($D$2:D182)/SUM($D$2:$D$800)</f>
        <v>0.66073527712191</v>
      </c>
    </row>
    <row r="183" customFormat="false" ht="15" hidden="false" customHeight="false" outlineLevel="0" collapsed="false">
      <c r="A183" s="2" t="s">
        <v>2084</v>
      </c>
      <c r="B183" s="2" t="str">
        <f aca="false">INDEX(Clean_Data!$F$2:$F$2086,MATCH(A183,Clean_Data!$B$2:$B$2086,0))</f>
        <v>Small Business</v>
      </c>
      <c r="C183" s="2" t="n">
        <f aca="false">COUNTIFS(Clean_Data!$B$2:$B$2086,A183)</f>
        <v>1</v>
      </c>
      <c r="D183" s="11" t="n">
        <f aca="false">SUMIFS(Clean_Data!$M$2:$M$2086,Clean_Data!$B$2:$B$2086,A183)</f>
        <v>36000</v>
      </c>
      <c r="E183" s="11" t="n">
        <f aca="false">SUMIFS(Clean_Data!$N$2:$N$2086,Clean_Data!$B$2:$B$2086,A183)</f>
        <v>11200</v>
      </c>
      <c r="F183" s="2" t="str">
        <f aca="false">IF(C183&gt;1,"Repeat","One-time")</f>
        <v>One-time</v>
      </c>
      <c r="G183" s="13" t="n">
        <f aca="false">SUM($D$2:D183)/SUM($D$2:$D$800)</f>
        <v>0.66248524828992</v>
      </c>
    </row>
    <row r="184" customFormat="false" ht="15" hidden="false" customHeight="false" outlineLevel="0" collapsed="false">
      <c r="A184" s="2" t="s">
        <v>2480</v>
      </c>
      <c r="B184" s="2" t="str">
        <f aca="false">INDEX(Clean_Data!$F$2:$F$2086,MATCH(A184,Clean_Data!$B$2:$B$2086,0))</f>
        <v>Small Business</v>
      </c>
      <c r="C184" s="2" t="n">
        <f aca="false">COUNTIFS(Clean_Data!$B$2:$B$2086,A184)</f>
        <v>3</v>
      </c>
      <c r="D184" s="11" t="n">
        <f aca="false">SUMIFS(Clean_Data!$M$2:$M$2086,Clean_Data!$B$2:$B$2086,A184)</f>
        <v>35885</v>
      </c>
      <c r="E184" s="11" t="n">
        <f aca="false">SUMIFS(Clean_Data!$N$2:$N$2086,Clean_Data!$B$2:$B$2086,A184)</f>
        <v>12685</v>
      </c>
      <c r="F184" s="2" t="str">
        <f aca="false">IF(C184&gt;1,"Repeat","One-time")</f>
        <v>Repeat</v>
      </c>
      <c r="G184" s="13" t="n">
        <f aca="false">SUM($D$2:D184)/SUM($D$2:$D$800)</f>
        <v>0.664229629272254</v>
      </c>
    </row>
    <row r="185" customFormat="false" ht="15" hidden="false" customHeight="false" outlineLevel="0" collapsed="false">
      <c r="A185" s="2" t="s">
        <v>1883</v>
      </c>
      <c r="B185" s="2" t="str">
        <f aca="false">INDEX(Clean_Data!$F$2:$F$2086,MATCH(A185,Clean_Data!$B$2:$B$2086,0))</f>
        <v>Consumer</v>
      </c>
      <c r="C185" s="2" t="n">
        <f aca="false">COUNTIFS(Clean_Data!$B$2:$B$2086,A185)</f>
        <v>9</v>
      </c>
      <c r="D185" s="11" t="n">
        <f aca="false">SUMIFS(Clean_Data!$M$2:$M$2086,Clean_Data!$B$2:$B$2086,A185)</f>
        <v>35735</v>
      </c>
      <c r="E185" s="11" t="n">
        <f aca="false">SUMIFS(Clean_Data!$N$2:$N$2086,Clean_Data!$B$2:$B$2086,A185)</f>
        <v>12935</v>
      </c>
      <c r="F185" s="2" t="str">
        <f aca="false">IF(C185&gt;1,"Repeat","One-time")</f>
        <v>Repeat</v>
      </c>
      <c r="G185" s="13" t="n">
        <f aca="false">SUM($D$2:D185)/SUM($D$2:$D$800)</f>
        <v>0.665966718708055</v>
      </c>
    </row>
    <row r="186" customFormat="false" ht="15" hidden="false" customHeight="false" outlineLevel="0" collapsed="false">
      <c r="A186" s="2" t="s">
        <v>1442</v>
      </c>
      <c r="B186" s="2" t="str">
        <f aca="false">INDEX(Clean_Data!$F$2:$F$2086,MATCH(A186,Clean_Data!$B$2:$B$2086,0))</f>
        <v>Consumer</v>
      </c>
      <c r="C186" s="2" t="n">
        <f aca="false">COUNTIFS(Clean_Data!$B$2:$B$2086,A186)</f>
        <v>10</v>
      </c>
      <c r="D186" s="11" t="n">
        <f aca="false">SUMIFS(Clean_Data!$M$2:$M$2086,Clean_Data!$B$2:$B$2086,A186)</f>
        <v>35605</v>
      </c>
      <c r="E186" s="11" t="n">
        <f aca="false">SUMIFS(Clean_Data!$N$2:$N$2086,Clean_Data!$B$2:$B$2086,A186)</f>
        <v>12555</v>
      </c>
      <c r="F186" s="2" t="str">
        <f aca="false">IF(C186&gt;1,"Repeat","One-time")</f>
        <v>Repeat</v>
      </c>
      <c r="G186" s="13" t="n">
        <f aca="false">SUM($D$2:D186)/SUM($D$2:$D$800)</f>
        <v>0.667697488803527</v>
      </c>
    </row>
    <row r="187" customFormat="false" ht="15" hidden="false" customHeight="false" outlineLevel="0" collapsed="false">
      <c r="A187" s="2" t="s">
        <v>2350</v>
      </c>
      <c r="B187" s="2" t="str">
        <f aca="false">INDEX(Clean_Data!$F$2:$F$2086,MATCH(A187,Clean_Data!$B$2:$B$2086,0))</f>
        <v>Small Business</v>
      </c>
      <c r="C187" s="2" t="n">
        <f aca="false">COUNTIFS(Clean_Data!$B$2:$B$2086,A187)</f>
        <v>3</v>
      </c>
      <c r="D187" s="11" t="n">
        <f aca="false">SUMIFS(Clean_Data!$M$2:$M$2086,Clean_Data!$B$2:$B$2086,A187)</f>
        <v>35550</v>
      </c>
      <c r="E187" s="11" t="n">
        <f aca="false">SUMIFS(Clean_Data!$N$2:$N$2086,Clean_Data!$B$2:$B$2086,A187)</f>
        <v>9750</v>
      </c>
      <c r="F187" s="2" t="str">
        <f aca="false">IF(C187&gt;1,"Repeat","One-time")</f>
        <v>Repeat</v>
      </c>
      <c r="G187" s="13" t="n">
        <f aca="false">SUM($D$2:D187)/SUM($D$2:$D$800)</f>
        <v>0.669425585331936</v>
      </c>
    </row>
    <row r="188" customFormat="false" ht="15" hidden="false" customHeight="false" outlineLevel="0" collapsed="false">
      <c r="A188" s="2" t="s">
        <v>801</v>
      </c>
      <c r="B188" s="2" t="str">
        <f aca="false">INDEX(Clean_Data!$F$2:$F$2086,MATCH(A188,Clean_Data!$B$2:$B$2086,0))</f>
        <v>Corporate</v>
      </c>
      <c r="C188" s="2" t="n">
        <f aca="false">COUNTIFS(Clean_Data!$B$2:$B$2086,A188)</f>
        <v>3</v>
      </c>
      <c r="D188" s="11" t="n">
        <f aca="false">SUMIFS(Clean_Data!$M$2:$M$2086,Clean_Data!$B$2:$B$2086,A188)</f>
        <v>35487.5</v>
      </c>
      <c r="E188" s="11" t="n">
        <f aca="false">SUMIFS(Clean_Data!$N$2:$N$2086,Clean_Data!$B$2:$B$2086,A188)</f>
        <v>9737.5</v>
      </c>
      <c r="F188" s="2" t="str">
        <f aca="false">IF(C188&gt;1,"Repeat","One-time")</f>
        <v>Repeat</v>
      </c>
      <c r="G188" s="13" t="n">
        <f aca="false">SUM($D$2:D188)/SUM($D$2:$D$800)</f>
        <v>0.671150643715957</v>
      </c>
    </row>
    <row r="189" customFormat="false" ht="15" hidden="false" customHeight="false" outlineLevel="0" collapsed="false">
      <c r="A189" s="2" t="s">
        <v>2204</v>
      </c>
      <c r="B189" s="2" t="str">
        <f aca="false">INDEX(Clean_Data!$F$2:$F$2086,MATCH(A189,Clean_Data!$B$2:$B$2086,0))</f>
        <v>Small Business</v>
      </c>
      <c r="C189" s="2" t="n">
        <f aca="false">COUNTIFS(Clean_Data!$B$2:$B$2086,A189)</f>
        <v>1</v>
      </c>
      <c r="D189" s="11" t="n">
        <f aca="false">SUMIFS(Clean_Data!$M$2:$M$2086,Clean_Data!$B$2:$B$2086,A189)</f>
        <v>35000</v>
      </c>
      <c r="E189" s="11" t="n">
        <f aca="false">SUMIFS(Clean_Data!$N$2:$N$2086,Clean_Data!$B$2:$B$2086,A189)</f>
        <v>11000</v>
      </c>
      <c r="F189" s="2" t="str">
        <f aca="false">IF(C189&gt;1,"Repeat","One-time")</f>
        <v>One-time</v>
      </c>
      <c r="G189" s="13" t="n">
        <f aca="false">SUM($D$2:D189)/SUM($D$2:$D$800)</f>
        <v>0.672852004573744</v>
      </c>
    </row>
    <row r="190" customFormat="false" ht="15" hidden="false" customHeight="false" outlineLevel="0" collapsed="false">
      <c r="A190" s="2" t="s">
        <v>469</v>
      </c>
      <c r="B190" s="2" t="str">
        <f aca="false">INDEX(Clean_Data!$F$2:$F$2086,MATCH(A190,Clean_Data!$B$2:$B$2086,0))</f>
        <v>Small Business</v>
      </c>
      <c r="C190" s="2" t="n">
        <f aca="false">COUNTIFS(Clean_Data!$B$2:$B$2086,A190)</f>
        <v>1</v>
      </c>
      <c r="D190" s="11" t="n">
        <f aca="false">SUMIFS(Clean_Data!$M$2:$M$2086,Clean_Data!$B$2:$B$2086,A190)</f>
        <v>35000</v>
      </c>
      <c r="E190" s="11" t="n">
        <f aca="false">SUMIFS(Clean_Data!$N$2:$N$2086,Clean_Data!$B$2:$B$2086,A190)</f>
        <v>11000</v>
      </c>
      <c r="F190" s="2" t="str">
        <f aca="false">IF(C190&gt;1,"Repeat","One-time")</f>
        <v>One-time</v>
      </c>
      <c r="G190" s="13" t="n">
        <f aca="false">SUM($D$2:D190)/SUM($D$2:$D$800)</f>
        <v>0.674553365431531</v>
      </c>
    </row>
    <row r="191" customFormat="false" ht="15" hidden="false" customHeight="false" outlineLevel="0" collapsed="false">
      <c r="A191" s="2" t="s">
        <v>2827</v>
      </c>
      <c r="B191" s="2" t="str">
        <f aca="false">INDEX(Clean_Data!$F$2:$F$2086,MATCH(A191,Clean_Data!$B$2:$B$2086,0))</f>
        <v>Consumer</v>
      </c>
      <c r="C191" s="2" t="n">
        <f aca="false">COUNTIFS(Clean_Data!$B$2:$B$2086,A191)</f>
        <v>6</v>
      </c>
      <c r="D191" s="11" t="n">
        <f aca="false">SUMIFS(Clean_Data!$M$2:$M$2086,Clean_Data!$B$2:$B$2086,A191)</f>
        <v>34617.5</v>
      </c>
      <c r="E191" s="11" t="n">
        <f aca="false">SUMIFS(Clean_Data!$N$2:$N$2086,Clean_Data!$B$2:$B$2086,A191)</f>
        <v>10767.5</v>
      </c>
      <c r="F191" s="2" t="str">
        <f aca="false">IF(C191&gt;1,"Repeat","One-time")</f>
        <v>Repeat</v>
      </c>
      <c r="G191" s="13" t="n">
        <f aca="false">SUM($D$2:D191)/SUM($D$2:$D$800)</f>
        <v>0.676236132845659</v>
      </c>
    </row>
    <row r="192" customFormat="false" ht="15" hidden="false" customHeight="false" outlineLevel="0" collapsed="false">
      <c r="A192" s="2" t="s">
        <v>2907</v>
      </c>
      <c r="B192" s="2" t="str">
        <f aca="false">INDEX(Clean_Data!$F$2:$F$2086,MATCH(A192,Clean_Data!$B$2:$B$2086,0))</f>
        <v>Consumer</v>
      </c>
      <c r="C192" s="2" t="n">
        <f aca="false">COUNTIFS(Clean_Data!$B$2:$B$2086,A192)</f>
        <v>4</v>
      </c>
      <c r="D192" s="11" t="n">
        <f aca="false">SUMIFS(Clean_Data!$M$2:$M$2086,Clean_Data!$B$2:$B$2086,A192)</f>
        <v>34190</v>
      </c>
      <c r="E192" s="11" t="n">
        <f aca="false">SUMIFS(Clean_Data!$N$2:$N$2086,Clean_Data!$B$2:$B$2086,A192)</f>
        <v>10490</v>
      </c>
      <c r="F192" s="2" t="str">
        <f aca="false">IF(C192&gt;1,"Repeat","One-time")</f>
        <v>Repeat</v>
      </c>
      <c r="G192" s="13" t="n">
        <f aca="false">SUM($D$2:D192)/SUM($D$2:$D$800)</f>
        <v>0.677898119352166</v>
      </c>
    </row>
    <row r="193" customFormat="false" ht="15" hidden="false" customHeight="false" outlineLevel="0" collapsed="false">
      <c r="A193" s="2" t="s">
        <v>1920</v>
      </c>
      <c r="B193" s="2" t="str">
        <f aca="false">INDEX(Clean_Data!$F$2:$F$2086,MATCH(A193,Clean_Data!$B$2:$B$2086,0))</f>
        <v>Corporate</v>
      </c>
      <c r="C193" s="2" t="n">
        <f aca="false">COUNTIFS(Clean_Data!$B$2:$B$2086,A193)</f>
        <v>3</v>
      </c>
      <c r="D193" s="11" t="n">
        <f aca="false">SUMIFS(Clean_Data!$M$2:$M$2086,Clean_Data!$B$2:$B$2086,A193)</f>
        <v>33925</v>
      </c>
      <c r="E193" s="11" t="n">
        <f aca="false">SUMIFS(Clean_Data!$N$2:$N$2086,Clean_Data!$B$2:$B$2086,A193)</f>
        <v>11825</v>
      </c>
      <c r="F193" s="2" t="str">
        <f aca="false">IF(C193&gt;1,"Repeat","One-time")</f>
        <v>Repeat</v>
      </c>
      <c r="G193" s="13" t="n">
        <f aca="false">SUM($D$2:D193)/SUM($D$2:$D$800)</f>
        <v>0.679547224126464</v>
      </c>
    </row>
    <row r="194" customFormat="false" ht="15" hidden="false" customHeight="false" outlineLevel="0" collapsed="false">
      <c r="A194" s="2" t="s">
        <v>2000</v>
      </c>
      <c r="B194" s="2" t="str">
        <f aca="false">INDEX(Clean_Data!$F$2:$F$2086,MATCH(A194,Clean_Data!$B$2:$B$2086,0))</f>
        <v>Consumer</v>
      </c>
      <c r="C194" s="2" t="n">
        <f aca="false">COUNTIFS(Clean_Data!$B$2:$B$2086,A194)</f>
        <v>10</v>
      </c>
      <c r="D194" s="11" t="n">
        <f aca="false">SUMIFS(Clean_Data!$M$2:$M$2086,Clean_Data!$B$2:$B$2086,A194)</f>
        <v>33910</v>
      </c>
      <c r="E194" s="11" t="n">
        <f aca="false">SUMIFS(Clean_Data!$N$2:$N$2086,Clean_Data!$B$2:$B$2086,A194)</f>
        <v>13960</v>
      </c>
      <c r="F194" s="2" t="str">
        <f aca="false">IF(C194&gt;1,"Repeat","One-time")</f>
        <v>Repeat</v>
      </c>
      <c r="G194" s="13" t="n">
        <f aca="false">SUM($D$2:D194)/SUM($D$2:$D$800)</f>
        <v>0.681195599746108</v>
      </c>
    </row>
    <row r="195" customFormat="false" ht="15" hidden="false" customHeight="false" outlineLevel="0" collapsed="false">
      <c r="A195" s="2" t="s">
        <v>2221</v>
      </c>
      <c r="B195" s="2" t="str">
        <f aca="false">INDEX(Clean_Data!$F$2:$F$2086,MATCH(A195,Clean_Data!$B$2:$B$2086,0))</f>
        <v>Small Business</v>
      </c>
      <c r="C195" s="2" t="n">
        <f aca="false">COUNTIFS(Clean_Data!$B$2:$B$2086,A195)</f>
        <v>2</v>
      </c>
      <c r="D195" s="11" t="n">
        <f aca="false">SUMIFS(Clean_Data!$M$2:$M$2086,Clean_Data!$B$2:$B$2086,A195)</f>
        <v>33900</v>
      </c>
      <c r="E195" s="11" t="n">
        <f aca="false">SUMIFS(Clean_Data!$N$2:$N$2086,Clean_Data!$B$2:$B$2086,A195)</f>
        <v>12700</v>
      </c>
      <c r="F195" s="2" t="str">
        <f aca="false">IF(C195&gt;1,"Repeat","One-time")</f>
        <v>Repeat</v>
      </c>
      <c r="G195" s="13" t="n">
        <f aca="false">SUM($D$2:D195)/SUM($D$2:$D$800)</f>
        <v>0.682843489262651</v>
      </c>
    </row>
    <row r="196" customFormat="false" ht="15" hidden="false" customHeight="false" outlineLevel="0" collapsed="false">
      <c r="A196" s="2" t="s">
        <v>205</v>
      </c>
      <c r="B196" s="2" t="str">
        <f aca="false">INDEX(Clean_Data!$F$2:$F$2086,MATCH(A196,Clean_Data!$B$2:$B$2086,0))</f>
        <v>Consumer</v>
      </c>
      <c r="C196" s="2" t="n">
        <f aca="false">COUNTIFS(Clean_Data!$B$2:$B$2086,A196)</f>
        <v>4</v>
      </c>
      <c r="D196" s="11" t="n">
        <f aca="false">SUMIFS(Clean_Data!$M$2:$M$2086,Clean_Data!$B$2:$B$2086,A196)</f>
        <v>33730</v>
      </c>
      <c r="E196" s="11" t="n">
        <f aca="false">SUMIFS(Clean_Data!$N$2:$N$2086,Clean_Data!$B$2:$B$2086,A196)</f>
        <v>10130</v>
      </c>
      <c r="F196" s="2" t="str">
        <f aca="false">IF(C196&gt;1,"Repeat","One-time")</f>
        <v>Repeat</v>
      </c>
      <c r="G196" s="13" t="n">
        <f aca="false">SUM($D$2:D196)/SUM($D$2:$D$800)</f>
        <v>0.684483115026456</v>
      </c>
    </row>
    <row r="197" customFormat="false" ht="15" hidden="false" customHeight="false" outlineLevel="0" collapsed="false">
      <c r="A197" s="2" t="s">
        <v>475</v>
      </c>
      <c r="B197" s="2" t="str">
        <f aca="false">INDEX(Clean_Data!$F$2:$F$2086,MATCH(A197,Clean_Data!$B$2:$B$2086,0))</f>
        <v>Consumer</v>
      </c>
      <c r="C197" s="2" t="n">
        <f aca="false">COUNTIFS(Clean_Data!$B$2:$B$2086,A197)</f>
        <v>3</v>
      </c>
      <c r="D197" s="11" t="n">
        <f aca="false">SUMIFS(Clean_Data!$M$2:$M$2086,Clean_Data!$B$2:$B$2086,A197)</f>
        <v>33600</v>
      </c>
      <c r="E197" s="11" t="n">
        <f aca="false">SUMIFS(Clean_Data!$N$2:$N$2086,Clean_Data!$B$2:$B$2086,A197)</f>
        <v>10800</v>
      </c>
      <c r="F197" s="2" t="str">
        <f aca="false">IF(C197&gt;1,"Repeat","One-time")</f>
        <v>Repeat</v>
      </c>
      <c r="G197" s="13" t="n">
        <f aca="false">SUM($D$2:D197)/SUM($D$2:$D$800)</f>
        <v>0.686116421449931</v>
      </c>
    </row>
    <row r="198" customFormat="false" ht="15" hidden="false" customHeight="false" outlineLevel="0" collapsed="false">
      <c r="A198" s="2" t="s">
        <v>1643</v>
      </c>
      <c r="B198" s="2" t="str">
        <f aca="false">INDEX(Clean_Data!$F$2:$F$2086,MATCH(A198,Clean_Data!$B$2:$B$2086,0))</f>
        <v>Corporate</v>
      </c>
      <c r="C198" s="2" t="n">
        <f aca="false">COUNTIFS(Clean_Data!$B$2:$B$2086,A198)</f>
        <v>2</v>
      </c>
      <c r="D198" s="11" t="n">
        <f aca="false">SUMIFS(Clean_Data!$M$2:$M$2086,Clean_Data!$B$2:$B$2086,A198)</f>
        <v>33400</v>
      </c>
      <c r="E198" s="11" t="n">
        <f aca="false">SUMIFS(Clean_Data!$N$2:$N$2086,Clean_Data!$B$2:$B$2086,A198)</f>
        <v>12800</v>
      </c>
      <c r="F198" s="2" t="str">
        <f aca="false">IF(C198&gt;1,"Repeat","One-time")</f>
        <v>Repeat</v>
      </c>
      <c r="G198" s="13" t="n">
        <f aca="false">SUM($D$2:D198)/SUM($D$2:$D$800)</f>
        <v>0.687740005811363</v>
      </c>
    </row>
    <row r="199" customFormat="false" ht="15" hidden="false" customHeight="false" outlineLevel="0" collapsed="false">
      <c r="A199" s="2" t="s">
        <v>2461</v>
      </c>
      <c r="B199" s="2" t="str">
        <f aca="false">INDEX(Clean_Data!$F$2:$F$2086,MATCH(A199,Clean_Data!$B$2:$B$2086,0))</f>
        <v>Small Business</v>
      </c>
      <c r="C199" s="2" t="n">
        <f aca="false">COUNTIFS(Clean_Data!$B$2:$B$2086,A199)</f>
        <v>1</v>
      </c>
      <c r="D199" s="11" t="n">
        <f aca="false">SUMIFS(Clean_Data!$M$2:$M$2086,Clean_Data!$B$2:$B$2086,A199)</f>
        <v>33250</v>
      </c>
      <c r="E199" s="11" t="n">
        <f aca="false">SUMIFS(Clean_Data!$N$2:$N$2086,Clean_Data!$B$2:$B$2086,A199)</f>
        <v>9250</v>
      </c>
      <c r="F199" s="2" t="str">
        <f aca="false">IF(C199&gt;1,"Repeat","One-time")</f>
        <v>One-time</v>
      </c>
      <c r="G199" s="13" t="n">
        <f aca="false">SUM($D$2:D199)/SUM($D$2:$D$800)</f>
        <v>0.689356298626261</v>
      </c>
    </row>
    <row r="200" customFormat="false" ht="15" hidden="false" customHeight="false" outlineLevel="0" collapsed="false">
      <c r="A200" s="2" t="s">
        <v>2585</v>
      </c>
      <c r="B200" s="2" t="str">
        <f aca="false">INDEX(Clean_Data!$F$2:$F$2086,MATCH(A200,Clean_Data!$B$2:$B$2086,0))</f>
        <v>Corporate</v>
      </c>
      <c r="C200" s="2" t="n">
        <f aca="false">COUNTIFS(Clean_Data!$B$2:$B$2086,A200)</f>
        <v>2</v>
      </c>
      <c r="D200" s="11" t="n">
        <f aca="false">SUMIFS(Clean_Data!$M$2:$M$2086,Clean_Data!$B$2:$B$2086,A200)</f>
        <v>33150</v>
      </c>
      <c r="E200" s="11" t="n">
        <f aca="false">SUMIFS(Clean_Data!$N$2:$N$2086,Clean_Data!$B$2:$B$2086,A200)</f>
        <v>5550</v>
      </c>
      <c r="F200" s="2" t="str">
        <f aca="false">IF(C200&gt;1,"Repeat","One-time")</f>
        <v>Repeat</v>
      </c>
      <c r="G200" s="13" t="n">
        <f aca="false">SUM($D$2:D200)/SUM($D$2:$D$800)</f>
        <v>0.690967730410136</v>
      </c>
    </row>
    <row r="201" customFormat="false" ht="15" hidden="false" customHeight="false" outlineLevel="0" collapsed="false">
      <c r="A201" s="2" t="s">
        <v>2093</v>
      </c>
      <c r="B201" s="2" t="str">
        <f aca="false">INDEX(Clean_Data!$F$2:$F$2086,MATCH(A201,Clean_Data!$B$2:$B$2086,0))</f>
        <v>Small Business</v>
      </c>
      <c r="C201" s="2" t="n">
        <f aca="false">COUNTIFS(Clean_Data!$B$2:$B$2086,A201)</f>
        <v>2</v>
      </c>
      <c r="D201" s="11" t="n">
        <f aca="false">SUMIFS(Clean_Data!$M$2:$M$2086,Clean_Data!$B$2:$B$2086,A201)</f>
        <v>33000</v>
      </c>
      <c r="E201" s="11" t="n">
        <f aca="false">SUMIFS(Clean_Data!$N$2:$N$2086,Clean_Data!$B$2:$B$2086,A201)</f>
        <v>10400</v>
      </c>
      <c r="F201" s="2" t="str">
        <f aca="false">IF(C201&gt;1,"Repeat","One-time")</f>
        <v>Repeat</v>
      </c>
      <c r="G201" s="13" t="n">
        <f aca="false">SUM($D$2:D201)/SUM($D$2:$D$800)</f>
        <v>0.692571870647478</v>
      </c>
    </row>
    <row r="202" customFormat="false" ht="15" hidden="false" customHeight="false" outlineLevel="0" collapsed="false">
      <c r="A202" s="2" t="s">
        <v>864</v>
      </c>
      <c r="B202" s="2" t="str">
        <f aca="false">INDEX(Clean_Data!$F$2:$F$2086,MATCH(A202,Clean_Data!$B$2:$B$2086,0))</f>
        <v>Consumer</v>
      </c>
      <c r="C202" s="2" t="n">
        <f aca="false">COUNTIFS(Clean_Data!$B$2:$B$2086,A202)</f>
        <v>6</v>
      </c>
      <c r="D202" s="11" t="n">
        <f aca="false">SUMIFS(Clean_Data!$M$2:$M$2086,Clean_Data!$B$2:$B$2086,A202)</f>
        <v>32785</v>
      </c>
      <c r="E202" s="11" t="n">
        <f aca="false">SUMIFS(Clean_Data!$N$2:$N$2086,Clean_Data!$B$2:$B$2086,A202)</f>
        <v>10285</v>
      </c>
      <c r="F202" s="2" t="str">
        <f aca="false">IF(C202&gt;1,"Repeat","One-time")</f>
        <v>Repeat</v>
      </c>
      <c r="G202" s="13" t="n">
        <f aca="false">SUM($D$2:D202)/SUM($D$2:$D$800)</f>
        <v>0.694165559668123</v>
      </c>
    </row>
    <row r="203" customFormat="false" ht="15" hidden="false" customHeight="false" outlineLevel="0" collapsed="false">
      <c r="A203" s="2" t="s">
        <v>2602</v>
      </c>
      <c r="B203" s="2" t="str">
        <f aca="false">INDEX(Clean_Data!$F$2:$F$2086,MATCH(A203,Clean_Data!$B$2:$B$2086,0))</f>
        <v>Consumer</v>
      </c>
      <c r="C203" s="2" t="n">
        <f aca="false">COUNTIFS(Clean_Data!$B$2:$B$2086,A203)</f>
        <v>5</v>
      </c>
      <c r="D203" s="11" t="n">
        <f aca="false">SUMIFS(Clean_Data!$M$2:$M$2086,Clean_Data!$B$2:$B$2086,A203)</f>
        <v>32700</v>
      </c>
      <c r="E203" s="11" t="n">
        <f aca="false">SUMIFS(Clean_Data!$N$2:$N$2086,Clean_Data!$B$2:$B$2086,A203)</f>
        <v>8000</v>
      </c>
      <c r="F203" s="2" t="str">
        <f aca="false">IF(C203&gt;1,"Repeat","One-time")</f>
        <v>Repeat</v>
      </c>
      <c r="G203" s="13" t="n">
        <f aca="false">SUM($D$2:D203)/SUM($D$2:$D$800)</f>
        <v>0.695755116812398</v>
      </c>
    </row>
    <row r="204" customFormat="false" ht="15" hidden="false" customHeight="false" outlineLevel="0" collapsed="false">
      <c r="A204" s="2" t="s">
        <v>1647</v>
      </c>
      <c r="B204" s="2" t="str">
        <f aca="false">INDEX(Clean_Data!$F$2:$F$2086,MATCH(A204,Clean_Data!$B$2:$B$2086,0))</f>
        <v>Consumer</v>
      </c>
      <c r="C204" s="2" t="n">
        <f aca="false">COUNTIFS(Clean_Data!$B$2:$B$2086,A204)</f>
        <v>3</v>
      </c>
      <c r="D204" s="11" t="n">
        <f aca="false">SUMIFS(Clean_Data!$M$2:$M$2086,Clean_Data!$B$2:$B$2086,A204)</f>
        <v>32675</v>
      </c>
      <c r="E204" s="11" t="n">
        <f aca="false">SUMIFS(Clean_Data!$N$2:$N$2086,Clean_Data!$B$2:$B$2086,A204)</f>
        <v>8475</v>
      </c>
      <c r="F204" s="2" t="str">
        <f aca="false">IF(C204&gt;1,"Repeat","One-time")</f>
        <v>Repeat</v>
      </c>
      <c r="G204" s="13" t="n">
        <f aca="false">SUM($D$2:D204)/SUM($D$2:$D$800)</f>
        <v>0.697343458698918</v>
      </c>
    </row>
    <row r="205" customFormat="false" ht="15" hidden="false" customHeight="false" outlineLevel="0" collapsed="false">
      <c r="A205" s="2" t="s">
        <v>2288</v>
      </c>
      <c r="B205" s="2" t="str">
        <f aca="false">INDEX(Clean_Data!$F$2:$F$2086,MATCH(A205,Clean_Data!$B$2:$B$2086,0))</f>
        <v>Consumer</v>
      </c>
      <c r="C205" s="2" t="n">
        <f aca="false">COUNTIFS(Clean_Data!$B$2:$B$2086,A205)</f>
        <v>7</v>
      </c>
      <c r="D205" s="11" t="n">
        <f aca="false">SUMIFS(Clean_Data!$M$2:$M$2086,Clean_Data!$B$2:$B$2086,A205)</f>
        <v>32410</v>
      </c>
      <c r="E205" s="11" t="n">
        <f aca="false">SUMIFS(Clean_Data!$N$2:$N$2086,Clean_Data!$B$2:$B$2086,A205)</f>
        <v>12010</v>
      </c>
      <c r="F205" s="2" t="str">
        <f aca="false">IF(C205&gt;1,"Repeat","One-time")</f>
        <v>Repeat</v>
      </c>
      <c r="G205" s="13" t="n">
        <f aca="false">SUM($D$2:D205)/SUM($D$2:$D$800)</f>
        <v>0.698918918853229</v>
      </c>
    </row>
    <row r="206" customFormat="false" ht="15" hidden="false" customHeight="false" outlineLevel="0" collapsed="false">
      <c r="A206" s="2" t="s">
        <v>2215</v>
      </c>
      <c r="B206" s="2" t="str">
        <f aca="false">INDEX(Clean_Data!$F$2:$F$2086,MATCH(A206,Clean_Data!$B$2:$B$2086,0))</f>
        <v>Consumer</v>
      </c>
      <c r="C206" s="2" t="n">
        <f aca="false">COUNTIFS(Clean_Data!$B$2:$B$2086,A206)</f>
        <v>5</v>
      </c>
      <c r="D206" s="11" t="n">
        <f aca="false">SUMIFS(Clean_Data!$M$2:$M$2086,Clean_Data!$B$2:$B$2086,A206)</f>
        <v>32165</v>
      </c>
      <c r="E206" s="11" t="n">
        <f aca="false">SUMIFS(Clean_Data!$N$2:$N$2086,Clean_Data!$B$2:$B$2086,A206)</f>
        <v>10965</v>
      </c>
      <c r="F206" s="2" t="str">
        <f aca="false">IF(C206&gt;1,"Repeat","One-time")</f>
        <v>Repeat</v>
      </c>
      <c r="G206" s="13" t="n">
        <f aca="false">SUM($D$2:D206)/SUM($D$2:$D$800)</f>
        <v>0.700482469481536</v>
      </c>
    </row>
    <row r="207" customFormat="false" ht="15" hidden="false" customHeight="false" outlineLevel="0" collapsed="false">
      <c r="A207" s="2" t="s">
        <v>136</v>
      </c>
      <c r="B207" s="2" t="str">
        <f aca="false">INDEX(Clean_Data!$F$2:$F$2086,MATCH(A207,Clean_Data!$B$2:$B$2086,0))</f>
        <v>Corporate</v>
      </c>
      <c r="C207" s="2" t="n">
        <f aca="false">COUNTIFS(Clean_Data!$B$2:$B$2086,A207)</f>
        <v>3</v>
      </c>
      <c r="D207" s="11" t="n">
        <f aca="false">SUMIFS(Clean_Data!$M$2:$M$2086,Clean_Data!$B$2:$B$2086,A207)</f>
        <v>31950</v>
      </c>
      <c r="E207" s="11" t="n">
        <f aca="false">SUMIFS(Clean_Data!$N$2:$N$2086,Clean_Data!$B$2:$B$2086,A207)</f>
        <v>9750</v>
      </c>
      <c r="F207" s="2" t="str">
        <f aca="false">IF(C207&gt;1,"Repeat","One-time")</f>
        <v>Repeat</v>
      </c>
      <c r="G207" s="13" t="n">
        <f aca="false">SUM($D$2:D207)/SUM($D$2:$D$800)</f>
        <v>0.702035568893144</v>
      </c>
    </row>
    <row r="208" customFormat="false" ht="15" hidden="false" customHeight="false" outlineLevel="0" collapsed="false">
      <c r="A208" s="2" t="s">
        <v>2275</v>
      </c>
      <c r="B208" s="2" t="str">
        <f aca="false">INDEX(Clean_Data!$F$2:$F$2086,MATCH(A208,Clean_Data!$B$2:$B$2086,0))</f>
        <v>Consumer</v>
      </c>
      <c r="C208" s="2" t="n">
        <f aca="false">COUNTIFS(Clean_Data!$B$2:$B$2086,A208)</f>
        <v>6</v>
      </c>
      <c r="D208" s="11" t="n">
        <f aca="false">SUMIFS(Clean_Data!$M$2:$M$2086,Clean_Data!$B$2:$B$2086,A208)</f>
        <v>31800</v>
      </c>
      <c r="E208" s="11" t="n">
        <f aca="false">SUMIFS(Clean_Data!$N$2:$N$2086,Clean_Data!$B$2:$B$2086,A208)</f>
        <v>11000</v>
      </c>
      <c r="F208" s="2" t="str">
        <f aca="false">IF(C208&gt;1,"Repeat","One-time")</f>
        <v>Repeat</v>
      </c>
      <c r="G208" s="13" t="n">
        <f aca="false">SUM($D$2:D208)/SUM($D$2:$D$800)</f>
        <v>0.70358137675822</v>
      </c>
    </row>
    <row r="209" customFormat="false" ht="15" hidden="false" customHeight="false" outlineLevel="0" collapsed="false">
      <c r="A209" s="2" t="s">
        <v>2710</v>
      </c>
      <c r="B209" s="2" t="str">
        <f aca="false">INDEX(Clean_Data!$F$2:$F$2086,MATCH(A209,Clean_Data!$B$2:$B$2086,0))</f>
        <v>Consumer</v>
      </c>
      <c r="C209" s="2" t="n">
        <f aca="false">COUNTIFS(Clean_Data!$B$2:$B$2086,A209)</f>
        <v>5</v>
      </c>
      <c r="D209" s="11" t="n">
        <f aca="false">SUMIFS(Clean_Data!$M$2:$M$2086,Clean_Data!$B$2:$B$2086,A209)</f>
        <v>31800</v>
      </c>
      <c r="E209" s="11" t="n">
        <f aca="false">SUMIFS(Clean_Data!$N$2:$N$2086,Clean_Data!$B$2:$B$2086,A209)</f>
        <v>10200</v>
      </c>
      <c r="F209" s="2" t="str">
        <f aca="false">IF(C209&gt;1,"Repeat","One-time")</f>
        <v>Repeat</v>
      </c>
      <c r="G209" s="13" t="n">
        <f aca="false">SUM($D$2:D209)/SUM($D$2:$D$800)</f>
        <v>0.705127184623295</v>
      </c>
    </row>
    <row r="210" customFormat="false" ht="15" hidden="false" customHeight="false" outlineLevel="0" collapsed="false">
      <c r="A210" s="2" t="s">
        <v>349</v>
      </c>
      <c r="B210" s="2" t="str">
        <f aca="false">INDEX(Clean_Data!$F$2:$F$2086,MATCH(A210,Clean_Data!$B$2:$B$2086,0))</f>
        <v>Consumer</v>
      </c>
      <c r="C210" s="2" t="n">
        <f aca="false">COUNTIFS(Clean_Data!$B$2:$B$2086,A210)</f>
        <v>8</v>
      </c>
      <c r="D210" s="11" t="n">
        <f aca="false">SUMIFS(Clean_Data!$M$2:$M$2086,Clean_Data!$B$2:$B$2086,A210)</f>
        <v>31210</v>
      </c>
      <c r="E210" s="11" t="n">
        <f aca="false">SUMIFS(Clean_Data!$N$2:$N$2086,Clean_Data!$B$2:$B$2086,A210)</f>
        <v>9710</v>
      </c>
      <c r="F210" s="2" t="str">
        <f aca="false">IF(C210&gt;1,"Repeat","One-time")</f>
        <v>Repeat</v>
      </c>
      <c r="G210" s="13" t="n">
        <f aca="false">SUM($D$2:D210)/SUM($D$2:$D$800)</f>
        <v>0.706644312405339</v>
      </c>
    </row>
    <row r="211" customFormat="false" ht="15" hidden="false" customHeight="false" outlineLevel="0" collapsed="false">
      <c r="A211" s="2" t="s">
        <v>520</v>
      </c>
      <c r="B211" s="2" t="str">
        <f aca="false">INDEX(Clean_Data!$F$2:$F$2086,MATCH(A211,Clean_Data!$B$2:$B$2086,0))</f>
        <v>Corporate</v>
      </c>
      <c r="C211" s="2" t="n">
        <f aca="false">COUNTIFS(Clean_Data!$B$2:$B$2086,A211)</f>
        <v>4</v>
      </c>
      <c r="D211" s="11" t="n">
        <f aca="false">SUMIFS(Clean_Data!$M$2:$M$2086,Clean_Data!$B$2:$B$2086,A211)</f>
        <v>30415</v>
      </c>
      <c r="E211" s="11" t="n">
        <f aca="false">SUMIFS(Clean_Data!$N$2:$N$2086,Clean_Data!$B$2:$B$2086,A211)</f>
        <v>13015</v>
      </c>
      <c r="F211" s="2" t="str">
        <f aca="false">IF(C211&gt;1,"Repeat","One-time")</f>
        <v>Repeat</v>
      </c>
      <c r="G211" s="13" t="n">
        <f aca="false">SUM($D$2:D211)/SUM($D$2:$D$800)</f>
        <v>0.708122794990756</v>
      </c>
    </row>
    <row r="212" customFormat="false" ht="15" hidden="false" customHeight="false" outlineLevel="0" collapsed="false">
      <c r="A212" s="2" t="s">
        <v>1102</v>
      </c>
      <c r="B212" s="2" t="str">
        <f aca="false">INDEX(Clean_Data!$F$2:$F$2086,MATCH(A212,Clean_Data!$B$2:$B$2086,0))</f>
        <v>Small Business</v>
      </c>
      <c r="C212" s="2" t="n">
        <f aca="false">COUNTIFS(Clean_Data!$B$2:$B$2086,A212)</f>
        <v>5</v>
      </c>
      <c r="D212" s="11" t="n">
        <f aca="false">SUMIFS(Clean_Data!$M$2:$M$2086,Clean_Data!$B$2:$B$2086,A212)</f>
        <v>30400</v>
      </c>
      <c r="E212" s="11" t="n">
        <f aca="false">SUMIFS(Clean_Data!$N$2:$N$2086,Clean_Data!$B$2:$B$2086,A212)</f>
        <v>11800</v>
      </c>
      <c r="F212" s="2" t="str">
        <f aca="false">IF(C212&gt;1,"Repeat","One-time")</f>
        <v>Repeat</v>
      </c>
      <c r="G212" s="13" t="n">
        <f aca="false">SUM($D$2:D212)/SUM($D$2:$D$800)</f>
        <v>0.70960054842152</v>
      </c>
    </row>
    <row r="213" customFormat="false" ht="15" hidden="false" customHeight="false" outlineLevel="0" collapsed="false">
      <c r="A213" s="2" t="s">
        <v>1084</v>
      </c>
      <c r="B213" s="2" t="str">
        <f aca="false">INDEX(Clean_Data!$F$2:$F$2086,MATCH(A213,Clean_Data!$B$2:$B$2086,0))</f>
        <v>Consumer</v>
      </c>
      <c r="C213" s="2" t="n">
        <f aca="false">COUNTIFS(Clean_Data!$B$2:$B$2086,A213)</f>
        <v>8</v>
      </c>
      <c r="D213" s="11" t="n">
        <f aca="false">SUMIFS(Clean_Data!$M$2:$M$2086,Clean_Data!$B$2:$B$2086,A213)</f>
        <v>29880</v>
      </c>
      <c r="E213" s="11" t="n">
        <f aca="false">SUMIFS(Clean_Data!$N$2:$N$2086,Clean_Data!$B$2:$B$2086,A213)</f>
        <v>10630</v>
      </c>
      <c r="F213" s="2" t="str">
        <f aca="false">IF(C213&gt;1,"Repeat","One-time")</f>
        <v>Repeat</v>
      </c>
      <c r="G213" s="13" t="n">
        <f aca="false">SUM($D$2:D213)/SUM($D$2:$D$800)</f>
        <v>0.711053024490968</v>
      </c>
    </row>
    <row r="214" customFormat="false" ht="15" hidden="false" customHeight="false" outlineLevel="0" collapsed="false">
      <c r="A214" s="2" t="s">
        <v>812</v>
      </c>
      <c r="B214" s="2" t="str">
        <f aca="false">INDEX(Clean_Data!$F$2:$F$2086,MATCH(A214,Clean_Data!$B$2:$B$2086,0))</f>
        <v>Small Business</v>
      </c>
      <c r="C214" s="2" t="n">
        <f aca="false">COUNTIFS(Clean_Data!$B$2:$B$2086,A214)</f>
        <v>3</v>
      </c>
      <c r="D214" s="11" t="n">
        <f aca="false">SUMIFS(Clean_Data!$M$2:$M$2086,Clean_Data!$B$2:$B$2086,A214)</f>
        <v>29780</v>
      </c>
      <c r="E214" s="11" t="n">
        <f aca="false">SUMIFS(Clean_Data!$N$2:$N$2086,Clean_Data!$B$2:$B$2086,A214)</f>
        <v>8880</v>
      </c>
      <c r="F214" s="2" t="str">
        <f aca="false">IF(C214&gt;1,"Repeat","One-time")</f>
        <v>Repeat</v>
      </c>
      <c r="G214" s="13" t="n">
        <f aca="false">SUM($D$2:D214)/SUM($D$2:$D$800)</f>
        <v>0.712500639529394</v>
      </c>
    </row>
    <row r="215" customFormat="false" ht="15" hidden="false" customHeight="false" outlineLevel="0" collapsed="false">
      <c r="A215" s="2" t="s">
        <v>2747</v>
      </c>
      <c r="B215" s="2" t="str">
        <f aca="false">INDEX(Clean_Data!$F$2:$F$2086,MATCH(A215,Clean_Data!$B$2:$B$2086,0))</f>
        <v>Consumer</v>
      </c>
      <c r="C215" s="2" t="n">
        <f aca="false">COUNTIFS(Clean_Data!$B$2:$B$2086,A215)</f>
        <v>2</v>
      </c>
      <c r="D215" s="11" t="n">
        <f aca="false">SUMIFS(Clean_Data!$M$2:$M$2086,Clean_Data!$B$2:$B$2086,A215)</f>
        <v>29700</v>
      </c>
      <c r="E215" s="11" t="n">
        <f aca="false">SUMIFS(Clean_Data!$N$2:$N$2086,Clean_Data!$B$2:$B$2086,A215)</f>
        <v>8400</v>
      </c>
      <c r="F215" s="2" t="str">
        <f aca="false">IF(C215&gt;1,"Repeat","One-time")</f>
        <v>Repeat</v>
      </c>
      <c r="G215" s="13" t="n">
        <f aca="false">SUM($D$2:D215)/SUM($D$2:$D$800)</f>
        <v>0.713944365743002</v>
      </c>
    </row>
    <row r="216" customFormat="false" ht="15" hidden="false" customHeight="false" outlineLevel="0" collapsed="false">
      <c r="A216" s="2" t="s">
        <v>514</v>
      </c>
      <c r="B216" s="2" t="str">
        <f aca="false">INDEX(Clean_Data!$F$2:$F$2086,MATCH(A216,Clean_Data!$B$2:$B$2086,0))</f>
        <v>Small Business</v>
      </c>
      <c r="C216" s="2" t="n">
        <f aca="false">COUNTIFS(Clean_Data!$B$2:$B$2086,A216)</f>
        <v>4</v>
      </c>
      <c r="D216" s="11" t="n">
        <f aca="false">SUMIFS(Clean_Data!$M$2:$M$2086,Clean_Data!$B$2:$B$2086,A216)</f>
        <v>29675</v>
      </c>
      <c r="E216" s="11" t="n">
        <f aca="false">SUMIFS(Clean_Data!$N$2:$N$2086,Clean_Data!$B$2:$B$2086,A216)</f>
        <v>10875</v>
      </c>
      <c r="F216" s="2" t="str">
        <f aca="false">IF(C216&gt;1,"Repeat","One-time")</f>
        <v>Repeat</v>
      </c>
      <c r="G216" s="13" t="n">
        <f aca="false">SUM($D$2:D216)/SUM($D$2:$D$800)</f>
        <v>0.715386876698854</v>
      </c>
    </row>
    <row r="217" customFormat="false" ht="15" hidden="false" customHeight="false" outlineLevel="0" collapsed="false">
      <c r="A217" s="2" t="s">
        <v>2678</v>
      </c>
      <c r="B217" s="2" t="str">
        <f aca="false">INDEX(Clean_Data!$F$2:$F$2086,MATCH(A217,Clean_Data!$B$2:$B$2086,0))</f>
        <v>Consumer</v>
      </c>
      <c r="C217" s="2" t="n">
        <f aca="false">COUNTIFS(Clean_Data!$B$2:$B$2086,A217)</f>
        <v>4</v>
      </c>
      <c r="D217" s="11" t="n">
        <f aca="false">SUMIFS(Clean_Data!$M$2:$M$2086,Clean_Data!$B$2:$B$2086,A217)</f>
        <v>29550</v>
      </c>
      <c r="E217" s="11" t="n">
        <f aca="false">SUMIFS(Clean_Data!$N$2:$N$2086,Clean_Data!$B$2:$B$2086,A217)</f>
        <v>8400</v>
      </c>
      <c r="F217" s="2" t="str">
        <f aca="false">IF(C217&gt;1,"Repeat","One-time")</f>
        <v>Repeat</v>
      </c>
      <c r="G217" s="13" t="n">
        <f aca="false">SUM($D$2:D217)/SUM($D$2:$D$800)</f>
        <v>0.716823311365929</v>
      </c>
    </row>
    <row r="218" customFormat="false" ht="15" hidden="false" customHeight="false" outlineLevel="0" collapsed="false">
      <c r="A218" s="2" t="s">
        <v>1586</v>
      </c>
      <c r="B218" s="2" t="str">
        <f aca="false">INDEX(Clean_Data!$F$2:$F$2086,MATCH(A218,Clean_Data!$B$2:$B$2086,0))</f>
        <v>Consumer</v>
      </c>
      <c r="C218" s="2" t="n">
        <f aca="false">COUNTIFS(Clean_Data!$B$2:$B$2086,A218)</f>
        <v>8</v>
      </c>
      <c r="D218" s="11" t="n">
        <f aca="false">SUMIFS(Clean_Data!$M$2:$M$2086,Clean_Data!$B$2:$B$2086,A218)</f>
        <v>29525</v>
      </c>
      <c r="E218" s="11" t="n">
        <f aca="false">SUMIFS(Clean_Data!$N$2:$N$2086,Clean_Data!$B$2:$B$2086,A218)</f>
        <v>10525</v>
      </c>
      <c r="F218" s="2" t="str">
        <f aca="false">IF(C218&gt;1,"Repeat","One-time")</f>
        <v>Repeat</v>
      </c>
      <c r="G218" s="13" t="n">
        <f aca="false">SUM($D$2:D218)/SUM($D$2:$D$800)</f>
        <v>0.718258530775248</v>
      </c>
    </row>
    <row r="219" customFormat="false" ht="15" hidden="false" customHeight="false" outlineLevel="0" collapsed="false">
      <c r="A219" s="2" t="s">
        <v>2430</v>
      </c>
      <c r="B219" s="2" t="str">
        <f aca="false">INDEX(Clean_Data!$F$2:$F$2086,MATCH(A219,Clean_Data!$B$2:$B$2086,0))</f>
        <v>Consumer</v>
      </c>
      <c r="C219" s="2" t="n">
        <f aca="false">COUNTIFS(Clean_Data!$B$2:$B$2086,A219)</f>
        <v>2</v>
      </c>
      <c r="D219" s="11" t="n">
        <f aca="false">SUMIFS(Clean_Data!$M$2:$M$2086,Clean_Data!$B$2:$B$2086,A219)</f>
        <v>29280</v>
      </c>
      <c r="E219" s="11" t="n">
        <f aca="false">SUMIFS(Clean_Data!$N$2:$N$2086,Clean_Data!$B$2:$B$2086,A219)</f>
        <v>9480</v>
      </c>
      <c r="F219" s="2" t="str">
        <f aca="false">IF(C219&gt;1,"Repeat","One-time")</f>
        <v>Repeat</v>
      </c>
      <c r="G219" s="13" t="n">
        <f aca="false">SUM($D$2:D219)/SUM($D$2:$D$800)</f>
        <v>0.719681840658563</v>
      </c>
    </row>
    <row r="220" customFormat="false" ht="15" hidden="false" customHeight="false" outlineLevel="0" collapsed="false">
      <c r="A220" s="2" t="s">
        <v>1387</v>
      </c>
      <c r="B220" s="2" t="str">
        <f aca="false">INDEX(Clean_Data!$F$2:$F$2086,MATCH(A220,Clean_Data!$B$2:$B$2086,0))</f>
        <v>Consumer</v>
      </c>
      <c r="C220" s="2" t="n">
        <f aca="false">COUNTIFS(Clean_Data!$B$2:$B$2086,A220)</f>
        <v>5</v>
      </c>
      <c r="D220" s="11" t="n">
        <f aca="false">SUMIFS(Clean_Data!$M$2:$M$2086,Clean_Data!$B$2:$B$2086,A220)</f>
        <v>29275</v>
      </c>
      <c r="E220" s="11" t="n">
        <f aca="false">SUMIFS(Clean_Data!$N$2:$N$2086,Clean_Data!$B$2:$B$2086,A220)</f>
        <v>8175</v>
      </c>
      <c r="F220" s="2" t="str">
        <f aca="false">IF(C220&gt;1,"Repeat","One-time")</f>
        <v>Repeat</v>
      </c>
      <c r="G220" s="13" t="n">
        <f aca="false">SUM($D$2:D220)/SUM($D$2:$D$800)</f>
        <v>0.721104907490326</v>
      </c>
    </row>
    <row r="221" customFormat="false" ht="15" hidden="false" customHeight="false" outlineLevel="0" collapsed="false">
      <c r="A221" s="2" t="s">
        <v>664</v>
      </c>
      <c r="B221" s="2" t="str">
        <f aca="false">INDEX(Clean_Data!$F$2:$F$2086,MATCH(A221,Clean_Data!$B$2:$B$2086,0))</f>
        <v>Consumer</v>
      </c>
      <c r="C221" s="2" t="n">
        <f aca="false">COUNTIFS(Clean_Data!$B$2:$B$2086,A221)</f>
        <v>6</v>
      </c>
      <c r="D221" s="11" t="n">
        <f aca="false">SUMIFS(Clean_Data!$M$2:$M$2086,Clean_Data!$B$2:$B$2086,A221)</f>
        <v>29265</v>
      </c>
      <c r="E221" s="11" t="n">
        <f aca="false">SUMIFS(Clean_Data!$N$2:$N$2086,Clean_Data!$B$2:$B$2086,A221)</f>
        <v>8665</v>
      </c>
      <c r="F221" s="2" t="str">
        <f aca="false">IF(C221&gt;1,"Repeat","One-time")</f>
        <v>Repeat</v>
      </c>
      <c r="G221" s="13" t="n">
        <f aca="false">SUM($D$2:D221)/SUM($D$2:$D$800)</f>
        <v>0.722527488218988</v>
      </c>
    </row>
    <row r="222" customFormat="false" ht="15" hidden="false" customHeight="false" outlineLevel="0" collapsed="false">
      <c r="A222" s="2" t="s">
        <v>725</v>
      </c>
      <c r="B222" s="2" t="str">
        <f aca="false">INDEX(Clean_Data!$F$2:$F$2086,MATCH(A222,Clean_Data!$B$2:$B$2086,0))</f>
        <v>Consumer</v>
      </c>
      <c r="C222" s="2" t="n">
        <f aca="false">COUNTIFS(Clean_Data!$B$2:$B$2086,A222)</f>
        <v>4</v>
      </c>
      <c r="D222" s="11" t="n">
        <f aca="false">SUMIFS(Clean_Data!$M$2:$M$2086,Clean_Data!$B$2:$B$2086,A222)</f>
        <v>29100</v>
      </c>
      <c r="E222" s="11" t="n">
        <f aca="false">SUMIFS(Clean_Data!$N$2:$N$2086,Clean_Data!$B$2:$B$2086,A222)</f>
        <v>10100</v>
      </c>
      <c r="F222" s="2" t="str">
        <f aca="false">IF(C222&gt;1,"Repeat","One-time")</f>
        <v>Repeat</v>
      </c>
      <c r="G222" s="13" t="n">
        <f aca="false">SUM($D$2:D222)/SUM($D$2:$D$800)</f>
        <v>0.723942048246462</v>
      </c>
    </row>
    <row r="223" customFormat="false" ht="15" hidden="false" customHeight="false" outlineLevel="0" collapsed="false">
      <c r="A223" s="2" t="s">
        <v>991</v>
      </c>
      <c r="B223" s="2" t="str">
        <f aca="false">INDEX(Clean_Data!$F$2:$F$2086,MATCH(A223,Clean_Data!$B$2:$B$2086,0))</f>
        <v>Consumer</v>
      </c>
      <c r="C223" s="2" t="n">
        <f aca="false">COUNTIFS(Clean_Data!$B$2:$B$2086,A223)</f>
        <v>3</v>
      </c>
      <c r="D223" s="11" t="n">
        <f aca="false">SUMIFS(Clean_Data!$M$2:$M$2086,Clean_Data!$B$2:$B$2086,A223)</f>
        <v>29075</v>
      </c>
      <c r="E223" s="11" t="n">
        <f aca="false">SUMIFS(Clean_Data!$N$2:$N$2086,Clean_Data!$B$2:$B$2086,A223)</f>
        <v>7675</v>
      </c>
      <c r="F223" s="2" t="str">
        <f aca="false">IF(C223&gt;1,"Repeat","One-time")</f>
        <v>Repeat</v>
      </c>
      <c r="G223" s="13" t="n">
        <f aca="false">SUM($D$2:D223)/SUM($D$2:$D$800)</f>
        <v>0.725355393016181</v>
      </c>
    </row>
    <row r="224" customFormat="false" ht="15" hidden="false" customHeight="false" outlineLevel="0" collapsed="false">
      <c r="A224" s="2" t="s">
        <v>2855</v>
      </c>
      <c r="B224" s="2" t="str">
        <f aca="false">INDEX(Clean_Data!$F$2:$F$2086,MATCH(A224,Clean_Data!$B$2:$B$2086,0))</f>
        <v>Consumer</v>
      </c>
      <c r="C224" s="2" t="n">
        <f aca="false">COUNTIFS(Clean_Data!$B$2:$B$2086,A224)</f>
        <v>3</v>
      </c>
      <c r="D224" s="11" t="n">
        <f aca="false">SUMIFS(Clean_Data!$M$2:$M$2086,Clean_Data!$B$2:$B$2086,A224)</f>
        <v>28875</v>
      </c>
      <c r="E224" s="11" t="n">
        <f aca="false">SUMIFS(Clean_Data!$N$2:$N$2086,Clean_Data!$B$2:$B$2086,A224)</f>
        <v>9775</v>
      </c>
      <c r="F224" s="2" t="str">
        <f aca="false">IF(C224&gt;1,"Repeat","One-time")</f>
        <v>Repeat</v>
      </c>
      <c r="G224" s="13" t="n">
        <f aca="false">SUM($D$2:D224)/SUM($D$2:$D$800)</f>
        <v>0.726759015723856</v>
      </c>
    </row>
    <row r="225" customFormat="false" ht="15" hidden="false" customHeight="false" outlineLevel="0" collapsed="false">
      <c r="A225" s="2" t="s">
        <v>1165</v>
      </c>
      <c r="B225" s="2" t="str">
        <f aca="false">INDEX(Clean_Data!$F$2:$F$2086,MATCH(A225,Clean_Data!$B$2:$B$2086,0))</f>
        <v>Consumer</v>
      </c>
      <c r="C225" s="2" t="n">
        <f aca="false">COUNTIFS(Clean_Data!$B$2:$B$2086,A225)</f>
        <v>5</v>
      </c>
      <c r="D225" s="11" t="n">
        <f aca="false">SUMIFS(Clean_Data!$M$2:$M$2086,Clean_Data!$B$2:$B$2086,A225)</f>
        <v>28800</v>
      </c>
      <c r="E225" s="11" t="n">
        <f aca="false">SUMIFS(Clean_Data!$N$2:$N$2086,Clean_Data!$B$2:$B$2086,A225)</f>
        <v>9650</v>
      </c>
      <c r="F225" s="2" t="str">
        <f aca="false">IF(C225&gt;1,"Repeat","One-time")</f>
        <v>Repeat</v>
      </c>
      <c r="G225" s="13" t="n">
        <f aca="false">SUM($D$2:D225)/SUM($D$2:$D$800)</f>
        <v>0.728158992658263</v>
      </c>
    </row>
    <row r="226" customFormat="false" ht="15" hidden="false" customHeight="false" outlineLevel="0" collapsed="false">
      <c r="A226" s="2" t="s">
        <v>2507</v>
      </c>
      <c r="B226" s="2" t="str">
        <f aca="false">INDEX(Clean_Data!$F$2:$F$2086,MATCH(A226,Clean_Data!$B$2:$B$2086,0))</f>
        <v>Consumer</v>
      </c>
      <c r="C226" s="2" t="n">
        <f aca="false">COUNTIFS(Clean_Data!$B$2:$B$2086,A226)</f>
        <v>6</v>
      </c>
      <c r="D226" s="11" t="n">
        <f aca="false">SUMIFS(Clean_Data!$M$2:$M$2086,Clean_Data!$B$2:$B$2086,A226)</f>
        <v>28735</v>
      </c>
      <c r="E226" s="11" t="n">
        <f aca="false">SUMIFS(Clean_Data!$N$2:$N$2086,Clean_Data!$B$2:$B$2086,A226)</f>
        <v>9585</v>
      </c>
      <c r="F226" s="2" t="str">
        <f aca="false">IF(C226&gt;1,"Repeat","One-time")</f>
        <v>Repeat</v>
      </c>
      <c r="G226" s="13" t="n">
        <f aca="false">SUM($D$2:D226)/SUM($D$2:$D$800)</f>
        <v>0.729555809922507</v>
      </c>
    </row>
    <row r="227" customFormat="false" ht="15" hidden="false" customHeight="false" outlineLevel="0" collapsed="false">
      <c r="A227" s="2" t="s">
        <v>396</v>
      </c>
      <c r="B227" s="2" t="str">
        <f aca="false">INDEX(Clean_Data!$F$2:$F$2086,MATCH(A227,Clean_Data!$B$2:$B$2086,0))</f>
        <v>Consumer</v>
      </c>
      <c r="C227" s="2" t="n">
        <f aca="false">COUNTIFS(Clean_Data!$B$2:$B$2086,A227)</f>
        <v>4</v>
      </c>
      <c r="D227" s="11" t="n">
        <f aca="false">SUMIFS(Clean_Data!$M$2:$M$2086,Clean_Data!$B$2:$B$2086,A227)</f>
        <v>28560</v>
      </c>
      <c r="E227" s="11" t="n">
        <f aca="false">SUMIFS(Clean_Data!$N$2:$N$2086,Clean_Data!$B$2:$B$2086,A227)</f>
        <v>10960</v>
      </c>
      <c r="F227" s="2" t="str">
        <f aca="false">IF(C227&gt;1,"Repeat","One-time")</f>
        <v>Repeat</v>
      </c>
      <c r="G227" s="13" t="n">
        <f aca="false">SUM($D$2:D227)/SUM($D$2:$D$800)</f>
        <v>0.730944120382461</v>
      </c>
    </row>
    <row r="228" customFormat="false" ht="15" hidden="false" customHeight="false" outlineLevel="0" collapsed="false">
      <c r="A228" s="2" t="s">
        <v>1331</v>
      </c>
      <c r="B228" s="2" t="str">
        <f aca="false">INDEX(Clean_Data!$F$2:$F$2086,MATCH(A228,Clean_Data!$B$2:$B$2086,0))</f>
        <v>Consumer</v>
      </c>
      <c r="C228" s="2" t="n">
        <f aca="false">COUNTIFS(Clean_Data!$B$2:$B$2086,A228)</f>
        <v>2</v>
      </c>
      <c r="D228" s="11" t="n">
        <f aca="false">SUMIFS(Clean_Data!$M$2:$M$2086,Clean_Data!$B$2:$B$2086,A228)</f>
        <v>28500</v>
      </c>
      <c r="E228" s="11" t="n">
        <f aca="false">SUMIFS(Clean_Data!$N$2:$N$2086,Clean_Data!$B$2:$B$2086,A228)</f>
        <v>9300</v>
      </c>
      <c r="F228" s="2" t="str">
        <f aca="false">IF(C228&gt;1,"Repeat","One-time")</f>
        <v>Repeat</v>
      </c>
      <c r="G228" s="13" t="n">
        <f aca="false">SUM($D$2:D228)/SUM($D$2:$D$800)</f>
        <v>0.732329514223802</v>
      </c>
    </row>
    <row r="229" customFormat="false" ht="15" hidden="false" customHeight="false" outlineLevel="0" collapsed="false">
      <c r="A229" s="2" t="s">
        <v>2031</v>
      </c>
      <c r="B229" s="2" t="str">
        <f aca="false">INDEX(Clean_Data!$F$2:$F$2086,MATCH(A229,Clean_Data!$B$2:$B$2086,0))</f>
        <v>Small Business</v>
      </c>
      <c r="C229" s="2" t="n">
        <f aca="false">COUNTIFS(Clean_Data!$B$2:$B$2086,A229)</f>
        <v>2</v>
      </c>
      <c r="D229" s="11" t="n">
        <f aca="false">SUMIFS(Clean_Data!$M$2:$M$2086,Clean_Data!$B$2:$B$2086,A229)</f>
        <v>28460</v>
      </c>
      <c r="E229" s="11" t="n">
        <f aca="false">SUMIFS(Clean_Data!$N$2:$N$2086,Clean_Data!$B$2:$B$2086,A229)</f>
        <v>10660</v>
      </c>
      <c r="F229" s="2" t="str">
        <f aca="false">IF(C229&gt;1,"Repeat","One-time")</f>
        <v>Repeat</v>
      </c>
      <c r="G229" s="13" t="n">
        <f aca="false">SUM($D$2:D229)/SUM($D$2:$D$800)</f>
        <v>0.733712963652734</v>
      </c>
    </row>
    <row r="230" customFormat="false" ht="15" hidden="false" customHeight="false" outlineLevel="0" collapsed="false">
      <c r="A230" s="2" t="s">
        <v>1456</v>
      </c>
      <c r="B230" s="2" t="str">
        <f aca="false">INDEX(Clean_Data!$F$2:$F$2086,MATCH(A230,Clean_Data!$B$2:$B$2086,0))</f>
        <v>Consumer</v>
      </c>
      <c r="C230" s="2" t="n">
        <f aca="false">COUNTIFS(Clean_Data!$B$2:$B$2086,A230)</f>
        <v>2</v>
      </c>
      <c r="D230" s="11" t="n">
        <f aca="false">SUMIFS(Clean_Data!$M$2:$M$2086,Clean_Data!$B$2:$B$2086,A230)</f>
        <v>28350</v>
      </c>
      <c r="E230" s="11" t="n">
        <f aca="false">SUMIFS(Clean_Data!$N$2:$N$2086,Clean_Data!$B$2:$B$2086,A230)</f>
        <v>7750</v>
      </c>
      <c r="F230" s="2" t="str">
        <f aca="false">IF(C230&gt;1,"Repeat","One-time")</f>
        <v>Repeat</v>
      </c>
      <c r="G230" s="13" t="n">
        <f aca="false">SUM($D$2:D230)/SUM($D$2:$D$800)</f>
        <v>0.735091065947542</v>
      </c>
    </row>
    <row r="231" customFormat="false" ht="15" hidden="false" customHeight="false" outlineLevel="0" collapsed="false">
      <c r="A231" s="2" t="s">
        <v>676</v>
      </c>
      <c r="B231" s="2" t="str">
        <f aca="false">INDEX(Clean_Data!$F$2:$F$2086,MATCH(A231,Clean_Data!$B$2:$B$2086,0))</f>
        <v>Small Business</v>
      </c>
      <c r="C231" s="2" t="n">
        <f aca="false">COUNTIFS(Clean_Data!$B$2:$B$2086,A231)</f>
        <v>3</v>
      </c>
      <c r="D231" s="11" t="n">
        <f aca="false">SUMIFS(Clean_Data!$M$2:$M$2086,Clean_Data!$B$2:$B$2086,A231)</f>
        <v>28200</v>
      </c>
      <c r="E231" s="11" t="n">
        <f aca="false">SUMIFS(Clean_Data!$N$2:$N$2086,Clean_Data!$B$2:$B$2086,A231)</f>
        <v>7000</v>
      </c>
      <c r="F231" s="2" t="str">
        <f aca="false">IF(C231&gt;1,"Repeat","One-time")</f>
        <v>Repeat</v>
      </c>
      <c r="G231" s="13" t="n">
        <f aca="false">SUM($D$2:D231)/SUM($D$2:$D$800)</f>
        <v>0.736461876695816</v>
      </c>
    </row>
    <row r="232" customFormat="false" ht="15" hidden="false" customHeight="false" outlineLevel="0" collapsed="false">
      <c r="A232" s="2" t="s">
        <v>210</v>
      </c>
      <c r="B232" s="2" t="str">
        <f aca="false">INDEX(Clean_Data!$F$2:$F$2086,MATCH(A232,Clean_Data!$B$2:$B$2086,0))</f>
        <v>Consumer</v>
      </c>
      <c r="C232" s="2" t="n">
        <f aca="false">COUNTIFS(Clean_Data!$B$2:$B$2086,A232)</f>
        <v>5</v>
      </c>
      <c r="D232" s="11" t="n">
        <f aca="false">SUMIFS(Clean_Data!$M$2:$M$2086,Clean_Data!$B$2:$B$2086,A232)</f>
        <v>28075</v>
      </c>
      <c r="E232" s="11" t="n">
        <f aca="false">SUMIFS(Clean_Data!$N$2:$N$2086,Clean_Data!$B$2:$B$2086,A232)</f>
        <v>10325</v>
      </c>
      <c r="F232" s="2" t="str">
        <f aca="false">IF(C232&gt;1,"Repeat","One-time")</f>
        <v>Repeat</v>
      </c>
      <c r="G232" s="13" t="n">
        <f aca="false">SUM($D$2:D232)/SUM($D$2:$D$800)</f>
        <v>0.737826611155313</v>
      </c>
    </row>
    <row r="233" customFormat="false" ht="15" hidden="false" customHeight="false" outlineLevel="0" collapsed="false">
      <c r="A233" s="2" t="s">
        <v>2891</v>
      </c>
      <c r="B233" s="2" t="str">
        <f aca="false">INDEX(Clean_Data!$F$2:$F$2086,MATCH(A233,Clean_Data!$B$2:$B$2086,0))</f>
        <v>Small Business</v>
      </c>
      <c r="C233" s="2" t="n">
        <f aca="false">COUNTIFS(Clean_Data!$B$2:$B$2086,A233)</f>
        <v>1</v>
      </c>
      <c r="D233" s="11" t="n">
        <f aca="false">SUMIFS(Clean_Data!$M$2:$M$2086,Clean_Data!$B$2:$B$2086,A233)</f>
        <v>28000</v>
      </c>
      <c r="E233" s="11" t="n">
        <f aca="false">SUMIFS(Clean_Data!$N$2:$N$2086,Clean_Data!$B$2:$B$2086,A233)</f>
        <v>8800</v>
      </c>
      <c r="F233" s="2" t="str">
        <f aca="false">IF(C233&gt;1,"Repeat","One-time")</f>
        <v>One-time</v>
      </c>
      <c r="G233" s="13" t="n">
        <f aca="false">SUM($D$2:D233)/SUM($D$2:$D$800)</f>
        <v>0.739187699841543</v>
      </c>
    </row>
    <row r="234" customFormat="false" ht="15" hidden="false" customHeight="false" outlineLevel="0" collapsed="false">
      <c r="A234" s="2" t="s">
        <v>1314</v>
      </c>
      <c r="B234" s="2" t="str">
        <f aca="false">INDEX(Clean_Data!$F$2:$F$2086,MATCH(A234,Clean_Data!$B$2:$B$2086,0))</f>
        <v>Consumer</v>
      </c>
      <c r="C234" s="2" t="n">
        <f aca="false">COUNTIFS(Clean_Data!$B$2:$B$2086,A234)</f>
        <v>2</v>
      </c>
      <c r="D234" s="11" t="n">
        <f aca="false">SUMIFS(Clean_Data!$M$2:$M$2086,Clean_Data!$B$2:$B$2086,A234)</f>
        <v>27650</v>
      </c>
      <c r="E234" s="11" t="n">
        <f aca="false">SUMIFS(Clean_Data!$N$2:$N$2086,Clean_Data!$B$2:$B$2086,A234)</f>
        <v>8250</v>
      </c>
      <c r="F234" s="2" t="str">
        <f aca="false">IF(C234&gt;1,"Repeat","One-time")</f>
        <v>Repeat</v>
      </c>
      <c r="G234" s="13" t="n">
        <f aca="false">SUM($D$2:D234)/SUM($D$2:$D$800)</f>
        <v>0.740531774919194</v>
      </c>
    </row>
    <row r="235" customFormat="false" ht="15" hidden="false" customHeight="false" outlineLevel="0" collapsed="false">
      <c r="A235" s="2" t="s">
        <v>904</v>
      </c>
      <c r="B235" s="2" t="str">
        <f aca="false">INDEX(Clean_Data!$F$2:$F$2086,MATCH(A235,Clean_Data!$B$2:$B$2086,0))</f>
        <v>Consumer</v>
      </c>
      <c r="C235" s="2" t="n">
        <f aca="false">COUNTIFS(Clean_Data!$B$2:$B$2086,A235)</f>
        <v>5</v>
      </c>
      <c r="D235" s="11" t="n">
        <f aca="false">SUMIFS(Clean_Data!$M$2:$M$2086,Clean_Data!$B$2:$B$2086,A235)</f>
        <v>27600</v>
      </c>
      <c r="E235" s="11" t="n">
        <f aca="false">SUMIFS(Clean_Data!$N$2:$N$2086,Clean_Data!$B$2:$B$2086,A235)</f>
        <v>9000</v>
      </c>
      <c r="F235" s="2" t="str">
        <f aca="false">IF(C235&gt;1,"Repeat","One-time")</f>
        <v>Repeat</v>
      </c>
      <c r="G235" s="13" t="n">
        <f aca="false">SUM($D$2:D235)/SUM($D$2:$D$800)</f>
        <v>0.741873419481335</v>
      </c>
    </row>
    <row r="236" customFormat="false" ht="15" hidden="false" customHeight="false" outlineLevel="0" collapsed="false">
      <c r="A236" s="2" t="s">
        <v>2305</v>
      </c>
      <c r="B236" s="2" t="str">
        <f aca="false">INDEX(Clean_Data!$F$2:$F$2086,MATCH(A236,Clean_Data!$B$2:$B$2086,0))</f>
        <v>Consumer</v>
      </c>
      <c r="C236" s="2" t="n">
        <f aca="false">COUNTIFS(Clean_Data!$B$2:$B$2086,A236)</f>
        <v>4</v>
      </c>
      <c r="D236" s="11" t="n">
        <f aca="false">SUMIFS(Clean_Data!$M$2:$M$2086,Clean_Data!$B$2:$B$2086,A236)</f>
        <v>27535</v>
      </c>
      <c r="E236" s="11" t="n">
        <f aca="false">SUMIFS(Clean_Data!$N$2:$N$2086,Clean_Data!$B$2:$B$2086,A236)</f>
        <v>8535</v>
      </c>
      <c r="F236" s="2" t="str">
        <f aca="false">IF(C236&gt;1,"Repeat","One-time")</f>
        <v>Repeat</v>
      </c>
      <c r="G236" s="13" t="n">
        <f aca="false">SUM($D$2:D236)/SUM($D$2:$D$800)</f>
        <v>0.743211904373312</v>
      </c>
    </row>
    <row r="237" customFormat="false" ht="15" hidden="false" customHeight="false" outlineLevel="0" collapsed="false">
      <c r="A237" s="2" t="s">
        <v>1745</v>
      </c>
      <c r="B237" s="2" t="str">
        <f aca="false">INDEX(Clean_Data!$F$2:$F$2086,MATCH(A237,Clean_Data!$B$2:$B$2086,0))</f>
        <v>Consumer</v>
      </c>
      <c r="C237" s="2" t="n">
        <f aca="false">COUNTIFS(Clean_Data!$B$2:$B$2086,A237)</f>
        <v>5</v>
      </c>
      <c r="D237" s="11" t="n">
        <f aca="false">SUMIFS(Clean_Data!$M$2:$M$2086,Clean_Data!$B$2:$B$2086,A237)</f>
        <v>27440</v>
      </c>
      <c r="E237" s="11" t="n">
        <f aca="false">SUMIFS(Clean_Data!$N$2:$N$2086,Clean_Data!$B$2:$B$2086,A237)</f>
        <v>8540</v>
      </c>
      <c r="F237" s="2" t="str">
        <f aca="false">IF(C237&gt;1,"Repeat","One-time")</f>
        <v>Repeat</v>
      </c>
      <c r="G237" s="13" t="n">
        <f aca="false">SUM($D$2:D237)/SUM($D$2:$D$800)</f>
        <v>0.744545771285817</v>
      </c>
    </row>
    <row r="238" customFormat="false" ht="15" hidden="false" customHeight="false" outlineLevel="0" collapsed="false">
      <c r="A238" s="2" t="s">
        <v>2440</v>
      </c>
      <c r="B238" s="2" t="str">
        <f aca="false">INDEX(Clean_Data!$F$2:$F$2086,MATCH(A238,Clean_Data!$B$2:$B$2086,0))</f>
        <v>Small Business</v>
      </c>
      <c r="C238" s="2" t="n">
        <f aca="false">COUNTIFS(Clean_Data!$B$2:$B$2086,A238)</f>
        <v>3</v>
      </c>
      <c r="D238" s="11" t="n">
        <f aca="false">SUMIFS(Clean_Data!$M$2:$M$2086,Clean_Data!$B$2:$B$2086,A238)</f>
        <v>27275</v>
      </c>
      <c r="E238" s="11" t="n">
        <f aca="false">SUMIFS(Clean_Data!$N$2:$N$2086,Clean_Data!$B$2:$B$2086,A238)</f>
        <v>9275</v>
      </c>
      <c r="F238" s="2" t="str">
        <f aca="false">IF(C238&gt;1,"Repeat","One-time")</f>
        <v>Repeat</v>
      </c>
      <c r="G238" s="13" t="n">
        <f aca="false">SUM($D$2:D238)/SUM($D$2:$D$800)</f>
        <v>0.745871617497135</v>
      </c>
    </row>
    <row r="239" customFormat="false" ht="15" hidden="false" customHeight="false" outlineLevel="0" collapsed="false">
      <c r="A239" s="2" t="s">
        <v>1976</v>
      </c>
      <c r="B239" s="2" t="str">
        <f aca="false">INDEX(Clean_Data!$F$2:$F$2086,MATCH(A239,Clean_Data!$B$2:$B$2086,0))</f>
        <v>Corporate</v>
      </c>
      <c r="C239" s="2" t="n">
        <f aca="false">COUNTIFS(Clean_Data!$B$2:$B$2086,A239)</f>
        <v>4</v>
      </c>
      <c r="D239" s="11" t="n">
        <f aca="false">SUMIFS(Clean_Data!$M$2:$M$2086,Clean_Data!$B$2:$B$2086,A239)</f>
        <v>27200</v>
      </c>
      <c r="E239" s="11" t="n">
        <f aca="false">SUMIFS(Clean_Data!$N$2:$N$2086,Clean_Data!$B$2:$B$2086,A239)</f>
        <v>9200</v>
      </c>
      <c r="F239" s="2" t="str">
        <f aca="false">IF(C239&gt;1,"Repeat","One-time")</f>
        <v>Repeat</v>
      </c>
      <c r="G239" s="13" t="n">
        <f aca="false">SUM($D$2:D239)/SUM($D$2:$D$800)</f>
        <v>0.747193817935187</v>
      </c>
    </row>
    <row r="240" customFormat="false" ht="15" hidden="false" customHeight="false" outlineLevel="0" collapsed="false">
      <c r="A240" s="2" t="s">
        <v>797</v>
      </c>
      <c r="B240" s="2" t="str">
        <f aca="false">INDEX(Clean_Data!$F$2:$F$2086,MATCH(A240,Clean_Data!$B$2:$B$2086,0))</f>
        <v>Small Business</v>
      </c>
      <c r="C240" s="2" t="n">
        <f aca="false">COUNTIFS(Clean_Data!$B$2:$B$2086,A240)</f>
        <v>3</v>
      </c>
      <c r="D240" s="11" t="n">
        <f aca="false">SUMIFS(Clean_Data!$M$2:$M$2086,Clean_Data!$B$2:$B$2086,A240)</f>
        <v>27125</v>
      </c>
      <c r="E240" s="11" t="n">
        <f aca="false">SUMIFS(Clean_Data!$N$2:$N$2086,Clean_Data!$B$2:$B$2086,A240)</f>
        <v>8325</v>
      </c>
      <c r="F240" s="2" t="str">
        <f aca="false">IF(C240&gt;1,"Repeat","One-time")</f>
        <v>Repeat</v>
      </c>
      <c r="G240" s="13" t="n">
        <f aca="false">SUM($D$2:D240)/SUM($D$2:$D$800)</f>
        <v>0.748512372599972</v>
      </c>
    </row>
    <row r="241" customFormat="false" ht="15" hidden="false" customHeight="false" outlineLevel="0" collapsed="false">
      <c r="A241" s="2" t="s">
        <v>1734</v>
      </c>
      <c r="B241" s="2" t="str">
        <f aca="false">INDEX(Clean_Data!$F$2:$F$2086,MATCH(A241,Clean_Data!$B$2:$B$2086,0))</f>
        <v>Consumer</v>
      </c>
      <c r="C241" s="2" t="n">
        <f aca="false">COUNTIFS(Clean_Data!$B$2:$B$2086,A241)</f>
        <v>6</v>
      </c>
      <c r="D241" s="11" t="n">
        <f aca="false">SUMIFS(Clean_Data!$M$2:$M$2086,Clean_Data!$B$2:$B$2086,A241)</f>
        <v>27012.5</v>
      </c>
      <c r="E241" s="11" t="n">
        <f aca="false">SUMIFS(Clean_Data!$N$2:$N$2086,Clean_Data!$B$2:$B$2086,A241)</f>
        <v>8212.5</v>
      </c>
      <c r="F241" s="2" t="str">
        <f aca="false">IF(C241&gt;1,"Repeat","One-time")</f>
        <v>Repeat</v>
      </c>
      <c r="G241" s="13" t="n">
        <f aca="false">SUM($D$2:D241)/SUM($D$2:$D$800)</f>
        <v>0.749825458604857</v>
      </c>
    </row>
    <row r="242" customFormat="false" ht="15" hidden="false" customHeight="false" outlineLevel="0" collapsed="false">
      <c r="A242" s="2" t="s">
        <v>1758</v>
      </c>
      <c r="B242" s="2" t="str">
        <f aca="false">INDEX(Clean_Data!$F$2:$F$2086,MATCH(A242,Clean_Data!$B$2:$B$2086,0))</f>
        <v>Consumer</v>
      </c>
      <c r="C242" s="2" t="n">
        <f aca="false">COUNTIFS(Clean_Data!$B$2:$B$2086,A242)</f>
        <v>1</v>
      </c>
      <c r="D242" s="11" t="n">
        <f aca="false">SUMIFS(Clean_Data!$M$2:$M$2086,Clean_Data!$B$2:$B$2086,A242)</f>
        <v>27000</v>
      </c>
      <c r="E242" s="11" t="n">
        <f aca="false">SUMIFS(Clean_Data!$N$2:$N$2086,Clean_Data!$B$2:$B$2086,A242)</f>
        <v>8400</v>
      </c>
      <c r="F242" s="2" t="str">
        <f aca="false">IF(C242&gt;1,"Repeat","One-time")</f>
        <v>One-time</v>
      </c>
      <c r="G242" s="13" t="n">
        <f aca="false">SUM($D$2:D242)/SUM($D$2:$D$800)</f>
        <v>0.751137936980865</v>
      </c>
    </row>
    <row r="243" customFormat="false" ht="15" hidden="false" customHeight="false" outlineLevel="0" collapsed="false">
      <c r="A243" s="2" t="s">
        <v>435</v>
      </c>
      <c r="B243" s="2" t="str">
        <f aca="false">INDEX(Clean_Data!$F$2:$F$2086,MATCH(A243,Clean_Data!$B$2:$B$2086,0))</f>
        <v>Consumer</v>
      </c>
      <c r="C243" s="2" t="n">
        <f aca="false">COUNTIFS(Clean_Data!$B$2:$B$2086,A243)</f>
        <v>1</v>
      </c>
      <c r="D243" s="11" t="n">
        <f aca="false">SUMIFS(Clean_Data!$M$2:$M$2086,Clean_Data!$B$2:$B$2086,A243)</f>
        <v>27000</v>
      </c>
      <c r="E243" s="11" t="n">
        <f aca="false">SUMIFS(Clean_Data!$N$2:$N$2086,Clean_Data!$B$2:$B$2086,A243)</f>
        <v>8400</v>
      </c>
      <c r="F243" s="2" t="str">
        <f aca="false">IF(C243&gt;1,"Repeat","One-time")</f>
        <v>One-time</v>
      </c>
      <c r="G243" s="13" t="n">
        <f aca="false">SUM($D$2:D243)/SUM($D$2:$D$800)</f>
        <v>0.752450415356872</v>
      </c>
    </row>
    <row r="244" customFormat="false" ht="15" hidden="false" customHeight="false" outlineLevel="0" collapsed="false">
      <c r="A244" s="2" t="s">
        <v>1059</v>
      </c>
      <c r="B244" s="2" t="str">
        <f aca="false">INDEX(Clean_Data!$F$2:$F$2086,MATCH(A244,Clean_Data!$B$2:$B$2086,0))</f>
        <v>Small Business</v>
      </c>
      <c r="C244" s="2" t="n">
        <f aca="false">COUNTIFS(Clean_Data!$B$2:$B$2086,A244)</f>
        <v>1</v>
      </c>
      <c r="D244" s="11" t="n">
        <f aca="false">SUMIFS(Clean_Data!$M$2:$M$2086,Clean_Data!$B$2:$B$2086,A244)</f>
        <v>27000</v>
      </c>
      <c r="E244" s="11" t="n">
        <f aca="false">SUMIFS(Clean_Data!$N$2:$N$2086,Clean_Data!$B$2:$B$2086,A244)</f>
        <v>8400</v>
      </c>
      <c r="F244" s="2" t="str">
        <f aca="false">IF(C244&gt;1,"Repeat","One-time")</f>
        <v>One-time</v>
      </c>
      <c r="G244" s="13" t="n">
        <f aca="false">SUM($D$2:D244)/SUM($D$2:$D$800)</f>
        <v>0.753762893732879</v>
      </c>
    </row>
    <row r="245" customFormat="false" ht="15" hidden="false" customHeight="false" outlineLevel="0" collapsed="false">
      <c r="A245" s="2" t="s">
        <v>2185</v>
      </c>
      <c r="B245" s="2" t="str">
        <f aca="false">INDEX(Clean_Data!$F$2:$F$2086,MATCH(A245,Clean_Data!$B$2:$B$2086,0))</f>
        <v>Consumer</v>
      </c>
      <c r="C245" s="2" t="n">
        <f aca="false">COUNTIFS(Clean_Data!$B$2:$B$2086,A245)</f>
        <v>6</v>
      </c>
      <c r="D245" s="11" t="n">
        <f aca="false">SUMIFS(Clean_Data!$M$2:$M$2086,Clean_Data!$B$2:$B$2086,A245)</f>
        <v>26430</v>
      </c>
      <c r="E245" s="11" t="n">
        <f aca="false">SUMIFS(Clean_Data!$N$2:$N$2086,Clean_Data!$B$2:$B$2086,A245)</f>
        <v>9530</v>
      </c>
      <c r="F245" s="2" t="str">
        <f aca="false">IF(C245&gt;1,"Repeat","One-time")</f>
        <v>Repeat</v>
      </c>
      <c r="G245" s="13" t="n">
        <f aca="false">SUM($D$2:D245)/SUM($D$2:$D$800)</f>
        <v>0.75504766423206</v>
      </c>
    </row>
    <row r="246" customFormat="false" ht="15" hidden="false" customHeight="false" outlineLevel="0" collapsed="false">
      <c r="A246" s="2" t="s">
        <v>1766</v>
      </c>
      <c r="B246" s="2" t="str">
        <f aca="false">INDEX(Clean_Data!$F$2:$F$2086,MATCH(A246,Clean_Data!$B$2:$B$2086,0))</f>
        <v>Small Business</v>
      </c>
      <c r="C246" s="2" t="n">
        <f aca="false">COUNTIFS(Clean_Data!$B$2:$B$2086,A246)</f>
        <v>3</v>
      </c>
      <c r="D246" s="11" t="n">
        <f aca="false">SUMIFS(Clean_Data!$M$2:$M$2086,Clean_Data!$B$2:$B$2086,A246)</f>
        <v>26325</v>
      </c>
      <c r="E246" s="11" t="n">
        <f aca="false">SUMIFS(Clean_Data!$N$2:$N$2086,Clean_Data!$B$2:$B$2086,A246)</f>
        <v>5025</v>
      </c>
      <c r="F246" s="2" t="str">
        <f aca="false">IF(C246&gt;1,"Repeat","One-time")</f>
        <v>Repeat</v>
      </c>
      <c r="G246" s="13" t="n">
        <f aca="false">SUM($D$2:D246)/SUM($D$2:$D$800)</f>
        <v>0.756327330648667</v>
      </c>
    </row>
    <row r="247" customFormat="false" ht="15" hidden="false" customHeight="false" outlineLevel="0" collapsed="false">
      <c r="A247" s="2" t="s">
        <v>2683</v>
      </c>
      <c r="B247" s="2" t="str">
        <f aca="false">INDEX(Clean_Data!$F$2:$F$2086,MATCH(A247,Clean_Data!$B$2:$B$2086,0))</f>
        <v>Small Business</v>
      </c>
      <c r="C247" s="2" t="n">
        <f aca="false">COUNTIFS(Clean_Data!$B$2:$B$2086,A247)</f>
        <v>2</v>
      </c>
      <c r="D247" s="11" t="n">
        <f aca="false">SUMIFS(Clean_Data!$M$2:$M$2086,Clean_Data!$B$2:$B$2086,A247)</f>
        <v>26250</v>
      </c>
      <c r="E247" s="11" t="n">
        <f aca="false">SUMIFS(Clean_Data!$N$2:$N$2086,Clean_Data!$B$2:$B$2086,A247)</f>
        <v>8250</v>
      </c>
      <c r="F247" s="2" t="str">
        <f aca="false">IF(C247&gt;1,"Repeat","One-time")</f>
        <v>Repeat</v>
      </c>
      <c r="G247" s="13" t="n">
        <f aca="false">SUM($D$2:D247)/SUM($D$2:$D$800)</f>
        <v>0.757603351292007</v>
      </c>
    </row>
    <row r="248" customFormat="false" ht="15" hidden="false" customHeight="false" outlineLevel="0" collapsed="false">
      <c r="A248" s="2" t="s">
        <v>1340</v>
      </c>
      <c r="B248" s="2" t="str">
        <f aca="false">INDEX(Clean_Data!$F$2:$F$2086,MATCH(A248,Clean_Data!$B$2:$B$2086,0))</f>
        <v>Consumer</v>
      </c>
      <c r="C248" s="2" t="n">
        <f aca="false">COUNTIFS(Clean_Data!$B$2:$B$2086,A248)</f>
        <v>5</v>
      </c>
      <c r="D248" s="11" t="n">
        <f aca="false">SUMIFS(Clean_Data!$M$2:$M$2086,Clean_Data!$B$2:$B$2086,A248)</f>
        <v>26150</v>
      </c>
      <c r="E248" s="11" t="n">
        <f aca="false">SUMIFS(Clean_Data!$N$2:$N$2086,Clean_Data!$B$2:$B$2086,A248)</f>
        <v>7950</v>
      </c>
      <c r="F248" s="2" t="str">
        <f aca="false">IF(C248&gt;1,"Repeat","One-time")</f>
        <v>Repeat</v>
      </c>
      <c r="G248" s="13" t="n">
        <f aca="false">SUM($D$2:D248)/SUM($D$2:$D$800)</f>
        <v>0.758874510904326</v>
      </c>
    </row>
    <row r="249" customFormat="false" ht="15" hidden="false" customHeight="false" outlineLevel="0" collapsed="false">
      <c r="A249" s="2" t="s">
        <v>2580</v>
      </c>
      <c r="B249" s="2" t="str">
        <f aca="false">INDEX(Clean_Data!$F$2:$F$2086,MATCH(A249,Clean_Data!$B$2:$B$2086,0))</f>
        <v>Consumer</v>
      </c>
      <c r="C249" s="2" t="n">
        <f aca="false">COUNTIFS(Clean_Data!$B$2:$B$2086,A249)</f>
        <v>4</v>
      </c>
      <c r="D249" s="11" t="n">
        <f aca="false">SUMIFS(Clean_Data!$M$2:$M$2086,Clean_Data!$B$2:$B$2086,A249)</f>
        <v>26150</v>
      </c>
      <c r="E249" s="11" t="n">
        <f aca="false">SUMIFS(Clean_Data!$N$2:$N$2086,Clean_Data!$B$2:$B$2086,A249)</f>
        <v>7350</v>
      </c>
      <c r="F249" s="2" t="str">
        <f aca="false">IF(C249&gt;1,"Repeat","One-time")</f>
        <v>Repeat</v>
      </c>
      <c r="G249" s="13" t="n">
        <f aca="false">SUM($D$2:D249)/SUM($D$2:$D$800)</f>
        <v>0.760145670516644</v>
      </c>
    </row>
    <row r="250" customFormat="false" ht="15" hidden="false" customHeight="false" outlineLevel="0" collapsed="false">
      <c r="A250" s="2" t="s">
        <v>939</v>
      </c>
      <c r="B250" s="2" t="str">
        <f aca="false">INDEX(Clean_Data!$F$2:$F$2086,MATCH(A250,Clean_Data!$B$2:$B$2086,0))</f>
        <v>Consumer</v>
      </c>
      <c r="C250" s="2" t="n">
        <f aca="false">COUNTIFS(Clean_Data!$B$2:$B$2086,A250)</f>
        <v>3</v>
      </c>
      <c r="D250" s="11" t="n">
        <f aca="false">SUMIFS(Clean_Data!$M$2:$M$2086,Clean_Data!$B$2:$B$2086,A250)</f>
        <v>25680</v>
      </c>
      <c r="E250" s="11" t="n">
        <f aca="false">SUMIFS(Clean_Data!$N$2:$N$2086,Clean_Data!$B$2:$B$2086,A250)</f>
        <v>8880</v>
      </c>
      <c r="F250" s="2" t="str">
        <f aca="false">IF(C250&gt;1,"Repeat","One-time")</f>
        <v>Repeat</v>
      </c>
      <c r="G250" s="13" t="n">
        <f aca="false">SUM($D$2:D250)/SUM($D$2:$D$800)</f>
        <v>0.761393983283157</v>
      </c>
    </row>
    <row r="251" customFormat="false" ht="15" hidden="false" customHeight="false" outlineLevel="0" collapsed="false">
      <c r="A251" s="2" t="s">
        <v>196</v>
      </c>
      <c r="B251" s="2" t="str">
        <f aca="false">INDEX(Clean_Data!$F$2:$F$2086,MATCH(A251,Clean_Data!$B$2:$B$2086,0))</f>
        <v>Consumer</v>
      </c>
      <c r="C251" s="2" t="n">
        <f aca="false">COUNTIFS(Clean_Data!$B$2:$B$2086,A251)</f>
        <v>6</v>
      </c>
      <c r="D251" s="11" t="n">
        <f aca="false">SUMIFS(Clean_Data!$M$2:$M$2086,Clean_Data!$B$2:$B$2086,A251)</f>
        <v>25670</v>
      </c>
      <c r="E251" s="11" t="n">
        <f aca="false">SUMIFS(Clean_Data!$N$2:$N$2086,Clean_Data!$B$2:$B$2086,A251)</f>
        <v>8570</v>
      </c>
      <c r="F251" s="2" t="str">
        <f aca="false">IF(C251&gt;1,"Repeat","One-time")</f>
        <v>Repeat</v>
      </c>
      <c r="G251" s="13" t="n">
        <f aca="false">SUM($D$2:D251)/SUM($D$2:$D$800)</f>
        <v>0.762641809946569</v>
      </c>
    </row>
    <row r="252" customFormat="false" ht="15" hidden="false" customHeight="false" outlineLevel="0" collapsed="false">
      <c r="A252" s="2" t="s">
        <v>326</v>
      </c>
      <c r="B252" s="2" t="str">
        <f aca="false">INDEX(Clean_Data!$F$2:$F$2086,MATCH(A252,Clean_Data!$B$2:$B$2086,0))</f>
        <v>Consumer</v>
      </c>
      <c r="C252" s="2" t="n">
        <f aca="false">COUNTIFS(Clean_Data!$B$2:$B$2086,A252)</f>
        <v>1</v>
      </c>
      <c r="D252" s="11" t="n">
        <f aca="false">SUMIFS(Clean_Data!$M$2:$M$2086,Clean_Data!$B$2:$B$2086,A252)</f>
        <v>25650</v>
      </c>
      <c r="E252" s="11" t="n">
        <f aca="false">SUMIFS(Clean_Data!$N$2:$N$2086,Clean_Data!$B$2:$B$2086,A252)</f>
        <v>7050</v>
      </c>
      <c r="F252" s="2" t="str">
        <f aca="false">IF(C252&gt;1,"Repeat","One-time")</f>
        <v>One-time</v>
      </c>
      <c r="G252" s="13" t="n">
        <f aca="false">SUM($D$2:D252)/SUM($D$2:$D$800)</f>
        <v>0.763888664403776</v>
      </c>
    </row>
    <row r="253" customFormat="false" ht="15" hidden="false" customHeight="false" outlineLevel="0" collapsed="false">
      <c r="A253" s="2" t="s">
        <v>2380</v>
      </c>
      <c r="B253" s="2" t="str">
        <f aca="false">INDEX(Clean_Data!$F$2:$F$2086,MATCH(A253,Clean_Data!$B$2:$B$2086,0))</f>
        <v>Consumer</v>
      </c>
      <c r="C253" s="2" t="n">
        <f aca="false">COUNTIFS(Clean_Data!$B$2:$B$2086,A253)</f>
        <v>1</v>
      </c>
      <c r="D253" s="11" t="n">
        <f aca="false">SUMIFS(Clean_Data!$M$2:$M$2086,Clean_Data!$B$2:$B$2086,A253)</f>
        <v>25650</v>
      </c>
      <c r="E253" s="11" t="n">
        <f aca="false">SUMIFS(Clean_Data!$N$2:$N$2086,Clean_Data!$B$2:$B$2086,A253)</f>
        <v>7050</v>
      </c>
      <c r="F253" s="2" t="str">
        <f aca="false">IF(C253&gt;1,"Repeat","One-time")</f>
        <v>One-time</v>
      </c>
      <c r="G253" s="13" t="n">
        <f aca="false">SUM($D$2:D253)/SUM($D$2:$D$800)</f>
        <v>0.765135518860983</v>
      </c>
    </row>
    <row r="254" customFormat="false" ht="15" hidden="false" customHeight="false" outlineLevel="0" collapsed="false">
      <c r="A254" s="2" t="s">
        <v>461</v>
      </c>
      <c r="B254" s="2" t="str">
        <f aca="false">INDEX(Clean_Data!$F$2:$F$2086,MATCH(A254,Clean_Data!$B$2:$B$2086,0))</f>
        <v>Small Business</v>
      </c>
      <c r="C254" s="2" t="n">
        <f aca="false">COUNTIFS(Clean_Data!$B$2:$B$2086,A254)</f>
        <v>1</v>
      </c>
      <c r="D254" s="11" t="n">
        <f aca="false">SUMIFS(Clean_Data!$M$2:$M$2086,Clean_Data!$B$2:$B$2086,A254)</f>
        <v>25650</v>
      </c>
      <c r="E254" s="11" t="n">
        <f aca="false">SUMIFS(Clean_Data!$N$2:$N$2086,Clean_Data!$B$2:$B$2086,A254)</f>
        <v>7050</v>
      </c>
      <c r="F254" s="2" t="str">
        <f aca="false">IF(C254&gt;1,"Repeat","One-time")</f>
        <v>One-time</v>
      </c>
      <c r="G254" s="13" t="n">
        <f aca="false">SUM($D$2:D254)/SUM($D$2:$D$800)</f>
        <v>0.76638237331819</v>
      </c>
    </row>
    <row r="255" customFormat="false" ht="15" hidden="false" customHeight="false" outlineLevel="0" collapsed="false">
      <c r="A255" s="2" t="s">
        <v>272</v>
      </c>
      <c r="B255" s="2" t="str">
        <f aca="false">INDEX(Clean_Data!$F$2:$F$2086,MATCH(A255,Clean_Data!$B$2:$B$2086,0))</f>
        <v>Consumer</v>
      </c>
      <c r="C255" s="2" t="n">
        <f aca="false">COUNTIFS(Clean_Data!$B$2:$B$2086,A255)</f>
        <v>1</v>
      </c>
      <c r="D255" s="11" t="n">
        <f aca="false">SUMIFS(Clean_Data!$M$2:$M$2086,Clean_Data!$B$2:$B$2086,A255)</f>
        <v>25650</v>
      </c>
      <c r="E255" s="11" t="n">
        <f aca="false">SUMIFS(Clean_Data!$N$2:$N$2086,Clean_Data!$B$2:$B$2086,A255)</f>
        <v>7050</v>
      </c>
      <c r="F255" s="2" t="str">
        <f aca="false">IF(C255&gt;1,"Repeat","One-time")</f>
        <v>One-time</v>
      </c>
      <c r="G255" s="13" t="n">
        <f aca="false">SUM($D$2:D255)/SUM($D$2:$D$800)</f>
        <v>0.767629227775397</v>
      </c>
    </row>
    <row r="256" customFormat="false" ht="15" hidden="false" customHeight="false" outlineLevel="0" collapsed="false">
      <c r="A256" s="2" t="s">
        <v>2590</v>
      </c>
      <c r="B256" s="2" t="str">
        <f aca="false">INDEX(Clean_Data!$F$2:$F$2086,MATCH(A256,Clean_Data!$B$2:$B$2086,0))</f>
        <v>Consumer</v>
      </c>
      <c r="C256" s="2" t="n">
        <f aca="false">COUNTIFS(Clean_Data!$B$2:$B$2086,A256)</f>
        <v>5</v>
      </c>
      <c r="D256" s="11" t="n">
        <f aca="false">SUMIFS(Clean_Data!$M$2:$M$2086,Clean_Data!$B$2:$B$2086,A256)</f>
        <v>25420</v>
      </c>
      <c r="E256" s="11" t="n">
        <f aca="false">SUMIFS(Clean_Data!$N$2:$N$2086,Clean_Data!$B$2:$B$2086,A256)</f>
        <v>7420</v>
      </c>
      <c r="F256" s="2" t="str">
        <f aca="false">IF(C256&gt;1,"Repeat","One-time")</f>
        <v>Repeat</v>
      </c>
      <c r="G256" s="13" t="n">
        <f aca="false">SUM($D$2:D256)/SUM($D$2:$D$800)</f>
        <v>0.768864901861252</v>
      </c>
    </row>
    <row r="257" customFormat="false" ht="15" hidden="false" customHeight="false" outlineLevel="0" collapsed="false">
      <c r="A257" s="2" t="s">
        <v>1252</v>
      </c>
      <c r="B257" s="2" t="str">
        <f aca="false">INDEX(Clean_Data!$F$2:$F$2086,MATCH(A257,Clean_Data!$B$2:$B$2086,0))</f>
        <v>Consumer</v>
      </c>
      <c r="C257" s="2" t="n">
        <f aca="false">COUNTIFS(Clean_Data!$B$2:$B$2086,A257)</f>
        <v>2</v>
      </c>
      <c r="D257" s="11" t="n">
        <f aca="false">SUMIFS(Clean_Data!$M$2:$M$2086,Clean_Data!$B$2:$B$2086,A257)</f>
        <v>25200</v>
      </c>
      <c r="E257" s="11" t="n">
        <f aca="false">SUMIFS(Clean_Data!$N$2:$N$2086,Clean_Data!$B$2:$B$2086,A257)</f>
        <v>6200</v>
      </c>
      <c r="F257" s="2" t="str">
        <f aca="false">IF(C257&gt;1,"Repeat","One-time")</f>
        <v>Repeat</v>
      </c>
      <c r="G257" s="13" t="n">
        <f aca="false">SUM($D$2:D257)/SUM($D$2:$D$800)</f>
        <v>0.770089881678859</v>
      </c>
    </row>
    <row r="258" customFormat="false" ht="15" hidden="false" customHeight="false" outlineLevel="0" collapsed="false">
      <c r="A258" s="2" t="s">
        <v>2133</v>
      </c>
      <c r="B258" s="2" t="str">
        <f aca="false">INDEX(Clean_Data!$F$2:$F$2086,MATCH(A258,Clean_Data!$B$2:$B$2086,0))</f>
        <v>Consumer</v>
      </c>
      <c r="C258" s="2" t="n">
        <f aca="false">COUNTIFS(Clean_Data!$B$2:$B$2086,A258)</f>
        <v>3</v>
      </c>
      <c r="D258" s="11" t="n">
        <f aca="false">SUMIFS(Clean_Data!$M$2:$M$2086,Clean_Data!$B$2:$B$2086,A258)</f>
        <v>25180</v>
      </c>
      <c r="E258" s="11" t="n">
        <f aca="false">SUMIFS(Clean_Data!$N$2:$N$2086,Clean_Data!$B$2:$B$2086,A258)</f>
        <v>8680</v>
      </c>
      <c r="F258" s="2" t="str">
        <f aca="false">IF(C258&gt;1,"Repeat","One-time")</f>
        <v>Repeat</v>
      </c>
      <c r="G258" s="13" t="n">
        <f aca="false">SUM($D$2:D258)/SUM($D$2:$D$800)</f>
        <v>0.771313889290262</v>
      </c>
    </row>
    <row r="259" customFormat="false" ht="15" hidden="false" customHeight="false" outlineLevel="0" collapsed="false">
      <c r="A259" s="2" t="s">
        <v>602</v>
      </c>
      <c r="B259" s="2" t="str">
        <f aca="false">INDEX(Clean_Data!$F$2:$F$2086,MATCH(A259,Clean_Data!$B$2:$B$2086,0))</f>
        <v>Consumer</v>
      </c>
      <c r="C259" s="2" t="n">
        <f aca="false">COUNTIFS(Clean_Data!$B$2:$B$2086,A259)</f>
        <v>3</v>
      </c>
      <c r="D259" s="11" t="n">
        <f aca="false">SUMIFS(Clean_Data!$M$2:$M$2086,Clean_Data!$B$2:$B$2086,A259)</f>
        <v>24380</v>
      </c>
      <c r="E259" s="11" t="n">
        <f aca="false">SUMIFS(Clean_Data!$N$2:$N$2086,Clean_Data!$B$2:$B$2086,A259)</f>
        <v>7180</v>
      </c>
      <c r="F259" s="2" t="str">
        <f aca="false">IF(C259&gt;1,"Repeat","One-time")</f>
        <v>Repeat</v>
      </c>
      <c r="G259" s="13" t="n">
        <f aca="false">SUM($D$2:D259)/SUM($D$2:$D$800)</f>
        <v>0.772499008653486</v>
      </c>
    </row>
    <row r="260" customFormat="false" ht="15" hidden="false" customHeight="false" outlineLevel="0" collapsed="false">
      <c r="A260" s="2" t="s">
        <v>2784</v>
      </c>
      <c r="B260" s="2" t="str">
        <f aca="false">INDEX(Clean_Data!$F$2:$F$2086,MATCH(A260,Clean_Data!$B$2:$B$2086,0))</f>
        <v>Small Business</v>
      </c>
      <c r="C260" s="2" t="n">
        <f aca="false">COUNTIFS(Clean_Data!$B$2:$B$2086,A260)</f>
        <v>1</v>
      </c>
      <c r="D260" s="11" t="n">
        <f aca="false">SUMIFS(Clean_Data!$M$2:$M$2086,Clean_Data!$B$2:$B$2086,A260)</f>
        <v>24300</v>
      </c>
      <c r="E260" s="11" t="n">
        <f aca="false">SUMIFS(Clean_Data!$N$2:$N$2086,Clean_Data!$B$2:$B$2086,A260)</f>
        <v>5700</v>
      </c>
      <c r="F260" s="2" t="str">
        <f aca="false">IF(C260&gt;1,"Repeat","One-time")</f>
        <v>One-time</v>
      </c>
      <c r="G260" s="13" t="n">
        <f aca="false">SUM($D$2:D260)/SUM($D$2:$D$800)</f>
        <v>0.773680239191892</v>
      </c>
    </row>
    <row r="261" customFormat="false" ht="15" hidden="false" customHeight="false" outlineLevel="0" collapsed="false">
      <c r="A261" s="2" t="s">
        <v>1338</v>
      </c>
      <c r="B261" s="2" t="str">
        <f aca="false">INDEX(Clean_Data!$F$2:$F$2086,MATCH(A261,Clean_Data!$B$2:$B$2086,0))</f>
        <v>Consumer</v>
      </c>
      <c r="C261" s="2" t="n">
        <f aca="false">COUNTIFS(Clean_Data!$B$2:$B$2086,A261)</f>
        <v>1</v>
      </c>
      <c r="D261" s="11" t="n">
        <f aca="false">SUMIFS(Clean_Data!$M$2:$M$2086,Clean_Data!$B$2:$B$2086,A261)</f>
        <v>24300</v>
      </c>
      <c r="E261" s="11" t="n">
        <f aca="false">SUMIFS(Clean_Data!$N$2:$N$2086,Clean_Data!$B$2:$B$2086,A261)</f>
        <v>5700</v>
      </c>
      <c r="F261" s="2" t="str">
        <f aca="false">IF(C261&gt;1,"Repeat","One-time")</f>
        <v>One-time</v>
      </c>
      <c r="G261" s="13" t="n">
        <f aca="false">SUM($D$2:D261)/SUM($D$2:$D$800)</f>
        <v>0.774861469730299</v>
      </c>
    </row>
    <row r="262" customFormat="false" ht="15" hidden="false" customHeight="false" outlineLevel="0" collapsed="false">
      <c r="A262" s="2" t="s">
        <v>640</v>
      </c>
      <c r="B262" s="2" t="str">
        <f aca="false">INDEX(Clean_Data!$F$2:$F$2086,MATCH(A262,Clean_Data!$B$2:$B$2086,0))</f>
        <v>Consumer</v>
      </c>
      <c r="C262" s="2" t="n">
        <f aca="false">COUNTIFS(Clean_Data!$B$2:$B$2086,A262)</f>
        <v>1</v>
      </c>
      <c r="D262" s="11" t="n">
        <f aca="false">SUMIFS(Clean_Data!$M$2:$M$2086,Clean_Data!$B$2:$B$2086,A262)</f>
        <v>24300</v>
      </c>
      <c r="E262" s="11" t="n">
        <f aca="false">SUMIFS(Clean_Data!$N$2:$N$2086,Clean_Data!$B$2:$B$2086,A262)</f>
        <v>5700</v>
      </c>
      <c r="F262" s="2" t="str">
        <f aca="false">IF(C262&gt;1,"Repeat","One-time")</f>
        <v>One-time</v>
      </c>
      <c r="G262" s="13" t="n">
        <f aca="false">SUM($D$2:D262)/SUM($D$2:$D$800)</f>
        <v>0.776042700268706</v>
      </c>
    </row>
    <row r="263" customFormat="false" ht="15" hidden="false" customHeight="false" outlineLevel="0" collapsed="false">
      <c r="A263" s="2" t="s">
        <v>2013</v>
      </c>
      <c r="B263" s="2" t="str">
        <f aca="false">INDEX(Clean_Data!$F$2:$F$2086,MATCH(A263,Clean_Data!$B$2:$B$2086,0))</f>
        <v>Consumer</v>
      </c>
      <c r="C263" s="2" t="n">
        <f aca="false">COUNTIFS(Clean_Data!$B$2:$B$2086,A263)</f>
        <v>3</v>
      </c>
      <c r="D263" s="11" t="n">
        <f aca="false">SUMIFS(Clean_Data!$M$2:$M$2086,Clean_Data!$B$2:$B$2086,A263)</f>
        <v>24210</v>
      </c>
      <c r="E263" s="11" t="n">
        <f aca="false">SUMIFS(Clean_Data!$N$2:$N$2086,Clean_Data!$B$2:$B$2086,A263)</f>
        <v>7110</v>
      </c>
      <c r="F263" s="2" t="str">
        <f aca="false">IF(C263&gt;1,"Repeat","One-time")</f>
        <v>Repeat</v>
      </c>
      <c r="G263" s="13" t="n">
        <f aca="false">SUM($D$2:D263)/SUM($D$2:$D$800)</f>
        <v>0.777219555879192</v>
      </c>
    </row>
    <row r="264" customFormat="false" ht="15" hidden="false" customHeight="false" outlineLevel="0" collapsed="false">
      <c r="A264" s="2" t="s">
        <v>1216</v>
      </c>
      <c r="B264" s="2" t="str">
        <f aca="false">INDEX(Clean_Data!$F$2:$F$2086,MATCH(A264,Clean_Data!$B$2:$B$2086,0))</f>
        <v>Small Business</v>
      </c>
      <c r="C264" s="2" t="n">
        <f aca="false">COUNTIFS(Clean_Data!$B$2:$B$2086,A264)</f>
        <v>2</v>
      </c>
      <c r="D264" s="11" t="n">
        <f aca="false">SUMIFS(Clean_Data!$M$2:$M$2086,Clean_Data!$B$2:$B$2086,A264)</f>
        <v>24025</v>
      </c>
      <c r="E264" s="11" t="n">
        <f aca="false">SUMIFS(Clean_Data!$N$2:$N$2086,Clean_Data!$B$2:$B$2086,A264)</f>
        <v>8725</v>
      </c>
      <c r="F264" s="2" t="str">
        <f aca="false">IF(C264&gt;1,"Repeat","One-time")</f>
        <v>Repeat</v>
      </c>
      <c r="G264" s="13" t="n">
        <f aca="false">SUM($D$2:D264)/SUM($D$2:$D$800)</f>
        <v>0.778387418582288</v>
      </c>
    </row>
    <row r="265" customFormat="false" ht="15" hidden="false" customHeight="false" outlineLevel="0" collapsed="false">
      <c r="A265" s="2" t="s">
        <v>1563</v>
      </c>
      <c r="B265" s="2" t="str">
        <f aca="false">INDEX(Clean_Data!$F$2:$F$2086,MATCH(A265,Clean_Data!$B$2:$B$2086,0))</f>
        <v>Consumer</v>
      </c>
      <c r="C265" s="2" t="n">
        <f aca="false">COUNTIFS(Clean_Data!$B$2:$B$2086,A265)</f>
        <v>3</v>
      </c>
      <c r="D265" s="11" t="n">
        <f aca="false">SUMIFS(Clean_Data!$M$2:$M$2086,Clean_Data!$B$2:$B$2086,A265)</f>
        <v>23910</v>
      </c>
      <c r="E265" s="11" t="n">
        <f aca="false">SUMIFS(Clean_Data!$N$2:$N$2086,Clean_Data!$B$2:$B$2086,A265)</f>
        <v>8210</v>
      </c>
      <c r="F265" s="2" t="str">
        <f aca="false">IF(C265&gt;1,"Repeat","One-time")</f>
        <v>Repeat</v>
      </c>
      <c r="G265" s="13" t="n">
        <f aca="false">SUM($D$2:D265)/SUM($D$2:$D$800)</f>
        <v>0.779549691099707</v>
      </c>
    </row>
    <row r="266" customFormat="false" ht="15" hidden="false" customHeight="false" outlineLevel="0" collapsed="false">
      <c r="A266" s="2" t="s">
        <v>1433</v>
      </c>
      <c r="B266" s="2" t="str">
        <f aca="false">INDEX(Clean_Data!$F$2:$F$2086,MATCH(A266,Clean_Data!$B$2:$B$2086,0))</f>
        <v>Small Business</v>
      </c>
      <c r="C266" s="2" t="n">
        <f aca="false">COUNTIFS(Clean_Data!$B$2:$B$2086,A266)</f>
        <v>2</v>
      </c>
      <c r="D266" s="11" t="n">
        <f aca="false">SUMIFS(Clean_Data!$M$2:$M$2086,Clean_Data!$B$2:$B$2086,A266)</f>
        <v>23850</v>
      </c>
      <c r="E266" s="11" t="n">
        <f aca="false">SUMIFS(Clean_Data!$N$2:$N$2086,Clean_Data!$B$2:$B$2086,A266)</f>
        <v>6850</v>
      </c>
      <c r="F266" s="2" t="str">
        <f aca="false">IF(C266&gt;1,"Repeat","One-time")</f>
        <v>Repeat</v>
      </c>
      <c r="G266" s="13" t="n">
        <f aca="false">SUM($D$2:D266)/SUM($D$2:$D$800)</f>
        <v>0.780709046998514</v>
      </c>
    </row>
    <row r="267" customFormat="false" ht="15" hidden="false" customHeight="false" outlineLevel="0" collapsed="false">
      <c r="A267" s="2" t="s">
        <v>1472</v>
      </c>
      <c r="B267" s="2" t="str">
        <f aca="false">INDEX(Clean_Data!$F$2:$F$2086,MATCH(A267,Clean_Data!$B$2:$B$2086,0))</f>
        <v>Consumer</v>
      </c>
      <c r="C267" s="2" t="n">
        <f aca="false">COUNTIFS(Clean_Data!$B$2:$B$2086,A267)</f>
        <v>4</v>
      </c>
      <c r="D267" s="11" t="n">
        <f aca="false">SUMIFS(Clean_Data!$M$2:$M$2086,Clean_Data!$B$2:$B$2086,A267)</f>
        <v>23810</v>
      </c>
      <c r="E267" s="11" t="n">
        <f aca="false">SUMIFS(Clean_Data!$N$2:$N$2086,Clean_Data!$B$2:$B$2086,A267)</f>
        <v>8110</v>
      </c>
      <c r="F267" s="2" t="str">
        <f aca="false">IF(C267&gt;1,"Repeat","One-time")</f>
        <v>Repeat</v>
      </c>
      <c r="G267" s="13" t="n">
        <f aca="false">SUM($D$2:D267)/SUM($D$2:$D$800)</f>
        <v>0.781866458484911</v>
      </c>
    </row>
    <row r="268" customFormat="false" ht="15" hidden="false" customHeight="false" outlineLevel="0" collapsed="false">
      <c r="A268" s="2" t="s">
        <v>2342</v>
      </c>
      <c r="B268" s="2" t="str">
        <f aca="false">INDEX(Clean_Data!$F$2:$F$2086,MATCH(A268,Clean_Data!$B$2:$B$2086,0))</f>
        <v>Small Business</v>
      </c>
      <c r="C268" s="2" t="n">
        <f aca="false">COUNTIFS(Clean_Data!$B$2:$B$2086,A268)</f>
        <v>2</v>
      </c>
      <c r="D268" s="11" t="n">
        <f aca="false">SUMIFS(Clean_Data!$M$2:$M$2086,Clean_Data!$B$2:$B$2086,A268)</f>
        <v>23750</v>
      </c>
      <c r="E268" s="11" t="n">
        <f aca="false">SUMIFS(Clean_Data!$N$2:$N$2086,Clean_Data!$B$2:$B$2086,A268)</f>
        <v>7750</v>
      </c>
      <c r="F268" s="2" t="str">
        <f aca="false">IF(C268&gt;1,"Repeat","One-time")</f>
        <v>Repeat</v>
      </c>
      <c r="G268" s="13" t="n">
        <f aca="false">SUM($D$2:D268)/SUM($D$2:$D$800)</f>
        <v>0.783020953352696</v>
      </c>
    </row>
    <row r="269" customFormat="false" ht="15" hidden="false" customHeight="false" outlineLevel="0" collapsed="false">
      <c r="A269" s="2" t="s">
        <v>1638</v>
      </c>
      <c r="B269" s="2" t="str">
        <f aca="false">INDEX(Clean_Data!$F$2:$F$2086,MATCH(A269,Clean_Data!$B$2:$B$2086,0))</f>
        <v>Corporate</v>
      </c>
      <c r="C269" s="2" t="n">
        <f aca="false">COUNTIFS(Clean_Data!$B$2:$B$2086,A269)</f>
        <v>2</v>
      </c>
      <c r="D269" s="11" t="n">
        <f aca="false">SUMIFS(Clean_Data!$M$2:$M$2086,Clean_Data!$B$2:$B$2086,A269)</f>
        <v>23580</v>
      </c>
      <c r="E269" s="11" t="n">
        <f aca="false">SUMIFS(Clean_Data!$N$2:$N$2086,Clean_Data!$B$2:$B$2086,A269)</f>
        <v>6780</v>
      </c>
      <c r="F269" s="2" t="str">
        <f aca="false">IF(C269&gt;1,"Repeat","One-time")</f>
        <v>Repeat</v>
      </c>
      <c r="G269" s="13" t="n">
        <f aca="false">SUM($D$2:D269)/SUM($D$2:$D$800)</f>
        <v>0.784167184467742</v>
      </c>
    </row>
    <row r="270" customFormat="false" ht="15" hidden="false" customHeight="false" outlineLevel="0" collapsed="false">
      <c r="A270" s="2" t="s">
        <v>1516</v>
      </c>
      <c r="B270" s="2" t="str">
        <f aca="false">INDEX(Clean_Data!$F$2:$F$2086,MATCH(A270,Clean_Data!$B$2:$B$2086,0))</f>
        <v>Consumer</v>
      </c>
      <c r="C270" s="2" t="n">
        <f aca="false">COUNTIFS(Clean_Data!$B$2:$B$2086,A270)</f>
        <v>6</v>
      </c>
      <c r="D270" s="11" t="n">
        <f aca="false">SUMIFS(Clean_Data!$M$2:$M$2086,Clean_Data!$B$2:$B$2086,A270)</f>
        <v>23580</v>
      </c>
      <c r="E270" s="11" t="n">
        <f aca="false">SUMIFS(Clean_Data!$N$2:$N$2086,Clean_Data!$B$2:$B$2086,A270)</f>
        <v>8780</v>
      </c>
      <c r="F270" s="2" t="str">
        <f aca="false">IF(C270&gt;1,"Repeat","One-time")</f>
        <v>Repeat</v>
      </c>
      <c r="G270" s="13" t="n">
        <f aca="false">SUM($D$2:D270)/SUM($D$2:$D$800)</f>
        <v>0.785313415582788</v>
      </c>
    </row>
    <row r="271" customFormat="false" ht="15" hidden="false" customHeight="false" outlineLevel="0" collapsed="false">
      <c r="A271" s="2" t="s">
        <v>1016</v>
      </c>
      <c r="B271" s="2" t="str">
        <f aca="false">INDEX(Clean_Data!$F$2:$F$2086,MATCH(A271,Clean_Data!$B$2:$B$2086,0))</f>
        <v>Consumer</v>
      </c>
      <c r="C271" s="2" t="n">
        <f aca="false">COUNTIFS(Clean_Data!$B$2:$B$2086,A271)</f>
        <v>6</v>
      </c>
      <c r="D271" s="11" t="n">
        <f aca="false">SUMIFS(Clean_Data!$M$2:$M$2086,Clean_Data!$B$2:$B$2086,A271)</f>
        <v>23395</v>
      </c>
      <c r="E271" s="11" t="n">
        <f aca="false">SUMIFS(Clean_Data!$N$2:$N$2086,Clean_Data!$B$2:$B$2086,A271)</f>
        <v>6395</v>
      </c>
      <c r="F271" s="2" t="str">
        <f aca="false">IF(C271&gt;1,"Repeat","One-time")</f>
        <v>Repeat</v>
      </c>
      <c r="G271" s="13" t="n">
        <f aca="false">SUM($D$2:D271)/SUM($D$2:$D$800)</f>
        <v>0.786450653790444</v>
      </c>
    </row>
    <row r="272" customFormat="false" ht="15" hidden="false" customHeight="false" outlineLevel="0" collapsed="false">
      <c r="A272" s="2" t="s">
        <v>893</v>
      </c>
      <c r="B272" s="2" t="str">
        <f aca="false">INDEX(Clean_Data!$F$2:$F$2086,MATCH(A272,Clean_Data!$B$2:$B$2086,0))</f>
        <v>Small Business</v>
      </c>
      <c r="C272" s="2" t="n">
        <f aca="false">COUNTIFS(Clean_Data!$B$2:$B$2086,A272)</f>
        <v>2</v>
      </c>
      <c r="D272" s="11" t="n">
        <f aca="false">SUMIFS(Clean_Data!$M$2:$M$2086,Clean_Data!$B$2:$B$2086,A272)</f>
        <v>23370</v>
      </c>
      <c r="E272" s="11" t="n">
        <f aca="false">SUMIFS(Clean_Data!$N$2:$N$2086,Clean_Data!$B$2:$B$2086,A272)</f>
        <v>7170</v>
      </c>
      <c r="F272" s="2" t="str">
        <f aca="false">IF(C272&gt;1,"Repeat","One-time")</f>
        <v>Repeat</v>
      </c>
      <c r="G272" s="13" t="n">
        <f aca="false">SUM($D$2:D272)/SUM($D$2:$D$800)</f>
        <v>0.787586676740343</v>
      </c>
    </row>
    <row r="273" customFormat="false" ht="15" hidden="false" customHeight="false" outlineLevel="0" collapsed="false">
      <c r="A273" s="2" t="s">
        <v>525</v>
      </c>
      <c r="B273" s="2" t="str">
        <f aca="false">INDEX(Clean_Data!$F$2:$F$2086,MATCH(A273,Clean_Data!$B$2:$B$2086,0))</f>
        <v>Consumer</v>
      </c>
      <c r="C273" s="2" t="n">
        <f aca="false">COUNTIFS(Clean_Data!$B$2:$B$2086,A273)</f>
        <v>3</v>
      </c>
      <c r="D273" s="11" t="n">
        <f aca="false">SUMIFS(Clean_Data!$M$2:$M$2086,Clean_Data!$B$2:$B$2086,A273)</f>
        <v>23320</v>
      </c>
      <c r="E273" s="11" t="n">
        <f aca="false">SUMIFS(Clean_Data!$N$2:$N$2086,Clean_Data!$B$2:$B$2086,A273)</f>
        <v>8320</v>
      </c>
      <c r="F273" s="2" t="str">
        <f aca="false">IF(C273&gt;1,"Repeat","One-time")</f>
        <v>Repeat</v>
      </c>
      <c r="G273" s="13" t="n">
        <f aca="false">SUM($D$2:D273)/SUM($D$2:$D$800)</f>
        <v>0.788720269174732</v>
      </c>
    </row>
    <row r="274" customFormat="false" ht="15" hidden="false" customHeight="false" outlineLevel="0" collapsed="false">
      <c r="A274" s="2" t="s">
        <v>1729</v>
      </c>
      <c r="B274" s="2" t="str">
        <f aca="false">INDEX(Clean_Data!$F$2:$F$2086,MATCH(A274,Clean_Data!$B$2:$B$2086,0))</f>
        <v>Small Business</v>
      </c>
      <c r="C274" s="2" t="n">
        <f aca="false">COUNTIFS(Clean_Data!$B$2:$B$2086,A274)</f>
        <v>4</v>
      </c>
      <c r="D274" s="11" t="n">
        <f aca="false">SUMIFS(Clean_Data!$M$2:$M$2086,Clean_Data!$B$2:$B$2086,A274)</f>
        <v>23250</v>
      </c>
      <c r="E274" s="11" t="n">
        <f aca="false">SUMIFS(Clean_Data!$N$2:$N$2086,Clean_Data!$B$2:$B$2086,A274)</f>
        <v>7650</v>
      </c>
      <c r="F274" s="2" t="str">
        <f aca="false">IF(C274&gt;1,"Repeat","One-time")</f>
        <v>Repeat</v>
      </c>
      <c r="G274" s="13" t="n">
        <f aca="false">SUM($D$2:D274)/SUM($D$2:$D$800)</f>
        <v>0.789850458887405</v>
      </c>
    </row>
    <row r="275" customFormat="false" ht="15" hidden="false" customHeight="false" outlineLevel="0" collapsed="false">
      <c r="A275" s="2" t="s">
        <v>747</v>
      </c>
      <c r="B275" s="2" t="str">
        <f aca="false">INDEX(Clean_Data!$F$2:$F$2086,MATCH(A275,Clean_Data!$B$2:$B$2086,0))</f>
        <v>Consumer</v>
      </c>
      <c r="C275" s="2" t="n">
        <f aca="false">COUNTIFS(Clean_Data!$B$2:$B$2086,A275)</f>
        <v>2</v>
      </c>
      <c r="D275" s="11" t="n">
        <f aca="false">SUMIFS(Clean_Data!$M$2:$M$2086,Clean_Data!$B$2:$B$2086,A275)</f>
        <v>23250</v>
      </c>
      <c r="E275" s="11" t="n">
        <f aca="false">SUMIFS(Clean_Data!$N$2:$N$2086,Clean_Data!$B$2:$B$2086,A275)</f>
        <v>7250</v>
      </c>
      <c r="F275" s="2" t="str">
        <f aca="false">IF(C275&gt;1,"Repeat","One-time")</f>
        <v>Repeat</v>
      </c>
      <c r="G275" s="13" t="n">
        <f aca="false">SUM($D$2:D275)/SUM($D$2:$D$800)</f>
        <v>0.790980648600078</v>
      </c>
    </row>
    <row r="276" customFormat="false" ht="15" hidden="false" customHeight="false" outlineLevel="0" collapsed="false">
      <c r="A276" s="2" t="s">
        <v>931</v>
      </c>
      <c r="B276" s="2" t="str">
        <f aca="false">INDEX(Clean_Data!$F$2:$F$2086,MATCH(A276,Clean_Data!$B$2:$B$2086,0))</f>
        <v>Consumer</v>
      </c>
      <c r="C276" s="2" t="n">
        <f aca="false">COUNTIFS(Clean_Data!$B$2:$B$2086,A276)</f>
        <v>4</v>
      </c>
      <c r="D276" s="11" t="n">
        <f aca="false">SUMIFS(Clean_Data!$M$2:$M$2086,Clean_Data!$B$2:$B$2086,A276)</f>
        <v>23100</v>
      </c>
      <c r="E276" s="11" t="n">
        <f aca="false">SUMIFS(Clean_Data!$N$2:$N$2086,Clean_Data!$B$2:$B$2086,A276)</f>
        <v>6800</v>
      </c>
      <c r="F276" s="2" t="str">
        <f aca="false">IF(C276&gt;1,"Repeat","One-time")</f>
        <v>Repeat</v>
      </c>
      <c r="G276" s="13" t="n">
        <f aca="false">SUM($D$2:D276)/SUM($D$2:$D$800)</f>
        <v>0.792103546766217</v>
      </c>
    </row>
    <row r="277" customFormat="false" ht="15" hidden="false" customHeight="false" outlineLevel="0" collapsed="false">
      <c r="A277" s="2" t="s">
        <v>227</v>
      </c>
      <c r="B277" s="2" t="str">
        <f aca="false">INDEX(Clean_Data!$F$2:$F$2086,MATCH(A277,Clean_Data!$B$2:$B$2086,0))</f>
        <v>Consumer</v>
      </c>
      <c r="C277" s="2" t="n">
        <f aca="false">COUNTIFS(Clean_Data!$B$2:$B$2086,A277)</f>
        <v>4</v>
      </c>
      <c r="D277" s="11" t="n">
        <f aca="false">SUMIFS(Clean_Data!$M$2:$M$2086,Clean_Data!$B$2:$B$2086,A277)</f>
        <v>23025</v>
      </c>
      <c r="E277" s="11" t="n">
        <f aca="false">SUMIFS(Clean_Data!$N$2:$N$2086,Clean_Data!$B$2:$B$2086,A277)</f>
        <v>5925</v>
      </c>
      <c r="F277" s="2" t="str">
        <f aca="false">IF(C277&gt;1,"Repeat","One-time")</f>
        <v>Repeat</v>
      </c>
      <c r="G277" s="13" t="n">
        <f aca="false">SUM($D$2:D277)/SUM($D$2:$D$800)</f>
        <v>0.79322279915909</v>
      </c>
    </row>
    <row r="278" customFormat="false" ht="15" hidden="false" customHeight="false" outlineLevel="0" collapsed="false">
      <c r="A278" s="2" t="s">
        <v>789</v>
      </c>
      <c r="B278" s="2" t="str">
        <f aca="false">INDEX(Clean_Data!$F$2:$F$2086,MATCH(A278,Clean_Data!$B$2:$B$2086,0))</f>
        <v>Consumer</v>
      </c>
      <c r="C278" s="2" t="n">
        <f aca="false">COUNTIFS(Clean_Data!$B$2:$B$2086,A278)</f>
        <v>2</v>
      </c>
      <c r="D278" s="11" t="n">
        <f aca="false">SUMIFS(Clean_Data!$M$2:$M$2086,Clean_Data!$B$2:$B$2086,A278)</f>
        <v>22950</v>
      </c>
      <c r="E278" s="11" t="n">
        <f aca="false">SUMIFS(Clean_Data!$N$2:$N$2086,Clean_Data!$B$2:$B$2086,A278)</f>
        <v>7050</v>
      </c>
      <c r="F278" s="2" t="str">
        <f aca="false">IF(C278&gt;1,"Repeat","One-time")</f>
        <v>Repeat</v>
      </c>
      <c r="G278" s="13" t="n">
        <f aca="false">SUM($D$2:D278)/SUM($D$2:$D$800)</f>
        <v>0.794338405778696</v>
      </c>
    </row>
    <row r="279" customFormat="false" ht="15" hidden="false" customHeight="false" outlineLevel="0" collapsed="false">
      <c r="A279" s="2" t="s">
        <v>688</v>
      </c>
      <c r="B279" s="2" t="str">
        <f aca="false">INDEX(Clean_Data!$F$2:$F$2086,MATCH(A279,Clean_Data!$B$2:$B$2086,0))</f>
        <v>Consumer</v>
      </c>
      <c r="C279" s="2" t="n">
        <f aca="false">COUNTIFS(Clean_Data!$B$2:$B$2086,A279)</f>
        <v>5</v>
      </c>
      <c r="D279" s="11" t="n">
        <f aca="false">SUMIFS(Clean_Data!$M$2:$M$2086,Clean_Data!$B$2:$B$2086,A279)</f>
        <v>22935</v>
      </c>
      <c r="E279" s="11" t="n">
        <f aca="false">SUMIFS(Clean_Data!$N$2:$N$2086,Clean_Data!$B$2:$B$2086,A279)</f>
        <v>7035</v>
      </c>
      <c r="F279" s="2" t="str">
        <f aca="false">IF(C279&gt;1,"Repeat","One-time")</f>
        <v>Repeat</v>
      </c>
      <c r="G279" s="13" t="n">
        <f aca="false">SUM($D$2:D279)/SUM($D$2:$D$800)</f>
        <v>0.795453283243649</v>
      </c>
    </row>
    <row r="280" customFormat="false" ht="15" hidden="false" customHeight="false" outlineLevel="0" collapsed="false">
      <c r="A280" s="2" t="s">
        <v>1573</v>
      </c>
      <c r="B280" s="2" t="str">
        <f aca="false">INDEX(Clean_Data!$F$2:$F$2086,MATCH(A280,Clean_Data!$B$2:$B$2086,0))</f>
        <v>Small Business</v>
      </c>
      <c r="C280" s="2" t="n">
        <f aca="false">COUNTIFS(Clean_Data!$B$2:$B$2086,A280)</f>
        <v>2</v>
      </c>
      <c r="D280" s="11" t="n">
        <f aca="false">SUMIFS(Clean_Data!$M$2:$M$2086,Clean_Data!$B$2:$B$2086,A280)</f>
        <v>22800</v>
      </c>
      <c r="E280" s="11" t="n">
        <f aca="false">SUMIFS(Clean_Data!$N$2:$N$2086,Clean_Data!$B$2:$B$2086,A280)</f>
        <v>7500</v>
      </c>
      <c r="F280" s="2" t="str">
        <f aca="false">IF(C280&gt;1,"Repeat","One-time")</f>
        <v>Repeat</v>
      </c>
      <c r="G280" s="13" t="n">
        <f aca="false">SUM($D$2:D280)/SUM($D$2:$D$800)</f>
        <v>0.796561598316722</v>
      </c>
    </row>
    <row r="281" customFormat="false" ht="15" hidden="false" customHeight="false" outlineLevel="0" collapsed="false">
      <c r="A281" s="2" t="s">
        <v>1741</v>
      </c>
      <c r="B281" s="2" t="str">
        <f aca="false">INDEX(Clean_Data!$F$2:$F$2086,MATCH(A281,Clean_Data!$B$2:$B$2086,0))</f>
        <v>Consumer</v>
      </c>
      <c r="C281" s="2" t="n">
        <f aca="false">COUNTIFS(Clean_Data!$B$2:$B$2086,A281)</f>
        <v>3</v>
      </c>
      <c r="D281" s="11" t="n">
        <f aca="false">SUMIFS(Clean_Data!$M$2:$M$2086,Clean_Data!$B$2:$B$2086,A281)</f>
        <v>22800</v>
      </c>
      <c r="E281" s="11" t="n">
        <f aca="false">SUMIFS(Clean_Data!$N$2:$N$2086,Clean_Data!$B$2:$B$2086,A281)</f>
        <v>7600</v>
      </c>
      <c r="F281" s="2" t="str">
        <f aca="false">IF(C281&gt;1,"Repeat","One-time")</f>
        <v>Repeat</v>
      </c>
      <c r="G281" s="13" t="n">
        <f aca="false">SUM($D$2:D281)/SUM($D$2:$D$800)</f>
        <v>0.797669913389795</v>
      </c>
    </row>
    <row r="282" customFormat="false" ht="15" hidden="false" customHeight="false" outlineLevel="0" collapsed="false">
      <c r="A282" s="2" t="s">
        <v>2198</v>
      </c>
      <c r="B282" s="2" t="str">
        <f aca="false">INDEX(Clean_Data!$F$2:$F$2086,MATCH(A282,Clean_Data!$B$2:$B$2086,0))</f>
        <v>Consumer</v>
      </c>
      <c r="C282" s="2" t="n">
        <f aca="false">COUNTIFS(Clean_Data!$B$2:$B$2086,A282)</f>
        <v>3</v>
      </c>
      <c r="D282" s="11" t="n">
        <f aca="false">SUMIFS(Clean_Data!$M$2:$M$2086,Clean_Data!$B$2:$B$2086,A282)</f>
        <v>22750</v>
      </c>
      <c r="E282" s="11" t="n">
        <f aca="false">SUMIFS(Clean_Data!$N$2:$N$2086,Clean_Data!$B$2:$B$2086,A282)</f>
        <v>6350</v>
      </c>
      <c r="F282" s="2" t="str">
        <f aca="false">IF(C282&gt;1,"Repeat","One-time")</f>
        <v>Repeat</v>
      </c>
      <c r="G282" s="13" t="n">
        <f aca="false">SUM($D$2:D282)/SUM($D$2:$D$800)</f>
        <v>0.798775797947357</v>
      </c>
    </row>
    <row r="283" customFormat="false" ht="15" hidden="false" customHeight="false" outlineLevel="0" collapsed="false">
      <c r="A283" s="2" t="s">
        <v>1870</v>
      </c>
      <c r="B283" s="2" t="str">
        <f aca="false">INDEX(Clean_Data!$F$2:$F$2086,MATCH(A283,Clean_Data!$B$2:$B$2086,0))</f>
        <v>Consumer</v>
      </c>
      <c r="C283" s="2" t="n">
        <f aca="false">COUNTIFS(Clean_Data!$B$2:$B$2086,A283)</f>
        <v>4</v>
      </c>
      <c r="D283" s="11" t="n">
        <f aca="false">SUMIFS(Clean_Data!$M$2:$M$2086,Clean_Data!$B$2:$B$2086,A283)</f>
        <v>22700</v>
      </c>
      <c r="E283" s="11" t="n">
        <f aca="false">SUMIFS(Clean_Data!$N$2:$N$2086,Clean_Data!$B$2:$B$2086,A283)</f>
        <v>6900</v>
      </c>
      <c r="F283" s="2" t="str">
        <f aca="false">IF(C283&gt;1,"Repeat","One-time")</f>
        <v>Repeat</v>
      </c>
      <c r="G283" s="13" t="n">
        <f aca="false">SUM($D$2:D283)/SUM($D$2:$D$800)</f>
        <v>0.799879251989407</v>
      </c>
    </row>
    <row r="284" customFormat="false" ht="15" hidden="false" customHeight="false" outlineLevel="0" collapsed="false">
      <c r="A284" s="2" t="s">
        <v>117</v>
      </c>
      <c r="B284" s="2" t="str">
        <f aca="false">INDEX(Clean_Data!$F$2:$F$2086,MATCH(A284,Clean_Data!$B$2:$B$2086,0))</f>
        <v>Small Business</v>
      </c>
      <c r="C284" s="2" t="n">
        <f aca="false">COUNTIFS(Clean_Data!$B$2:$B$2086,A284)</f>
        <v>2</v>
      </c>
      <c r="D284" s="11" t="n">
        <f aca="false">SUMIFS(Clean_Data!$M$2:$M$2086,Clean_Data!$B$2:$B$2086,A284)</f>
        <v>22500</v>
      </c>
      <c r="E284" s="11" t="n">
        <f aca="false">SUMIFS(Clean_Data!$N$2:$N$2086,Clean_Data!$B$2:$B$2086,A284)</f>
        <v>8100</v>
      </c>
      <c r="F284" s="2" t="str">
        <f aca="false">IF(C284&gt;1,"Repeat","One-time")</f>
        <v>Repeat</v>
      </c>
      <c r="G284" s="13" t="n">
        <f aca="false">SUM($D$2:D284)/SUM($D$2:$D$800)</f>
        <v>0.800972983969413</v>
      </c>
    </row>
    <row r="285" customFormat="false" ht="15" hidden="false" customHeight="false" outlineLevel="0" collapsed="false">
      <c r="A285" s="2" t="s">
        <v>2772</v>
      </c>
      <c r="B285" s="2" t="str">
        <f aca="false">INDEX(Clean_Data!$F$2:$F$2086,MATCH(A285,Clean_Data!$B$2:$B$2086,0))</f>
        <v>Consumer</v>
      </c>
      <c r="C285" s="2" t="n">
        <f aca="false">COUNTIFS(Clean_Data!$B$2:$B$2086,A285)</f>
        <v>3</v>
      </c>
      <c r="D285" s="11" t="n">
        <f aca="false">SUMIFS(Clean_Data!$M$2:$M$2086,Clean_Data!$B$2:$B$2086,A285)</f>
        <v>22455</v>
      </c>
      <c r="E285" s="11" t="n">
        <f aca="false">SUMIFS(Clean_Data!$N$2:$N$2086,Clean_Data!$B$2:$B$2086,A285)</f>
        <v>7155</v>
      </c>
      <c r="F285" s="2" t="str">
        <f aca="false">IF(C285&gt;1,"Repeat","One-time")</f>
        <v>Repeat</v>
      </c>
      <c r="G285" s="13" t="n">
        <f aca="false">SUM($D$2:D285)/SUM($D$2:$D$800)</f>
        <v>0.80206452848546</v>
      </c>
    </row>
    <row r="286" customFormat="false" ht="15" hidden="false" customHeight="false" outlineLevel="0" collapsed="false">
      <c r="A286" s="2" t="s">
        <v>2766</v>
      </c>
      <c r="B286" s="2" t="str">
        <f aca="false">INDEX(Clean_Data!$F$2:$F$2086,MATCH(A286,Clean_Data!$B$2:$B$2086,0))</f>
        <v>Consumer</v>
      </c>
      <c r="C286" s="2" t="n">
        <f aca="false">COUNTIFS(Clean_Data!$B$2:$B$2086,A286)</f>
        <v>5</v>
      </c>
      <c r="D286" s="11" t="n">
        <f aca="false">SUMIFS(Clean_Data!$M$2:$M$2086,Clean_Data!$B$2:$B$2086,A286)</f>
        <v>22400</v>
      </c>
      <c r="E286" s="11" t="n">
        <f aca="false">SUMIFS(Clean_Data!$N$2:$N$2086,Clean_Data!$B$2:$B$2086,A286)</f>
        <v>7450</v>
      </c>
      <c r="F286" s="2" t="str">
        <f aca="false">IF(C286&gt;1,"Repeat","One-time")</f>
        <v>Repeat</v>
      </c>
      <c r="G286" s="13" t="n">
        <f aca="false">SUM($D$2:D286)/SUM($D$2:$D$800)</f>
        <v>0.803153399434443</v>
      </c>
    </row>
    <row r="287" customFormat="false" ht="15" hidden="false" customHeight="false" outlineLevel="0" collapsed="false">
      <c r="A287" s="2" t="s">
        <v>2054</v>
      </c>
      <c r="B287" s="2" t="str">
        <f aca="false">INDEX(Clean_Data!$F$2:$F$2086,MATCH(A287,Clean_Data!$B$2:$B$2086,0))</f>
        <v>Consumer</v>
      </c>
      <c r="C287" s="2" t="n">
        <f aca="false">COUNTIFS(Clean_Data!$B$2:$B$2086,A287)</f>
        <v>8</v>
      </c>
      <c r="D287" s="11" t="n">
        <f aca="false">SUMIFS(Clean_Data!$M$2:$M$2086,Clean_Data!$B$2:$B$2086,A287)</f>
        <v>22240</v>
      </c>
      <c r="E287" s="11" t="n">
        <f aca="false">SUMIFS(Clean_Data!$N$2:$N$2086,Clean_Data!$B$2:$B$2086,A287)</f>
        <v>9590</v>
      </c>
      <c r="F287" s="2" t="str">
        <f aca="false">IF(C287&gt;1,"Repeat","One-time")</f>
        <v>Repeat</v>
      </c>
      <c r="G287" s="13" t="n">
        <f aca="false">SUM($D$2:D287)/SUM($D$2:$D$800)</f>
        <v>0.804234492733792</v>
      </c>
    </row>
    <row r="288" customFormat="false" ht="15" hidden="false" customHeight="false" outlineLevel="0" collapsed="false">
      <c r="A288" s="2" t="s">
        <v>969</v>
      </c>
      <c r="B288" s="2" t="str">
        <f aca="false">INDEX(Clean_Data!$F$2:$F$2086,MATCH(A288,Clean_Data!$B$2:$B$2086,0))</f>
        <v>Consumer</v>
      </c>
      <c r="C288" s="2" t="n">
        <f aca="false">COUNTIFS(Clean_Data!$B$2:$B$2086,A288)</f>
        <v>6</v>
      </c>
      <c r="D288" s="11" t="n">
        <f aca="false">SUMIFS(Clean_Data!$M$2:$M$2086,Clean_Data!$B$2:$B$2086,A288)</f>
        <v>22100</v>
      </c>
      <c r="E288" s="11" t="n">
        <f aca="false">SUMIFS(Clean_Data!$N$2:$N$2086,Clean_Data!$B$2:$B$2086,A288)</f>
        <v>7600</v>
      </c>
      <c r="F288" s="2" t="str">
        <f aca="false">IF(C288&gt;1,"Repeat","One-time")</f>
        <v>Repeat</v>
      </c>
      <c r="G288" s="13" t="n">
        <f aca="false">SUM($D$2:D288)/SUM($D$2:$D$800)</f>
        <v>0.805308780589709</v>
      </c>
    </row>
    <row r="289" customFormat="false" ht="15" hidden="false" customHeight="false" outlineLevel="0" collapsed="false">
      <c r="A289" s="2" t="s">
        <v>1607</v>
      </c>
      <c r="B289" s="2" t="str">
        <f aca="false">INDEX(Clean_Data!$F$2:$F$2086,MATCH(A289,Clean_Data!$B$2:$B$2086,0))</f>
        <v>Small Business</v>
      </c>
      <c r="C289" s="2" t="n">
        <f aca="false">COUNTIFS(Clean_Data!$B$2:$B$2086,A289)</f>
        <v>1</v>
      </c>
      <c r="D289" s="11" t="n">
        <f aca="false">SUMIFS(Clean_Data!$M$2:$M$2086,Clean_Data!$B$2:$B$2086,A289)</f>
        <v>22000</v>
      </c>
      <c r="E289" s="11" t="n">
        <f aca="false">SUMIFS(Clean_Data!$N$2:$N$2086,Clean_Data!$B$2:$B$2086,A289)</f>
        <v>7600</v>
      </c>
      <c r="F289" s="2" t="str">
        <f aca="false">IF(C289&gt;1,"Repeat","One-time")</f>
        <v>One-time</v>
      </c>
      <c r="G289" s="13" t="n">
        <f aca="false">SUM($D$2:D289)/SUM($D$2:$D$800)</f>
        <v>0.806378207414604</v>
      </c>
    </row>
    <row r="290" customFormat="false" ht="15" hidden="false" customHeight="false" outlineLevel="0" collapsed="false">
      <c r="A290" s="2" t="s">
        <v>2378</v>
      </c>
      <c r="B290" s="2" t="str">
        <f aca="false">INDEX(Clean_Data!$F$2:$F$2086,MATCH(A290,Clean_Data!$B$2:$B$2086,0))</f>
        <v>Small Business</v>
      </c>
      <c r="C290" s="2" t="n">
        <f aca="false">COUNTIFS(Clean_Data!$B$2:$B$2086,A290)</f>
        <v>1</v>
      </c>
      <c r="D290" s="11" t="n">
        <f aca="false">SUMIFS(Clean_Data!$M$2:$M$2086,Clean_Data!$B$2:$B$2086,A290)</f>
        <v>22000</v>
      </c>
      <c r="E290" s="11" t="n">
        <f aca="false">SUMIFS(Clean_Data!$N$2:$N$2086,Clean_Data!$B$2:$B$2086,A290)</f>
        <v>7600</v>
      </c>
      <c r="F290" s="2" t="str">
        <f aca="false">IF(C290&gt;1,"Repeat","One-time")</f>
        <v>One-time</v>
      </c>
      <c r="G290" s="13" t="n">
        <f aca="false">SUM($D$2:D290)/SUM($D$2:$D$800)</f>
        <v>0.807447634239498</v>
      </c>
    </row>
    <row r="291" customFormat="false" ht="15" hidden="false" customHeight="false" outlineLevel="0" collapsed="false">
      <c r="A291" s="2" t="s">
        <v>826</v>
      </c>
      <c r="B291" s="2" t="str">
        <f aca="false">INDEX(Clean_Data!$F$2:$F$2086,MATCH(A291,Clean_Data!$B$2:$B$2086,0))</f>
        <v>Consumer</v>
      </c>
      <c r="C291" s="2" t="n">
        <f aca="false">COUNTIFS(Clean_Data!$B$2:$B$2086,A291)</f>
        <v>2</v>
      </c>
      <c r="D291" s="11" t="n">
        <f aca="false">SUMIFS(Clean_Data!$M$2:$M$2086,Clean_Data!$B$2:$B$2086,A291)</f>
        <v>22000</v>
      </c>
      <c r="E291" s="11" t="n">
        <f aca="false">SUMIFS(Clean_Data!$N$2:$N$2086,Clean_Data!$B$2:$B$2086,A291)</f>
        <v>7600</v>
      </c>
      <c r="F291" s="2" t="str">
        <f aca="false">IF(C291&gt;1,"Repeat","One-time")</f>
        <v>Repeat</v>
      </c>
      <c r="G291" s="13" t="n">
        <f aca="false">SUM($D$2:D291)/SUM($D$2:$D$800)</f>
        <v>0.808517061064393</v>
      </c>
    </row>
    <row r="292" customFormat="false" ht="15" hidden="false" customHeight="false" outlineLevel="0" collapsed="false">
      <c r="A292" s="2" t="s">
        <v>2608</v>
      </c>
      <c r="B292" s="2" t="str">
        <f aca="false">INDEX(Clean_Data!$F$2:$F$2086,MATCH(A292,Clean_Data!$B$2:$B$2086,0))</f>
        <v>Consumer</v>
      </c>
      <c r="C292" s="2" t="n">
        <f aca="false">COUNTIFS(Clean_Data!$B$2:$B$2086,A292)</f>
        <v>3</v>
      </c>
      <c r="D292" s="11" t="n">
        <f aca="false">SUMIFS(Clean_Data!$M$2:$M$2086,Clean_Data!$B$2:$B$2086,A292)</f>
        <v>21930</v>
      </c>
      <c r="E292" s="11" t="n">
        <f aca="false">SUMIFS(Clean_Data!$N$2:$N$2086,Clean_Data!$B$2:$B$2086,A292)</f>
        <v>6530</v>
      </c>
      <c r="F292" s="2" t="str">
        <f aca="false">IF(C292&gt;1,"Repeat","One-time")</f>
        <v>Repeat</v>
      </c>
      <c r="G292" s="13" t="n">
        <f aca="false">SUM($D$2:D292)/SUM($D$2:$D$800)</f>
        <v>0.809583085167573</v>
      </c>
    </row>
    <row r="293" customFormat="false" ht="15" hidden="false" customHeight="false" outlineLevel="0" collapsed="false">
      <c r="A293" s="2" t="s">
        <v>2514</v>
      </c>
      <c r="B293" s="2" t="str">
        <f aca="false">INDEX(Clean_Data!$F$2:$F$2086,MATCH(A293,Clean_Data!$B$2:$B$2086,0))</f>
        <v>Consumer</v>
      </c>
      <c r="C293" s="2" t="n">
        <f aca="false">COUNTIFS(Clean_Data!$B$2:$B$2086,A293)</f>
        <v>3</v>
      </c>
      <c r="D293" s="11" t="n">
        <f aca="false">SUMIFS(Clean_Data!$M$2:$M$2086,Clean_Data!$B$2:$B$2086,A293)</f>
        <v>21825</v>
      </c>
      <c r="E293" s="11" t="n">
        <f aca="false">SUMIFS(Clean_Data!$N$2:$N$2086,Clean_Data!$B$2:$B$2086,A293)</f>
        <v>5225</v>
      </c>
      <c r="F293" s="2" t="str">
        <f aca="false">IF(C293&gt;1,"Repeat","One-time")</f>
        <v>Repeat</v>
      </c>
      <c r="G293" s="13" t="n">
        <f aca="false">SUM($D$2:D293)/SUM($D$2:$D$800)</f>
        <v>0.810644005188178</v>
      </c>
    </row>
    <row r="294" customFormat="false" ht="15" hidden="false" customHeight="false" outlineLevel="0" collapsed="false">
      <c r="A294" s="2" t="s">
        <v>608</v>
      </c>
      <c r="B294" s="2" t="str">
        <f aca="false">INDEX(Clean_Data!$F$2:$F$2086,MATCH(A294,Clean_Data!$B$2:$B$2086,0))</f>
        <v>Consumer</v>
      </c>
      <c r="C294" s="2" t="n">
        <f aca="false">COUNTIFS(Clean_Data!$B$2:$B$2086,A294)</f>
        <v>3</v>
      </c>
      <c r="D294" s="11" t="n">
        <f aca="false">SUMIFS(Clean_Data!$M$2:$M$2086,Clean_Data!$B$2:$B$2086,A294)</f>
        <v>21520</v>
      </c>
      <c r="E294" s="11" t="n">
        <f aca="false">SUMIFS(Clean_Data!$N$2:$N$2086,Clean_Data!$B$2:$B$2086,A294)</f>
        <v>7120</v>
      </c>
      <c r="F294" s="2" t="str">
        <f aca="false">IF(C294&gt;1,"Repeat","One-time")</f>
        <v>Repeat</v>
      </c>
      <c r="G294" s="13" t="n">
        <f aca="false">SUM($D$2:D294)/SUM($D$2:$D$800)</f>
        <v>0.811690099064166</v>
      </c>
    </row>
    <row r="295" customFormat="false" ht="15" hidden="false" customHeight="false" outlineLevel="0" collapsed="false">
      <c r="A295" s="2" t="s">
        <v>1190</v>
      </c>
      <c r="B295" s="2" t="str">
        <f aca="false">INDEX(Clean_Data!$F$2:$F$2086,MATCH(A295,Clean_Data!$B$2:$B$2086,0))</f>
        <v>Consumer</v>
      </c>
      <c r="C295" s="2" t="n">
        <f aca="false">COUNTIFS(Clean_Data!$B$2:$B$2086,A295)</f>
        <v>4</v>
      </c>
      <c r="D295" s="11" t="n">
        <f aca="false">SUMIFS(Clean_Data!$M$2:$M$2086,Clean_Data!$B$2:$B$2086,A295)</f>
        <v>21170</v>
      </c>
      <c r="E295" s="11" t="n">
        <f aca="false">SUMIFS(Clean_Data!$N$2:$N$2086,Clean_Data!$B$2:$B$2086,A295)</f>
        <v>6970</v>
      </c>
      <c r="F295" s="2" t="str">
        <f aca="false">IF(C295&gt;1,"Repeat","One-time")</f>
        <v>Repeat</v>
      </c>
      <c r="G295" s="13" t="n">
        <f aca="false">SUM($D$2:D295)/SUM($D$2:$D$800)</f>
        <v>0.812719179331577</v>
      </c>
    </row>
    <row r="296" customFormat="false" ht="15" hidden="false" customHeight="false" outlineLevel="0" collapsed="false">
      <c r="A296" s="2" t="s">
        <v>2069</v>
      </c>
      <c r="B296" s="2" t="str">
        <f aca="false">INDEX(Clean_Data!$F$2:$F$2086,MATCH(A296,Clean_Data!$B$2:$B$2086,0))</f>
        <v>Consumer</v>
      </c>
      <c r="C296" s="2" t="n">
        <f aca="false">COUNTIFS(Clean_Data!$B$2:$B$2086,A296)</f>
        <v>5</v>
      </c>
      <c r="D296" s="11" t="n">
        <f aca="false">SUMIFS(Clean_Data!$M$2:$M$2086,Clean_Data!$B$2:$B$2086,A296)</f>
        <v>21105</v>
      </c>
      <c r="E296" s="11" t="n">
        <f aca="false">SUMIFS(Clean_Data!$N$2:$N$2086,Clean_Data!$B$2:$B$2086,A296)</f>
        <v>8005</v>
      </c>
      <c r="F296" s="2" t="str">
        <f aca="false">IF(C296&gt;1,"Repeat","One-time")</f>
        <v>Repeat</v>
      </c>
      <c r="G296" s="13" t="n">
        <f aca="false">SUM($D$2:D296)/SUM($D$2:$D$800)</f>
        <v>0.813745099928822</v>
      </c>
    </row>
    <row r="297" customFormat="false" ht="15" hidden="false" customHeight="false" outlineLevel="0" collapsed="false">
      <c r="A297" s="2" t="s">
        <v>442</v>
      </c>
      <c r="B297" s="2" t="str">
        <f aca="false">INDEX(Clean_Data!$F$2:$F$2086,MATCH(A297,Clean_Data!$B$2:$B$2086,0))</f>
        <v>Consumer</v>
      </c>
      <c r="C297" s="2" t="n">
        <f aca="false">COUNTIFS(Clean_Data!$B$2:$B$2086,A297)</f>
        <v>3</v>
      </c>
      <c r="D297" s="11" t="n">
        <f aca="false">SUMIFS(Clean_Data!$M$2:$M$2086,Clean_Data!$B$2:$B$2086,A297)</f>
        <v>21100</v>
      </c>
      <c r="E297" s="11" t="n">
        <f aca="false">SUMIFS(Clean_Data!$N$2:$N$2086,Clean_Data!$B$2:$B$2086,A297)</f>
        <v>5900</v>
      </c>
      <c r="F297" s="2" t="str">
        <f aca="false">IF(C297&gt;1,"Repeat","One-time")</f>
        <v>Repeat</v>
      </c>
      <c r="G297" s="13" t="n">
        <f aca="false">SUM($D$2:D297)/SUM($D$2:$D$800)</f>
        <v>0.814770777474517</v>
      </c>
    </row>
    <row r="298" customFormat="false" ht="15" hidden="false" customHeight="false" outlineLevel="0" collapsed="false">
      <c r="A298" s="2" t="s">
        <v>240</v>
      </c>
      <c r="B298" s="2" t="str">
        <f aca="false">INDEX(Clean_Data!$F$2:$F$2086,MATCH(A298,Clean_Data!$B$2:$B$2086,0))</f>
        <v>Consumer</v>
      </c>
      <c r="C298" s="2" t="n">
        <f aca="false">COUNTIFS(Clean_Data!$B$2:$B$2086,A298)</f>
        <v>5</v>
      </c>
      <c r="D298" s="11" t="n">
        <f aca="false">SUMIFS(Clean_Data!$M$2:$M$2086,Clean_Data!$B$2:$B$2086,A298)</f>
        <v>21075</v>
      </c>
      <c r="E298" s="11" t="n">
        <f aca="false">SUMIFS(Clean_Data!$N$2:$N$2086,Clean_Data!$B$2:$B$2086,A298)</f>
        <v>7275</v>
      </c>
      <c r="F298" s="2" t="str">
        <f aca="false">IF(C298&gt;1,"Repeat","One-time")</f>
        <v>Repeat</v>
      </c>
      <c r="G298" s="13" t="n">
        <f aca="false">SUM($D$2:D298)/SUM($D$2:$D$800)</f>
        <v>0.815795239762456</v>
      </c>
    </row>
    <row r="299" customFormat="false" ht="15" hidden="false" customHeight="false" outlineLevel="0" collapsed="false">
      <c r="A299" s="2" t="s">
        <v>1907</v>
      </c>
      <c r="B299" s="2" t="str">
        <f aca="false">INDEX(Clean_Data!$F$2:$F$2086,MATCH(A299,Clean_Data!$B$2:$B$2086,0))</f>
        <v>Consumer</v>
      </c>
      <c r="C299" s="2" t="n">
        <f aca="false">COUNTIFS(Clean_Data!$B$2:$B$2086,A299)</f>
        <v>1</v>
      </c>
      <c r="D299" s="11" t="n">
        <f aca="false">SUMIFS(Clean_Data!$M$2:$M$2086,Clean_Data!$B$2:$B$2086,A299)</f>
        <v>21000</v>
      </c>
      <c r="E299" s="11" t="n">
        <f aca="false">SUMIFS(Clean_Data!$N$2:$N$2086,Clean_Data!$B$2:$B$2086,A299)</f>
        <v>6600</v>
      </c>
      <c r="F299" s="2" t="str">
        <f aca="false">IF(C299&gt;1,"Repeat","One-time")</f>
        <v>One-time</v>
      </c>
      <c r="G299" s="13" t="n">
        <f aca="false">SUM($D$2:D299)/SUM($D$2:$D$800)</f>
        <v>0.816816056277128</v>
      </c>
    </row>
    <row r="300" customFormat="false" ht="15" hidden="false" customHeight="false" outlineLevel="0" collapsed="false">
      <c r="A300" s="2" t="s">
        <v>1916</v>
      </c>
      <c r="B300" s="2" t="str">
        <f aca="false">INDEX(Clean_Data!$F$2:$F$2086,MATCH(A300,Clean_Data!$B$2:$B$2086,0))</f>
        <v>Consumer</v>
      </c>
      <c r="C300" s="2" t="n">
        <f aca="false">COUNTIFS(Clean_Data!$B$2:$B$2086,A300)</f>
        <v>1</v>
      </c>
      <c r="D300" s="11" t="n">
        <f aca="false">SUMIFS(Clean_Data!$M$2:$M$2086,Clean_Data!$B$2:$B$2086,A300)</f>
        <v>21000</v>
      </c>
      <c r="E300" s="11" t="n">
        <f aca="false">SUMIFS(Clean_Data!$N$2:$N$2086,Clean_Data!$B$2:$B$2086,A300)</f>
        <v>6600</v>
      </c>
      <c r="F300" s="2" t="str">
        <f aca="false">IF(C300&gt;1,"Repeat","One-time")</f>
        <v>One-time</v>
      </c>
      <c r="G300" s="13" t="n">
        <f aca="false">SUM($D$2:D300)/SUM($D$2:$D$800)</f>
        <v>0.817836872791801</v>
      </c>
    </row>
    <row r="301" customFormat="false" ht="15" hidden="false" customHeight="false" outlineLevel="0" collapsed="false">
      <c r="A301" s="2" t="s">
        <v>533</v>
      </c>
      <c r="B301" s="2" t="str">
        <f aca="false">INDEX(Clean_Data!$F$2:$F$2086,MATCH(A301,Clean_Data!$B$2:$B$2086,0))</f>
        <v>Small Business</v>
      </c>
      <c r="C301" s="2" t="n">
        <f aca="false">COUNTIFS(Clean_Data!$B$2:$B$2086,A301)</f>
        <v>1</v>
      </c>
      <c r="D301" s="11" t="n">
        <f aca="false">SUMIFS(Clean_Data!$M$2:$M$2086,Clean_Data!$B$2:$B$2086,A301)</f>
        <v>21000</v>
      </c>
      <c r="E301" s="11" t="n">
        <f aca="false">SUMIFS(Clean_Data!$N$2:$N$2086,Clean_Data!$B$2:$B$2086,A301)</f>
        <v>6600</v>
      </c>
      <c r="F301" s="2" t="str">
        <f aca="false">IF(C301&gt;1,"Repeat","One-time")</f>
        <v>One-time</v>
      </c>
      <c r="G301" s="13" t="n">
        <f aca="false">SUM($D$2:D301)/SUM($D$2:$D$800)</f>
        <v>0.818857689306473</v>
      </c>
    </row>
    <row r="302" customFormat="false" ht="15" hidden="false" customHeight="false" outlineLevel="0" collapsed="false">
      <c r="A302" s="2" t="s">
        <v>1760</v>
      </c>
      <c r="B302" s="2" t="str">
        <f aca="false">INDEX(Clean_Data!$F$2:$F$2086,MATCH(A302,Clean_Data!$B$2:$B$2086,0))</f>
        <v>Consumer</v>
      </c>
      <c r="C302" s="2" t="n">
        <f aca="false">COUNTIFS(Clean_Data!$B$2:$B$2086,A302)</f>
        <v>2</v>
      </c>
      <c r="D302" s="11" t="n">
        <f aca="false">SUMIFS(Clean_Data!$M$2:$M$2086,Clean_Data!$B$2:$B$2086,A302)</f>
        <v>20900</v>
      </c>
      <c r="E302" s="11" t="n">
        <f aca="false">SUMIFS(Clean_Data!$N$2:$N$2086,Clean_Data!$B$2:$B$2086,A302)</f>
        <v>6500</v>
      </c>
      <c r="F302" s="2" t="str">
        <f aca="false">IF(C302&gt;1,"Repeat","One-time")</f>
        <v>Repeat</v>
      </c>
      <c r="G302" s="13" t="n">
        <f aca="false">SUM($D$2:D302)/SUM($D$2:$D$800)</f>
        <v>0.819873644790123</v>
      </c>
    </row>
    <row r="303" customFormat="false" ht="15" hidden="false" customHeight="false" outlineLevel="0" collapsed="false">
      <c r="A303" s="2" t="s">
        <v>636</v>
      </c>
      <c r="B303" s="2" t="str">
        <f aca="false">INDEX(Clean_Data!$F$2:$F$2086,MATCH(A303,Clean_Data!$B$2:$B$2086,0))</f>
        <v>Small Business</v>
      </c>
      <c r="C303" s="2" t="n">
        <f aca="false">COUNTIFS(Clean_Data!$B$2:$B$2086,A303)</f>
        <v>1</v>
      </c>
      <c r="D303" s="11" t="n">
        <f aca="false">SUMIFS(Clean_Data!$M$2:$M$2086,Clean_Data!$B$2:$B$2086,A303)</f>
        <v>20900</v>
      </c>
      <c r="E303" s="11" t="n">
        <f aca="false">SUMIFS(Clean_Data!$N$2:$N$2086,Clean_Data!$B$2:$B$2086,A303)</f>
        <v>6500</v>
      </c>
      <c r="F303" s="2" t="str">
        <f aca="false">IF(C303&gt;1,"Repeat","One-time")</f>
        <v>One-time</v>
      </c>
      <c r="G303" s="13" t="n">
        <f aca="false">SUM($D$2:D303)/SUM($D$2:$D$800)</f>
        <v>0.820889600273773</v>
      </c>
    </row>
    <row r="304" customFormat="false" ht="15" hidden="false" customHeight="false" outlineLevel="0" collapsed="false">
      <c r="A304" s="2" t="s">
        <v>1816</v>
      </c>
      <c r="B304" s="2" t="str">
        <f aca="false">INDEX(Clean_Data!$F$2:$F$2086,MATCH(A304,Clean_Data!$B$2:$B$2086,0))</f>
        <v>Consumer</v>
      </c>
      <c r="C304" s="2" t="n">
        <f aca="false">COUNTIFS(Clean_Data!$B$2:$B$2086,A304)</f>
        <v>4</v>
      </c>
      <c r="D304" s="11" t="n">
        <f aca="false">SUMIFS(Clean_Data!$M$2:$M$2086,Clean_Data!$B$2:$B$2086,A304)</f>
        <v>20870</v>
      </c>
      <c r="E304" s="11" t="n">
        <f aca="false">SUMIFS(Clean_Data!$N$2:$N$2086,Clean_Data!$B$2:$B$2086,A304)</f>
        <v>6670</v>
      </c>
      <c r="F304" s="2" t="str">
        <f aca="false">IF(C304&gt;1,"Repeat","One-time")</f>
        <v>Repeat</v>
      </c>
      <c r="G304" s="13" t="n">
        <f aca="false">SUM($D$2:D304)/SUM($D$2:$D$800)</f>
        <v>0.821904097448117</v>
      </c>
    </row>
    <row r="305" customFormat="false" ht="15" hidden="false" customHeight="false" outlineLevel="0" collapsed="false">
      <c r="A305" s="2" t="s">
        <v>2732</v>
      </c>
      <c r="B305" s="2" t="str">
        <f aca="false">INDEX(Clean_Data!$F$2:$F$2086,MATCH(A305,Clean_Data!$B$2:$B$2086,0))</f>
        <v>Consumer</v>
      </c>
      <c r="C305" s="2" t="n">
        <f aca="false">COUNTIFS(Clean_Data!$B$2:$B$2086,A305)</f>
        <v>6</v>
      </c>
      <c r="D305" s="11" t="n">
        <f aca="false">SUMIFS(Clean_Data!$M$2:$M$2086,Clean_Data!$B$2:$B$2086,A305)</f>
        <v>20660</v>
      </c>
      <c r="E305" s="11" t="n">
        <f aca="false">SUMIFS(Clean_Data!$N$2:$N$2086,Clean_Data!$B$2:$B$2086,A305)</f>
        <v>6560</v>
      </c>
      <c r="F305" s="2" t="str">
        <f aca="false">IF(C305&gt;1,"Repeat","One-time")</f>
        <v>Repeat</v>
      </c>
      <c r="G305" s="13" t="n">
        <f aca="false">SUM($D$2:D305)/SUM($D$2:$D$800)</f>
        <v>0.822908386457314</v>
      </c>
    </row>
    <row r="306" customFormat="false" ht="15" hidden="false" customHeight="false" outlineLevel="0" collapsed="false">
      <c r="A306" s="2" t="s">
        <v>2272</v>
      </c>
      <c r="B306" s="2" t="str">
        <f aca="false">INDEX(Clean_Data!$F$2:$F$2086,MATCH(A306,Clean_Data!$B$2:$B$2086,0))</f>
        <v>Consumer</v>
      </c>
      <c r="C306" s="2" t="n">
        <f aca="false">COUNTIFS(Clean_Data!$B$2:$B$2086,A306)</f>
        <v>2</v>
      </c>
      <c r="D306" s="11" t="n">
        <f aca="false">SUMIFS(Clean_Data!$M$2:$M$2086,Clean_Data!$B$2:$B$2086,A306)</f>
        <v>20475</v>
      </c>
      <c r="E306" s="11" t="n">
        <f aca="false">SUMIFS(Clean_Data!$N$2:$N$2086,Clean_Data!$B$2:$B$2086,A306)</f>
        <v>4775</v>
      </c>
      <c r="F306" s="2" t="str">
        <f aca="false">IF(C306&gt;1,"Repeat","One-time")</f>
        <v>Repeat</v>
      </c>
      <c r="G306" s="13" t="n">
        <f aca="false">SUM($D$2:D306)/SUM($D$2:$D$800)</f>
        <v>0.823903682559119</v>
      </c>
    </row>
    <row r="307" customFormat="false" ht="15" hidden="false" customHeight="false" outlineLevel="0" collapsed="false">
      <c r="A307" s="2" t="s">
        <v>345</v>
      </c>
      <c r="B307" s="2" t="str">
        <f aca="false">INDEX(Clean_Data!$F$2:$F$2086,MATCH(A307,Clean_Data!$B$2:$B$2086,0))</f>
        <v>Small Business</v>
      </c>
      <c r="C307" s="2" t="n">
        <f aca="false">COUNTIFS(Clean_Data!$B$2:$B$2086,A307)</f>
        <v>3</v>
      </c>
      <c r="D307" s="11" t="n">
        <f aca="false">SUMIFS(Clean_Data!$M$2:$M$2086,Clean_Data!$B$2:$B$2086,A307)</f>
        <v>20460</v>
      </c>
      <c r="E307" s="11" t="n">
        <f aca="false">SUMIFS(Clean_Data!$N$2:$N$2086,Clean_Data!$B$2:$B$2086,A307)</f>
        <v>6660</v>
      </c>
      <c r="F307" s="2" t="str">
        <f aca="false">IF(C307&gt;1,"Repeat","One-time")</f>
        <v>Repeat</v>
      </c>
      <c r="G307" s="13" t="n">
        <f aca="false">SUM($D$2:D307)/SUM($D$2:$D$800)</f>
        <v>0.824898249506271</v>
      </c>
    </row>
    <row r="308" customFormat="false" ht="15" hidden="false" customHeight="false" outlineLevel="0" collapsed="false">
      <c r="A308" s="2" t="s">
        <v>1397</v>
      </c>
      <c r="B308" s="2" t="str">
        <f aca="false">INDEX(Clean_Data!$F$2:$F$2086,MATCH(A308,Clean_Data!$B$2:$B$2086,0))</f>
        <v>Consumer</v>
      </c>
      <c r="C308" s="2" t="n">
        <f aca="false">COUNTIFS(Clean_Data!$B$2:$B$2086,A308)</f>
        <v>3</v>
      </c>
      <c r="D308" s="11" t="n">
        <f aca="false">SUMIFS(Clean_Data!$M$2:$M$2086,Clean_Data!$B$2:$B$2086,A308)</f>
        <v>20250</v>
      </c>
      <c r="E308" s="11" t="n">
        <f aca="false">SUMIFS(Clean_Data!$N$2:$N$2086,Clean_Data!$B$2:$B$2086,A308)</f>
        <v>5650</v>
      </c>
      <c r="F308" s="2" t="str">
        <f aca="false">IF(C308&gt;1,"Repeat","One-time")</f>
        <v>Repeat</v>
      </c>
      <c r="G308" s="13" t="n">
        <f aca="false">SUM($D$2:D308)/SUM($D$2:$D$800)</f>
        <v>0.825882608288277</v>
      </c>
    </row>
    <row r="309" customFormat="false" ht="15" hidden="false" customHeight="false" outlineLevel="0" collapsed="false">
      <c r="A309" s="2" t="s">
        <v>394</v>
      </c>
      <c r="B309" s="2" t="str">
        <f aca="false">INDEX(Clean_Data!$F$2:$F$2086,MATCH(A309,Clean_Data!$B$2:$B$2086,0))</f>
        <v>Consumer</v>
      </c>
      <c r="C309" s="2" t="n">
        <f aca="false">COUNTIFS(Clean_Data!$B$2:$B$2086,A309)</f>
        <v>1</v>
      </c>
      <c r="D309" s="11" t="n">
        <f aca="false">SUMIFS(Clean_Data!$M$2:$M$2086,Clean_Data!$B$2:$B$2086,A309)</f>
        <v>19950</v>
      </c>
      <c r="E309" s="11" t="n">
        <f aca="false">SUMIFS(Clean_Data!$N$2:$N$2086,Clean_Data!$B$2:$B$2086,A309)</f>
        <v>5550</v>
      </c>
      <c r="F309" s="2" t="str">
        <f aca="false">IF(C309&gt;1,"Repeat","One-time")</f>
        <v>One-time</v>
      </c>
      <c r="G309" s="13" t="n">
        <f aca="false">SUM($D$2:D309)/SUM($D$2:$D$800)</f>
        <v>0.826852383977215</v>
      </c>
    </row>
    <row r="310" customFormat="false" ht="15" hidden="false" customHeight="false" outlineLevel="0" collapsed="false">
      <c r="A310" s="2" t="s">
        <v>1419</v>
      </c>
      <c r="B310" s="2" t="str">
        <f aca="false">INDEX(Clean_Data!$F$2:$F$2086,MATCH(A310,Clean_Data!$B$2:$B$2086,0))</f>
        <v>Consumer</v>
      </c>
      <c r="C310" s="2" t="n">
        <f aca="false">COUNTIFS(Clean_Data!$B$2:$B$2086,A310)</f>
        <v>1</v>
      </c>
      <c r="D310" s="11" t="n">
        <f aca="false">SUMIFS(Clean_Data!$M$2:$M$2086,Clean_Data!$B$2:$B$2086,A310)</f>
        <v>19950</v>
      </c>
      <c r="E310" s="11" t="n">
        <f aca="false">SUMIFS(Clean_Data!$N$2:$N$2086,Clean_Data!$B$2:$B$2086,A310)</f>
        <v>5550</v>
      </c>
      <c r="F310" s="2" t="str">
        <f aca="false">IF(C310&gt;1,"Repeat","One-time")</f>
        <v>One-time</v>
      </c>
      <c r="G310" s="13" t="n">
        <f aca="false">SUM($D$2:D310)/SUM($D$2:$D$800)</f>
        <v>0.827822159666154</v>
      </c>
    </row>
    <row r="311" customFormat="false" ht="15" hidden="false" customHeight="false" outlineLevel="0" collapsed="false">
      <c r="A311" s="2" t="s">
        <v>1249</v>
      </c>
      <c r="B311" s="2" t="str">
        <f aca="false">INDEX(Clean_Data!$F$2:$F$2086,MATCH(A311,Clean_Data!$B$2:$B$2086,0))</f>
        <v>Small Business</v>
      </c>
      <c r="C311" s="2" t="n">
        <f aca="false">COUNTIFS(Clean_Data!$B$2:$B$2086,A311)</f>
        <v>2</v>
      </c>
      <c r="D311" s="11" t="n">
        <f aca="false">SUMIFS(Clean_Data!$M$2:$M$2086,Clean_Data!$B$2:$B$2086,A311)</f>
        <v>19950</v>
      </c>
      <c r="E311" s="11" t="n">
        <f aca="false">SUMIFS(Clean_Data!$N$2:$N$2086,Clean_Data!$B$2:$B$2086,A311)</f>
        <v>7250</v>
      </c>
      <c r="F311" s="2" t="str">
        <f aca="false">IF(C311&gt;1,"Repeat","One-time")</f>
        <v>Repeat</v>
      </c>
      <c r="G311" s="13" t="n">
        <f aca="false">SUM($D$2:D311)/SUM($D$2:$D$800)</f>
        <v>0.828791935355093</v>
      </c>
    </row>
    <row r="312" customFormat="false" ht="15" hidden="false" customHeight="false" outlineLevel="0" collapsed="false">
      <c r="A312" s="2" t="s">
        <v>767</v>
      </c>
      <c r="B312" s="2" t="str">
        <f aca="false">INDEX(Clean_Data!$F$2:$F$2086,MATCH(A312,Clean_Data!$B$2:$B$2086,0))</f>
        <v>Consumer</v>
      </c>
      <c r="C312" s="2" t="n">
        <f aca="false">COUNTIFS(Clean_Data!$B$2:$B$2086,A312)</f>
        <v>1</v>
      </c>
      <c r="D312" s="11" t="n">
        <f aca="false">SUMIFS(Clean_Data!$M$2:$M$2086,Clean_Data!$B$2:$B$2086,A312)</f>
        <v>19950</v>
      </c>
      <c r="E312" s="11" t="n">
        <f aca="false">SUMIFS(Clean_Data!$N$2:$N$2086,Clean_Data!$B$2:$B$2086,A312)</f>
        <v>5550</v>
      </c>
      <c r="F312" s="2" t="str">
        <f aca="false">IF(C312&gt;1,"Repeat","One-time")</f>
        <v>One-time</v>
      </c>
      <c r="G312" s="13" t="n">
        <f aca="false">SUM($D$2:D312)/SUM($D$2:$D$800)</f>
        <v>0.829761711044032</v>
      </c>
    </row>
    <row r="313" customFormat="false" ht="15" hidden="false" customHeight="false" outlineLevel="0" collapsed="false">
      <c r="A313" s="2" t="s">
        <v>1310</v>
      </c>
      <c r="B313" s="2" t="str">
        <f aca="false">INDEX(Clean_Data!$F$2:$F$2086,MATCH(A313,Clean_Data!$B$2:$B$2086,0))</f>
        <v>Small Business</v>
      </c>
      <c r="C313" s="2" t="n">
        <f aca="false">COUNTIFS(Clean_Data!$B$2:$B$2086,A313)</f>
        <v>1</v>
      </c>
      <c r="D313" s="11" t="n">
        <f aca="false">SUMIFS(Clean_Data!$M$2:$M$2086,Clean_Data!$B$2:$B$2086,A313)</f>
        <v>19800</v>
      </c>
      <c r="E313" s="11" t="n">
        <f aca="false">SUMIFS(Clean_Data!$N$2:$N$2086,Clean_Data!$B$2:$B$2086,A313)</f>
        <v>5400</v>
      </c>
      <c r="F313" s="2" t="str">
        <f aca="false">IF(C313&gt;1,"Repeat","One-time")</f>
        <v>One-time</v>
      </c>
      <c r="G313" s="13" t="n">
        <f aca="false">SUM($D$2:D313)/SUM($D$2:$D$800)</f>
        <v>0.830724195186437</v>
      </c>
    </row>
    <row r="314" customFormat="false" ht="15" hidden="false" customHeight="false" outlineLevel="0" collapsed="false">
      <c r="A314" s="2" t="s">
        <v>1595</v>
      </c>
      <c r="B314" s="2" t="str">
        <f aca="false">INDEX(Clean_Data!$F$2:$F$2086,MATCH(A314,Clean_Data!$B$2:$B$2086,0))</f>
        <v>Consumer</v>
      </c>
      <c r="C314" s="2" t="n">
        <f aca="false">COUNTIFS(Clean_Data!$B$2:$B$2086,A314)</f>
        <v>2</v>
      </c>
      <c r="D314" s="11" t="n">
        <f aca="false">SUMIFS(Clean_Data!$M$2:$M$2086,Clean_Data!$B$2:$B$2086,A314)</f>
        <v>19500</v>
      </c>
      <c r="E314" s="11" t="n">
        <f aca="false">SUMIFS(Clean_Data!$N$2:$N$2086,Clean_Data!$B$2:$B$2086,A314)</f>
        <v>5900</v>
      </c>
      <c r="F314" s="2" t="str">
        <f aca="false">IF(C314&gt;1,"Repeat","One-time")</f>
        <v>Repeat</v>
      </c>
      <c r="G314" s="13" t="n">
        <f aca="false">SUM($D$2:D314)/SUM($D$2:$D$800)</f>
        <v>0.831672096235776</v>
      </c>
    </row>
    <row r="315" customFormat="false" ht="15" hidden="false" customHeight="false" outlineLevel="0" collapsed="false">
      <c r="A315" s="2" t="s">
        <v>1079</v>
      </c>
      <c r="B315" s="2" t="str">
        <f aca="false">INDEX(Clean_Data!$F$2:$F$2086,MATCH(A315,Clean_Data!$B$2:$B$2086,0))</f>
        <v>Consumer</v>
      </c>
      <c r="C315" s="2" t="n">
        <f aca="false">COUNTIFS(Clean_Data!$B$2:$B$2086,A315)</f>
        <v>4</v>
      </c>
      <c r="D315" s="11" t="n">
        <f aca="false">SUMIFS(Clean_Data!$M$2:$M$2086,Clean_Data!$B$2:$B$2086,A315)</f>
        <v>19450</v>
      </c>
      <c r="E315" s="11" t="n">
        <f aca="false">SUMIFS(Clean_Data!$N$2:$N$2086,Clean_Data!$B$2:$B$2086,A315)</f>
        <v>7050</v>
      </c>
      <c r="F315" s="2" t="str">
        <f aca="false">IF(C315&gt;1,"Repeat","One-time")</f>
        <v>Repeat</v>
      </c>
      <c r="G315" s="13" t="n">
        <f aca="false">SUM($D$2:D315)/SUM($D$2:$D$800)</f>
        <v>0.832617566769603</v>
      </c>
    </row>
    <row r="316" customFormat="false" ht="15" hidden="false" customHeight="false" outlineLevel="0" collapsed="false">
      <c r="A316" s="2" t="s">
        <v>153</v>
      </c>
      <c r="B316" s="2" t="str">
        <f aca="false">INDEX(Clean_Data!$F$2:$F$2086,MATCH(A316,Clean_Data!$B$2:$B$2086,0))</f>
        <v>Small Business</v>
      </c>
      <c r="C316" s="2" t="n">
        <f aca="false">COUNTIFS(Clean_Data!$B$2:$B$2086,A316)</f>
        <v>2</v>
      </c>
      <c r="D316" s="11" t="n">
        <f aca="false">SUMIFS(Clean_Data!$M$2:$M$2086,Clean_Data!$B$2:$B$2086,A316)</f>
        <v>19400</v>
      </c>
      <c r="E316" s="11" t="n">
        <f aca="false">SUMIFS(Clean_Data!$N$2:$N$2086,Clean_Data!$B$2:$B$2086,A316)</f>
        <v>6200</v>
      </c>
      <c r="F316" s="2" t="str">
        <f aca="false">IF(C316&gt;1,"Repeat","One-time")</f>
        <v>Repeat</v>
      </c>
      <c r="G316" s="13" t="n">
        <f aca="false">SUM($D$2:D316)/SUM($D$2:$D$800)</f>
        <v>0.833560606787919</v>
      </c>
    </row>
    <row r="317" customFormat="false" ht="15" hidden="false" customHeight="false" outlineLevel="0" collapsed="false">
      <c r="A317" s="2" t="s">
        <v>772</v>
      </c>
      <c r="B317" s="2" t="str">
        <f aca="false">INDEX(Clean_Data!$F$2:$F$2086,MATCH(A317,Clean_Data!$B$2:$B$2086,0))</f>
        <v>Consumer</v>
      </c>
      <c r="C317" s="2" t="n">
        <f aca="false">COUNTIFS(Clean_Data!$B$2:$B$2086,A317)</f>
        <v>2</v>
      </c>
      <c r="D317" s="11" t="n">
        <f aca="false">SUMIFS(Clean_Data!$M$2:$M$2086,Clean_Data!$B$2:$B$2086,A317)</f>
        <v>19350</v>
      </c>
      <c r="E317" s="11" t="n">
        <f aca="false">SUMIFS(Clean_Data!$N$2:$N$2086,Clean_Data!$B$2:$B$2086,A317)</f>
        <v>6750</v>
      </c>
      <c r="F317" s="2" t="str">
        <f aca="false">IF(C317&gt;1,"Repeat","One-time")</f>
        <v>Repeat</v>
      </c>
      <c r="G317" s="13" t="n">
        <f aca="false">SUM($D$2:D317)/SUM($D$2:$D$800)</f>
        <v>0.834501216290725</v>
      </c>
    </row>
    <row r="318" customFormat="false" ht="15" hidden="false" customHeight="false" outlineLevel="0" collapsed="false">
      <c r="A318" s="2" t="s">
        <v>2110</v>
      </c>
      <c r="B318" s="2" t="str">
        <f aca="false">INDEX(Clean_Data!$F$2:$F$2086,MATCH(A318,Clean_Data!$B$2:$B$2086,0))</f>
        <v>Consumer</v>
      </c>
      <c r="C318" s="2" t="n">
        <f aca="false">COUNTIFS(Clean_Data!$B$2:$B$2086,A318)</f>
        <v>4</v>
      </c>
      <c r="D318" s="11" t="n">
        <f aca="false">SUMIFS(Clean_Data!$M$2:$M$2086,Clean_Data!$B$2:$B$2086,A318)</f>
        <v>19290</v>
      </c>
      <c r="E318" s="11" t="n">
        <f aca="false">SUMIFS(Clean_Data!$N$2:$N$2086,Clean_Data!$B$2:$B$2086,A318)</f>
        <v>6590</v>
      </c>
      <c r="F318" s="2" t="str">
        <f aca="false">IF(C318&gt;1,"Repeat","One-time")</f>
        <v>Repeat</v>
      </c>
      <c r="G318" s="13" t="n">
        <f aca="false">SUM($D$2:D318)/SUM($D$2:$D$800)</f>
        <v>0.835438909174917</v>
      </c>
    </row>
    <row r="319" customFormat="false" ht="15" hidden="false" customHeight="false" outlineLevel="0" collapsed="false">
      <c r="A319" s="2" t="s">
        <v>2089</v>
      </c>
      <c r="B319" s="2" t="str">
        <f aca="false">INDEX(Clean_Data!$F$2:$F$2086,MATCH(A319,Clean_Data!$B$2:$B$2086,0))</f>
        <v>Small Business</v>
      </c>
      <c r="C319" s="2" t="n">
        <f aca="false">COUNTIFS(Clean_Data!$B$2:$B$2086,A319)</f>
        <v>3</v>
      </c>
      <c r="D319" s="11" t="n">
        <f aca="false">SUMIFS(Clean_Data!$M$2:$M$2086,Clean_Data!$B$2:$B$2086,A319)</f>
        <v>19140</v>
      </c>
      <c r="E319" s="11" t="n">
        <f aca="false">SUMIFS(Clean_Data!$N$2:$N$2086,Clean_Data!$B$2:$B$2086,A319)</f>
        <v>7440</v>
      </c>
      <c r="F319" s="2" t="str">
        <f aca="false">IF(C319&gt;1,"Repeat","One-time")</f>
        <v>Repeat</v>
      </c>
      <c r="G319" s="13" t="n">
        <f aca="false">SUM($D$2:D319)/SUM($D$2:$D$800)</f>
        <v>0.836369310512575</v>
      </c>
    </row>
    <row r="320" customFormat="false" ht="15" hidden="false" customHeight="false" outlineLevel="0" collapsed="false">
      <c r="A320" s="2" t="s">
        <v>1221</v>
      </c>
      <c r="B320" s="2" t="str">
        <f aca="false">INDEX(Clean_Data!$F$2:$F$2086,MATCH(A320,Clean_Data!$B$2:$B$2086,0))</f>
        <v>Consumer</v>
      </c>
      <c r="C320" s="2" t="n">
        <f aca="false">COUNTIFS(Clean_Data!$B$2:$B$2086,A320)</f>
        <v>1</v>
      </c>
      <c r="D320" s="11" t="n">
        <f aca="false">SUMIFS(Clean_Data!$M$2:$M$2086,Clean_Data!$B$2:$B$2086,A320)</f>
        <v>18900</v>
      </c>
      <c r="E320" s="11" t="n">
        <f aca="false">SUMIFS(Clean_Data!$N$2:$N$2086,Clean_Data!$B$2:$B$2086,A320)</f>
        <v>4500</v>
      </c>
      <c r="F320" s="2" t="str">
        <f aca="false">IF(C320&gt;1,"Repeat","One-time")</f>
        <v>One-time</v>
      </c>
      <c r="G320" s="13" t="n">
        <f aca="false">SUM($D$2:D320)/SUM($D$2:$D$800)</f>
        <v>0.83728804537578</v>
      </c>
    </row>
    <row r="321" customFormat="false" ht="15" hidden="false" customHeight="false" outlineLevel="0" collapsed="false">
      <c r="A321" s="2" t="s">
        <v>2596</v>
      </c>
      <c r="B321" s="2" t="str">
        <f aca="false">INDEX(Clean_Data!$F$2:$F$2086,MATCH(A321,Clean_Data!$B$2:$B$2086,0))</f>
        <v>Consumer</v>
      </c>
      <c r="C321" s="2" t="n">
        <f aca="false">COUNTIFS(Clean_Data!$B$2:$B$2086,A321)</f>
        <v>1</v>
      </c>
      <c r="D321" s="11" t="n">
        <f aca="false">SUMIFS(Clean_Data!$M$2:$M$2086,Clean_Data!$B$2:$B$2086,A321)</f>
        <v>18900</v>
      </c>
      <c r="E321" s="11" t="n">
        <f aca="false">SUMIFS(Clean_Data!$N$2:$N$2086,Clean_Data!$B$2:$B$2086,A321)</f>
        <v>4500</v>
      </c>
      <c r="F321" s="2" t="str">
        <f aca="false">IF(C321&gt;1,"Repeat","One-time")</f>
        <v>One-time</v>
      </c>
      <c r="G321" s="13" t="n">
        <f aca="false">SUM($D$2:D321)/SUM($D$2:$D$800)</f>
        <v>0.838206780238985</v>
      </c>
    </row>
    <row r="322" customFormat="false" ht="15" hidden="false" customHeight="false" outlineLevel="0" collapsed="false">
      <c r="A322" s="2" t="s">
        <v>2077</v>
      </c>
      <c r="B322" s="2" t="str">
        <f aca="false">INDEX(Clean_Data!$F$2:$F$2086,MATCH(A322,Clean_Data!$B$2:$B$2086,0))</f>
        <v>Consumer</v>
      </c>
      <c r="C322" s="2" t="n">
        <f aca="false">COUNTIFS(Clean_Data!$B$2:$B$2086,A322)</f>
        <v>3</v>
      </c>
      <c r="D322" s="11" t="n">
        <f aca="false">SUMIFS(Clean_Data!$M$2:$M$2086,Clean_Data!$B$2:$B$2086,A322)</f>
        <v>18900</v>
      </c>
      <c r="E322" s="11" t="n">
        <f aca="false">SUMIFS(Clean_Data!$N$2:$N$2086,Clean_Data!$B$2:$B$2086,A322)</f>
        <v>6300</v>
      </c>
      <c r="F322" s="2" t="str">
        <f aca="false">IF(C322&gt;1,"Repeat","One-time")</f>
        <v>Repeat</v>
      </c>
      <c r="G322" s="13" t="n">
        <f aca="false">SUM($D$2:D322)/SUM($D$2:$D$800)</f>
        <v>0.839125515102191</v>
      </c>
    </row>
    <row r="323" customFormat="false" ht="15" hidden="false" customHeight="false" outlineLevel="0" collapsed="false">
      <c r="A323" s="2" t="s">
        <v>2901</v>
      </c>
      <c r="B323" s="2" t="str">
        <f aca="false">INDEX(Clean_Data!$F$2:$F$2086,MATCH(A323,Clean_Data!$B$2:$B$2086,0))</f>
        <v>Consumer</v>
      </c>
      <c r="C323" s="2" t="n">
        <f aca="false">COUNTIFS(Clean_Data!$B$2:$B$2086,A323)</f>
        <v>1</v>
      </c>
      <c r="D323" s="11" t="n">
        <f aca="false">SUMIFS(Clean_Data!$M$2:$M$2086,Clean_Data!$B$2:$B$2086,A323)</f>
        <v>18900</v>
      </c>
      <c r="E323" s="11" t="n">
        <f aca="false">SUMIFS(Clean_Data!$N$2:$N$2086,Clean_Data!$B$2:$B$2086,A323)</f>
        <v>4500</v>
      </c>
      <c r="F323" s="2" t="str">
        <f aca="false">IF(C323&gt;1,"Repeat","One-time")</f>
        <v>One-time</v>
      </c>
      <c r="G323" s="13" t="n">
        <f aca="false">SUM($D$2:D323)/SUM($D$2:$D$800)</f>
        <v>0.840044249965396</v>
      </c>
    </row>
    <row r="324" customFormat="false" ht="15" hidden="false" customHeight="false" outlineLevel="0" collapsed="false">
      <c r="A324" s="2" t="s">
        <v>2674</v>
      </c>
      <c r="B324" s="2" t="str">
        <f aca="false">INDEX(Clean_Data!$F$2:$F$2086,MATCH(A324,Clean_Data!$B$2:$B$2086,0))</f>
        <v>Consumer</v>
      </c>
      <c r="C324" s="2" t="n">
        <f aca="false">COUNTIFS(Clean_Data!$B$2:$B$2086,A324)</f>
        <v>1</v>
      </c>
      <c r="D324" s="11" t="n">
        <f aca="false">SUMIFS(Clean_Data!$M$2:$M$2086,Clean_Data!$B$2:$B$2086,A324)</f>
        <v>18900</v>
      </c>
      <c r="E324" s="11" t="n">
        <f aca="false">SUMIFS(Clean_Data!$N$2:$N$2086,Clean_Data!$B$2:$B$2086,A324)</f>
        <v>4500</v>
      </c>
      <c r="F324" s="2" t="str">
        <f aca="false">IF(C324&gt;1,"Repeat","One-time")</f>
        <v>One-time</v>
      </c>
      <c r="G324" s="13" t="n">
        <f aca="false">SUM($D$2:D324)/SUM($D$2:$D$800)</f>
        <v>0.840962984828601</v>
      </c>
    </row>
    <row r="325" customFormat="false" ht="15" hidden="false" customHeight="false" outlineLevel="0" collapsed="false">
      <c r="A325" s="2" t="s">
        <v>1259</v>
      </c>
      <c r="B325" s="2" t="str">
        <f aca="false">INDEX(Clean_Data!$F$2:$F$2086,MATCH(A325,Clean_Data!$B$2:$B$2086,0))</f>
        <v>Consumer</v>
      </c>
      <c r="C325" s="2" t="n">
        <f aca="false">COUNTIFS(Clean_Data!$B$2:$B$2086,A325)</f>
        <v>2</v>
      </c>
      <c r="D325" s="11" t="n">
        <f aca="false">SUMIFS(Clean_Data!$M$2:$M$2086,Clean_Data!$B$2:$B$2086,A325)</f>
        <v>18750</v>
      </c>
      <c r="E325" s="11" t="n">
        <f aca="false">SUMIFS(Clean_Data!$N$2:$N$2086,Clean_Data!$B$2:$B$2086,A325)</f>
        <v>6350</v>
      </c>
      <c r="F325" s="2" t="str">
        <f aca="false">IF(C325&gt;1,"Repeat","One-time")</f>
        <v>Repeat</v>
      </c>
      <c r="G325" s="13" t="n">
        <f aca="false">SUM($D$2:D325)/SUM($D$2:$D$800)</f>
        <v>0.841874428145272</v>
      </c>
    </row>
    <row r="326" customFormat="false" ht="15" hidden="false" customHeight="false" outlineLevel="0" collapsed="false">
      <c r="A326" s="2" t="s">
        <v>2903</v>
      </c>
      <c r="B326" s="2" t="str">
        <f aca="false">INDEX(Clean_Data!$F$2:$F$2086,MATCH(A326,Clean_Data!$B$2:$B$2086,0))</f>
        <v>Consumer</v>
      </c>
      <c r="C326" s="2" t="n">
        <f aca="false">COUNTIFS(Clean_Data!$B$2:$B$2086,A326)</f>
        <v>3</v>
      </c>
      <c r="D326" s="11" t="n">
        <f aca="false">SUMIFS(Clean_Data!$M$2:$M$2086,Clean_Data!$B$2:$B$2086,A326)</f>
        <v>18512.5</v>
      </c>
      <c r="E326" s="11" t="n">
        <f aca="false">SUMIFS(Clean_Data!$N$2:$N$2086,Clean_Data!$B$2:$B$2086,A326)</f>
        <v>6412.5</v>
      </c>
      <c r="F326" s="2" t="str">
        <f aca="false">IF(C326&gt;1,"Repeat","One-time")</f>
        <v>Repeat</v>
      </c>
      <c r="G326" s="13" t="n">
        <f aca="false">SUM($D$2:D326)/SUM($D$2:$D$800)</f>
        <v>0.842774326513266</v>
      </c>
    </row>
    <row r="327" customFormat="false" ht="15" hidden="false" customHeight="false" outlineLevel="0" collapsed="false">
      <c r="A327" s="2" t="s">
        <v>899</v>
      </c>
      <c r="B327" s="2" t="str">
        <f aca="false">INDEX(Clean_Data!$F$2:$F$2086,MATCH(A327,Clean_Data!$B$2:$B$2086,0))</f>
        <v>Small Business</v>
      </c>
      <c r="C327" s="2" t="n">
        <f aca="false">COUNTIFS(Clean_Data!$B$2:$B$2086,A327)</f>
        <v>3</v>
      </c>
      <c r="D327" s="11" t="n">
        <f aca="false">SUMIFS(Clean_Data!$M$2:$M$2086,Clean_Data!$B$2:$B$2086,A327)</f>
        <v>18390</v>
      </c>
      <c r="E327" s="11" t="n">
        <f aca="false">SUMIFS(Clean_Data!$N$2:$N$2086,Clean_Data!$B$2:$B$2086,A327)</f>
        <v>5390</v>
      </c>
      <c r="F327" s="2" t="str">
        <f aca="false">IF(C327&gt;1,"Repeat","One-time")</f>
        <v>Repeat</v>
      </c>
      <c r="G327" s="13" t="n">
        <f aca="false">SUM($D$2:D327)/SUM($D$2:$D$800)</f>
        <v>0.843668270118258</v>
      </c>
    </row>
    <row r="328" customFormat="false" ht="15" hidden="false" customHeight="false" outlineLevel="0" collapsed="false">
      <c r="A328" s="2" t="s">
        <v>2623</v>
      </c>
      <c r="B328" s="2" t="str">
        <f aca="false">INDEX(Clean_Data!$F$2:$F$2086,MATCH(A328,Clean_Data!$B$2:$B$2086,0))</f>
        <v>Small Business</v>
      </c>
      <c r="C328" s="2" t="n">
        <f aca="false">COUNTIFS(Clean_Data!$B$2:$B$2086,A328)</f>
        <v>2</v>
      </c>
      <c r="D328" s="11" t="n">
        <f aca="false">SUMIFS(Clean_Data!$M$2:$M$2086,Clean_Data!$B$2:$B$2086,A328)</f>
        <v>18170</v>
      </c>
      <c r="E328" s="11" t="n">
        <f aca="false">SUMIFS(Clean_Data!$N$2:$N$2086,Clean_Data!$B$2:$B$2086,A328)</f>
        <v>5270</v>
      </c>
      <c r="F328" s="2" t="str">
        <f aca="false">IF(C328&gt;1,"Repeat","One-time")</f>
        <v>Repeat</v>
      </c>
      <c r="G328" s="13" t="n">
        <f aca="false">SUM($D$2:D328)/SUM($D$2:$D$800)</f>
        <v>0.844551519455001</v>
      </c>
    </row>
    <row r="329" customFormat="false" ht="15" hidden="false" customHeight="false" outlineLevel="0" collapsed="false">
      <c r="A329" s="2" t="s">
        <v>193</v>
      </c>
      <c r="B329" s="2" t="str">
        <f aca="false">INDEX(Clean_Data!$F$2:$F$2086,MATCH(A329,Clean_Data!$B$2:$B$2086,0))</f>
        <v>Consumer</v>
      </c>
      <c r="C329" s="2" t="n">
        <f aca="false">COUNTIFS(Clean_Data!$B$2:$B$2086,A329)</f>
        <v>2</v>
      </c>
      <c r="D329" s="11" t="n">
        <f aca="false">SUMIFS(Clean_Data!$M$2:$M$2086,Clean_Data!$B$2:$B$2086,A329)</f>
        <v>18100</v>
      </c>
      <c r="E329" s="11" t="n">
        <f aca="false">SUMIFS(Clean_Data!$N$2:$N$2086,Clean_Data!$B$2:$B$2086,A329)</f>
        <v>6100</v>
      </c>
      <c r="F329" s="2" t="str">
        <f aca="false">IF(C329&gt;1,"Repeat","One-time")</f>
        <v>Repeat</v>
      </c>
      <c r="G329" s="13" t="n">
        <f aca="false">SUM($D$2:D329)/SUM($D$2:$D$800)</f>
        <v>0.845431366070028</v>
      </c>
    </row>
    <row r="330" customFormat="false" ht="15" hidden="false" customHeight="false" outlineLevel="0" collapsed="false">
      <c r="A330" s="2" t="s">
        <v>2147</v>
      </c>
      <c r="B330" s="2" t="str">
        <f aca="false">INDEX(Clean_Data!$F$2:$F$2086,MATCH(A330,Clean_Data!$B$2:$B$2086,0))</f>
        <v>Consumer</v>
      </c>
      <c r="C330" s="2" t="n">
        <f aca="false">COUNTIFS(Clean_Data!$B$2:$B$2086,A330)</f>
        <v>1</v>
      </c>
      <c r="D330" s="11" t="n">
        <f aca="false">SUMIFS(Clean_Data!$M$2:$M$2086,Clean_Data!$B$2:$B$2086,A330)</f>
        <v>18000</v>
      </c>
      <c r="E330" s="11" t="n">
        <f aca="false">SUMIFS(Clean_Data!$N$2:$N$2086,Clean_Data!$B$2:$B$2086,A330)</f>
        <v>5600</v>
      </c>
      <c r="F330" s="2" t="str">
        <f aca="false">IF(C330&gt;1,"Repeat","One-time")</f>
        <v>One-time</v>
      </c>
      <c r="G330" s="13" t="n">
        <f aca="false">SUM($D$2:D330)/SUM($D$2:$D$800)</f>
        <v>0.846306351654033</v>
      </c>
    </row>
    <row r="331" customFormat="false" ht="15" hidden="false" customHeight="false" outlineLevel="0" collapsed="false">
      <c r="A331" s="2" t="s">
        <v>2541</v>
      </c>
      <c r="B331" s="2" t="str">
        <f aca="false">INDEX(Clean_Data!$F$2:$F$2086,MATCH(A331,Clean_Data!$B$2:$B$2086,0))</f>
        <v>Consumer</v>
      </c>
      <c r="C331" s="2" t="n">
        <f aca="false">COUNTIFS(Clean_Data!$B$2:$B$2086,A331)</f>
        <v>2</v>
      </c>
      <c r="D331" s="11" t="n">
        <f aca="false">SUMIFS(Clean_Data!$M$2:$M$2086,Clean_Data!$B$2:$B$2086,A331)</f>
        <v>18000</v>
      </c>
      <c r="E331" s="11" t="n">
        <f aca="false">SUMIFS(Clean_Data!$N$2:$N$2086,Clean_Data!$B$2:$B$2086,A331)</f>
        <v>4900</v>
      </c>
      <c r="F331" s="2" t="str">
        <f aca="false">IF(C331&gt;1,"Repeat","One-time")</f>
        <v>Repeat</v>
      </c>
      <c r="G331" s="13" t="n">
        <f aca="false">SUM($D$2:D331)/SUM($D$2:$D$800)</f>
        <v>0.847181337238038</v>
      </c>
    </row>
    <row r="332" customFormat="false" ht="15" hidden="false" customHeight="false" outlineLevel="0" collapsed="false">
      <c r="A332" s="2" t="s">
        <v>101</v>
      </c>
      <c r="B332" s="2" t="str">
        <f aca="false">INDEX(Clean_Data!$F$2:$F$2086,MATCH(A332,Clean_Data!$B$2:$B$2086,0))</f>
        <v>Consumer</v>
      </c>
      <c r="C332" s="2" t="n">
        <f aca="false">COUNTIFS(Clean_Data!$B$2:$B$2086,A332)</f>
        <v>1</v>
      </c>
      <c r="D332" s="11" t="n">
        <f aca="false">SUMIFS(Clean_Data!$M$2:$M$2086,Clean_Data!$B$2:$B$2086,A332)</f>
        <v>17850</v>
      </c>
      <c r="E332" s="11" t="n">
        <f aca="false">SUMIFS(Clean_Data!$N$2:$N$2086,Clean_Data!$B$2:$B$2086,A332)</f>
        <v>3450</v>
      </c>
      <c r="F332" s="2" t="str">
        <f aca="false">IF(C332&gt;1,"Repeat","One-time")</f>
        <v>One-time</v>
      </c>
      <c r="G332" s="13" t="n">
        <f aca="false">SUM($D$2:D332)/SUM($D$2:$D$800)</f>
        <v>0.848049031275509</v>
      </c>
    </row>
    <row r="333" customFormat="false" ht="15" hidden="false" customHeight="false" outlineLevel="0" collapsed="false">
      <c r="A333" s="2" t="s">
        <v>437</v>
      </c>
      <c r="B333" s="2" t="str">
        <f aca="false">INDEX(Clean_Data!$F$2:$F$2086,MATCH(A333,Clean_Data!$B$2:$B$2086,0))</f>
        <v>Small Business</v>
      </c>
      <c r="C333" s="2" t="n">
        <f aca="false">COUNTIFS(Clean_Data!$B$2:$B$2086,A333)</f>
        <v>2</v>
      </c>
      <c r="D333" s="11" t="n">
        <f aca="false">SUMIFS(Clean_Data!$M$2:$M$2086,Clean_Data!$B$2:$B$2086,A333)</f>
        <v>17550</v>
      </c>
      <c r="E333" s="11" t="n">
        <f aca="false">SUMIFS(Clean_Data!$N$2:$N$2086,Clean_Data!$B$2:$B$2086,A333)</f>
        <v>6650</v>
      </c>
      <c r="F333" s="2" t="str">
        <f aca="false">IF(C333&gt;1,"Repeat","One-time")</f>
        <v>Repeat</v>
      </c>
      <c r="G333" s="13" t="n">
        <f aca="false">SUM($D$2:D333)/SUM($D$2:$D$800)</f>
        <v>0.848902142219914</v>
      </c>
    </row>
    <row r="334" customFormat="false" ht="15" hidden="false" customHeight="false" outlineLevel="0" collapsed="false">
      <c r="A334" s="2" t="s">
        <v>616</v>
      </c>
      <c r="B334" s="2" t="str">
        <f aca="false">INDEX(Clean_Data!$F$2:$F$2086,MATCH(A334,Clean_Data!$B$2:$B$2086,0))</f>
        <v>Consumer</v>
      </c>
      <c r="C334" s="2" t="n">
        <f aca="false">COUNTIFS(Clean_Data!$B$2:$B$2086,A334)</f>
        <v>5</v>
      </c>
      <c r="D334" s="11" t="n">
        <f aca="false">SUMIFS(Clean_Data!$M$2:$M$2086,Clean_Data!$B$2:$B$2086,A334)</f>
        <v>17542.5</v>
      </c>
      <c r="E334" s="11" t="n">
        <f aca="false">SUMIFS(Clean_Data!$N$2:$N$2086,Clean_Data!$B$2:$B$2086,A334)</f>
        <v>6642.5</v>
      </c>
      <c r="F334" s="2" t="str">
        <f aca="false">IF(C334&gt;1,"Repeat","One-time")</f>
        <v>Repeat</v>
      </c>
      <c r="G334" s="13" t="n">
        <f aca="false">SUM($D$2:D334)/SUM($D$2:$D$800)</f>
        <v>0.849754888586992</v>
      </c>
    </row>
    <row r="335" customFormat="false" ht="15" hidden="false" customHeight="false" outlineLevel="0" collapsed="false">
      <c r="A335" s="2" t="s">
        <v>2874</v>
      </c>
      <c r="B335" s="2" t="str">
        <f aca="false">INDEX(Clean_Data!$F$2:$F$2086,MATCH(A335,Clean_Data!$B$2:$B$2086,0))</f>
        <v>Consumer</v>
      </c>
      <c r="C335" s="2" t="n">
        <f aca="false">COUNTIFS(Clean_Data!$B$2:$B$2086,A335)</f>
        <v>3</v>
      </c>
      <c r="D335" s="11" t="n">
        <f aca="false">SUMIFS(Clean_Data!$M$2:$M$2086,Clean_Data!$B$2:$B$2086,A335)</f>
        <v>17450</v>
      </c>
      <c r="E335" s="11" t="n">
        <f aca="false">SUMIFS(Clean_Data!$N$2:$N$2086,Clean_Data!$B$2:$B$2086,A335)</f>
        <v>5350</v>
      </c>
      <c r="F335" s="2" t="str">
        <f aca="false">IF(C335&gt;1,"Repeat","One-time")</f>
        <v>Repeat</v>
      </c>
      <c r="G335" s="13" t="n">
        <f aca="false">SUM($D$2:D335)/SUM($D$2:$D$800)</f>
        <v>0.850603138500374</v>
      </c>
    </row>
    <row r="336" customFormat="false" ht="15" hidden="false" customHeight="false" outlineLevel="0" collapsed="false">
      <c r="A336" s="2" t="s">
        <v>328</v>
      </c>
      <c r="B336" s="2" t="str">
        <f aca="false">INDEX(Clean_Data!$F$2:$F$2086,MATCH(A336,Clean_Data!$B$2:$B$2086,0))</f>
        <v>Consumer</v>
      </c>
      <c r="C336" s="2" t="n">
        <f aca="false">COUNTIFS(Clean_Data!$B$2:$B$2086,A336)</f>
        <v>6</v>
      </c>
      <c r="D336" s="11" t="n">
        <f aca="false">SUMIFS(Clean_Data!$M$2:$M$2086,Clean_Data!$B$2:$B$2086,A336)</f>
        <v>17235</v>
      </c>
      <c r="E336" s="11" t="n">
        <f aca="false">SUMIFS(Clean_Data!$N$2:$N$2086,Clean_Data!$B$2:$B$2086,A336)</f>
        <v>6035</v>
      </c>
      <c r="F336" s="2" t="str">
        <f aca="false">IF(C336&gt;1,"Repeat","One-time")</f>
        <v>Repeat</v>
      </c>
      <c r="G336" s="13" t="n">
        <f aca="false">SUM($D$2:D336)/SUM($D$2:$D$800)</f>
        <v>0.851440937197059</v>
      </c>
    </row>
    <row r="337" customFormat="false" ht="15" hidden="false" customHeight="false" outlineLevel="0" collapsed="false">
      <c r="A337" s="2" t="s">
        <v>246</v>
      </c>
      <c r="B337" s="2" t="str">
        <f aca="false">INDEX(Clean_Data!$F$2:$F$2086,MATCH(A337,Clean_Data!$B$2:$B$2086,0))</f>
        <v>Consumer</v>
      </c>
      <c r="C337" s="2" t="n">
        <f aca="false">COUNTIFS(Clean_Data!$B$2:$B$2086,A337)</f>
        <v>3</v>
      </c>
      <c r="D337" s="11" t="n">
        <f aca="false">SUMIFS(Clean_Data!$M$2:$M$2086,Clean_Data!$B$2:$B$2086,A337)</f>
        <v>17180</v>
      </c>
      <c r="E337" s="11" t="n">
        <f aca="false">SUMIFS(Clean_Data!$N$2:$N$2086,Clean_Data!$B$2:$B$2086,A337)</f>
        <v>4580</v>
      </c>
      <c r="F337" s="2" t="str">
        <f aca="false">IF(C337&gt;1,"Repeat","One-time")</f>
        <v>Repeat</v>
      </c>
      <c r="G337" s="13" t="n">
        <f aca="false">SUM($D$2:D337)/SUM($D$2:$D$800)</f>
        <v>0.852276062326681</v>
      </c>
    </row>
    <row r="338" customFormat="false" ht="15" hidden="false" customHeight="false" outlineLevel="0" collapsed="false">
      <c r="A338" s="2" t="s">
        <v>2716</v>
      </c>
      <c r="B338" s="2" t="str">
        <f aca="false">INDEX(Clean_Data!$F$2:$F$2086,MATCH(A338,Clean_Data!$B$2:$B$2086,0))</f>
        <v>Consumer</v>
      </c>
      <c r="C338" s="2" t="n">
        <f aca="false">COUNTIFS(Clean_Data!$B$2:$B$2086,A338)</f>
        <v>3</v>
      </c>
      <c r="D338" s="11" t="n">
        <f aca="false">SUMIFS(Clean_Data!$M$2:$M$2086,Clean_Data!$B$2:$B$2086,A338)</f>
        <v>17125</v>
      </c>
      <c r="E338" s="11" t="n">
        <f aca="false">SUMIFS(Clean_Data!$N$2:$N$2086,Clean_Data!$B$2:$B$2086,A338)</f>
        <v>4725</v>
      </c>
      <c r="F338" s="2" t="str">
        <f aca="false">IF(C338&gt;1,"Repeat","One-time")</f>
        <v>Repeat</v>
      </c>
      <c r="G338" s="13" t="n">
        <f aca="false">SUM($D$2:D338)/SUM($D$2:$D$800)</f>
        <v>0.853108513889242</v>
      </c>
    </row>
    <row r="339" customFormat="false" ht="15" hidden="false" customHeight="false" outlineLevel="0" collapsed="false">
      <c r="A339" s="2" t="s">
        <v>2303</v>
      </c>
      <c r="B339" s="2" t="str">
        <f aca="false">INDEX(Clean_Data!$F$2:$F$2086,MATCH(A339,Clean_Data!$B$2:$B$2086,0))</f>
        <v>Consumer</v>
      </c>
      <c r="C339" s="2" t="n">
        <f aca="false">COUNTIFS(Clean_Data!$B$2:$B$2086,A339)</f>
        <v>1</v>
      </c>
      <c r="D339" s="11" t="n">
        <f aca="false">SUMIFS(Clean_Data!$M$2:$M$2086,Clean_Data!$B$2:$B$2086,A339)</f>
        <v>17100</v>
      </c>
      <c r="E339" s="11" t="n">
        <f aca="false">SUMIFS(Clean_Data!$N$2:$N$2086,Clean_Data!$B$2:$B$2086,A339)</f>
        <v>4700</v>
      </c>
      <c r="F339" s="2" t="str">
        <f aca="false">IF(C339&gt;1,"Repeat","One-time")</f>
        <v>One-time</v>
      </c>
      <c r="G339" s="13" t="n">
        <f aca="false">SUM($D$2:D339)/SUM($D$2:$D$800)</f>
        <v>0.853939750194046</v>
      </c>
    </row>
    <row r="340" customFormat="false" ht="15" hidden="false" customHeight="false" outlineLevel="0" collapsed="false">
      <c r="A340" s="2" t="s">
        <v>2546</v>
      </c>
      <c r="B340" s="2" t="str">
        <f aca="false">INDEX(Clean_Data!$F$2:$F$2086,MATCH(A340,Clean_Data!$B$2:$B$2086,0))</f>
        <v>Consumer</v>
      </c>
      <c r="C340" s="2" t="n">
        <f aca="false">COUNTIFS(Clean_Data!$B$2:$B$2086,A340)</f>
        <v>2</v>
      </c>
      <c r="D340" s="11" t="n">
        <f aca="false">SUMIFS(Clean_Data!$M$2:$M$2086,Clean_Data!$B$2:$B$2086,A340)</f>
        <v>17100</v>
      </c>
      <c r="E340" s="11" t="n">
        <f aca="false">SUMIFS(Clean_Data!$N$2:$N$2086,Clean_Data!$B$2:$B$2086,A340)</f>
        <v>5400</v>
      </c>
      <c r="F340" s="2" t="str">
        <f aca="false">IF(C340&gt;1,"Repeat","One-time")</f>
        <v>Repeat</v>
      </c>
      <c r="G340" s="13" t="n">
        <f aca="false">SUM($D$2:D340)/SUM($D$2:$D$800)</f>
        <v>0.854770986498851</v>
      </c>
    </row>
    <row r="341" customFormat="false" ht="15" hidden="false" customHeight="false" outlineLevel="0" collapsed="false">
      <c r="A341" s="2" t="s">
        <v>1682</v>
      </c>
      <c r="B341" s="2" t="str">
        <f aca="false">INDEX(Clean_Data!$F$2:$F$2086,MATCH(A341,Clean_Data!$B$2:$B$2086,0))</f>
        <v>Consumer</v>
      </c>
      <c r="C341" s="2" t="n">
        <f aca="false">COUNTIFS(Clean_Data!$B$2:$B$2086,A341)</f>
        <v>3</v>
      </c>
      <c r="D341" s="11" t="n">
        <f aca="false">SUMIFS(Clean_Data!$M$2:$M$2086,Clean_Data!$B$2:$B$2086,A341)</f>
        <v>17100</v>
      </c>
      <c r="E341" s="11" t="n">
        <f aca="false">SUMIFS(Clean_Data!$N$2:$N$2086,Clean_Data!$B$2:$B$2086,A341)</f>
        <v>5100</v>
      </c>
      <c r="F341" s="2" t="str">
        <f aca="false">IF(C341&gt;1,"Repeat","One-time")</f>
        <v>Repeat</v>
      </c>
      <c r="G341" s="13" t="n">
        <f aca="false">SUM($D$2:D341)/SUM($D$2:$D$800)</f>
        <v>0.855602222803656</v>
      </c>
    </row>
    <row r="342" customFormat="false" ht="15" hidden="false" customHeight="false" outlineLevel="0" collapsed="false">
      <c r="A342" s="2" t="s">
        <v>2958</v>
      </c>
      <c r="B342" s="2" t="str">
        <f aca="false">INDEX(Clean_Data!$F$2:$F$2086,MATCH(A342,Clean_Data!$B$2:$B$2086,0))</f>
        <v>Consumer</v>
      </c>
      <c r="C342" s="2" t="n">
        <f aca="false">COUNTIFS(Clean_Data!$B$2:$B$2086,A342)</f>
        <v>3</v>
      </c>
      <c r="D342" s="11" t="n">
        <f aca="false">SUMIFS(Clean_Data!$M$2:$M$2086,Clean_Data!$B$2:$B$2086,A342)</f>
        <v>17030</v>
      </c>
      <c r="E342" s="11" t="n">
        <f aca="false">SUMIFS(Clean_Data!$N$2:$N$2086,Clean_Data!$B$2:$B$2086,A342)</f>
        <v>5830</v>
      </c>
      <c r="F342" s="2" t="str">
        <f aca="false">IF(C342&gt;1,"Repeat","One-time")</f>
        <v>Repeat</v>
      </c>
      <c r="G342" s="13" t="n">
        <f aca="false">SUM($D$2:D342)/SUM($D$2:$D$800)</f>
        <v>0.856430056386745</v>
      </c>
    </row>
    <row r="343" customFormat="false" ht="15" hidden="false" customHeight="false" outlineLevel="0" collapsed="false">
      <c r="A343" s="2" t="s">
        <v>1099</v>
      </c>
      <c r="B343" s="2" t="str">
        <f aca="false">INDEX(Clean_Data!$F$2:$F$2086,MATCH(A343,Clean_Data!$B$2:$B$2086,0))</f>
        <v>Consumer</v>
      </c>
      <c r="C343" s="2" t="n">
        <f aca="false">COUNTIFS(Clean_Data!$B$2:$B$2086,A343)</f>
        <v>2</v>
      </c>
      <c r="D343" s="11" t="n">
        <f aca="false">SUMIFS(Clean_Data!$M$2:$M$2086,Clean_Data!$B$2:$B$2086,A343)</f>
        <v>16700</v>
      </c>
      <c r="E343" s="11" t="n">
        <f aca="false">SUMIFS(Clean_Data!$N$2:$N$2086,Clean_Data!$B$2:$B$2086,A343)</f>
        <v>5100</v>
      </c>
      <c r="F343" s="2" t="str">
        <f aca="false">IF(C343&gt;1,"Repeat","One-time")</f>
        <v>Repeat</v>
      </c>
      <c r="G343" s="13" t="n">
        <f aca="false">SUM($D$2:D343)/SUM($D$2:$D$800)</f>
        <v>0.85724184856746</v>
      </c>
    </row>
    <row r="344" customFormat="false" ht="15" hidden="false" customHeight="false" outlineLevel="0" collapsed="false">
      <c r="A344" s="2" t="s">
        <v>1153</v>
      </c>
      <c r="B344" s="2" t="str">
        <f aca="false">INDEX(Clean_Data!$F$2:$F$2086,MATCH(A344,Clean_Data!$B$2:$B$2086,0))</f>
        <v>Consumer</v>
      </c>
      <c r="C344" s="2" t="n">
        <f aca="false">COUNTIFS(Clean_Data!$B$2:$B$2086,A344)</f>
        <v>3</v>
      </c>
      <c r="D344" s="11" t="n">
        <f aca="false">SUMIFS(Clean_Data!$M$2:$M$2086,Clean_Data!$B$2:$B$2086,A344)</f>
        <v>16650</v>
      </c>
      <c r="E344" s="11" t="n">
        <f aca="false">SUMIFS(Clean_Data!$N$2:$N$2086,Clean_Data!$B$2:$B$2086,A344)</f>
        <v>5350</v>
      </c>
      <c r="F344" s="2" t="str">
        <f aca="false">IF(C344&gt;1,"Repeat","One-time")</f>
        <v>Repeat</v>
      </c>
      <c r="G344" s="13" t="n">
        <f aca="false">SUM($D$2:D344)/SUM($D$2:$D$800)</f>
        <v>0.858051210232665</v>
      </c>
    </row>
    <row r="345" customFormat="false" ht="15" hidden="false" customHeight="false" outlineLevel="0" collapsed="false">
      <c r="A345" s="2" t="s">
        <v>1093</v>
      </c>
      <c r="B345" s="2" t="str">
        <f aca="false">INDEX(Clean_Data!$F$2:$F$2086,MATCH(A345,Clean_Data!$B$2:$B$2086,0))</f>
        <v>Consumer</v>
      </c>
      <c r="C345" s="2" t="n">
        <f aca="false">COUNTIFS(Clean_Data!$B$2:$B$2086,A345)</f>
        <v>2</v>
      </c>
      <c r="D345" s="11" t="n">
        <f aca="false">SUMIFS(Clean_Data!$M$2:$M$2086,Clean_Data!$B$2:$B$2086,A345)</f>
        <v>16500</v>
      </c>
      <c r="E345" s="11" t="n">
        <f aca="false">SUMIFS(Clean_Data!$N$2:$N$2086,Clean_Data!$B$2:$B$2086,A345)</f>
        <v>5100</v>
      </c>
      <c r="F345" s="2" t="str">
        <f aca="false">IF(C345&gt;1,"Repeat","One-time")</f>
        <v>Repeat</v>
      </c>
      <c r="G345" s="13" t="n">
        <f aca="false">SUM($D$2:D345)/SUM($D$2:$D$800)</f>
        <v>0.858853280351336</v>
      </c>
    </row>
    <row r="346" customFormat="false" ht="15" hidden="false" customHeight="false" outlineLevel="0" collapsed="false">
      <c r="A346" s="2" t="s">
        <v>627</v>
      </c>
      <c r="B346" s="2" t="str">
        <f aca="false">INDEX(Clean_Data!$F$2:$F$2086,MATCH(A346,Clean_Data!$B$2:$B$2086,0))</f>
        <v>Consumer</v>
      </c>
      <c r="C346" s="2" t="n">
        <f aca="false">COUNTIFS(Clean_Data!$B$2:$B$2086,A346)</f>
        <v>1</v>
      </c>
      <c r="D346" s="11" t="n">
        <f aca="false">SUMIFS(Clean_Data!$M$2:$M$2086,Clean_Data!$B$2:$B$2086,A346)</f>
        <v>16500</v>
      </c>
      <c r="E346" s="11" t="n">
        <f aca="false">SUMIFS(Clean_Data!$N$2:$N$2086,Clean_Data!$B$2:$B$2086,A346)</f>
        <v>5700</v>
      </c>
      <c r="F346" s="2" t="str">
        <f aca="false">IF(C346&gt;1,"Repeat","One-time")</f>
        <v>One-time</v>
      </c>
      <c r="G346" s="13" t="n">
        <f aca="false">SUM($D$2:D346)/SUM($D$2:$D$800)</f>
        <v>0.859655350470007</v>
      </c>
    </row>
    <row r="347" customFormat="false" ht="15" hidden="false" customHeight="false" outlineLevel="0" collapsed="false">
      <c r="A347" s="2" t="s">
        <v>2539</v>
      </c>
      <c r="B347" s="2" t="str">
        <f aca="false">INDEX(Clean_Data!$F$2:$F$2086,MATCH(A347,Clean_Data!$B$2:$B$2086,0))</f>
        <v>Consumer</v>
      </c>
      <c r="C347" s="2" t="n">
        <f aca="false">COUNTIFS(Clean_Data!$B$2:$B$2086,A347)</f>
        <v>1</v>
      </c>
      <c r="D347" s="11" t="n">
        <f aca="false">SUMIFS(Clean_Data!$M$2:$M$2086,Clean_Data!$B$2:$B$2086,A347)</f>
        <v>16500</v>
      </c>
      <c r="E347" s="11" t="n">
        <f aca="false">SUMIFS(Clean_Data!$N$2:$N$2086,Clean_Data!$B$2:$B$2086,A347)</f>
        <v>5700</v>
      </c>
      <c r="F347" s="2" t="str">
        <f aca="false">IF(C347&gt;1,"Repeat","One-time")</f>
        <v>One-time</v>
      </c>
      <c r="G347" s="13" t="n">
        <f aca="false">SUM($D$2:D347)/SUM($D$2:$D$800)</f>
        <v>0.860457420588678</v>
      </c>
    </row>
    <row r="348" customFormat="false" ht="15" hidden="false" customHeight="false" outlineLevel="0" collapsed="false">
      <c r="A348" s="2" t="s">
        <v>936</v>
      </c>
      <c r="B348" s="2" t="str">
        <f aca="false">INDEX(Clean_Data!$F$2:$F$2086,MATCH(A348,Clean_Data!$B$2:$B$2086,0))</f>
        <v>Small Business</v>
      </c>
      <c r="C348" s="2" t="n">
        <f aca="false">COUNTIFS(Clean_Data!$B$2:$B$2086,A348)</f>
        <v>2</v>
      </c>
      <c r="D348" s="11" t="n">
        <f aca="false">SUMIFS(Clean_Data!$M$2:$M$2086,Clean_Data!$B$2:$B$2086,A348)</f>
        <v>16425</v>
      </c>
      <c r="E348" s="11" t="n">
        <f aca="false">SUMIFS(Clean_Data!$N$2:$N$2086,Clean_Data!$B$2:$B$2086,A348)</f>
        <v>4725</v>
      </c>
      <c r="F348" s="2" t="str">
        <f aca="false">IF(C348&gt;1,"Repeat","One-time")</f>
        <v>Repeat</v>
      </c>
      <c r="G348" s="13" t="n">
        <f aca="false">SUM($D$2:D348)/SUM($D$2:$D$800)</f>
        <v>0.861255844934083</v>
      </c>
    </row>
    <row r="349" customFormat="false" ht="15" hidden="false" customHeight="false" outlineLevel="0" collapsed="false">
      <c r="A349" s="2" t="s">
        <v>2282</v>
      </c>
      <c r="B349" s="2" t="str">
        <f aca="false">INDEX(Clean_Data!$F$2:$F$2086,MATCH(A349,Clean_Data!$B$2:$B$2086,0))</f>
        <v>Consumer</v>
      </c>
      <c r="C349" s="2" t="n">
        <f aca="false">COUNTIFS(Clean_Data!$B$2:$B$2086,A349)</f>
        <v>5</v>
      </c>
      <c r="D349" s="11" t="n">
        <f aca="false">SUMIFS(Clean_Data!$M$2:$M$2086,Clean_Data!$B$2:$B$2086,A349)</f>
        <v>16370</v>
      </c>
      <c r="E349" s="11" t="n">
        <f aca="false">SUMIFS(Clean_Data!$N$2:$N$2086,Clean_Data!$B$2:$B$2086,A349)</f>
        <v>6570</v>
      </c>
      <c r="F349" s="2" t="str">
        <f aca="false">IF(C349&gt;1,"Repeat","One-time")</f>
        <v>Repeat</v>
      </c>
      <c r="G349" s="13" t="n">
        <f aca="false">SUM($D$2:D349)/SUM($D$2:$D$800)</f>
        <v>0.862051595712425</v>
      </c>
    </row>
    <row r="350" customFormat="false" ht="15" hidden="false" customHeight="false" outlineLevel="0" collapsed="false">
      <c r="A350" s="2" t="s">
        <v>507</v>
      </c>
      <c r="B350" s="2" t="str">
        <f aca="false">INDEX(Clean_Data!$F$2:$F$2086,MATCH(A350,Clean_Data!$B$2:$B$2086,0))</f>
        <v>Consumer</v>
      </c>
      <c r="C350" s="2" t="n">
        <f aca="false">COUNTIFS(Clean_Data!$B$2:$B$2086,A350)</f>
        <v>2</v>
      </c>
      <c r="D350" s="11" t="n">
        <f aca="false">SUMIFS(Clean_Data!$M$2:$M$2086,Clean_Data!$B$2:$B$2086,A350)</f>
        <v>16350</v>
      </c>
      <c r="E350" s="11" t="n">
        <f aca="false">SUMIFS(Clean_Data!$N$2:$N$2086,Clean_Data!$B$2:$B$2086,A350)</f>
        <v>4450</v>
      </c>
      <c r="F350" s="2" t="str">
        <f aca="false">IF(C350&gt;1,"Repeat","One-time")</f>
        <v>Repeat</v>
      </c>
      <c r="G350" s="13" t="n">
        <f aca="false">SUM($D$2:D350)/SUM($D$2:$D$800)</f>
        <v>0.862846374284563</v>
      </c>
    </row>
    <row r="351" customFormat="false" ht="15" hidden="false" customHeight="false" outlineLevel="0" collapsed="false">
      <c r="A351" s="2" t="s">
        <v>1567</v>
      </c>
      <c r="B351" s="2" t="str">
        <f aca="false">INDEX(Clean_Data!$F$2:$F$2086,MATCH(A351,Clean_Data!$B$2:$B$2086,0))</f>
        <v>Consumer</v>
      </c>
      <c r="C351" s="2" t="n">
        <f aca="false">COUNTIFS(Clean_Data!$B$2:$B$2086,A351)</f>
        <v>5</v>
      </c>
      <c r="D351" s="11" t="n">
        <f aca="false">SUMIFS(Clean_Data!$M$2:$M$2086,Clean_Data!$B$2:$B$2086,A351)</f>
        <v>16320</v>
      </c>
      <c r="E351" s="11" t="n">
        <f aca="false">SUMIFS(Clean_Data!$N$2:$N$2086,Clean_Data!$B$2:$B$2086,A351)</f>
        <v>4920</v>
      </c>
      <c r="F351" s="2" t="str">
        <f aca="false">IF(C351&gt;1,"Repeat","One-time")</f>
        <v>Repeat</v>
      </c>
      <c r="G351" s="13" t="n">
        <f aca="false">SUM($D$2:D351)/SUM($D$2:$D$800)</f>
        <v>0.863639694547394</v>
      </c>
    </row>
    <row r="352" customFormat="false" ht="15" hidden="false" customHeight="false" outlineLevel="0" collapsed="false">
      <c r="A352" s="2" t="s">
        <v>1287</v>
      </c>
      <c r="B352" s="2" t="str">
        <f aca="false">INDEX(Clean_Data!$F$2:$F$2086,MATCH(A352,Clean_Data!$B$2:$B$2086,0))</f>
        <v>Consumer</v>
      </c>
      <c r="C352" s="2" t="n">
        <f aca="false">COUNTIFS(Clean_Data!$B$2:$B$2086,A352)</f>
        <v>4</v>
      </c>
      <c r="D352" s="11" t="n">
        <f aca="false">SUMIFS(Clean_Data!$M$2:$M$2086,Clean_Data!$B$2:$B$2086,A352)</f>
        <v>16295</v>
      </c>
      <c r="E352" s="11" t="n">
        <f aca="false">SUMIFS(Clean_Data!$N$2:$N$2086,Clean_Data!$B$2:$B$2086,A352)</f>
        <v>6245</v>
      </c>
      <c r="F352" s="2" t="str">
        <f aca="false">IF(C352&gt;1,"Repeat","One-time")</f>
        <v>Repeat</v>
      </c>
      <c r="G352" s="13" t="n">
        <f aca="false">SUM($D$2:D352)/SUM($D$2:$D$800)</f>
        <v>0.864431799552469</v>
      </c>
    </row>
    <row r="353" customFormat="false" ht="15" hidden="false" customHeight="false" outlineLevel="0" collapsed="false">
      <c r="A353" s="2" t="s">
        <v>737</v>
      </c>
      <c r="B353" s="2" t="str">
        <f aca="false">INDEX(Clean_Data!$F$2:$F$2086,MATCH(A353,Clean_Data!$B$2:$B$2086,0))</f>
        <v>Consumer</v>
      </c>
      <c r="C353" s="2" t="n">
        <f aca="false">COUNTIFS(Clean_Data!$B$2:$B$2086,A353)</f>
        <v>3</v>
      </c>
      <c r="D353" s="11" t="n">
        <f aca="false">SUMIFS(Clean_Data!$M$2:$M$2086,Clean_Data!$B$2:$B$2086,A353)</f>
        <v>16275</v>
      </c>
      <c r="E353" s="11" t="n">
        <f aca="false">SUMIFS(Clean_Data!$N$2:$N$2086,Clean_Data!$B$2:$B$2086,A353)</f>
        <v>5275</v>
      </c>
      <c r="F353" s="2" t="str">
        <f aca="false">IF(C353&gt;1,"Repeat","One-time")</f>
        <v>Repeat</v>
      </c>
      <c r="G353" s="13" t="n">
        <f aca="false">SUM($D$2:D353)/SUM($D$2:$D$800)</f>
        <v>0.86522293235134</v>
      </c>
    </row>
    <row r="354" customFormat="false" ht="15" hidden="false" customHeight="false" outlineLevel="0" collapsed="false">
      <c r="A354" s="2" t="s">
        <v>404</v>
      </c>
      <c r="B354" s="2" t="str">
        <f aca="false">INDEX(Clean_Data!$F$2:$F$2086,MATCH(A354,Clean_Data!$B$2:$B$2086,0))</f>
        <v>Consumer</v>
      </c>
      <c r="C354" s="2" t="n">
        <f aca="false">COUNTIFS(Clean_Data!$B$2:$B$2086,A354)</f>
        <v>1</v>
      </c>
      <c r="D354" s="11" t="n">
        <f aca="false">SUMIFS(Clean_Data!$M$2:$M$2086,Clean_Data!$B$2:$B$2086,A354)</f>
        <v>16200</v>
      </c>
      <c r="E354" s="11" t="n">
        <f aca="false">SUMIFS(Clean_Data!$N$2:$N$2086,Clean_Data!$B$2:$B$2086,A354)</f>
        <v>3800</v>
      </c>
      <c r="F354" s="2" t="str">
        <f aca="false">IF(C354&gt;1,"Repeat","One-time")</f>
        <v>One-time</v>
      </c>
      <c r="G354" s="13" t="n">
        <f aca="false">SUM($D$2:D354)/SUM($D$2:$D$800)</f>
        <v>0.866010419376945</v>
      </c>
    </row>
    <row r="355" customFormat="false" ht="15" hidden="false" customHeight="false" outlineLevel="0" collapsed="false">
      <c r="A355" s="2" t="s">
        <v>2387</v>
      </c>
      <c r="B355" s="2" t="str">
        <f aca="false">INDEX(Clean_Data!$F$2:$F$2086,MATCH(A355,Clean_Data!$B$2:$B$2086,0))</f>
        <v>Small Business</v>
      </c>
      <c r="C355" s="2" t="n">
        <f aca="false">COUNTIFS(Clean_Data!$B$2:$B$2086,A355)</f>
        <v>1</v>
      </c>
      <c r="D355" s="11" t="n">
        <f aca="false">SUMIFS(Clean_Data!$M$2:$M$2086,Clean_Data!$B$2:$B$2086,A355)</f>
        <v>16200</v>
      </c>
      <c r="E355" s="11" t="n">
        <f aca="false">SUMIFS(Clean_Data!$N$2:$N$2086,Clean_Data!$B$2:$B$2086,A355)</f>
        <v>3800</v>
      </c>
      <c r="F355" s="2" t="str">
        <f aca="false">IF(C355&gt;1,"Repeat","One-time")</f>
        <v>One-time</v>
      </c>
      <c r="G355" s="13" t="n">
        <f aca="false">SUM($D$2:D355)/SUM($D$2:$D$800)</f>
        <v>0.866797906402549</v>
      </c>
    </row>
    <row r="356" customFormat="false" ht="15" hidden="false" customHeight="false" outlineLevel="0" collapsed="false">
      <c r="A356" s="2" t="s">
        <v>1877</v>
      </c>
      <c r="B356" s="2" t="str">
        <f aca="false">INDEX(Clean_Data!$F$2:$F$2086,MATCH(A356,Clean_Data!$B$2:$B$2086,0))</f>
        <v>Consumer</v>
      </c>
      <c r="C356" s="2" t="n">
        <f aca="false">COUNTIFS(Clean_Data!$B$2:$B$2086,A356)</f>
        <v>1</v>
      </c>
      <c r="D356" s="11" t="n">
        <f aca="false">SUMIFS(Clean_Data!$M$2:$M$2086,Clean_Data!$B$2:$B$2086,A356)</f>
        <v>16200</v>
      </c>
      <c r="E356" s="11" t="n">
        <f aca="false">SUMIFS(Clean_Data!$N$2:$N$2086,Clean_Data!$B$2:$B$2086,A356)</f>
        <v>3800</v>
      </c>
      <c r="F356" s="2" t="str">
        <f aca="false">IF(C356&gt;1,"Repeat","One-time")</f>
        <v>One-time</v>
      </c>
      <c r="G356" s="13" t="n">
        <f aca="false">SUM($D$2:D356)/SUM($D$2:$D$800)</f>
        <v>0.867585393428153</v>
      </c>
    </row>
    <row r="357" customFormat="false" ht="15" hidden="false" customHeight="false" outlineLevel="0" collapsed="false">
      <c r="A357" s="2" t="s">
        <v>2415</v>
      </c>
      <c r="B357" s="2" t="str">
        <f aca="false">INDEX(Clean_Data!$F$2:$F$2086,MATCH(A357,Clean_Data!$B$2:$B$2086,0))</f>
        <v>Small Business</v>
      </c>
      <c r="C357" s="2" t="n">
        <f aca="false">COUNTIFS(Clean_Data!$B$2:$B$2086,A357)</f>
        <v>1</v>
      </c>
      <c r="D357" s="11" t="n">
        <f aca="false">SUMIFS(Clean_Data!$M$2:$M$2086,Clean_Data!$B$2:$B$2086,A357)</f>
        <v>16200</v>
      </c>
      <c r="E357" s="11" t="n">
        <f aca="false">SUMIFS(Clean_Data!$N$2:$N$2086,Clean_Data!$B$2:$B$2086,A357)</f>
        <v>3000</v>
      </c>
      <c r="F357" s="2" t="str">
        <f aca="false">IF(C357&gt;1,"Repeat","One-time")</f>
        <v>One-time</v>
      </c>
      <c r="G357" s="13" t="n">
        <f aca="false">SUM($D$2:D357)/SUM($D$2:$D$800)</f>
        <v>0.868372880453758</v>
      </c>
    </row>
    <row r="358" customFormat="false" ht="15" hidden="false" customHeight="false" outlineLevel="0" collapsed="false">
      <c r="A358" s="2" t="s">
        <v>1534</v>
      </c>
      <c r="B358" s="2" t="str">
        <f aca="false">INDEX(Clean_Data!$F$2:$F$2086,MATCH(A358,Clean_Data!$B$2:$B$2086,0))</f>
        <v>Consumer</v>
      </c>
      <c r="C358" s="2" t="n">
        <f aca="false">COUNTIFS(Clean_Data!$B$2:$B$2086,A358)</f>
        <v>3</v>
      </c>
      <c r="D358" s="11" t="n">
        <f aca="false">SUMIFS(Clean_Data!$M$2:$M$2086,Clean_Data!$B$2:$B$2086,A358)</f>
        <v>16137.5</v>
      </c>
      <c r="E358" s="11" t="n">
        <f aca="false">SUMIFS(Clean_Data!$N$2:$N$2086,Clean_Data!$B$2:$B$2086,A358)</f>
        <v>5637.5</v>
      </c>
      <c r="F358" s="2" t="str">
        <f aca="false">IF(C358&gt;1,"Repeat","One-time")</f>
        <v>Repeat</v>
      </c>
      <c r="G358" s="13" t="n">
        <f aca="false">SUM($D$2:D358)/SUM($D$2:$D$800)</f>
        <v>0.869157329334973</v>
      </c>
    </row>
    <row r="359" customFormat="false" ht="15" hidden="false" customHeight="false" outlineLevel="0" collapsed="false">
      <c r="A359" s="2" t="s">
        <v>1698</v>
      </c>
      <c r="B359" s="2" t="str">
        <f aca="false">INDEX(Clean_Data!$F$2:$F$2086,MATCH(A359,Clean_Data!$B$2:$B$2086,0))</f>
        <v>Consumer</v>
      </c>
      <c r="C359" s="2" t="n">
        <f aca="false">COUNTIFS(Clean_Data!$B$2:$B$2086,A359)</f>
        <v>2</v>
      </c>
      <c r="D359" s="11" t="n">
        <f aca="false">SUMIFS(Clean_Data!$M$2:$M$2086,Clean_Data!$B$2:$B$2086,A359)</f>
        <v>15800</v>
      </c>
      <c r="E359" s="11" t="n">
        <f aca="false">SUMIFS(Clean_Data!$N$2:$N$2086,Clean_Data!$B$2:$B$2086,A359)</f>
        <v>4600</v>
      </c>
      <c r="F359" s="2" t="str">
        <f aca="false">IF(C359&gt;1,"Repeat","One-time")</f>
        <v>Repeat</v>
      </c>
      <c r="G359" s="13" t="n">
        <f aca="false">SUM($D$2:D359)/SUM($D$2:$D$800)</f>
        <v>0.869925372236489</v>
      </c>
    </row>
    <row r="360" customFormat="false" ht="15" hidden="false" customHeight="false" outlineLevel="0" collapsed="false">
      <c r="A360" s="2" t="s">
        <v>321</v>
      </c>
      <c r="B360" s="2" t="str">
        <f aca="false">INDEX(Clean_Data!$F$2:$F$2086,MATCH(A360,Clean_Data!$B$2:$B$2086,0))</f>
        <v>Consumer</v>
      </c>
      <c r="C360" s="2" t="n">
        <f aca="false">COUNTIFS(Clean_Data!$B$2:$B$2086,A360)</f>
        <v>1</v>
      </c>
      <c r="D360" s="11" t="n">
        <f aca="false">SUMIFS(Clean_Data!$M$2:$M$2086,Clean_Data!$B$2:$B$2086,A360)</f>
        <v>15675</v>
      </c>
      <c r="E360" s="11" t="n">
        <f aca="false">SUMIFS(Clean_Data!$N$2:$N$2086,Clean_Data!$B$2:$B$2086,A360)</f>
        <v>4875</v>
      </c>
      <c r="F360" s="2" t="str">
        <f aca="false">IF(C360&gt;1,"Repeat","One-time")</f>
        <v>One-time</v>
      </c>
      <c r="G360" s="13" t="n">
        <f aca="false">SUM($D$2:D360)/SUM($D$2:$D$800)</f>
        <v>0.870687338849226</v>
      </c>
    </row>
    <row r="361" customFormat="false" ht="15" hidden="false" customHeight="false" outlineLevel="0" collapsed="false">
      <c r="A361" s="2" t="s">
        <v>428</v>
      </c>
      <c r="B361" s="2" t="str">
        <f aca="false">INDEX(Clean_Data!$F$2:$F$2086,MATCH(A361,Clean_Data!$B$2:$B$2086,0))</f>
        <v>Small Business</v>
      </c>
      <c r="C361" s="2" t="n">
        <f aca="false">COUNTIFS(Clean_Data!$B$2:$B$2086,A361)</f>
        <v>1</v>
      </c>
      <c r="D361" s="11" t="n">
        <f aca="false">SUMIFS(Clean_Data!$M$2:$M$2086,Clean_Data!$B$2:$B$2086,A361)</f>
        <v>15675</v>
      </c>
      <c r="E361" s="11" t="n">
        <f aca="false">SUMIFS(Clean_Data!$N$2:$N$2086,Clean_Data!$B$2:$B$2086,A361)</f>
        <v>4875</v>
      </c>
      <c r="F361" s="2" t="str">
        <f aca="false">IF(C361&gt;1,"Repeat","One-time")</f>
        <v>One-time</v>
      </c>
      <c r="G361" s="13" t="n">
        <f aca="false">SUM($D$2:D361)/SUM($D$2:$D$800)</f>
        <v>0.871449305461964</v>
      </c>
    </row>
    <row r="362" customFormat="false" ht="15" hidden="false" customHeight="false" outlineLevel="0" collapsed="false">
      <c r="A362" s="2" t="s">
        <v>2889</v>
      </c>
      <c r="B362" s="2" t="str">
        <f aca="false">INDEX(Clean_Data!$F$2:$F$2086,MATCH(A362,Clean_Data!$B$2:$B$2086,0))</f>
        <v>Consumer</v>
      </c>
      <c r="C362" s="2" t="n">
        <f aca="false">COUNTIFS(Clean_Data!$B$2:$B$2086,A362)</f>
        <v>1</v>
      </c>
      <c r="D362" s="11" t="n">
        <f aca="false">SUMIFS(Clean_Data!$M$2:$M$2086,Clean_Data!$B$2:$B$2086,A362)</f>
        <v>15675</v>
      </c>
      <c r="E362" s="11" t="n">
        <f aca="false">SUMIFS(Clean_Data!$N$2:$N$2086,Clean_Data!$B$2:$B$2086,A362)</f>
        <v>4875</v>
      </c>
      <c r="F362" s="2" t="str">
        <f aca="false">IF(C362&gt;1,"Repeat","One-time")</f>
        <v>One-time</v>
      </c>
      <c r="G362" s="13" t="n">
        <f aca="false">SUM($D$2:D362)/SUM($D$2:$D$800)</f>
        <v>0.872211272074701</v>
      </c>
    </row>
    <row r="363" customFormat="false" ht="15" hidden="false" customHeight="false" outlineLevel="0" collapsed="false">
      <c r="A363" s="2" t="s">
        <v>1423</v>
      </c>
      <c r="B363" s="2" t="str">
        <f aca="false">INDEX(Clean_Data!$F$2:$F$2086,MATCH(A363,Clean_Data!$B$2:$B$2086,0))</f>
        <v>Consumer</v>
      </c>
      <c r="C363" s="2" t="n">
        <f aca="false">COUNTIFS(Clean_Data!$B$2:$B$2086,A363)</f>
        <v>2</v>
      </c>
      <c r="D363" s="11" t="n">
        <f aca="false">SUMIFS(Clean_Data!$M$2:$M$2086,Clean_Data!$B$2:$B$2086,A363)</f>
        <v>15650</v>
      </c>
      <c r="E363" s="11" t="n">
        <f aca="false">SUMIFS(Clean_Data!$N$2:$N$2086,Clean_Data!$B$2:$B$2086,A363)</f>
        <v>4250</v>
      </c>
      <c r="F363" s="2" t="str">
        <f aca="false">IF(C363&gt;1,"Repeat","One-time")</f>
        <v>Repeat</v>
      </c>
      <c r="G363" s="13" t="n">
        <f aca="false">SUM($D$2:D363)/SUM($D$2:$D$800)</f>
        <v>0.872972023429683</v>
      </c>
    </row>
    <row r="364" customFormat="false" ht="15" hidden="false" customHeight="false" outlineLevel="0" collapsed="false">
      <c r="A364" s="2" t="s">
        <v>1139</v>
      </c>
      <c r="B364" s="2" t="str">
        <f aca="false">INDEX(Clean_Data!$F$2:$F$2086,MATCH(A364,Clean_Data!$B$2:$B$2086,0))</f>
        <v>Consumer</v>
      </c>
      <c r="C364" s="2" t="n">
        <f aca="false">COUNTIFS(Clean_Data!$B$2:$B$2086,A364)</f>
        <v>3</v>
      </c>
      <c r="D364" s="11" t="n">
        <f aca="false">SUMIFS(Clean_Data!$M$2:$M$2086,Clean_Data!$B$2:$B$2086,A364)</f>
        <v>15540</v>
      </c>
      <c r="E364" s="11" t="n">
        <f aca="false">SUMIFS(Clean_Data!$N$2:$N$2086,Clean_Data!$B$2:$B$2086,A364)</f>
        <v>3940</v>
      </c>
      <c r="F364" s="2" t="str">
        <f aca="false">IF(C364&gt;1,"Repeat","One-time")</f>
        <v>Repeat</v>
      </c>
      <c r="G364" s="13" t="n">
        <f aca="false">SUM($D$2:D364)/SUM($D$2:$D$800)</f>
        <v>0.873727427650541</v>
      </c>
    </row>
    <row r="365" customFormat="false" ht="15" hidden="false" customHeight="false" outlineLevel="0" collapsed="false">
      <c r="A365" s="2" t="s">
        <v>413</v>
      </c>
      <c r="B365" s="2" t="str">
        <f aca="false">INDEX(Clean_Data!$F$2:$F$2086,MATCH(A365,Clean_Data!$B$2:$B$2086,0))</f>
        <v>Small Business</v>
      </c>
      <c r="C365" s="2" t="n">
        <f aca="false">COUNTIFS(Clean_Data!$B$2:$B$2086,A365)</f>
        <v>2</v>
      </c>
      <c r="D365" s="11" t="n">
        <f aca="false">SUMIFS(Clean_Data!$M$2:$M$2086,Clean_Data!$B$2:$B$2086,A365)</f>
        <v>15500</v>
      </c>
      <c r="E365" s="11" t="n">
        <f aca="false">SUMIFS(Clean_Data!$N$2:$N$2086,Clean_Data!$B$2:$B$2086,A365)</f>
        <v>6000</v>
      </c>
      <c r="F365" s="2" t="str">
        <f aca="false">IF(C365&gt;1,"Repeat","One-time")</f>
        <v>Repeat</v>
      </c>
      <c r="G365" s="13" t="n">
        <f aca="false">SUM($D$2:D365)/SUM($D$2:$D$800)</f>
        <v>0.87448088745899</v>
      </c>
    </row>
    <row r="366" customFormat="false" ht="15" hidden="false" customHeight="false" outlineLevel="0" collapsed="false">
      <c r="A366" s="2" t="s">
        <v>2862</v>
      </c>
      <c r="B366" s="2" t="str">
        <f aca="false">INDEX(Clean_Data!$F$2:$F$2086,MATCH(A366,Clean_Data!$B$2:$B$2086,0))</f>
        <v>Small Business</v>
      </c>
      <c r="C366" s="2" t="n">
        <f aca="false">COUNTIFS(Clean_Data!$B$2:$B$2086,A366)</f>
        <v>2</v>
      </c>
      <c r="D366" s="11" t="n">
        <f aca="false">SUMIFS(Clean_Data!$M$2:$M$2086,Clean_Data!$B$2:$B$2086,A366)</f>
        <v>15500</v>
      </c>
      <c r="E366" s="11" t="n">
        <f aca="false">SUMIFS(Clean_Data!$N$2:$N$2086,Clean_Data!$B$2:$B$2086,A366)</f>
        <v>7750</v>
      </c>
      <c r="F366" s="2" t="str">
        <f aca="false">IF(C366&gt;1,"Repeat","One-time")</f>
        <v>Repeat</v>
      </c>
      <c r="G366" s="13" t="n">
        <f aca="false">SUM($D$2:D366)/SUM($D$2:$D$800)</f>
        <v>0.875234347267438</v>
      </c>
    </row>
    <row r="367" customFormat="false" ht="15" hidden="false" customHeight="false" outlineLevel="0" collapsed="false">
      <c r="A367" s="2" t="s">
        <v>910</v>
      </c>
      <c r="B367" s="2" t="str">
        <f aca="false">INDEX(Clean_Data!$F$2:$F$2086,MATCH(A367,Clean_Data!$B$2:$B$2086,0))</f>
        <v>Small Business</v>
      </c>
      <c r="C367" s="2" t="n">
        <f aca="false">COUNTIFS(Clean_Data!$B$2:$B$2086,A367)</f>
        <v>4</v>
      </c>
      <c r="D367" s="11" t="n">
        <f aca="false">SUMIFS(Clean_Data!$M$2:$M$2086,Clean_Data!$B$2:$B$2086,A367)</f>
        <v>15460</v>
      </c>
      <c r="E367" s="11" t="n">
        <f aca="false">SUMIFS(Clean_Data!$N$2:$N$2086,Clean_Data!$B$2:$B$2086,A367)</f>
        <v>7410</v>
      </c>
      <c r="F367" s="2" t="str">
        <f aca="false">IF(C367&gt;1,"Repeat","One-time")</f>
        <v>Repeat</v>
      </c>
      <c r="G367" s="13" t="n">
        <f aca="false">SUM($D$2:D367)/SUM($D$2:$D$800)</f>
        <v>0.875985862663478</v>
      </c>
    </row>
    <row r="368" customFormat="false" ht="15" hidden="false" customHeight="false" outlineLevel="0" collapsed="false">
      <c r="A368" s="2" t="s">
        <v>919</v>
      </c>
      <c r="B368" s="2" t="str">
        <f aca="false">INDEX(Clean_Data!$F$2:$F$2086,MATCH(A368,Clean_Data!$B$2:$B$2086,0))</f>
        <v>Small Business</v>
      </c>
      <c r="C368" s="2" t="n">
        <f aca="false">COUNTIFS(Clean_Data!$B$2:$B$2086,A368)</f>
        <v>2</v>
      </c>
      <c r="D368" s="11" t="n">
        <f aca="false">SUMIFS(Clean_Data!$M$2:$M$2086,Clean_Data!$B$2:$B$2086,A368)</f>
        <v>15400</v>
      </c>
      <c r="E368" s="11" t="n">
        <f aca="false">SUMIFS(Clean_Data!$N$2:$N$2086,Clean_Data!$B$2:$B$2086,A368)</f>
        <v>6800</v>
      </c>
      <c r="F368" s="2" t="str">
        <f aca="false">IF(C368&gt;1,"Repeat","One-time")</f>
        <v>Repeat</v>
      </c>
      <c r="G368" s="13" t="n">
        <f aca="false">SUM($D$2:D368)/SUM($D$2:$D$800)</f>
        <v>0.876734461440904</v>
      </c>
    </row>
    <row r="369" customFormat="false" ht="15" hidden="false" customHeight="false" outlineLevel="0" collapsed="false">
      <c r="A369" s="2" t="s">
        <v>1001</v>
      </c>
      <c r="B369" s="2" t="str">
        <f aca="false">INDEX(Clean_Data!$F$2:$F$2086,MATCH(A369,Clean_Data!$B$2:$B$2086,0))</f>
        <v>Consumer</v>
      </c>
      <c r="C369" s="2" t="n">
        <f aca="false">COUNTIFS(Clean_Data!$B$2:$B$2086,A369)</f>
        <v>2</v>
      </c>
      <c r="D369" s="11" t="n">
        <f aca="false">SUMIFS(Clean_Data!$M$2:$M$2086,Clean_Data!$B$2:$B$2086,A369)</f>
        <v>15050</v>
      </c>
      <c r="E369" s="11" t="n">
        <f aca="false">SUMIFS(Clean_Data!$N$2:$N$2086,Clean_Data!$B$2:$B$2086,A369)</f>
        <v>4550</v>
      </c>
      <c r="F369" s="2" t="str">
        <f aca="false">IF(C369&gt;1,"Repeat","One-time")</f>
        <v>Repeat</v>
      </c>
      <c r="G369" s="13" t="n">
        <f aca="false">SUM($D$2:D369)/SUM($D$2:$D$800)</f>
        <v>0.877466046609753</v>
      </c>
    </row>
    <row r="370" customFormat="false" ht="15" hidden="false" customHeight="false" outlineLevel="0" collapsed="false">
      <c r="A370" s="2" t="s">
        <v>2165</v>
      </c>
      <c r="B370" s="2" t="str">
        <f aca="false">INDEX(Clean_Data!$F$2:$F$2086,MATCH(A370,Clean_Data!$B$2:$B$2086,0))</f>
        <v>Consumer</v>
      </c>
      <c r="C370" s="2" t="n">
        <f aca="false">COUNTIFS(Clean_Data!$B$2:$B$2086,A370)</f>
        <v>2</v>
      </c>
      <c r="D370" s="11" t="n">
        <f aca="false">SUMIFS(Clean_Data!$M$2:$M$2086,Clean_Data!$B$2:$B$2086,A370)</f>
        <v>15000</v>
      </c>
      <c r="E370" s="11" t="n">
        <f aca="false">SUMIFS(Clean_Data!$N$2:$N$2086,Clean_Data!$B$2:$B$2086,A370)</f>
        <v>4350</v>
      </c>
      <c r="F370" s="2" t="str">
        <f aca="false">IF(C370&gt;1,"Repeat","One-time")</f>
        <v>Repeat</v>
      </c>
      <c r="G370" s="13" t="n">
        <f aca="false">SUM($D$2:D370)/SUM($D$2:$D$800)</f>
        <v>0.87819520126309</v>
      </c>
    </row>
    <row r="371" customFormat="false" ht="15" hidden="false" customHeight="false" outlineLevel="0" collapsed="false">
      <c r="A371" s="2" t="s">
        <v>2177</v>
      </c>
      <c r="B371" s="2" t="str">
        <f aca="false">INDEX(Clean_Data!$F$2:$F$2086,MATCH(A371,Clean_Data!$B$2:$B$2086,0))</f>
        <v>Consumer</v>
      </c>
      <c r="C371" s="2" t="n">
        <f aca="false">COUNTIFS(Clean_Data!$B$2:$B$2086,A371)</f>
        <v>5</v>
      </c>
      <c r="D371" s="11" t="n">
        <f aca="false">SUMIFS(Clean_Data!$M$2:$M$2086,Clean_Data!$B$2:$B$2086,A371)</f>
        <v>14905</v>
      </c>
      <c r="E371" s="11" t="n">
        <f aca="false">SUMIFS(Clean_Data!$N$2:$N$2086,Clean_Data!$B$2:$B$2086,A371)</f>
        <v>5005</v>
      </c>
      <c r="F371" s="2" t="str">
        <f aca="false">IF(C371&gt;1,"Repeat","One-time")</f>
        <v>Repeat</v>
      </c>
      <c r="G371" s="13" t="n">
        <f aca="false">SUM($D$2:D371)/SUM($D$2:$D$800)</f>
        <v>0.878919737936957</v>
      </c>
    </row>
    <row r="372" customFormat="false" ht="15" hidden="false" customHeight="false" outlineLevel="0" collapsed="false">
      <c r="A372" s="2" t="s">
        <v>711</v>
      </c>
      <c r="B372" s="2" t="str">
        <f aca="false">INDEX(Clean_Data!$F$2:$F$2086,MATCH(A372,Clean_Data!$B$2:$B$2086,0))</f>
        <v>Consumer</v>
      </c>
      <c r="C372" s="2" t="n">
        <f aca="false">COUNTIFS(Clean_Data!$B$2:$B$2086,A372)</f>
        <v>1</v>
      </c>
      <c r="D372" s="11" t="n">
        <f aca="false">SUMIFS(Clean_Data!$M$2:$M$2086,Clean_Data!$B$2:$B$2086,A372)</f>
        <v>14850</v>
      </c>
      <c r="E372" s="11" t="n">
        <f aca="false">SUMIFS(Clean_Data!$N$2:$N$2086,Clean_Data!$B$2:$B$2086,A372)</f>
        <v>4050</v>
      </c>
      <c r="F372" s="2" t="str">
        <f aca="false">IF(C372&gt;1,"Repeat","One-time")</f>
        <v>One-time</v>
      </c>
      <c r="G372" s="13" t="n">
        <f aca="false">SUM($D$2:D372)/SUM($D$2:$D$800)</f>
        <v>0.879641601043761</v>
      </c>
    </row>
    <row r="373" customFormat="false" ht="15" hidden="false" customHeight="false" outlineLevel="0" collapsed="false">
      <c r="A373" s="2" t="s">
        <v>566</v>
      </c>
      <c r="B373" s="2" t="str">
        <f aca="false">INDEX(Clean_Data!$F$2:$F$2086,MATCH(A373,Clean_Data!$B$2:$B$2086,0))</f>
        <v>Consumer</v>
      </c>
      <c r="C373" s="2" t="n">
        <f aca="false">COUNTIFS(Clean_Data!$B$2:$B$2086,A373)</f>
        <v>1</v>
      </c>
      <c r="D373" s="11" t="n">
        <f aca="false">SUMIFS(Clean_Data!$M$2:$M$2086,Clean_Data!$B$2:$B$2086,A373)</f>
        <v>14850</v>
      </c>
      <c r="E373" s="11" t="n">
        <f aca="false">SUMIFS(Clean_Data!$N$2:$N$2086,Clean_Data!$B$2:$B$2086,A373)</f>
        <v>4050</v>
      </c>
      <c r="F373" s="2" t="str">
        <f aca="false">IF(C373&gt;1,"Repeat","One-time")</f>
        <v>One-time</v>
      </c>
      <c r="G373" s="13" t="n">
        <f aca="false">SUM($D$2:D373)/SUM($D$2:$D$800)</f>
        <v>0.880363464150565</v>
      </c>
    </row>
    <row r="374" customFormat="false" ht="15" hidden="false" customHeight="false" outlineLevel="0" collapsed="false">
      <c r="A374" s="2" t="s">
        <v>2360</v>
      </c>
      <c r="B374" s="2" t="str">
        <f aca="false">INDEX(Clean_Data!$F$2:$F$2086,MATCH(A374,Clean_Data!$B$2:$B$2086,0))</f>
        <v>Small Business</v>
      </c>
      <c r="C374" s="2" t="n">
        <f aca="false">COUNTIFS(Clean_Data!$B$2:$B$2086,A374)</f>
        <v>1</v>
      </c>
      <c r="D374" s="11" t="n">
        <f aca="false">SUMIFS(Clean_Data!$M$2:$M$2086,Clean_Data!$B$2:$B$2086,A374)</f>
        <v>14850</v>
      </c>
      <c r="E374" s="11" t="n">
        <f aca="false">SUMIFS(Clean_Data!$N$2:$N$2086,Clean_Data!$B$2:$B$2086,A374)</f>
        <v>4050</v>
      </c>
      <c r="F374" s="2" t="str">
        <f aca="false">IF(C374&gt;1,"Repeat","One-time")</f>
        <v>One-time</v>
      </c>
      <c r="G374" s="13" t="n">
        <f aca="false">SUM($D$2:D374)/SUM($D$2:$D$800)</f>
        <v>0.881085327257369</v>
      </c>
    </row>
    <row r="375" customFormat="false" ht="15" hidden="false" customHeight="false" outlineLevel="0" collapsed="false">
      <c r="A375" s="2" t="s">
        <v>1352</v>
      </c>
      <c r="B375" s="2" t="str">
        <f aca="false">INDEX(Clean_Data!$F$2:$F$2086,MATCH(A375,Clean_Data!$B$2:$B$2086,0))</f>
        <v>Small Business</v>
      </c>
      <c r="C375" s="2" t="n">
        <f aca="false">COUNTIFS(Clean_Data!$B$2:$B$2086,A375)</f>
        <v>1</v>
      </c>
      <c r="D375" s="11" t="n">
        <f aca="false">SUMIFS(Clean_Data!$M$2:$M$2086,Clean_Data!$B$2:$B$2086,A375)</f>
        <v>14850</v>
      </c>
      <c r="E375" s="11" t="n">
        <f aca="false">SUMIFS(Clean_Data!$N$2:$N$2086,Clean_Data!$B$2:$B$2086,A375)</f>
        <v>4050</v>
      </c>
      <c r="F375" s="2" t="str">
        <f aca="false">IF(C375&gt;1,"Repeat","One-time")</f>
        <v>One-time</v>
      </c>
      <c r="G375" s="13" t="n">
        <f aca="false">SUM($D$2:D375)/SUM($D$2:$D$800)</f>
        <v>0.881807190364173</v>
      </c>
    </row>
    <row r="376" customFormat="false" ht="15" hidden="false" customHeight="false" outlineLevel="0" collapsed="false">
      <c r="A376" s="2" t="s">
        <v>1297</v>
      </c>
      <c r="B376" s="2" t="str">
        <f aca="false">INDEX(Clean_Data!$F$2:$F$2086,MATCH(A376,Clean_Data!$B$2:$B$2086,0))</f>
        <v>Consumer</v>
      </c>
      <c r="C376" s="2" t="n">
        <f aca="false">COUNTIFS(Clean_Data!$B$2:$B$2086,A376)</f>
        <v>2</v>
      </c>
      <c r="D376" s="11" t="n">
        <f aca="false">SUMIFS(Clean_Data!$M$2:$M$2086,Clean_Data!$B$2:$B$2086,A376)</f>
        <v>14640</v>
      </c>
      <c r="E376" s="11" t="n">
        <f aca="false">SUMIFS(Clean_Data!$N$2:$N$2086,Clean_Data!$B$2:$B$2086,A376)</f>
        <v>4140</v>
      </c>
      <c r="F376" s="2" t="str">
        <f aca="false">IF(C376&gt;1,"Repeat","One-time")</f>
        <v>Repeat</v>
      </c>
      <c r="G376" s="13" t="n">
        <f aca="false">SUM($D$2:D376)/SUM($D$2:$D$800)</f>
        <v>0.88251884530583</v>
      </c>
    </row>
    <row r="377" customFormat="false" ht="15" hidden="false" customHeight="false" outlineLevel="0" collapsed="false">
      <c r="A377" s="2" t="s">
        <v>302</v>
      </c>
      <c r="B377" s="2" t="str">
        <f aca="false">INDEX(Clean_Data!$F$2:$F$2086,MATCH(A377,Clean_Data!$B$2:$B$2086,0))</f>
        <v>Small Business</v>
      </c>
      <c r="C377" s="2" t="n">
        <f aca="false">COUNTIFS(Clean_Data!$B$2:$B$2086,A377)</f>
        <v>2</v>
      </c>
      <c r="D377" s="11" t="n">
        <f aca="false">SUMIFS(Clean_Data!$M$2:$M$2086,Clean_Data!$B$2:$B$2086,A377)</f>
        <v>14550</v>
      </c>
      <c r="E377" s="11" t="n">
        <f aca="false">SUMIFS(Clean_Data!$N$2:$N$2086,Clean_Data!$B$2:$B$2086,A377)</f>
        <v>7050</v>
      </c>
      <c r="F377" s="2" t="str">
        <f aca="false">IF(C377&gt;1,"Repeat","One-time")</f>
        <v>Repeat</v>
      </c>
      <c r="G377" s="13" t="n">
        <f aca="false">SUM($D$2:D377)/SUM($D$2:$D$800)</f>
        <v>0.883226125319567</v>
      </c>
    </row>
    <row r="378" customFormat="false" ht="15" hidden="false" customHeight="false" outlineLevel="0" collapsed="false">
      <c r="A378" s="2" t="s">
        <v>2893</v>
      </c>
      <c r="B378" s="2" t="str">
        <f aca="false">INDEX(Clean_Data!$F$2:$F$2086,MATCH(A378,Clean_Data!$B$2:$B$2086,0))</f>
        <v>Consumer</v>
      </c>
      <c r="C378" s="2" t="n">
        <f aca="false">COUNTIFS(Clean_Data!$B$2:$B$2086,A378)</f>
        <v>5</v>
      </c>
      <c r="D378" s="11" t="n">
        <f aca="false">SUMIFS(Clean_Data!$M$2:$M$2086,Clean_Data!$B$2:$B$2086,A378)</f>
        <v>14320</v>
      </c>
      <c r="E378" s="11" t="n">
        <f aca="false">SUMIFS(Clean_Data!$N$2:$N$2086,Clean_Data!$B$2:$B$2086,A378)</f>
        <v>5620</v>
      </c>
      <c r="F378" s="2" t="str">
        <f aca="false">IF(C378&gt;1,"Repeat","One-time")</f>
        <v>Repeat</v>
      </c>
      <c r="G378" s="13" t="n">
        <f aca="false">SUM($D$2:D378)/SUM($D$2:$D$800)</f>
        <v>0.883922224961953</v>
      </c>
    </row>
    <row r="379" customFormat="false" ht="15" hidden="false" customHeight="false" outlineLevel="0" collapsed="false">
      <c r="A379" s="2" t="s">
        <v>1367</v>
      </c>
      <c r="B379" s="2" t="str">
        <f aca="false">INDEX(Clean_Data!$F$2:$F$2086,MATCH(A379,Clean_Data!$B$2:$B$2086,0))</f>
        <v>Consumer</v>
      </c>
      <c r="C379" s="2" t="n">
        <f aca="false">COUNTIFS(Clean_Data!$B$2:$B$2086,A379)</f>
        <v>5</v>
      </c>
      <c r="D379" s="11" t="n">
        <f aca="false">SUMIFS(Clean_Data!$M$2:$M$2086,Clean_Data!$B$2:$B$2086,A379)</f>
        <v>14225</v>
      </c>
      <c r="E379" s="11" t="n">
        <f aca="false">SUMIFS(Clean_Data!$N$2:$N$2086,Clean_Data!$B$2:$B$2086,A379)</f>
        <v>5075</v>
      </c>
      <c r="F379" s="2" t="str">
        <f aca="false">IF(C379&gt;1,"Repeat","One-time")</f>
        <v>Repeat</v>
      </c>
      <c r="G379" s="13" t="n">
        <f aca="false">SUM($D$2:D379)/SUM($D$2:$D$800)</f>
        <v>0.884613706624868</v>
      </c>
    </row>
    <row r="380" customFormat="false" ht="15" hidden="false" customHeight="false" outlineLevel="0" collapsed="false">
      <c r="A380" s="2" t="s">
        <v>2853</v>
      </c>
      <c r="B380" s="2" t="str">
        <f aca="false">INDEX(Clean_Data!$F$2:$F$2086,MATCH(A380,Clean_Data!$B$2:$B$2086,0))</f>
        <v>Small Business</v>
      </c>
      <c r="C380" s="2" t="n">
        <f aca="false">COUNTIFS(Clean_Data!$B$2:$B$2086,A380)</f>
        <v>1</v>
      </c>
      <c r="D380" s="11" t="n">
        <f aca="false">SUMIFS(Clean_Data!$M$2:$M$2086,Clean_Data!$B$2:$B$2086,A380)</f>
        <v>14000</v>
      </c>
      <c r="E380" s="11" t="n">
        <f aca="false">SUMIFS(Clean_Data!$N$2:$N$2086,Clean_Data!$B$2:$B$2086,A380)</f>
        <v>4400</v>
      </c>
      <c r="F380" s="2" t="str">
        <f aca="false">IF(C380&gt;1,"Repeat","One-time")</f>
        <v>One-time</v>
      </c>
      <c r="G380" s="13" t="n">
        <f aca="false">SUM($D$2:D380)/SUM($D$2:$D$800)</f>
        <v>0.885294250967983</v>
      </c>
    </row>
    <row r="381" customFormat="false" ht="15" hidden="false" customHeight="false" outlineLevel="0" collapsed="false">
      <c r="A381" s="2" t="s">
        <v>1710</v>
      </c>
      <c r="B381" s="2" t="str">
        <f aca="false">INDEX(Clean_Data!$F$2:$F$2086,MATCH(A381,Clean_Data!$B$2:$B$2086,0))</f>
        <v>Consumer</v>
      </c>
      <c r="C381" s="2" t="n">
        <f aca="false">COUNTIFS(Clean_Data!$B$2:$B$2086,A381)</f>
        <v>1</v>
      </c>
      <c r="D381" s="11" t="n">
        <f aca="false">SUMIFS(Clean_Data!$M$2:$M$2086,Clean_Data!$B$2:$B$2086,A381)</f>
        <v>14000</v>
      </c>
      <c r="E381" s="11" t="n">
        <f aca="false">SUMIFS(Clean_Data!$N$2:$N$2086,Clean_Data!$B$2:$B$2086,A381)</f>
        <v>4400</v>
      </c>
      <c r="F381" s="2" t="str">
        <f aca="false">IF(C381&gt;1,"Repeat","One-time")</f>
        <v>One-time</v>
      </c>
      <c r="G381" s="13" t="n">
        <f aca="false">SUM($D$2:D381)/SUM($D$2:$D$800)</f>
        <v>0.885974795311098</v>
      </c>
    </row>
    <row r="382" customFormat="false" ht="15" hidden="false" customHeight="false" outlineLevel="0" collapsed="false">
      <c r="A382" s="2" t="s">
        <v>625</v>
      </c>
      <c r="B382" s="2" t="str">
        <f aca="false">INDEX(Clean_Data!$F$2:$F$2086,MATCH(A382,Clean_Data!$B$2:$B$2086,0))</f>
        <v>Consumer</v>
      </c>
      <c r="C382" s="2" t="n">
        <f aca="false">COUNTIFS(Clean_Data!$B$2:$B$2086,A382)</f>
        <v>1</v>
      </c>
      <c r="D382" s="11" t="n">
        <f aca="false">SUMIFS(Clean_Data!$M$2:$M$2086,Clean_Data!$B$2:$B$2086,A382)</f>
        <v>14000</v>
      </c>
      <c r="E382" s="11" t="n">
        <f aca="false">SUMIFS(Clean_Data!$N$2:$N$2086,Clean_Data!$B$2:$B$2086,A382)</f>
        <v>4400</v>
      </c>
      <c r="F382" s="2" t="str">
        <f aca="false">IF(C382&gt;1,"Repeat","One-time")</f>
        <v>One-time</v>
      </c>
      <c r="G382" s="13" t="n">
        <f aca="false">SUM($D$2:D382)/SUM($D$2:$D$800)</f>
        <v>0.886655339654213</v>
      </c>
    </row>
    <row r="383" customFormat="false" ht="15" hidden="false" customHeight="false" outlineLevel="0" collapsed="false">
      <c r="A383" s="2" t="s">
        <v>1163</v>
      </c>
      <c r="B383" s="2" t="str">
        <f aca="false">INDEX(Clean_Data!$F$2:$F$2086,MATCH(A383,Clean_Data!$B$2:$B$2086,0))</f>
        <v>Consumer</v>
      </c>
      <c r="C383" s="2" t="n">
        <f aca="false">COUNTIFS(Clean_Data!$B$2:$B$2086,A383)</f>
        <v>1</v>
      </c>
      <c r="D383" s="11" t="n">
        <f aca="false">SUMIFS(Clean_Data!$M$2:$M$2086,Clean_Data!$B$2:$B$2086,A383)</f>
        <v>14000</v>
      </c>
      <c r="E383" s="11" t="n">
        <f aca="false">SUMIFS(Clean_Data!$N$2:$N$2086,Clean_Data!$B$2:$B$2086,A383)</f>
        <v>4400</v>
      </c>
      <c r="F383" s="2" t="str">
        <f aca="false">IF(C383&gt;1,"Repeat","One-time")</f>
        <v>One-time</v>
      </c>
      <c r="G383" s="13" t="n">
        <f aca="false">SUM($D$2:D383)/SUM($D$2:$D$800)</f>
        <v>0.887335883997328</v>
      </c>
    </row>
    <row r="384" customFormat="false" ht="15" hidden="false" customHeight="false" outlineLevel="0" collapsed="false">
      <c r="A384" s="2" t="s">
        <v>557</v>
      </c>
      <c r="B384" s="2" t="str">
        <f aca="false">INDEX(Clean_Data!$F$2:$F$2086,MATCH(A384,Clean_Data!$B$2:$B$2086,0))</f>
        <v>Small Business</v>
      </c>
      <c r="C384" s="2" t="n">
        <f aca="false">COUNTIFS(Clean_Data!$B$2:$B$2086,A384)</f>
        <v>3</v>
      </c>
      <c r="D384" s="11" t="n">
        <f aca="false">SUMIFS(Clean_Data!$M$2:$M$2086,Clean_Data!$B$2:$B$2086,A384)</f>
        <v>13680</v>
      </c>
      <c r="E384" s="11" t="n">
        <f aca="false">SUMIFS(Clean_Data!$N$2:$N$2086,Clean_Data!$B$2:$B$2086,A384)</f>
        <v>5480</v>
      </c>
      <c r="F384" s="2" t="str">
        <f aca="false">IF(C384&gt;1,"Repeat","One-time")</f>
        <v>Repeat</v>
      </c>
      <c r="G384" s="13" t="n">
        <f aca="false">SUM($D$2:D384)/SUM($D$2:$D$800)</f>
        <v>0.888000873041172</v>
      </c>
    </row>
    <row r="385" customFormat="false" ht="15" hidden="false" customHeight="false" outlineLevel="0" collapsed="false">
      <c r="A385" s="2" t="s">
        <v>2160</v>
      </c>
      <c r="B385" s="2" t="str">
        <f aca="false">INDEX(Clean_Data!$F$2:$F$2086,MATCH(A385,Clean_Data!$B$2:$B$2086,0))</f>
        <v>Consumer</v>
      </c>
      <c r="C385" s="2" t="n">
        <f aca="false">COUNTIFS(Clean_Data!$B$2:$B$2086,A385)</f>
        <v>4</v>
      </c>
      <c r="D385" s="11" t="n">
        <f aca="false">SUMIFS(Clean_Data!$M$2:$M$2086,Clean_Data!$B$2:$B$2086,A385)</f>
        <v>13650</v>
      </c>
      <c r="E385" s="11" t="n">
        <f aca="false">SUMIFS(Clean_Data!$N$2:$N$2086,Clean_Data!$B$2:$B$2086,A385)</f>
        <v>5050</v>
      </c>
      <c r="F385" s="2" t="str">
        <f aca="false">IF(C385&gt;1,"Repeat","One-time")</f>
        <v>Repeat</v>
      </c>
      <c r="G385" s="13" t="n">
        <f aca="false">SUM($D$2:D385)/SUM($D$2:$D$800)</f>
        <v>0.888664403775709</v>
      </c>
    </row>
    <row r="386" customFormat="false" ht="15" hidden="false" customHeight="false" outlineLevel="0" collapsed="false">
      <c r="A386" s="2" t="s">
        <v>2809</v>
      </c>
      <c r="B386" s="2" t="str">
        <f aca="false">INDEX(Clean_Data!$F$2:$F$2086,MATCH(A386,Clean_Data!$B$2:$B$2086,0))</f>
        <v>Consumer</v>
      </c>
      <c r="C386" s="2" t="n">
        <f aca="false">COUNTIFS(Clean_Data!$B$2:$B$2086,A386)</f>
        <v>1</v>
      </c>
      <c r="D386" s="11" t="n">
        <f aca="false">SUMIFS(Clean_Data!$M$2:$M$2086,Clean_Data!$B$2:$B$2086,A386)</f>
        <v>13500</v>
      </c>
      <c r="E386" s="11" t="n">
        <f aca="false">SUMIFS(Clean_Data!$N$2:$N$2086,Clean_Data!$B$2:$B$2086,A386)</f>
        <v>3600</v>
      </c>
      <c r="F386" s="2" t="str">
        <f aca="false">IF(C386&gt;1,"Repeat","One-time")</f>
        <v>One-time</v>
      </c>
      <c r="G386" s="13" t="n">
        <f aca="false">SUM($D$2:D386)/SUM($D$2:$D$800)</f>
        <v>0.889320642963712</v>
      </c>
    </row>
    <row r="387" customFormat="false" ht="15" hidden="false" customHeight="false" outlineLevel="0" collapsed="false">
      <c r="A387" s="2" t="s">
        <v>1493</v>
      </c>
      <c r="B387" s="2" t="str">
        <f aca="false">INDEX(Clean_Data!$F$2:$F$2086,MATCH(A387,Clean_Data!$B$2:$B$2086,0))</f>
        <v>Small Business</v>
      </c>
      <c r="C387" s="2" t="n">
        <f aca="false">COUNTIFS(Clean_Data!$B$2:$B$2086,A387)</f>
        <v>1</v>
      </c>
      <c r="D387" s="11" t="n">
        <f aca="false">SUMIFS(Clean_Data!$M$2:$M$2086,Clean_Data!$B$2:$B$2086,A387)</f>
        <v>13500</v>
      </c>
      <c r="E387" s="11" t="n">
        <f aca="false">SUMIFS(Clean_Data!$N$2:$N$2086,Clean_Data!$B$2:$B$2086,A387)</f>
        <v>3600</v>
      </c>
      <c r="F387" s="2" t="str">
        <f aca="false">IF(C387&gt;1,"Repeat","One-time")</f>
        <v>One-time</v>
      </c>
      <c r="G387" s="13" t="n">
        <f aca="false">SUM($D$2:D387)/SUM($D$2:$D$800)</f>
        <v>0.889976882151716</v>
      </c>
    </row>
    <row r="388" customFormat="false" ht="15" hidden="false" customHeight="false" outlineLevel="0" collapsed="false">
      <c r="A388" s="2" t="s">
        <v>542</v>
      </c>
      <c r="B388" s="2" t="str">
        <f aca="false">INDEX(Clean_Data!$F$2:$F$2086,MATCH(A388,Clean_Data!$B$2:$B$2086,0))</f>
        <v>Consumer</v>
      </c>
      <c r="C388" s="2" t="n">
        <f aca="false">COUNTIFS(Clean_Data!$B$2:$B$2086,A388)</f>
        <v>1</v>
      </c>
      <c r="D388" s="11" t="n">
        <f aca="false">SUMIFS(Clean_Data!$M$2:$M$2086,Clean_Data!$B$2:$B$2086,A388)</f>
        <v>13500</v>
      </c>
      <c r="E388" s="11" t="n">
        <f aca="false">SUMIFS(Clean_Data!$N$2:$N$2086,Clean_Data!$B$2:$B$2086,A388)</f>
        <v>3600</v>
      </c>
      <c r="F388" s="2" t="str">
        <f aca="false">IF(C388&gt;1,"Repeat","One-time")</f>
        <v>One-time</v>
      </c>
      <c r="G388" s="13" t="n">
        <f aca="false">SUM($D$2:D388)/SUM($D$2:$D$800)</f>
        <v>0.89063312133972</v>
      </c>
    </row>
    <row r="389" customFormat="false" ht="15" hidden="false" customHeight="false" outlineLevel="0" collapsed="false">
      <c r="A389" s="2" t="s">
        <v>2686</v>
      </c>
      <c r="B389" s="2" t="str">
        <f aca="false">INDEX(Clean_Data!$F$2:$F$2086,MATCH(A389,Clean_Data!$B$2:$B$2086,0))</f>
        <v>Consumer</v>
      </c>
      <c r="C389" s="2" t="n">
        <f aca="false">COUNTIFS(Clean_Data!$B$2:$B$2086,A389)</f>
        <v>1</v>
      </c>
      <c r="D389" s="11" t="n">
        <f aca="false">SUMIFS(Clean_Data!$M$2:$M$2086,Clean_Data!$B$2:$B$2086,A389)</f>
        <v>13500</v>
      </c>
      <c r="E389" s="11" t="n">
        <f aca="false">SUMIFS(Clean_Data!$N$2:$N$2086,Clean_Data!$B$2:$B$2086,A389)</f>
        <v>3600</v>
      </c>
      <c r="F389" s="2" t="str">
        <f aca="false">IF(C389&gt;1,"Repeat","One-time")</f>
        <v>One-time</v>
      </c>
      <c r="G389" s="13" t="n">
        <f aca="false">SUM($D$2:D389)/SUM($D$2:$D$800)</f>
        <v>0.891289360527723</v>
      </c>
    </row>
    <row r="390" customFormat="false" ht="15" hidden="false" customHeight="false" outlineLevel="0" collapsed="false">
      <c r="A390" s="2" t="s">
        <v>1779</v>
      </c>
      <c r="B390" s="2" t="str">
        <f aca="false">INDEX(Clean_Data!$F$2:$F$2086,MATCH(A390,Clean_Data!$B$2:$B$2086,0))</f>
        <v>Small Business</v>
      </c>
      <c r="C390" s="2" t="n">
        <f aca="false">COUNTIFS(Clean_Data!$B$2:$B$2086,A390)</f>
        <v>1</v>
      </c>
      <c r="D390" s="11" t="n">
        <f aca="false">SUMIFS(Clean_Data!$M$2:$M$2086,Clean_Data!$B$2:$B$2086,A390)</f>
        <v>13500</v>
      </c>
      <c r="E390" s="11" t="n">
        <f aca="false">SUMIFS(Clean_Data!$N$2:$N$2086,Clean_Data!$B$2:$B$2086,A390)</f>
        <v>3600</v>
      </c>
      <c r="F390" s="2" t="str">
        <f aca="false">IF(C390&gt;1,"Repeat","One-time")</f>
        <v>One-time</v>
      </c>
      <c r="G390" s="13" t="n">
        <f aca="false">SUM($D$2:D390)/SUM($D$2:$D$800)</f>
        <v>0.891945599715727</v>
      </c>
    </row>
    <row r="391" customFormat="false" ht="15" hidden="false" customHeight="false" outlineLevel="0" collapsed="false">
      <c r="A391" s="2" t="s">
        <v>1243</v>
      </c>
      <c r="B391" s="2" t="str">
        <f aca="false">INDEX(Clean_Data!$F$2:$F$2086,MATCH(A391,Clean_Data!$B$2:$B$2086,0))</f>
        <v>Small Business</v>
      </c>
      <c r="C391" s="2" t="n">
        <f aca="false">COUNTIFS(Clean_Data!$B$2:$B$2086,A391)</f>
        <v>3</v>
      </c>
      <c r="D391" s="11" t="n">
        <f aca="false">SUMIFS(Clean_Data!$M$2:$M$2086,Clean_Data!$B$2:$B$2086,A391)</f>
        <v>13410</v>
      </c>
      <c r="E391" s="11" t="n">
        <f aca="false">SUMIFS(Clean_Data!$N$2:$N$2086,Clean_Data!$B$2:$B$2086,A391)</f>
        <v>6510</v>
      </c>
      <c r="F391" s="2" t="str">
        <f aca="false">IF(C391&gt;1,"Repeat","One-time")</f>
        <v>Repeat</v>
      </c>
      <c r="G391" s="13" t="n">
        <f aca="false">SUM($D$2:D391)/SUM($D$2:$D$800)</f>
        <v>0.892597463975811</v>
      </c>
    </row>
    <row r="392" customFormat="false" ht="15" hidden="false" customHeight="false" outlineLevel="0" collapsed="false">
      <c r="A392" s="2" t="s">
        <v>2834</v>
      </c>
      <c r="B392" s="2" t="str">
        <f aca="false">INDEX(Clean_Data!$F$2:$F$2086,MATCH(A392,Clean_Data!$B$2:$B$2086,0))</f>
        <v>Consumer</v>
      </c>
      <c r="C392" s="2" t="n">
        <f aca="false">COUNTIFS(Clean_Data!$B$2:$B$2086,A392)</f>
        <v>4</v>
      </c>
      <c r="D392" s="11" t="n">
        <f aca="false">SUMIFS(Clean_Data!$M$2:$M$2086,Clean_Data!$B$2:$B$2086,A392)</f>
        <v>13325</v>
      </c>
      <c r="E392" s="11" t="n">
        <f aca="false">SUMIFS(Clean_Data!$N$2:$N$2086,Clean_Data!$B$2:$B$2086,A392)</f>
        <v>4425</v>
      </c>
      <c r="F392" s="2" t="str">
        <f aca="false">IF(C392&gt;1,"Repeat","One-time")</f>
        <v>Repeat</v>
      </c>
      <c r="G392" s="13" t="n">
        <f aca="false">SUM($D$2:D392)/SUM($D$2:$D$800)</f>
        <v>0.893245196359525</v>
      </c>
    </row>
    <row r="393" customFormat="false" ht="15" hidden="false" customHeight="false" outlineLevel="0" collapsed="false">
      <c r="A393" s="2" t="s">
        <v>2497</v>
      </c>
      <c r="B393" s="2" t="str">
        <f aca="false">INDEX(Clean_Data!$F$2:$F$2086,MATCH(A393,Clean_Data!$B$2:$B$2086,0))</f>
        <v>Consumer</v>
      </c>
      <c r="C393" s="2" t="n">
        <f aca="false">COUNTIFS(Clean_Data!$B$2:$B$2086,A393)</f>
        <v>1</v>
      </c>
      <c r="D393" s="11" t="n">
        <f aca="false">SUMIFS(Clean_Data!$M$2:$M$2086,Clean_Data!$B$2:$B$2086,A393)</f>
        <v>13300</v>
      </c>
      <c r="E393" s="11" t="n">
        <f aca="false">SUMIFS(Clean_Data!$N$2:$N$2086,Clean_Data!$B$2:$B$2086,A393)</f>
        <v>3700</v>
      </c>
      <c r="F393" s="2" t="str">
        <f aca="false">IF(C393&gt;1,"Repeat","One-time")</f>
        <v>One-time</v>
      </c>
      <c r="G393" s="13" t="n">
        <f aca="false">SUM($D$2:D393)/SUM($D$2:$D$800)</f>
        <v>0.893891713485485</v>
      </c>
    </row>
    <row r="394" customFormat="false" ht="15" hidden="false" customHeight="false" outlineLevel="0" collapsed="false">
      <c r="A394" s="2" t="s">
        <v>2028</v>
      </c>
      <c r="B394" s="2" t="str">
        <f aca="false">INDEX(Clean_Data!$F$2:$F$2086,MATCH(A394,Clean_Data!$B$2:$B$2086,0))</f>
        <v>Consumer</v>
      </c>
      <c r="C394" s="2" t="n">
        <f aca="false">COUNTIFS(Clean_Data!$B$2:$B$2086,A394)</f>
        <v>2</v>
      </c>
      <c r="D394" s="11" t="n">
        <f aca="false">SUMIFS(Clean_Data!$M$2:$M$2086,Clean_Data!$B$2:$B$2086,A394)</f>
        <v>13290</v>
      </c>
      <c r="E394" s="11" t="n">
        <f aca="false">SUMIFS(Clean_Data!$N$2:$N$2086,Clean_Data!$B$2:$B$2086,A394)</f>
        <v>2790</v>
      </c>
      <c r="F394" s="2" t="str">
        <f aca="false">IF(C394&gt;1,"Repeat","One-time")</f>
        <v>Repeat</v>
      </c>
      <c r="G394" s="13" t="n">
        <f aca="false">SUM($D$2:D394)/SUM($D$2:$D$800)</f>
        <v>0.894537744508341</v>
      </c>
    </row>
    <row r="395" customFormat="false" ht="15" hidden="false" customHeight="false" outlineLevel="0" collapsed="false">
      <c r="A395" s="2" t="s">
        <v>1004</v>
      </c>
      <c r="B395" s="2" t="str">
        <f aca="false">INDEX(Clean_Data!$F$2:$F$2086,MATCH(A395,Clean_Data!$B$2:$B$2086,0))</f>
        <v>Small Business</v>
      </c>
      <c r="C395" s="2" t="n">
        <f aca="false">COUNTIFS(Clean_Data!$B$2:$B$2086,A395)</f>
        <v>2</v>
      </c>
      <c r="D395" s="11" t="n">
        <f aca="false">SUMIFS(Clean_Data!$M$2:$M$2086,Clean_Data!$B$2:$B$2086,A395)</f>
        <v>13260</v>
      </c>
      <c r="E395" s="11" t="n">
        <f aca="false">SUMIFS(Clean_Data!$N$2:$N$2086,Clean_Data!$B$2:$B$2086,A395)</f>
        <v>6060</v>
      </c>
      <c r="F395" s="2" t="str">
        <f aca="false">IF(C395&gt;1,"Repeat","One-time")</f>
        <v>Repeat</v>
      </c>
      <c r="G395" s="13" t="n">
        <f aca="false">SUM($D$2:D395)/SUM($D$2:$D$800)</f>
        <v>0.895182317221892</v>
      </c>
    </row>
    <row r="396" customFormat="false" ht="15" hidden="false" customHeight="false" outlineLevel="0" collapsed="false">
      <c r="A396" s="2" t="s">
        <v>2125</v>
      </c>
      <c r="B396" s="2" t="str">
        <f aca="false">INDEX(Clean_Data!$F$2:$F$2086,MATCH(A396,Clean_Data!$B$2:$B$2086,0))</f>
        <v>Small Business</v>
      </c>
      <c r="C396" s="2" t="n">
        <f aca="false">COUNTIFS(Clean_Data!$B$2:$B$2086,A396)</f>
        <v>2</v>
      </c>
      <c r="D396" s="11" t="n">
        <f aca="false">SUMIFS(Clean_Data!$M$2:$M$2086,Clean_Data!$B$2:$B$2086,A396)</f>
        <v>13200</v>
      </c>
      <c r="E396" s="11" t="n">
        <f aca="false">SUMIFS(Clean_Data!$N$2:$N$2086,Clean_Data!$B$2:$B$2086,A396)</f>
        <v>5700</v>
      </c>
      <c r="F396" s="2" t="str">
        <f aca="false">IF(C396&gt;1,"Repeat","One-time")</f>
        <v>Repeat</v>
      </c>
      <c r="G396" s="13" t="n">
        <f aca="false">SUM($D$2:D396)/SUM($D$2:$D$800)</f>
        <v>0.895823973316829</v>
      </c>
    </row>
    <row r="397" customFormat="false" ht="15" hidden="false" customHeight="false" outlineLevel="0" collapsed="false">
      <c r="A397" s="2" t="s">
        <v>1146</v>
      </c>
      <c r="B397" s="2" t="str">
        <f aca="false">INDEX(Clean_Data!$F$2:$F$2086,MATCH(A397,Clean_Data!$B$2:$B$2086,0))</f>
        <v>Consumer</v>
      </c>
      <c r="C397" s="2" t="n">
        <f aca="false">COUNTIFS(Clean_Data!$B$2:$B$2086,A397)</f>
        <v>5</v>
      </c>
      <c r="D397" s="11" t="n">
        <f aca="false">SUMIFS(Clean_Data!$M$2:$M$2086,Clean_Data!$B$2:$B$2086,A397)</f>
        <v>13027.5</v>
      </c>
      <c r="E397" s="11" t="n">
        <f aca="false">SUMIFS(Clean_Data!$N$2:$N$2086,Clean_Data!$B$2:$B$2086,A397)</f>
        <v>4227.5</v>
      </c>
      <c r="F397" s="2" t="str">
        <f aca="false">IF(C397&gt;1,"Repeat","One-time")</f>
        <v>Repeat</v>
      </c>
      <c r="G397" s="13" t="n">
        <f aca="false">SUM($D$2:D397)/SUM($D$2:$D$800)</f>
        <v>0.896457244133252</v>
      </c>
    </row>
    <row r="398" customFormat="false" ht="15" hidden="false" customHeight="false" outlineLevel="0" collapsed="false">
      <c r="A398" s="2" t="s">
        <v>1264</v>
      </c>
      <c r="B398" s="2" t="str">
        <f aca="false">INDEX(Clean_Data!$F$2:$F$2086,MATCH(A398,Clean_Data!$B$2:$B$2086,0))</f>
        <v>Consumer</v>
      </c>
      <c r="C398" s="2" t="n">
        <f aca="false">COUNTIFS(Clean_Data!$B$2:$B$2086,A398)</f>
        <v>1</v>
      </c>
      <c r="D398" s="11" t="n">
        <f aca="false">SUMIFS(Clean_Data!$M$2:$M$2086,Clean_Data!$B$2:$B$2086,A398)</f>
        <v>12825</v>
      </c>
      <c r="E398" s="11" t="n">
        <f aca="false">SUMIFS(Clean_Data!$N$2:$N$2086,Clean_Data!$B$2:$B$2086,A398)</f>
        <v>2925</v>
      </c>
      <c r="F398" s="2" t="str">
        <f aca="false">IF(C398&gt;1,"Repeat","One-time")</f>
        <v>One-time</v>
      </c>
      <c r="G398" s="13" t="n">
        <f aca="false">SUM($D$2:D398)/SUM($D$2:$D$800)</f>
        <v>0.897080671361856</v>
      </c>
    </row>
    <row r="399" customFormat="false" ht="15" hidden="false" customHeight="false" outlineLevel="0" collapsed="false">
      <c r="A399" s="2" t="s">
        <v>1968</v>
      </c>
      <c r="B399" s="2" t="str">
        <f aca="false">INDEX(Clean_Data!$F$2:$F$2086,MATCH(A399,Clean_Data!$B$2:$B$2086,0))</f>
        <v>Consumer</v>
      </c>
      <c r="C399" s="2" t="n">
        <f aca="false">COUNTIFS(Clean_Data!$B$2:$B$2086,A399)</f>
        <v>1</v>
      </c>
      <c r="D399" s="11" t="n">
        <f aca="false">SUMIFS(Clean_Data!$M$2:$M$2086,Clean_Data!$B$2:$B$2086,A399)</f>
        <v>12825</v>
      </c>
      <c r="E399" s="11" t="n">
        <f aca="false">SUMIFS(Clean_Data!$N$2:$N$2086,Clean_Data!$B$2:$B$2086,A399)</f>
        <v>2925</v>
      </c>
      <c r="F399" s="2" t="str">
        <f aca="false">IF(C399&gt;1,"Repeat","One-time")</f>
        <v>One-time</v>
      </c>
      <c r="G399" s="13" t="n">
        <f aca="false">SUM($D$2:D399)/SUM($D$2:$D$800)</f>
        <v>0.897704098590459</v>
      </c>
    </row>
    <row r="400" customFormat="false" ht="15" hidden="false" customHeight="false" outlineLevel="0" collapsed="false">
      <c r="A400" s="2" t="s">
        <v>1380</v>
      </c>
      <c r="B400" s="2" t="str">
        <f aca="false">INDEX(Clean_Data!$F$2:$F$2086,MATCH(A400,Clean_Data!$B$2:$B$2086,0))</f>
        <v>Small Business</v>
      </c>
      <c r="C400" s="2" t="n">
        <f aca="false">COUNTIFS(Clean_Data!$B$2:$B$2086,A400)</f>
        <v>1</v>
      </c>
      <c r="D400" s="11" t="n">
        <f aca="false">SUMIFS(Clean_Data!$M$2:$M$2086,Clean_Data!$B$2:$B$2086,A400)</f>
        <v>12825</v>
      </c>
      <c r="E400" s="11" t="n">
        <f aca="false">SUMIFS(Clean_Data!$N$2:$N$2086,Clean_Data!$B$2:$B$2086,A400)</f>
        <v>2925</v>
      </c>
      <c r="F400" s="2" t="str">
        <f aca="false">IF(C400&gt;1,"Repeat","One-time")</f>
        <v>One-time</v>
      </c>
      <c r="G400" s="13" t="n">
        <f aca="false">SUM($D$2:D400)/SUM($D$2:$D$800)</f>
        <v>0.898327525819063</v>
      </c>
    </row>
    <row r="401" customFormat="false" ht="15" hidden="false" customHeight="false" outlineLevel="0" collapsed="false">
      <c r="A401" s="2" t="s">
        <v>2348</v>
      </c>
      <c r="B401" s="2" t="str">
        <f aca="false">INDEX(Clean_Data!$F$2:$F$2086,MATCH(A401,Clean_Data!$B$2:$B$2086,0))</f>
        <v>Consumer</v>
      </c>
      <c r="C401" s="2" t="n">
        <f aca="false">COUNTIFS(Clean_Data!$B$2:$B$2086,A401)</f>
        <v>1</v>
      </c>
      <c r="D401" s="11" t="n">
        <f aca="false">SUMIFS(Clean_Data!$M$2:$M$2086,Clean_Data!$B$2:$B$2086,A401)</f>
        <v>12825</v>
      </c>
      <c r="E401" s="11" t="n">
        <f aca="false">SUMIFS(Clean_Data!$N$2:$N$2086,Clean_Data!$B$2:$B$2086,A401)</f>
        <v>2925</v>
      </c>
      <c r="F401" s="2" t="str">
        <f aca="false">IF(C401&gt;1,"Repeat","One-time")</f>
        <v>One-time</v>
      </c>
      <c r="G401" s="13" t="n">
        <f aca="false">SUM($D$2:D401)/SUM($D$2:$D$800)</f>
        <v>0.898950953047666</v>
      </c>
    </row>
    <row r="402" customFormat="false" ht="15" hidden="false" customHeight="false" outlineLevel="0" collapsed="false">
      <c r="A402" s="2" t="s">
        <v>871</v>
      </c>
      <c r="B402" s="2" t="str">
        <f aca="false">INDEX(Clean_Data!$F$2:$F$2086,MATCH(A402,Clean_Data!$B$2:$B$2086,0))</f>
        <v>Consumer</v>
      </c>
      <c r="C402" s="2" t="n">
        <f aca="false">COUNTIFS(Clean_Data!$B$2:$B$2086,A402)</f>
        <v>3</v>
      </c>
      <c r="D402" s="11" t="n">
        <f aca="false">SUMIFS(Clean_Data!$M$2:$M$2086,Clean_Data!$B$2:$B$2086,A402)</f>
        <v>12765</v>
      </c>
      <c r="E402" s="11" t="n">
        <f aca="false">SUMIFS(Clean_Data!$N$2:$N$2086,Clean_Data!$B$2:$B$2086,A402)</f>
        <v>4665</v>
      </c>
      <c r="F402" s="2" t="str">
        <f aca="false">IF(C402&gt;1,"Repeat","One-time")</f>
        <v>Repeat</v>
      </c>
      <c r="G402" s="13" t="n">
        <f aca="false">SUM($D$2:D402)/SUM($D$2:$D$800)</f>
        <v>0.899571463657656</v>
      </c>
    </row>
    <row r="403" customFormat="false" ht="15" hidden="false" customHeight="false" outlineLevel="0" collapsed="false">
      <c r="A403" s="2" t="s">
        <v>673</v>
      </c>
      <c r="B403" s="2" t="str">
        <f aca="false">INDEX(Clean_Data!$F$2:$F$2086,MATCH(A403,Clean_Data!$B$2:$B$2086,0))</f>
        <v>Small Business</v>
      </c>
      <c r="C403" s="2" t="n">
        <f aca="false">COUNTIFS(Clean_Data!$B$2:$B$2086,A403)</f>
        <v>2</v>
      </c>
      <c r="D403" s="11" t="n">
        <f aca="false">SUMIFS(Clean_Data!$M$2:$M$2086,Clean_Data!$B$2:$B$2086,A403)</f>
        <v>12675</v>
      </c>
      <c r="E403" s="11" t="n">
        <f aca="false">SUMIFS(Clean_Data!$N$2:$N$2086,Clean_Data!$B$2:$B$2086,A403)</f>
        <v>3775</v>
      </c>
      <c r="F403" s="2" t="str">
        <f aca="false">IF(C403&gt;1,"Repeat","One-time")</f>
        <v>Repeat</v>
      </c>
      <c r="G403" s="13" t="n">
        <f aca="false">SUM($D$2:D403)/SUM($D$2:$D$800)</f>
        <v>0.900187599339726</v>
      </c>
    </row>
    <row r="404" customFormat="false" ht="15" hidden="false" customHeight="false" outlineLevel="0" collapsed="false">
      <c r="A404" s="2" t="s">
        <v>2404</v>
      </c>
      <c r="B404" s="2" t="str">
        <f aca="false">INDEX(Clean_Data!$F$2:$F$2086,MATCH(A404,Clean_Data!$B$2:$B$2086,0))</f>
        <v>Small Business</v>
      </c>
      <c r="C404" s="2" t="n">
        <f aca="false">COUNTIFS(Clean_Data!$B$2:$B$2086,A404)</f>
        <v>1</v>
      </c>
      <c r="D404" s="11" t="n">
        <f aca="false">SUMIFS(Clean_Data!$M$2:$M$2086,Clean_Data!$B$2:$B$2086,A404)</f>
        <v>12600</v>
      </c>
      <c r="E404" s="11" t="n">
        <f aca="false">SUMIFS(Clean_Data!$N$2:$N$2086,Clean_Data!$B$2:$B$2086,A404)</f>
        <v>3000</v>
      </c>
      <c r="F404" s="2" t="str">
        <f aca="false">IF(C404&gt;1,"Repeat","One-time")</f>
        <v>One-time</v>
      </c>
      <c r="G404" s="13" t="n">
        <f aca="false">SUM($D$2:D404)/SUM($D$2:$D$800)</f>
        <v>0.90080008924853</v>
      </c>
    </row>
    <row r="405" customFormat="false" ht="15" hidden="false" customHeight="false" outlineLevel="0" collapsed="false">
      <c r="A405" s="2" t="s">
        <v>142</v>
      </c>
      <c r="B405" s="2" t="str">
        <f aca="false">INDEX(Clean_Data!$F$2:$F$2086,MATCH(A405,Clean_Data!$B$2:$B$2086,0))</f>
        <v>Consumer</v>
      </c>
      <c r="C405" s="2" t="n">
        <f aca="false">COUNTIFS(Clean_Data!$B$2:$B$2086,A405)</f>
        <v>2</v>
      </c>
      <c r="D405" s="11" t="n">
        <f aca="false">SUMIFS(Clean_Data!$M$2:$M$2086,Clean_Data!$B$2:$B$2086,A405)</f>
        <v>12600</v>
      </c>
      <c r="E405" s="11" t="n">
        <f aca="false">SUMIFS(Clean_Data!$N$2:$N$2086,Clean_Data!$B$2:$B$2086,A405)</f>
        <v>3300</v>
      </c>
      <c r="F405" s="2" t="str">
        <f aca="false">IF(C405&gt;1,"Repeat","One-time")</f>
        <v>Repeat</v>
      </c>
      <c r="G405" s="13" t="n">
        <f aca="false">SUM($D$2:D405)/SUM($D$2:$D$800)</f>
        <v>0.901412579157333</v>
      </c>
    </row>
    <row r="406" customFormat="false" ht="15" hidden="false" customHeight="false" outlineLevel="0" collapsed="false">
      <c r="A406" s="2" t="s">
        <v>286</v>
      </c>
      <c r="B406" s="2" t="str">
        <f aca="false">INDEX(Clean_Data!$F$2:$F$2086,MATCH(A406,Clean_Data!$B$2:$B$2086,0))</f>
        <v>Consumer</v>
      </c>
      <c r="C406" s="2" t="n">
        <f aca="false">COUNTIFS(Clean_Data!$B$2:$B$2086,A406)</f>
        <v>3</v>
      </c>
      <c r="D406" s="11" t="n">
        <f aca="false">SUMIFS(Clean_Data!$M$2:$M$2086,Clean_Data!$B$2:$B$2086,A406)</f>
        <v>12450</v>
      </c>
      <c r="E406" s="11" t="n">
        <f aca="false">SUMIFS(Clean_Data!$N$2:$N$2086,Clean_Data!$B$2:$B$2086,A406)</f>
        <v>3450</v>
      </c>
      <c r="F406" s="2" t="str">
        <f aca="false">IF(C406&gt;1,"Repeat","One-time")</f>
        <v>Repeat</v>
      </c>
      <c r="G406" s="13" t="n">
        <f aca="false">SUM($D$2:D406)/SUM($D$2:$D$800)</f>
        <v>0.902017777519603</v>
      </c>
    </row>
    <row r="407" customFormat="false" ht="15" hidden="false" customHeight="false" outlineLevel="0" collapsed="false">
      <c r="A407" s="2" t="s">
        <v>2788</v>
      </c>
      <c r="B407" s="2" t="str">
        <f aca="false">INDEX(Clean_Data!$F$2:$F$2086,MATCH(A407,Clean_Data!$B$2:$B$2086,0))</f>
        <v>Small Business</v>
      </c>
      <c r="C407" s="2" t="n">
        <f aca="false">COUNTIFS(Clean_Data!$B$2:$B$2086,A407)</f>
        <v>2</v>
      </c>
      <c r="D407" s="11" t="n">
        <f aca="false">SUMIFS(Clean_Data!$M$2:$M$2086,Clean_Data!$B$2:$B$2086,A407)</f>
        <v>12390</v>
      </c>
      <c r="E407" s="11" t="n">
        <f aca="false">SUMIFS(Clean_Data!$N$2:$N$2086,Clean_Data!$B$2:$B$2086,A407)</f>
        <v>3790</v>
      </c>
      <c r="F407" s="2" t="str">
        <f aca="false">IF(C407&gt;1,"Repeat","One-time")</f>
        <v>Repeat</v>
      </c>
      <c r="G407" s="13" t="n">
        <f aca="false">SUM($D$2:D407)/SUM($D$2:$D$800)</f>
        <v>0.90262005926326</v>
      </c>
    </row>
    <row r="408" customFormat="false" ht="15" hidden="false" customHeight="false" outlineLevel="0" collapsed="false">
      <c r="A408" s="2" t="s">
        <v>1284</v>
      </c>
      <c r="B408" s="2" t="str">
        <f aca="false">INDEX(Clean_Data!$F$2:$F$2086,MATCH(A408,Clean_Data!$B$2:$B$2086,0))</f>
        <v>Small Business</v>
      </c>
      <c r="C408" s="2" t="n">
        <f aca="false">COUNTIFS(Clean_Data!$B$2:$B$2086,A408)</f>
        <v>2</v>
      </c>
      <c r="D408" s="11" t="n">
        <f aca="false">SUMIFS(Clean_Data!$M$2:$M$2086,Clean_Data!$B$2:$B$2086,A408)</f>
        <v>12350</v>
      </c>
      <c r="E408" s="11" t="n">
        <f aca="false">SUMIFS(Clean_Data!$N$2:$N$2086,Clean_Data!$B$2:$B$2086,A408)</f>
        <v>4550</v>
      </c>
      <c r="F408" s="2" t="str">
        <f aca="false">IF(C408&gt;1,"Repeat","One-time")</f>
        <v>Repeat</v>
      </c>
      <c r="G408" s="13" t="n">
        <f aca="false">SUM($D$2:D408)/SUM($D$2:$D$800)</f>
        <v>0.903220396594508</v>
      </c>
    </row>
    <row r="409" customFormat="false" ht="15" hidden="false" customHeight="false" outlineLevel="0" collapsed="false">
      <c r="A409" s="2" t="s">
        <v>2364</v>
      </c>
      <c r="B409" s="2" t="str">
        <f aca="false">INDEX(Clean_Data!$F$2:$F$2086,MATCH(A409,Clean_Data!$B$2:$B$2086,0))</f>
        <v>Small Business</v>
      </c>
      <c r="C409" s="2" t="n">
        <f aca="false">COUNTIFS(Clean_Data!$B$2:$B$2086,A409)</f>
        <v>1</v>
      </c>
      <c r="D409" s="11" t="n">
        <f aca="false">SUMIFS(Clean_Data!$M$2:$M$2086,Clean_Data!$B$2:$B$2086,A409)</f>
        <v>12150</v>
      </c>
      <c r="E409" s="11" t="n">
        <f aca="false">SUMIFS(Clean_Data!$N$2:$N$2086,Clean_Data!$B$2:$B$2086,A409)</f>
        <v>2250</v>
      </c>
      <c r="F409" s="2" t="str">
        <f aca="false">IF(C409&gt;1,"Repeat","One-time")</f>
        <v>One-time</v>
      </c>
      <c r="G409" s="13" t="n">
        <f aca="false">SUM($D$2:D409)/SUM($D$2:$D$800)</f>
        <v>0.903811011863711</v>
      </c>
    </row>
    <row r="410" customFormat="false" ht="15" hidden="false" customHeight="false" outlineLevel="0" collapsed="false">
      <c r="A410" s="2" t="s">
        <v>161</v>
      </c>
      <c r="B410" s="2" t="str">
        <f aca="false">INDEX(Clean_Data!$F$2:$F$2086,MATCH(A410,Clean_Data!$B$2:$B$2086,0))</f>
        <v>Consumer</v>
      </c>
      <c r="C410" s="2" t="n">
        <f aca="false">COUNTIFS(Clean_Data!$B$2:$B$2086,A410)</f>
        <v>1</v>
      </c>
      <c r="D410" s="11" t="n">
        <f aca="false">SUMIFS(Clean_Data!$M$2:$M$2086,Clean_Data!$B$2:$B$2086,A410)</f>
        <v>12150</v>
      </c>
      <c r="E410" s="11" t="n">
        <f aca="false">SUMIFS(Clean_Data!$N$2:$N$2086,Clean_Data!$B$2:$B$2086,A410)</f>
        <v>2250</v>
      </c>
      <c r="F410" s="2" t="str">
        <f aca="false">IF(C410&gt;1,"Repeat","One-time")</f>
        <v>One-time</v>
      </c>
      <c r="G410" s="13" t="n">
        <f aca="false">SUM($D$2:D410)/SUM($D$2:$D$800)</f>
        <v>0.904401627132914</v>
      </c>
    </row>
    <row r="411" customFormat="false" ht="15" hidden="false" customHeight="false" outlineLevel="0" collapsed="false">
      <c r="A411" s="2" t="s">
        <v>1051</v>
      </c>
      <c r="B411" s="2" t="str">
        <f aca="false">INDEX(Clean_Data!$F$2:$F$2086,MATCH(A411,Clean_Data!$B$2:$B$2086,0))</f>
        <v>Consumer</v>
      </c>
      <c r="C411" s="2" t="n">
        <f aca="false">COUNTIFS(Clean_Data!$B$2:$B$2086,A411)</f>
        <v>3</v>
      </c>
      <c r="D411" s="11" t="n">
        <f aca="false">SUMIFS(Clean_Data!$M$2:$M$2086,Clean_Data!$B$2:$B$2086,A411)</f>
        <v>12050</v>
      </c>
      <c r="E411" s="11" t="n">
        <f aca="false">SUMIFS(Clean_Data!$N$2:$N$2086,Clean_Data!$B$2:$B$2086,A411)</f>
        <v>4250</v>
      </c>
      <c r="F411" s="2" t="str">
        <f aca="false">IF(C411&gt;1,"Repeat","One-time")</f>
        <v>Repeat</v>
      </c>
      <c r="G411" s="13" t="n">
        <f aca="false">SUM($D$2:D411)/SUM($D$2:$D$800)</f>
        <v>0.904987381371095</v>
      </c>
    </row>
    <row r="412" customFormat="false" ht="15" hidden="false" customHeight="false" outlineLevel="0" collapsed="false">
      <c r="A412" s="2" t="s">
        <v>2588</v>
      </c>
      <c r="B412" s="2" t="str">
        <f aca="false">INDEX(Clean_Data!$F$2:$F$2086,MATCH(A412,Clean_Data!$B$2:$B$2086,0))</f>
        <v>Small Business</v>
      </c>
      <c r="C412" s="2" t="n">
        <f aca="false">COUNTIFS(Clean_Data!$B$2:$B$2086,A412)</f>
        <v>1</v>
      </c>
      <c r="D412" s="11" t="n">
        <f aca="false">SUMIFS(Clean_Data!$M$2:$M$2086,Clean_Data!$B$2:$B$2086,A412)</f>
        <v>12000</v>
      </c>
      <c r="E412" s="11" t="n">
        <f aca="false">SUMIFS(Clean_Data!$N$2:$N$2086,Clean_Data!$B$2:$B$2086,A412)</f>
        <v>4000</v>
      </c>
      <c r="F412" s="2" t="str">
        <f aca="false">IF(C412&gt;1,"Repeat","One-time")</f>
        <v>One-time</v>
      </c>
      <c r="G412" s="13" t="n">
        <f aca="false">SUM($D$2:D412)/SUM($D$2:$D$800)</f>
        <v>0.905570705093765</v>
      </c>
    </row>
    <row r="413" customFormat="false" ht="15" hidden="false" customHeight="false" outlineLevel="0" collapsed="false">
      <c r="A413" s="2" t="s">
        <v>1233</v>
      </c>
      <c r="B413" s="2" t="str">
        <f aca="false">INDEX(Clean_Data!$F$2:$F$2086,MATCH(A413,Clean_Data!$B$2:$B$2086,0))</f>
        <v>Consumer</v>
      </c>
      <c r="C413" s="2" t="n">
        <f aca="false">COUNTIFS(Clean_Data!$B$2:$B$2086,A413)</f>
        <v>3</v>
      </c>
      <c r="D413" s="11" t="n">
        <f aca="false">SUMIFS(Clean_Data!$M$2:$M$2086,Clean_Data!$B$2:$B$2086,A413)</f>
        <v>11910</v>
      </c>
      <c r="E413" s="11" t="n">
        <f aca="false">SUMIFS(Clean_Data!$N$2:$N$2086,Clean_Data!$B$2:$B$2086,A413)</f>
        <v>4610</v>
      </c>
      <c r="F413" s="2" t="str">
        <f aca="false">IF(C413&gt;1,"Repeat","One-time")</f>
        <v>Repeat</v>
      </c>
      <c r="G413" s="13" t="n">
        <f aca="false">SUM($D$2:D413)/SUM($D$2:$D$800)</f>
        <v>0.906149653888515</v>
      </c>
    </row>
    <row r="414" customFormat="false" ht="15" hidden="false" customHeight="false" outlineLevel="0" collapsed="false">
      <c r="A414" s="2" t="s">
        <v>622</v>
      </c>
      <c r="B414" s="2" t="str">
        <f aca="false">INDEX(Clean_Data!$F$2:$F$2086,MATCH(A414,Clean_Data!$B$2:$B$2086,0))</f>
        <v>Consumer</v>
      </c>
      <c r="C414" s="2" t="n">
        <f aca="false">COUNTIFS(Clean_Data!$B$2:$B$2086,A414)</f>
        <v>2</v>
      </c>
      <c r="D414" s="11" t="n">
        <f aca="false">SUMIFS(Clean_Data!$M$2:$M$2086,Clean_Data!$B$2:$B$2086,A414)</f>
        <v>11850</v>
      </c>
      <c r="E414" s="11" t="n">
        <f aca="false">SUMIFS(Clean_Data!$N$2:$N$2086,Clean_Data!$B$2:$B$2086,A414)</f>
        <v>3850</v>
      </c>
      <c r="F414" s="2" t="str">
        <f aca="false">IF(C414&gt;1,"Repeat","One-time")</f>
        <v>Repeat</v>
      </c>
      <c r="G414" s="13" t="n">
        <f aca="false">SUM($D$2:D414)/SUM($D$2:$D$800)</f>
        <v>0.906725686064651</v>
      </c>
    </row>
    <row r="415" customFormat="false" ht="15" hidden="false" customHeight="false" outlineLevel="0" collapsed="false">
      <c r="A415" s="2" t="s">
        <v>2206</v>
      </c>
      <c r="B415" s="2" t="str">
        <f aca="false">INDEX(Clean_Data!$F$2:$F$2086,MATCH(A415,Clean_Data!$B$2:$B$2086,0))</f>
        <v>Consumer</v>
      </c>
      <c r="C415" s="2" t="n">
        <f aca="false">COUNTIFS(Clean_Data!$B$2:$B$2086,A415)</f>
        <v>2</v>
      </c>
      <c r="D415" s="11" t="n">
        <f aca="false">SUMIFS(Clean_Data!$M$2:$M$2086,Clean_Data!$B$2:$B$2086,A415)</f>
        <v>11640</v>
      </c>
      <c r="E415" s="11" t="n">
        <f aca="false">SUMIFS(Clean_Data!$N$2:$N$2086,Clean_Data!$B$2:$B$2086,A415)</f>
        <v>3540</v>
      </c>
      <c r="F415" s="2" t="str">
        <f aca="false">IF(C415&gt;1,"Repeat","One-time")</f>
        <v>Repeat</v>
      </c>
      <c r="G415" s="13" t="n">
        <f aca="false">SUM($D$2:D415)/SUM($D$2:$D$800)</f>
        <v>0.907291510075641</v>
      </c>
    </row>
    <row r="416" customFormat="false" ht="15" hidden="false" customHeight="false" outlineLevel="0" collapsed="false">
      <c r="A416" s="2" t="s">
        <v>510</v>
      </c>
      <c r="B416" s="2" t="str">
        <f aca="false">INDEX(Clean_Data!$F$2:$F$2086,MATCH(A416,Clean_Data!$B$2:$B$2086,0))</f>
        <v>Small Business</v>
      </c>
      <c r="C416" s="2" t="n">
        <f aca="false">COUNTIFS(Clean_Data!$B$2:$B$2086,A416)</f>
        <v>2</v>
      </c>
      <c r="D416" s="11" t="n">
        <f aca="false">SUMIFS(Clean_Data!$M$2:$M$2086,Clean_Data!$B$2:$B$2086,A416)</f>
        <v>11550</v>
      </c>
      <c r="E416" s="11" t="n">
        <f aca="false">SUMIFS(Clean_Data!$N$2:$N$2086,Clean_Data!$B$2:$B$2086,A416)</f>
        <v>3450</v>
      </c>
      <c r="F416" s="2" t="str">
        <f aca="false">IF(C416&gt;1,"Repeat","One-time")</f>
        <v>Repeat</v>
      </c>
      <c r="G416" s="13" t="n">
        <f aca="false">SUM($D$2:D416)/SUM($D$2:$D$800)</f>
        <v>0.907852959158711</v>
      </c>
    </row>
    <row r="417" customFormat="false" ht="15" hidden="false" customHeight="false" outlineLevel="0" collapsed="false">
      <c r="A417" s="2" t="s">
        <v>684</v>
      </c>
      <c r="B417" s="2" t="str">
        <f aca="false">INDEX(Clean_Data!$F$2:$F$2086,MATCH(A417,Clean_Data!$B$2:$B$2086,0))</f>
        <v>Consumer</v>
      </c>
      <c r="C417" s="2" t="n">
        <f aca="false">COUNTIFS(Clean_Data!$B$2:$B$2086,A417)</f>
        <v>3</v>
      </c>
      <c r="D417" s="11" t="n">
        <f aca="false">SUMIFS(Clean_Data!$M$2:$M$2086,Clean_Data!$B$2:$B$2086,A417)</f>
        <v>11550</v>
      </c>
      <c r="E417" s="11" t="n">
        <f aca="false">SUMIFS(Clean_Data!$N$2:$N$2086,Clean_Data!$B$2:$B$2086,A417)</f>
        <v>3850</v>
      </c>
      <c r="F417" s="2" t="str">
        <f aca="false">IF(C417&gt;1,"Repeat","One-time")</f>
        <v>Repeat</v>
      </c>
      <c r="G417" s="13" t="n">
        <f aca="false">SUM($D$2:D417)/SUM($D$2:$D$800)</f>
        <v>0.908414408241781</v>
      </c>
    </row>
    <row r="418" customFormat="false" ht="15" hidden="false" customHeight="false" outlineLevel="0" collapsed="false">
      <c r="A418" s="2" t="s">
        <v>783</v>
      </c>
      <c r="B418" s="2" t="str">
        <f aca="false">INDEX(Clean_Data!$F$2:$F$2086,MATCH(A418,Clean_Data!$B$2:$B$2086,0))</f>
        <v>Consumer</v>
      </c>
      <c r="C418" s="2" t="n">
        <f aca="false">COUNTIFS(Clean_Data!$B$2:$B$2086,A418)</f>
        <v>3</v>
      </c>
      <c r="D418" s="11" t="n">
        <f aca="false">SUMIFS(Clean_Data!$M$2:$M$2086,Clean_Data!$B$2:$B$2086,A418)</f>
        <v>11530</v>
      </c>
      <c r="E418" s="11" t="n">
        <f aca="false">SUMIFS(Clean_Data!$N$2:$N$2086,Clean_Data!$B$2:$B$2086,A418)</f>
        <v>3730</v>
      </c>
      <c r="F418" s="2" t="str">
        <f aca="false">IF(C418&gt;1,"Repeat","One-time")</f>
        <v>Repeat</v>
      </c>
      <c r="G418" s="13" t="n">
        <f aca="false">SUM($D$2:D418)/SUM($D$2:$D$800)</f>
        <v>0.908974885118646</v>
      </c>
    </row>
    <row r="419" customFormat="false" ht="15" hidden="false" customHeight="false" outlineLevel="0" collapsed="false">
      <c r="A419" s="2" t="s">
        <v>1176</v>
      </c>
      <c r="B419" s="2" t="str">
        <f aca="false">INDEX(Clean_Data!$F$2:$F$2086,MATCH(A419,Clean_Data!$B$2:$B$2086,0))</f>
        <v>Small Business</v>
      </c>
      <c r="C419" s="2" t="n">
        <f aca="false">COUNTIFS(Clean_Data!$B$2:$B$2086,A419)</f>
        <v>2</v>
      </c>
      <c r="D419" s="11" t="n">
        <f aca="false">SUMIFS(Clean_Data!$M$2:$M$2086,Clean_Data!$B$2:$B$2086,A419)</f>
        <v>11500</v>
      </c>
      <c r="E419" s="11" t="n">
        <f aca="false">SUMIFS(Clean_Data!$N$2:$N$2086,Clean_Data!$B$2:$B$2086,A419)</f>
        <v>5500</v>
      </c>
      <c r="F419" s="2" t="str">
        <f aca="false">IF(C419&gt;1,"Repeat","One-time")</f>
        <v>Repeat</v>
      </c>
      <c r="G419" s="13" t="n">
        <f aca="false">SUM($D$2:D419)/SUM($D$2:$D$800)</f>
        <v>0.909533903686205</v>
      </c>
    </row>
    <row r="420" customFormat="false" ht="15" hidden="false" customHeight="false" outlineLevel="0" collapsed="false">
      <c r="A420" s="2" t="s">
        <v>2446</v>
      </c>
      <c r="B420" s="2" t="str">
        <f aca="false">INDEX(Clean_Data!$F$2:$F$2086,MATCH(A420,Clean_Data!$B$2:$B$2086,0))</f>
        <v>Consumer</v>
      </c>
      <c r="C420" s="2" t="n">
        <f aca="false">COUNTIFS(Clean_Data!$B$2:$B$2086,A420)</f>
        <v>2</v>
      </c>
      <c r="D420" s="11" t="n">
        <f aca="false">SUMIFS(Clean_Data!$M$2:$M$2086,Clean_Data!$B$2:$B$2086,A420)</f>
        <v>11400</v>
      </c>
      <c r="E420" s="11" t="n">
        <f aca="false">SUMIFS(Clean_Data!$N$2:$N$2086,Clean_Data!$B$2:$B$2086,A420)</f>
        <v>4000</v>
      </c>
      <c r="F420" s="2" t="str">
        <f aca="false">IF(C420&gt;1,"Repeat","One-time")</f>
        <v>Repeat</v>
      </c>
      <c r="G420" s="13" t="n">
        <f aca="false">SUM($D$2:D420)/SUM($D$2:$D$800)</f>
        <v>0.910088061222741</v>
      </c>
    </row>
    <row r="421" customFormat="false" ht="15" hidden="false" customHeight="false" outlineLevel="0" collapsed="false">
      <c r="A421" s="2" t="s">
        <v>186</v>
      </c>
      <c r="B421" s="2" t="str">
        <f aca="false">INDEX(Clean_Data!$F$2:$F$2086,MATCH(A421,Clean_Data!$B$2:$B$2086,0))</f>
        <v>Consumer</v>
      </c>
      <c r="C421" s="2" t="n">
        <f aca="false">COUNTIFS(Clean_Data!$B$2:$B$2086,A421)</f>
        <v>2</v>
      </c>
      <c r="D421" s="11" t="n">
        <f aca="false">SUMIFS(Clean_Data!$M$2:$M$2086,Clean_Data!$B$2:$B$2086,A421)</f>
        <v>11250</v>
      </c>
      <c r="E421" s="11" t="n">
        <f aca="false">SUMIFS(Clean_Data!$N$2:$N$2086,Clean_Data!$B$2:$B$2086,A421)</f>
        <v>2850</v>
      </c>
      <c r="F421" s="2" t="str">
        <f aca="false">IF(C421&gt;1,"Repeat","One-time")</f>
        <v>Repeat</v>
      </c>
      <c r="G421" s="13" t="n">
        <f aca="false">SUM($D$2:D421)/SUM($D$2:$D$800)</f>
        <v>0.910634927212744</v>
      </c>
    </row>
    <row r="422" customFormat="false" ht="15" hidden="false" customHeight="false" outlineLevel="0" collapsed="false">
      <c r="A422" s="2" t="s">
        <v>1789</v>
      </c>
      <c r="B422" s="2" t="str">
        <f aca="false">INDEX(Clean_Data!$F$2:$F$2086,MATCH(A422,Clean_Data!$B$2:$B$2086,0))</f>
        <v>Consumer</v>
      </c>
      <c r="C422" s="2" t="n">
        <f aca="false">COUNTIFS(Clean_Data!$B$2:$B$2086,A422)</f>
        <v>4</v>
      </c>
      <c r="D422" s="11" t="n">
        <f aca="false">SUMIFS(Clean_Data!$M$2:$M$2086,Clean_Data!$B$2:$B$2086,A422)</f>
        <v>11225</v>
      </c>
      <c r="E422" s="11" t="n">
        <f aca="false">SUMIFS(Clean_Data!$N$2:$N$2086,Clean_Data!$B$2:$B$2086,A422)</f>
        <v>4675</v>
      </c>
      <c r="F422" s="2" t="str">
        <f aca="false">IF(C422&gt;1,"Repeat","One-time")</f>
        <v>Repeat</v>
      </c>
      <c r="G422" s="13" t="n">
        <f aca="false">SUM($D$2:D422)/SUM($D$2:$D$800)</f>
        <v>0.911180577944992</v>
      </c>
    </row>
    <row r="423" customFormat="false" ht="15" hidden="false" customHeight="false" outlineLevel="0" collapsed="false">
      <c r="A423" s="2" t="s">
        <v>274</v>
      </c>
      <c r="B423" s="2" t="str">
        <f aca="false">INDEX(Clean_Data!$F$2:$F$2086,MATCH(A423,Clean_Data!$B$2:$B$2086,0))</f>
        <v>Small Business</v>
      </c>
      <c r="C423" s="2" t="n">
        <f aca="false">COUNTIFS(Clean_Data!$B$2:$B$2086,A423)</f>
        <v>2</v>
      </c>
      <c r="D423" s="11" t="n">
        <f aca="false">SUMIFS(Clean_Data!$M$2:$M$2086,Clean_Data!$B$2:$B$2086,A423)</f>
        <v>10800</v>
      </c>
      <c r="E423" s="11" t="n">
        <f aca="false">SUMIFS(Clean_Data!$N$2:$N$2086,Clean_Data!$B$2:$B$2086,A423)</f>
        <v>5400</v>
      </c>
      <c r="F423" s="2" t="str">
        <f aca="false">IF(C423&gt;1,"Repeat","One-time")</f>
        <v>Repeat</v>
      </c>
      <c r="G423" s="13" t="n">
        <f aca="false">SUM($D$2:D423)/SUM($D$2:$D$800)</f>
        <v>0.911705569295395</v>
      </c>
    </row>
    <row r="424" customFormat="false" ht="15" hidden="false" customHeight="false" outlineLevel="0" collapsed="false">
      <c r="A424" s="2" t="s">
        <v>2526</v>
      </c>
      <c r="B424" s="2" t="str">
        <f aca="false">INDEX(Clean_Data!$F$2:$F$2086,MATCH(A424,Clean_Data!$B$2:$B$2086,0))</f>
        <v>Small Business</v>
      </c>
      <c r="C424" s="2" t="n">
        <f aca="false">COUNTIFS(Clean_Data!$B$2:$B$2086,A424)</f>
        <v>1</v>
      </c>
      <c r="D424" s="11" t="n">
        <f aca="false">SUMIFS(Clean_Data!$M$2:$M$2086,Clean_Data!$B$2:$B$2086,A424)</f>
        <v>10800</v>
      </c>
      <c r="E424" s="11" t="n">
        <f aca="false">SUMIFS(Clean_Data!$N$2:$N$2086,Clean_Data!$B$2:$B$2086,A424)</f>
        <v>5400</v>
      </c>
      <c r="F424" s="2" t="str">
        <f aca="false">IF(C424&gt;1,"Repeat","One-time")</f>
        <v>One-time</v>
      </c>
      <c r="G424" s="13" t="n">
        <f aca="false">SUM($D$2:D424)/SUM($D$2:$D$800)</f>
        <v>0.912230560645798</v>
      </c>
    </row>
    <row r="425" customFormat="false" ht="15" hidden="false" customHeight="false" outlineLevel="0" collapsed="false">
      <c r="A425" s="2" t="s">
        <v>595</v>
      </c>
      <c r="B425" s="2" t="str">
        <f aca="false">INDEX(Clean_Data!$F$2:$F$2086,MATCH(A425,Clean_Data!$B$2:$B$2086,0))</f>
        <v>Consumer</v>
      </c>
      <c r="C425" s="2" t="n">
        <f aca="false">COUNTIFS(Clean_Data!$B$2:$B$2086,A425)</f>
        <v>2</v>
      </c>
      <c r="D425" s="11" t="n">
        <f aca="false">SUMIFS(Clean_Data!$M$2:$M$2086,Clean_Data!$B$2:$B$2086,A425)</f>
        <v>10800</v>
      </c>
      <c r="E425" s="11" t="n">
        <f aca="false">SUMIFS(Clean_Data!$N$2:$N$2086,Clean_Data!$B$2:$B$2086,A425)</f>
        <v>3800</v>
      </c>
      <c r="F425" s="2" t="str">
        <f aca="false">IF(C425&gt;1,"Repeat","One-time")</f>
        <v>Repeat</v>
      </c>
      <c r="G425" s="13" t="n">
        <f aca="false">SUM($D$2:D425)/SUM($D$2:$D$800)</f>
        <v>0.912755551996201</v>
      </c>
    </row>
    <row r="426" customFormat="false" ht="15" hidden="false" customHeight="false" outlineLevel="0" collapsed="false">
      <c r="A426" s="2" t="s">
        <v>1924</v>
      </c>
      <c r="B426" s="2" t="str">
        <f aca="false">INDEX(Clean_Data!$F$2:$F$2086,MATCH(A426,Clean_Data!$B$2:$B$2086,0))</f>
        <v>Consumer</v>
      </c>
      <c r="C426" s="2" t="n">
        <f aca="false">COUNTIFS(Clean_Data!$B$2:$B$2086,A426)</f>
        <v>3</v>
      </c>
      <c r="D426" s="11" t="n">
        <f aca="false">SUMIFS(Clean_Data!$M$2:$M$2086,Clean_Data!$B$2:$B$2086,A426)</f>
        <v>10625</v>
      </c>
      <c r="E426" s="11" t="n">
        <f aca="false">SUMIFS(Clean_Data!$N$2:$N$2086,Clean_Data!$B$2:$B$2086,A426)</f>
        <v>3775</v>
      </c>
      <c r="F426" s="2" t="str">
        <f aca="false">IF(C426&gt;1,"Repeat","One-time")</f>
        <v>Repeat</v>
      </c>
      <c r="G426" s="13" t="n">
        <f aca="false">SUM($D$2:D426)/SUM($D$2:$D$800)</f>
        <v>0.913272036542315</v>
      </c>
    </row>
    <row r="427" customFormat="false" ht="15" hidden="false" customHeight="false" outlineLevel="0" collapsed="false">
      <c r="A427" s="2" t="s">
        <v>471</v>
      </c>
      <c r="B427" s="2" t="str">
        <f aca="false">INDEX(Clean_Data!$F$2:$F$2086,MATCH(A427,Clean_Data!$B$2:$B$2086,0))</f>
        <v>Consumer</v>
      </c>
      <c r="C427" s="2" t="n">
        <f aca="false">COUNTIFS(Clean_Data!$B$2:$B$2086,A427)</f>
        <v>3</v>
      </c>
      <c r="D427" s="11" t="n">
        <f aca="false">SUMIFS(Clean_Data!$M$2:$M$2086,Clean_Data!$B$2:$B$2086,A427)</f>
        <v>10590</v>
      </c>
      <c r="E427" s="11" t="n">
        <f aca="false">SUMIFS(Clean_Data!$N$2:$N$2086,Clean_Data!$B$2:$B$2086,A427)</f>
        <v>4090</v>
      </c>
      <c r="F427" s="2" t="str">
        <f aca="false">IF(C427&gt;1,"Repeat","One-time")</f>
        <v>Repeat</v>
      </c>
      <c r="G427" s="13" t="n">
        <f aca="false">SUM($D$2:D427)/SUM($D$2:$D$800)</f>
        <v>0.913786819727571</v>
      </c>
    </row>
    <row r="428" customFormat="false" ht="15" hidden="false" customHeight="false" outlineLevel="0" collapsed="false">
      <c r="A428" s="2" t="s">
        <v>1262</v>
      </c>
      <c r="B428" s="2" t="str">
        <f aca="false">INDEX(Clean_Data!$F$2:$F$2086,MATCH(A428,Clean_Data!$B$2:$B$2086,0))</f>
        <v>Consumer</v>
      </c>
      <c r="C428" s="2" t="n">
        <f aca="false">COUNTIFS(Clean_Data!$B$2:$B$2086,A428)</f>
        <v>1</v>
      </c>
      <c r="D428" s="11" t="n">
        <f aca="false">SUMIFS(Clean_Data!$M$2:$M$2086,Clean_Data!$B$2:$B$2086,A428)</f>
        <v>10450</v>
      </c>
      <c r="E428" s="11" t="n">
        <f aca="false">SUMIFS(Clean_Data!$N$2:$N$2086,Clean_Data!$B$2:$B$2086,A428)</f>
        <v>3250</v>
      </c>
      <c r="F428" s="2" t="str">
        <f aca="false">IF(C428&gt;1,"Repeat","One-time")</f>
        <v>One-time</v>
      </c>
      <c r="G428" s="13" t="n">
        <f aca="false">SUM($D$2:D428)/SUM($D$2:$D$800)</f>
        <v>0.914294797469396</v>
      </c>
    </row>
    <row r="429" customFormat="false" ht="15" hidden="false" customHeight="false" outlineLevel="0" collapsed="false">
      <c r="A429" s="2" t="s">
        <v>2335</v>
      </c>
      <c r="B429" s="2" t="str">
        <f aca="false">INDEX(Clean_Data!$F$2:$F$2086,MATCH(A429,Clean_Data!$B$2:$B$2086,0))</f>
        <v>Consumer</v>
      </c>
      <c r="C429" s="2" t="n">
        <f aca="false">COUNTIFS(Clean_Data!$B$2:$B$2086,A429)</f>
        <v>1</v>
      </c>
      <c r="D429" s="11" t="n">
        <f aca="false">SUMIFS(Clean_Data!$M$2:$M$2086,Clean_Data!$B$2:$B$2086,A429)</f>
        <v>10450</v>
      </c>
      <c r="E429" s="11" t="n">
        <f aca="false">SUMIFS(Clean_Data!$N$2:$N$2086,Clean_Data!$B$2:$B$2086,A429)</f>
        <v>3250</v>
      </c>
      <c r="F429" s="2" t="str">
        <f aca="false">IF(C429&gt;1,"Repeat","One-time")</f>
        <v>One-time</v>
      </c>
      <c r="G429" s="13" t="n">
        <f aca="false">SUM($D$2:D429)/SUM($D$2:$D$800)</f>
        <v>0.914802775211221</v>
      </c>
    </row>
    <row r="430" customFormat="false" ht="15" hidden="false" customHeight="false" outlineLevel="0" collapsed="false">
      <c r="A430" s="2" t="s">
        <v>2081</v>
      </c>
      <c r="B430" s="2" t="str">
        <f aca="false">INDEX(Clean_Data!$F$2:$F$2086,MATCH(A430,Clean_Data!$B$2:$B$2086,0))</f>
        <v>Consumer</v>
      </c>
      <c r="C430" s="2" t="n">
        <f aca="false">COUNTIFS(Clean_Data!$B$2:$B$2086,A430)</f>
        <v>2</v>
      </c>
      <c r="D430" s="11" t="n">
        <f aca="false">SUMIFS(Clean_Data!$M$2:$M$2086,Clean_Data!$B$2:$B$2086,A430)</f>
        <v>10450</v>
      </c>
      <c r="E430" s="11" t="n">
        <f aca="false">SUMIFS(Clean_Data!$N$2:$N$2086,Clean_Data!$B$2:$B$2086,A430)</f>
        <v>3250</v>
      </c>
      <c r="F430" s="2" t="str">
        <f aca="false">IF(C430&gt;1,"Repeat","One-time")</f>
        <v>Repeat</v>
      </c>
      <c r="G430" s="13" t="n">
        <f aca="false">SUM($D$2:D430)/SUM($D$2:$D$800)</f>
        <v>0.915310752953046</v>
      </c>
    </row>
    <row r="431" customFormat="false" ht="15" hidden="false" customHeight="false" outlineLevel="0" collapsed="false">
      <c r="A431" s="2" t="s">
        <v>2194</v>
      </c>
      <c r="B431" s="2" t="str">
        <f aca="false">INDEX(Clean_Data!$F$2:$F$2086,MATCH(A431,Clean_Data!$B$2:$B$2086,0))</f>
        <v>Consumer</v>
      </c>
      <c r="C431" s="2" t="n">
        <f aca="false">COUNTIFS(Clean_Data!$B$2:$B$2086,A431)</f>
        <v>1</v>
      </c>
      <c r="D431" s="11" t="n">
        <f aca="false">SUMIFS(Clean_Data!$M$2:$M$2086,Clean_Data!$B$2:$B$2086,A431)</f>
        <v>10450</v>
      </c>
      <c r="E431" s="11" t="n">
        <f aca="false">SUMIFS(Clean_Data!$N$2:$N$2086,Clean_Data!$B$2:$B$2086,A431)</f>
        <v>3250</v>
      </c>
      <c r="F431" s="2" t="str">
        <f aca="false">IF(C431&gt;1,"Repeat","One-time")</f>
        <v>One-time</v>
      </c>
      <c r="G431" s="13" t="n">
        <f aca="false">SUM($D$2:D431)/SUM($D$2:$D$800)</f>
        <v>0.915818730694871</v>
      </c>
    </row>
    <row r="432" customFormat="false" ht="15" hidden="false" customHeight="false" outlineLevel="0" collapsed="false">
      <c r="A432" s="2" t="s">
        <v>1278</v>
      </c>
      <c r="B432" s="2" t="str">
        <f aca="false">INDEX(Clean_Data!$F$2:$F$2086,MATCH(A432,Clean_Data!$B$2:$B$2086,0))</f>
        <v>Consumer</v>
      </c>
      <c r="C432" s="2" t="n">
        <f aca="false">COUNTIFS(Clean_Data!$B$2:$B$2086,A432)</f>
        <v>1</v>
      </c>
      <c r="D432" s="11" t="n">
        <f aca="false">SUMIFS(Clean_Data!$M$2:$M$2086,Clean_Data!$B$2:$B$2086,A432)</f>
        <v>10450</v>
      </c>
      <c r="E432" s="11" t="n">
        <f aca="false">SUMIFS(Clean_Data!$N$2:$N$2086,Clean_Data!$B$2:$B$2086,A432)</f>
        <v>3250</v>
      </c>
      <c r="F432" s="2" t="str">
        <f aca="false">IF(C432&gt;1,"Repeat","One-time")</f>
        <v>One-time</v>
      </c>
      <c r="G432" s="13" t="n">
        <f aca="false">SUM($D$2:D432)/SUM($D$2:$D$800)</f>
        <v>0.916326708436696</v>
      </c>
    </row>
    <row r="433" customFormat="false" ht="15" hidden="false" customHeight="false" outlineLevel="0" collapsed="false">
      <c r="A433" s="2" t="s">
        <v>1901</v>
      </c>
      <c r="B433" s="2" t="str">
        <f aca="false">INDEX(Clean_Data!$F$2:$F$2086,MATCH(A433,Clean_Data!$B$2:$B$2086,0))</f>
        <v>Consumer</v>
      </c>
      <c r="C433" s="2" t="n">
        <f aca="false">COUNTIFS(Clean_Data!$B$2:$B$2086,A433)</f>
        <v>5</v>
      </c>
      <c r="D433" s="11" t="n">
        <f aca="false">SUMIFS(Clean_Data!$M$2:$M$2086,Clean_Data!$B$2:$B$2086,A433)</f>
        <v>10175</v>
      </c>
      <c r="E433" s="11" t="n">
        <f aca="false">SUMIFS(Clean_Data!$N$2:$N$2086,Clean_Data!$B$2:$B$2086,A433)</f>
        <v>4375</v>
      </c>
      <c r="F433" s="2" t="str">
        <f aca="false">IF(C433&gt;1,"Repeat","One-time")</f>
        <v>Repeat</v>
      </c>
      <c r="G433" s="13" t="n">
        <f aca="false">SUM($D$2:D433)/SUM($D$2:$D$800)</f>
        <v>0.91682131834321</v>
      </c>
    </row>
    <row r="434" customFormat="false" ht="15" hidden="false" customHeight="false" outlineLevel="0" collapsed="false">
      <c r="A434" s="2" t="s">
        <v>2137</v>
      </c>
      <c r="B434" s="2" t="str">
        <f aca="false">INDEX(Clean_Data!$F$2:$F$2086,MATCH(A434,Clean_Data!$B$2:$B$2086,0))</f>
        <v>Consumer</v>
      </c>
      <c r="C434" s="2" t="n">
        <f aca="false">COUNTIFS(Clean_Data!$B$2:$B$2086,A434)</f>
        <v>2</v>
      </c>
      <c r="D434" s="11" t="n">
        <f aca="false">SUMIFS(Clean_Data!$M$2:$M$2086,Clean_Data!$B$2:$B$2086,A434)</f>
        <v>10140</v>
      </c>
      <c r="E434" s="11" t="n">
        <f aca="false">SUMIFS(Clean_Data!$N$2:$N$2086,Clean_Data!$B$2:$B$2086,A434)</f>
        <v>3340</v>
      </c>
      <c r="F434" s="2" t="str">
        <f aca="false">IF(C434&gt;1,"Repeat","One-time")</f>
        <v>Repeat</v>
      </c>
      <c r="G434" s="13" t="n">
        <f aca="false">SUM($D$2:D434)/SUM($D$2:$D$800)</f>
        <v>0.917314226888866</v>
      </c>
    </row>
    <row r="435" customFormat="false" ht="15" hidden="false" customHeight="false" outlineLevel="0" collapsed="false">
      <c r="A435" s="2" t="s">
        <v>132</v>
      </c>
      <c r="B435" s="2" t="str">
        <f aca="false">INDEX(Clean_Data!$F$2:$F$2086,MATCH(A435,Clean_Data!$B$2:$B$2086,0))</f>
        <v>Consumer</v>
      </c>
      <c r="C435" s="2" t="n">
        <f aca="false">COUNTIFS(Clean_Data!$B$2:$B$2086,A435)</f>
        <v>3</v>
      </c>
      <c r="D435" s="11" t="n">
        <f aca="false">SUMIFS(Clean_Data!$M$2:$M$2086,Clean_Data!$B$2:$B$2086,A435)</f>
        <v>10100</v>
      </c>
      <c r="E435" s="11" t="n">
        <f aca="false">SUMIFS(Clean_Data!$N$2:$N$2086,Clean_Data!$B$2:$B$2086,A435)</f>
        <v>3500</v>
      </c>
      <c r="F435" s="2" t="str">
        <f aca="false">IF(C435&gt;1,"Repeat","One-time")</f>
        <v>Repeat</v>
      </c>
      <c r="G435" s="13" t="n">
        <f aca="false">SUM($D$2:D435)/SUM($D$2:$D$800)</f>
        <v>0.917805191022113</v>
      </c>
    </row>
    <row r="436" customFormat="false" ht="15" hidden="false" customHeight="false" outlineLevel="0" collapsed="false">
      <c r="A436" s="2" t="s">
        <v>1157</v>
      </c>
      <c r="B436" s="2" t="str">
        <f aca="false">INDEX(Clean_Data!$F$2:$F$2086,MATCH(A436,Clean_Data!$B$2:$B$2086,0))</f>
        <v>Consumer</v>
      </c>
      <c r="C436" s="2" t="n">
        <f aca="false">COUNTIFS(Clean_Data!$B$2:$B$2086,A436)</f>
        <v>2</v>
      </c>
      <c r="D436" s="11" t="n">
        <f aca="false">SUMIFS(Clean_Data!$M$2:$M$2086,Clean_Data!$B$2:$B$2086,A436)</f>
        <v>10050</v>
      </c>
      <c r="E436" s="11" t="n">
        <f aca="false">SUMIFS(Clean_Data!$N$2:$N$2086,Clean_Data!$B$2:$B$2086,A436)</f>
        <v>2450</v>
      </c>
      <c r="F436" s="2" t="str">
        <f aca="false">IF(C436&gt;1,"Repeat","One-time")</f>
        <v>Repeat</v>
      </c>
      <c r="G436" s="13" t="n">
        <f aca="false">SUM($D$2:D436)/SUM($D$2:$D$800)</f>
        <v>0.918293724639849</v>
      </c>
    </row>
    <row r="437" customFormat="false" ht="15" hidden="false" customHeight="false" outlineLevel="0" collapsed="false">
      <c r="A437" s="2" t="s">
        <v>548</v>
      </c>
      <c r="B437" s="2" t="str">
        <f aca="false">INDEX(Clean_Data!$F$2:$F$2086,MATCH(A437,Clean_Data!$B$2:$B$2086,0))</f>
        <v>Small Business</v>
      </c>
      <c r="C437" s="2" t="n">
        <f aca="false">COUNTIFS(Clean_Data!$B$2:$B$2086,A437)</f>
        <v>2</v>
      </c>
      <c r="D437" s="11" t="n">
        <f aca="false">SUMIFS(Clean_Data!$M$2:$M$2086,Clean_Data!$B$2:$B$2086,A437)</f>
        <v>10050</v>
      </c>
      <c r="E437" s="11" t="n">
        <f aca="false">SUMIFS(Clean_Data!$N$2:$N$2086,Clean_Data!$B$2:$B$2086,A437)</f>
        <v>4450</v>
      </c>
      <c r="F437" s="2" t="str">
        <f aca="false">IF(C437&gt;1,"Repeat","One-time")</f>
        <v>Repeat</v>
      </c>
      <c r="G437" s="13" t="n">
        <f aca="false">SUM($D$2:D437)/SUM($D$2:$D$800)</f>
        <v>0.918782258257585</v>
      </c>
    </row>
    <row r="438" customFormat="false" ht="15" hidden="false" customHeight="false" outlineLevel="0" collapsed="false">
      <c r="A438" s="2" t="s">
        <v>703</v>
      </c>
      <c r="B438" s="2" t="str">
        <f aca="false">INDEX(Clean_Data!$F$2:$F$2086,MATCH(A438,Clean_Data!$B$2:$B$2086,0))</f>
        <v>Consumer</v>
      </c>
      <c r="C438" s="2" t="n">
        <f aca="false">COUNTIFS(Clean_Data!$B$2:$B$2086,A438)</f>
        <v>2</v>
      </c>
      <c r="D438" s="11" t="n">
        <f aca="false">SUMIFS(Clean_Data!$M$2:$M$2086,Clean_Data!$B$2:$B$2086,A438)</f>
        <v>9975</v>
      </c>
      <c r="E438" s="11" t="n">
        <f aca="false">SUMIFS(Clean_Data!$N$2:$N$2086,Clean_Data!$B$2:$B$2086,A438)</f>
        <v>2875</v>
      </c>
      <c r="F438" s="2" t="str">
        <f aca="false">IF(C438&gt;1,"Repeat","One-time")</f>
        <v>Repeat</v>
      </c>
      <c r="G438" s="13" t="n">
        <f aca="false">SUM($D$2:D438)/SUM($D$2:$D$800)</f>
        <v>0.919267146102055</v>
      </c>
    </row>
    <row r="439" customFormat="false" ht="15" hidden="false" customHeight="false" outlineLevel="0" collapsed="false">
      <c r="A439" s="2" t="s">
        <v>406</v>
      </c>
      <c r="B439" s="2" t="str">
        <f aca="false">INDEX(Clean_Data!$F$2:$F$2086,MATCH(A439,Clean_Data!$B$2:$B$2086,0))</f>
        <v>Consumer</v>
      </c>
      <c r="C439" s="2" t="n">
        <f aca="false">COUNTIFS(Clean_Data!$B$2:$B$2086,A439)</f>
        <v>1</v>
      </c>
      <c r="D439" s="11" t="n">
        <f aca="false">SUMIFS(Clean_Data!$M$2:$M$2086,Clean_Data!$B$2:$B$2086,A439)</f>
        <v>9900</v>
      </c>
      <c r="E439" s="11" t="n">
        <f aca="false">SUMIFS(Clean_Data!$N$2:$N$2086,Clean_Data!$B$2:$B$2086,A439)</f>
        <v>2700</v>
      </c>
      <c r="F439" s="2" t="str">
        <f aca="false">IF(C439&gt;1,"Repeat","One-time")</f>
        <v>One-time</v>
      </c>
      <c r="G439" s="13" t="n">
        <f aca="false">SUM($D$2:D439)/SUM($D$2:$D$800)</f>
        <v>0.919748388173257</v>
      </c>
    </row>
    <row r="440" customFormat="false" ht="15" hidden="false" customHeight="false" outlineLevel="0" collapsed="false">
      <c r="A440" s="2" t="s">
        <v>2484</v>
      </c>
      <c r="B440" s="2" t="str">
        <f aca="false">INDEX(Clean_Data!$F$2:$F$2086,MATCH(A440,Clean_Data!$B$2:$B$2086,0))</f>
        <v>Consumer</v>
      </c>
      <c r="C440" s="2" t="n">
        <f aca="false">COUNTIFS(Clean_Data!$B$2:$B$2086,A440)</f>
        <v>1</v>
      </c>
      <c r="D440" s="11" t="n">
        <f aca="false">SUMIFS(Clean_Data!$M$2:$M$2086,Clean_Data!$B$2:$B$2086,A440)</f>
        <v>9900</v>
      </c>
      <c r="E440" s="11" t="n">
        <f aca="false">SUMIFS(Clean_Data!$N$2:$N$2086,Clean_Data!$B$2:$B$2086,A440)</f>
        <v>2700</v>
      </c>
      <c r="F440" s="2" t="str">
        <f aca="false">IF(C440&gt;1,"Repeat","One-time")</f>
        <v>One-time</v>
      </c>
      <c r="G440" s="13" t="n">
        <f aca="false">SUM($D$2:D440)/SUM($D$2:$D$800)</f>
        <v>0.92022963024446</v>
      </c>
    </row>
    <row r="441" customFormat="false" ht="15" hidden="false" customHeight="false" outlineLevel="0" collapsed="false">
      <c r="A441" s="2" t="s">
        <v>103</v>
      </c>
      <c r="B441" s="2" t="str">
        <f aca="false">INDEX(Clean_Data!$F$2:$F$2086,MATCH(A441,Clean_Data!$B$2:$B$2086,0))</f>
        <v>Consumer</v>
      </c>
      <c r="C441" s="2" t="n">
        <f aca="false">COUNTIFS(Clean_Data!$B$2:$B$2086,A441)</f>
        <v>1</v>
      </c>
      <c r="D441" s="11" t="n">
        <f aca="false">SUMIFS(Clean_Data!$M$2:$M$2086,Clean_Data!$B$2:$B$2086,A441)</f>
        <v>9900</v>
      </c>
      <c r="E441" s="11" t="n">
        <f aca="false">SUMIFS(Clean_Data!$N$2:$N$2086,Clean_Data!$B$2:$B$2086,A441)</f>
        <v>2700</v>
      </c>
      <c r="F441" s="2" t="str">
        <f aca="false">IF(C441&gt;1,"Repeat","One-time")</f>
        <v>One-time</v>
      </c>
      <c r="G441" s="13" t="n">
        <f aca="false">SUM($D$2:D441)/SUM($D$2:$D$800)</f>
        <v>0.920710872315663</v>
      </c>
    </row>
    <row r="442" customFormat="false" ht="15" hidden="false" customHeight="false" outlineLevel="0" collapsed="false">
      <c r="A442" s="2" t="s">
        <v>2644</v>
      </c>
      <c r="B442" s="2" t="str">
        <f aca="false">INDEX(Clean_Data!$F$2:$F$2086,MATCH(A442,Clean_Data!$B$2:$B$2086,0))</f>
        <v>Consumer</v>
      </c>
      <c r="C442" s="2" t="n">
        <f aca="false">COUNTIFS(Clean_Data!$B$2:$B$2086,A442)</f>
        <v>3</v>
      </c>
      <c r="D442" s="11" t="n">
        <f aca="false">SUMIFS(Clean_Data!$M$2:$M$2086,Clean_Data!$B$2:$B$2086,A442)</f>
        <v>9800</v>
      </c>
      <c r="E442" s="11" t="n">
        <f aca="false">SUMIFS(Clean_Data!$N$2:$N$2086,Clean_Data!$B$2:$B$2086,A442)</f>
        <v>4200</v>
      </c>
      <c r="F442" s="2" t="str">
        <f aca="false">IF(C442&gt;1,"Repeat","One-time")</f>
        <v>Repeat</v>
      </c>
      <c r="G442" s="13" t="n">
        <f aca="false">SUM($D$2:D442)/SUM($D$2:$D$800)</f>
        <v>0.921187253355843</v>
      </c>
    </row>
    <row r="443" customFormat="false" ht="15" hidden="false" customHeight="false" outlineLevel="0" collapsed="false">
      <c r="A443" s="2" t="s">
        <v>530</v>
      </c>
      <c r="B443" s="2" t="str">
        <f aca="false">INDEX(Clean_Data!$F$2:$F$2086,MATCH(A443,Clean_Data!$B$2:$B$2086,0))</f>
        <v>Consumer</v>
      </c>
      <c r="C443" s="2" t="n">
        <f aca="false">COUNTIFS(Clean_Data!$B$2:$B$2086,A443)</f>
        <v>2</v>
      </c>
      <c r="D443" s="11" t="n">
        <f aca="false">SUMIFS(Clean_Data!$M$2:$M$2086,Clean_Data!$B$2:$B$2086,A443)</f>
        <v>9780</v>
      </c>
      <c r="E443" s="11" t="n">
        <f aca="false">SUMIFS(Clean_Data!$N$2:$N$2086,Clean_Data!$B$2:$B$2086,A443)</f>
        <v>3780</v>
      </c>
      <c r="F443" s="2" t="str">
        <f aca="false">IF(C443&gt;1,"Repeat","One-time")</f>
        <v>Repeat</v>
      </c>
      <c r="G443" s="13" t="n">
        <f aca="false">SUM($D$2:D443)/SUM($D$2:$D$800)</f>
        <v>0.921662662189819</v>
      </c>
    </row>
    <row r="444" customFormat="false" ht="15" hidden="false" customHeight="false" outlineLevel="0" collapsed="false">
      <c r="A444" s="2" t="s">
        <v>2570</v>
      </c>
      <c r="B444" s="2" t="str">
        <f aca="false">INDEX(Clean_Data!$F$2:$F$2086,MATCH(A444,Clean_Data!$B$2:$B$2086,0))</f>
        <v>Consumer</v>
      </c>
      <c r="C444" s="2" t="n">
        <f aca="false">COUNTIFS(Clean_Data!$B$2:$B$2086,A444)</f>
        <v>2</v>
      </c>
      <c r="D444" s="11" t="n">
        <f aca="false">SUMIFS(Clean_Data!$M$2:$M$2086,Clean_Data!$B$2:$B$2086,A444)</f>
        <v>9750</v>
      </c>
      <c r="E444" s="11" t="n">
        <f aca="false">SUMIFS(Clean_Data!$N$2:$N$2086,Clean_Data!$B$2:$B$2086,A444)</f>
        <v>3150</v>
      </c>
      <c r="F444" s="2" t="str">
        <f aca="false">IF(C444&gt;1,"Repeat","One-time")</f>
        <v>Repeat</v>
      </c>
      <c r="G444" s="13" t="n">
        <f aca="false">SUM($D$2:D444)/SUM($D$2:$D$800)</f>
        <v>0.922136612714488</v>
      </c>
    </row>
    <row r="445" customFormat="false" ht="15" hidden="false" customHeight="false" outlineLevel="0" collapsed="false">
      <c r="A445" s="2" t="s">
        <v>633</v>
      </c>
      <c r="B445" s="2" t="str">
        <f aca="false">INDEX(Clean_Data!$F$2:$F$2086,MATCH(A445,Clean_Data!$B$2:$B$2086,0))</f>
        <v>Consumer</v>
      </c>
      <c r="C445" s="2" t="n">
        <f aca="false">COUNTIFS(Clean_Data!$B$2:$B$2086,A445)</f>
        <v>2</v>
      </c>
      <c r="D445" s="11" t="n">
        <f aca="false">SUMIFS(Clean_Data!$M$2:$M$2086,Clean_Data!$B$2:$B$2086,A445)</f>
        <v>9690</v>
      </c>
      <c r="E445" s="11" t="n">
        <f aca="false">SUMIFS(Clean_Data!$N$2:$N$2086,Clean_Data!$B$2:$B$2086,A445)</f>
        <v>2490</v>
      </c>
      <c r="F445" s="2" t="str">
        <f aca="false">IF(C445&gt;1,"Repeat","One-time")</f>
        <v>Repeat</v>
      </c>
      <c r="G445" s="13" t="n">
        <f aca="false">SUM($D$2:D445)/SUM($D$2:$D$800)</f>
        <v>0.922607646620544</v>
      </c>
    </row>
    <row r="446" customFormat="false" ht="15" hidden="false" customHeight="false" outlineLevel="0" collapsed="false">
      <c r="A446" s="2" t="s">
        <v>2172</v>
      </c>
      <c r="B446" s="2" t="str">
        <f aca="false">INDEX(Clean_Data!$F$2:$F$2086,MATCH(A446,Clean_Data!$B$2:$B$2086,0))</f>
        <v>Consumer</v>
      </c>
      <c r="C446" s="2" t="n">
        <f aca="false">COUNTIFS(Clean_Data!$B$2:$B$2086,A446)</f>
        <v>2</v>
      </c>
      <c r="D446" s="11" t="n">
        <f aca="false">SUMIFS(Clean_Data!$M$2:$M$2086,Clean_Data!$B$2:$B$2086,A446)</f>
        <v>9660</v>
      </c>
      <c r="E446" s="11" t="n">
        <f aca="false">SUMIFS(Clean_Data!$N$2:$N$2086,Clean_Data!$B$2:$B$2086,A446)</f>
        <v>3660</v>
      </c>
      <c r="F446" s="2" t="str">
        <f aca="false">IF(C446&gt;1,"Repeat","One-time")</f>
        <v>Repeat</v>
      </c>
      <c r="G446" s="13" t="n">
        <f aca="false">SUM($D$2:D446)/SUM($D$2:$D$800)</f>
        <v>0.923077222217294</v>
      </c>
    </row>
    <row r="447" customFormat="false" ht="15" hidden="false" customHeight="false" outlineLevel="0" collapsed="false">
      <c r="A447" s="2" t="s">
        <v>358</v>
      </c>
      <c r="B447" s="2" t="str">
        <f aca="false">INDEX(Clean_Data!$F$2:$F$2086,MATCH(A447,Clean_Data!$B$2:$B$2086,0))</f>
        <v>Small Business</v>
      </c>
      <c r="C447" s="2" t="n">
        <f aca="false">COUNTIFS(Clean_Data!$B$2:$B$2086,A447)</f>
        <v>2</v>
      </c>
      <c r="D447" s="11" t="n">
        <f aca="false">SUMIFS(Clean_Data!$M$2:$M$2086,Clean_Data!$B$2:$B$2086,A447)</f>
        <v>9650</v>
      </c>
      <c r="E447" s="11" t="n">
        <f aca="false">SUMIFS(Clean_Data!$N$2:$N$2086,Clean_Data!$B$2:$B$2086,A447)</f>
        <v>4950</v>
      </c>
      <c r="F447" s="2" t="str">
        <f aca="false">IF(C447&gt;1,"Repeat","One-time")</f>
        <v>Repeat</v>
      </c>
      <c r="G447" s="13" t="n">
        <f aca="false">SUM($D$2:D447)/SUM($D$2:$D$800)</f>
        <v>0.923546311710941</v>
      </c>
    </row>
    <row r="448" customFormat="false" ht="15" hidden="false" customHeight="false" outlineLevel="0" collapsed="false">
      <c r="A448" s="2" t="s">
        <v>852</v>
      </c>
      <c r="B448" s="2" t="str">
        <f aca="false">INDEX(Clean_Data!$F$2:$F$2086,MATCH(A448,Clean_Data!$B$2:$B$2086,0))</f>
        <v>Small Business</v>
      </c>
      <c r="C448" s="2" t="n">
        <f aca="false">COUNTIFS(Clean_Data!$B$2:$B$2086,A448)</f>
        <v>2</v>
      </c>
      <c r="D448" s="11" t="n">
        <f aca="false">SUMIFS(Clean_Data!$M$2:$M$2086,Clean_Data!$B$2:$B$2086,A448)</f>
        <v>9580</v>
      </c>
      <c r="E448" s="11" t="n">
        <f aca="false">SUMIFS(Clean_Data!$N$2:$N$2086,Clean_Data!$B$2:$B$2086,A448)</f>
        <v>4980</v>
      </c>
      <c r="F448" s="2" t="str">
        <f aca="false">IF(C448&gt;1,"Repeat","One-time")</f>
        <v>Repeat</v>
      </c>
      <c r="G448" s="13" t="n">
        <f aca="false">SUM($D$2:D448)/SUM($D$2:$D$800)</f>
        <v>0.924011998482872</v>
      </c>
    </row>
    <row r="449" customFormat="false" ht="15" hidden="false" customHeight="false" outlineLevel="0" collapsed="false">
      <c r="A449" s="2" t="s">
        <v>2086</v>
      </c>
      <c r="B449" s="2" t="str">
        <f aca="false">INDEX(Clean_Data!$F$2:$F$2086,MATCH(A449,Clean_Data!$B$2:$B$2086,0))</f>
        <v>Consumer</v>
      </c>
      <c r="C449" s="2" t="n">
        <f aca="false">COUNTIFS(Clean_Data!$B$2:$B$2086,A449)</f>
        <v>2</v>
      </c>
      <c r="D449" s="11" t="n">
        <f aca="false">SUMIFS(Clean_Data!$M$2:$M$2086,Clean_Data!$B$2:$B$2086,A449)</f>
        <v>9500</v>
      </c>
      <c r="E449" s="11" t="n">
        <f aca="false">SUMIFS(Clean_Data!$N$2:$N$2086,Clean_Data!$B$2:$B$2086,A449)</f>
        <v>3750</v>
      </c>
      <c r="F449" s="2" t="str">
        <f aca="false">IF(C449&gt;1,"Repeat","One-time")</f>
        <v>Repeat</v>
      </c>
      <c r="G449" s="13" t="n">
        <f aca="false">SUM($D$2:D449)/SUM($D$2:$D$800)</f>
        <v>0.924473796429986</v>
      </c>
    </row>
    <row r="450" customFormat="false" ht="15" hidden="false" customHeight="false" outlineLevel="0" collapsed="false">
      <c r="A450" s="2" t="s">
        <v>546</v>
      </c>
      <c r="B450" s="2" t="str">
        <f aca="false">INDEX(Clean_Data!$F$2:$F$2086,MATCH(A450,Clean_Data!$B$2:$B$2086,0))</f>
        <v>Small Business</v>
      </c>
      <c r="C450" s="2" t="n">
        <f aca="false">COUNTIFS(Clean_Data!$B$2:$B$2086,A450)</f>
        <v>1</v>
      </c>
      <c r="D450" s="11" t="n">
        <f aca="false">SUMIFS(Clean_Data!$M$2:$M$2086,Clean_Data!$B$2:$B$2086,A450)</f>
        <v>9500</v>
      </c>
      <c r="E450" s="11" t="n">
        <f aca="false">SUMIFS(Clean_Data!$N$2:$N$2086,Clean_Data!$B$2:$B$2086,A450)</f>
        <v>3100</v>
      </c>
      <c r="F450" s="2" t="str">
        <f aca="false">IF(C450&gt;1,"Repeat","One-time")</f>
        <v>One-time</v>
      </c>
      <c r="G450" s="13" t="n">
        <f aca="false">SUM($D$2:D450)/SUM($D$2:$D$800)</f>
        <v>0.9249355943771</v>
      </c>
    </row>
    <row r="451" customFormat="false" ht="15" hidden="false" customHeight="false" outlineLevel="0" collapsed="false">
      <c r="A451" s="2" t="s">
        <v>163</v>
      </c>
      <c r="B451" s="2" t="str">
        <f aca="false">INDEX(Clean_Data!$F$2:$F$2086,MATCH(A451,Clean_Data!$B$2:$B$2086,0))</f>
        <v>Consumer</v>
      </c>
      <c r="C451" s="2" t="n">
        <f aca="false">COUNTIFS(Clean_Data!$B$2:$B$2086,A451)</f>
        <v>2</v>
      </c>
      <c r="D451" s="11" t="n">
        <f aca="false">SUMIFS(Clean_Data!$M$2:$M$2086,Clean_Data!$B$2:$B$2086,A451)</f>
        <v>9450</v>
      </c>
      <c r="E451" s="11" t="n">
        <f aca="false">SUMIFS(Clean_Data!$N$2:$N$2086,Clean_Data!$B$2:$B$2086,A451)</f>
        <v>3250</v>
      </c>
      <c r="F451" s="2" t="str">
        <f aca="false">IF(C451&gt;1,"Repeat","One-time")</f>
        <v>Repeat</v>
      </c>
      <c r="G451" s="13" t="n">
        <f aca="false">SUM($D$2:D451)/SUM($D$2:$D$800)</f>
        <v>0.925394961808702</v>
      </c>
    </row>
    <row r="452" customFormat="false" ht="15" hidden="false" customHeight="false" outlineLevel="0" collapsed="false">
      <c r="A452" s="2" t="s">
        <v>2566</v>
      </c>
      <c r="B452" s="2" t="str">
        <f aca="false">INDEX(Clean_Data!$F$2:$F$2086,MATCH(A452,Clean_Data!$B$2:$B$2086,0))</f>
        <v>Consumer</v>
      </c>
      <c r="C452" s="2" t="n">
        <f aca="false">COUNTIFS(Clean_Data!$B$2:$B$2086,A452)</f>
        <v>3</v>
      </c>
      <c r="D452" s="11" t="n">
        <f aca="false">SUMIFS(Clean_Data!$M$2:$M$2086,Clean_Data!$B$2:$B$2086,A452)</f>
        <v>9340</v>
      </c>
      <c r="E452" s="11" t="n">
        <f aca="false">SUMIFS(Clean_Data!$N$2:$N$2086,Clean_Data!$B$2:$B$2086,A452)</f>
        <v>4140</v>
      </c>
      <c r="F452" s="2" t="str">
        <f aca="false">IF(C452&gt;1,"Repeat","One-time")</f>
        <v>Repeat</v>
      </c>
      <c r="G452" s="13" t="n">
        <f aca="false">SUM($D$2:D452)/SUM($D$2:$D$800)</f>
        <v>0.92584898210618</v>
      </c>
    </row>
    <row r="453" customFormat="false" ht="15" hidden="false" customHeight="false" outlineLevel="0" collapsed="false">
      <c r="A453" s="2" t="s">
        <v>448</v>
      </c>
      <c r="B453" s="2" t="str">
        <f aca="false">INDEX(Clean_Data!$F$2:$F$2086,MATCH(A453,Clean_Data!$B$2:$B$2086,0))</f>
        <v>Small Business</v>
      </c>
      <c r="C453" s="2" t="n">
        <f aca="false">COUNTIFS(Clean_Data!$B$2:$B$2086,A453)</f>
        <v>1</v>
      </c>
      <c r="D453" s="11" t="n">
        <f aca="false">SUMIFS(Clean_Data!$M$2:$M$2086,Clean_Data!$B$2:$B$2086,A453)</f>
        <v>9180</v>
      </c>
      <c r="E453" s="11" t="n">
        <f aca="false">SUMIFS(Clean_Data!$N$2:$N$2086,Clean_Data!$B$2:$B$2086,A453)</f>
        <v>4080</v>
      </c>
      <c r="F453" s="2" t="str">
        <f aca="false">IF(C453&gt;1,"Repeat","One-time")</f>
        <v>One-time</v>
      </c>
      <c r="G453" s="13" t="n">
        <f aca="false">SUM($D$2:D453)/SUM($D$2:$D$800)</f>
        <v>0.926295224754023</v>
      </c>
    </row>
    <row r="454" customFormat="false" ht="15" hidden="false" customHeight="false" outlineLevel="0" collapsed="false">
      <c r="A454" s="2" t="s">
        <v>884</v>
      </c>
      <c r="B454" s="2" t="str">
        <f aca="false">INDEX(Clean_Data!$F$2:$F$2086,MATCH(A454,Clean_Data!$B$2:$B$2086,0))</f>
        <v>Consumer</v>
      </c>
      <c r="C454" s="2" t="n">
        <f aca="false">COUNTIFS(Clean_Data!$B$2:$B$2086,A454)</f>
        <v>4</v>
      </c>
      <c r="D454" s="11" t="n">
        <f aca="false">SUMIFS(Clean_Data!$M$2:$M$2086,Clean_Data!$B$2:$B$2086,A454)</f>
        <v>9175</v>
      </c>
      <c r="E454" s="11" t="n">
        <f aca="false">SUMIFS(Clean_Data!$N$2:$N$2086,Clean_Data!$B$2:$B$2086,A454)</f>
        <v>3025</v>
      </c>
      <c r="F454" s="2" t="str">
        <f aca="false">IF(C454&gt;1,"Repeat","One-time")</f>
        <v>Repeat</v>
      </c>
      <c r="G454" s="13" t="n">
        <f aca="false">SUM($D$2:D454)/SUM($D$2:$D$800)</f>
        <v>0.926741224350314</v>
      </c>
    </row>
    <row r="455" customFormat="false" ht="15" hidden="false" customHeight="false" outlineLevel="0" collapsed="false">
      <c r="A455" s="2" t="s">
        <v>2254</v>
      </c>
      <c r="B455" s="2" t="str">
        <f aca="false">INDEX(Clean_Data!$F$2:$F$2086,MATCH(A455,Clean_Data!$B$2:$B$2086,0))</f>
        <v>Small Business</v>
      </c>
      <c r="C455" s="2" t="n">
        <f aca="false">COUNTIFS(Clean_Data!$B$2:$B$2086,A455)</f>
        <v>2</v>
      </c>
      <c r="D455" s="11" t="n">
        <f aca="false">SUMIFS(Clean_Data!$M$2:$M$2086,Clean_Data!$B$2:$B$2086,A455)</f>
        <v>9165</v>
      </c>
      <c r="E455" s="11" t="n">
        <f aca="false">SUMIFS(Clean_Data!$N$2:$N$2086,Clean_Data!$B$2:$B$2086,A455)</f>
        <v>3165</v>
      </c>
      <c r="F455" s="2" t="str">
        <f aca="false">IF(C455&gt;1,"Repeat","One-time")</f>
        <v>Repeat</v>
      </c>
      <c r="G455" s="13" t="n">
        <f aca="false">SUM($D$2:D455)/SUM($D$2:$D$800)</f>
        <v>0.927186737843503</v>
      </c>
    </row>
    <row r="456" customFormat="false" ht="15" hidden="false" customHeight="false" outlineLevel="0" collapsed="false">
      <c r="A456" s="2" t="s">
        <v>1956</v>
      </c>
      <c r="B456" s="2" t="str">
        <f aca="false">INDEX(Clean_Data!$F$2:$F$2086,MATCH(A456,Clean_Data!$B$2:$B$2086,0))</f>
        <v>Consumer</v>
      </c>
      <c r="C456" s="2" t="n">
        <f aca="false">COUNTIFS(Clean_Data!$B$2:$B$2086,A456)</f>
        <v>3</v>
      </c>
      <c r="D456" s="11" t="n">
        <f aca="false">SUMIFS(Clean_Data!$M$2:$M$2086,Clean_Data!$B$2:$B$2086,A456)</f>
        <v>9140</v>
      </c>
      <c r="E456" s="11" t="n">
        <f aca="false">SUMIFS(Clean_Data!$N$2:$N$2086,Clean_Data!$B$2:$B$2086,A456)</f>
        <v>3540</v>
      </c>
      <c r="F456" s="2" t="str">
        <f aca="false">IF(C456&gt;1,"Repeat","One-time")</f>
        <v>Repeat</v>
      </c>
      <c r="G456" s="13" t="n">
        <f aca="false">SUM($D$2:D456)/SUM($D$2:$D$800)</f>
        <v>0.927631036078937</v>
      </c>
    </row>
    <row r="457" customFormat="false" ht="15" hidden="false" customHeight="false" outlineLevel="0" collapsed="false">
      <c r="A457" s="2" t="s">
        <v>2648</v>
      </c>
      <c r="B457" s="2" t="str">
        <f aca="false">INDEX(Clean_Data!$F$2:$F$2086,MATCH(A457,Clean_Data!$B$2:$B$2086,0))</f>
        <v>Consumer</v>
      </c>
      <c r="C457" s="2" t="n">
        <f aca="false">COUNTIFS(Clean_Data!$B$2:$B$2086,A457)</f>
        <v>2</v>
      </c>
      <c r="D457" s="11" t="n">
        <f aca="false">SUMIFS(Clean_Data!$M$2:$M$2086,Clean_Data!$B$2:$B$2086,A457)</f>
        <v>9025</v>
      </c>
      <c r="E457" s="11" t="n">
        <f aca="false">SUMIFS(Clean_Data!$N$2:$N$2086,Clean_Data!$B$2:$B$2086,A457)</f>
        <v>3425</v>
      </c>
      <c r="F457" s="2" t="str">
        <f aca="false">IF(C457&gt;1,"Repeat","One-time")</f>
        <v>Repeat</v>
      </c>
      <c r="G457" s="13" t="n">
        <f aca="false">SUM($D$2:D457)/SUM($D$2:$D$800)</f>
        <v>0.928069744128695</v>
      </c>
    </row>
    <row r="458" customFormat="false" ht="15" hidden="false" customHeight="false" outlineLevel="0" collapsed="false">
      <c r="A458" s="2" t="s">
        <v>1393</v>
      </c>
      <c r="B458" s="2" t="str">
        <f aca="false">INDEX(Clean_Data!$F$2:$F$2086,MATCH(A458,Clean_Data!$B$2:$B$2086,0))</f>
        <v>Consumer</v>
      </c>
      <c r="C458" s="2" t="n">
        <f aca="false">COUNTIFS(Clean_Data!$B$2:$B$2086,A458)</f>
        <v>1</v>
      </c>
      <c r="D458" s="11" t="n">
        <f aca="false">SUMIFS(Clean_Data!$M$2:$M$2086,Clean_Data!$B$2:$B$2086,A458)</f>
        <v>9000</v>
      </c>
      <c r="E458" s="11" t="n">
        <f aca="false">SUMIFS(Clean_Data!$N$2:$N$2086,Clean_Data!$B$2:$B$2086,A458)</f>
        <v>3000</v>
      </c>
      <c r="F458" s="2" t="str">
        <f aca="false">IF(C458&gt;1,"Repeat","One-time")</f>
        <v>One-time</v>
      </c>
      <c r="G458" s="13" t="n">
        <f aca="false">SUM($D$2:D458)/SUM($D$2:$D$800)</f>
        <v>0.928507236920697</v>
      </c>
    </row>
    <row r="459" customFormat="false" ht="15" hidden="false" customHeight="false" outlineLevel="0" collapsed="false">
      <c r="A459" s="2" t="s">
        <v>1007</v>
      </c>
      <c r="B459" s="2" t="str">
        <f aca="false">INDEX(Clean_Data!$F$2:$F$2086,MATCH(A459,Clean_Data!$B$2:$B$2086,0))</f>
        <v>Consumer</v>
      </c>
      <c r="C459" s="2" t="n">
        <f aca="false">COUNTIFS(Clean_Data!$B$2:$B$2086,A459)</f>
        <v>1</v>
      </c>
      <c r="D459" s="11" t="n">
        <f aca="false">SUMIFS(Clean_Data!$M$2:$M$2086,Clean_Data!$B$2:$B$2086,A459)</f>
        <v>9000</v>
      </c>
      <c r="E459" s="11" t="n">
        <f aca="false">SUMIFS(Clean_Data!$N$2:$N$2086,Clean_Data!$B$2:$B$2086,A459)</f>
        <v>2400</v>
      </c>
      <c r="F459" s="2" t="str">
        <f aca="false">IF(C459&gt;1,"Repeat","One-time")</f>
        <v>One-time</v>
      </c>
      <c r="G459" s="13" t="n">
        <f aca="false">SUM($D$2:D459)/SUM($D$2:$D$800)</f>
        <v>0.9289447297127</v>
      </c>
    </row>
    <row r="460" customFormat="false" ht="15" hidden="false" customHeight="false" outlineLevel="0" collapsed="false">
      <c r="A460" s="2" t="s">
        <v>1705</v>
      </c>
      <c r="B460" s="2" t="str">
        <f aca="false">INDEX(Clean_Data!$F$2:$F$2086,MATCH(A460,Clean_Data!$B$2:$B$2086,0))</f>
        <v>Consumer</v>
      </c>
      <c r="C460" s="2" t="n">
        <f aca="false">COUNTIFS(Clean_Data!$B$2:$B$2086,A460)</f>
        <v>1</v>
      </c>
      <c r="D460" s="11" t="n">
        <f aca="false">SUMIFS(Clean_Data!$M$2:$M$2086,Clean_Data!$B$2:$B$2086,A460)</f>
        <v>9000</v>
      </c>
      <c r="E460" s="11" t="n">
        <f aca="false">SUMIFS(Clean_Data!$N$2:$N$2086,Clean_Data!$B$2:$B$2086,A460)</f>
        <v>2800</v>
      </c>
      <c r="F460" s="2" t="str">
        <f aca="false">IF(C460&gt;1,"Repeat","One-time")</f>
        <v>One-time</v>
      </c>
      <c r="G460" s="13" t="n">
        <f aca="false">SUM($D$2:D460)/SUM($D$2:$D$800)</f>
        <v>0.929382222504702</v>
      </c>
    </row>
    <row r="461" customFormat="false" ht="15" hidden="false" customHeight="false" outlineLevel="0" collapsed="false">
      <c r="A461" s="2" t="s">
        <v>2815</v>
      </c>
      <c r="B461" s="2" t="str">
        <f aca="false">INDEX(Clean_Data!$F$2:$F$2086,MATCH(A461,Clean_Data!$B$2:$B$2086,0))</f>
        <v>Small Business</v>
      </c>
      <c r="C461" s="2" t="n">
        <f aca="false">COUNTIFS(Clean_Data!$B$2:$B$2086,A461)</f>
        <v>1</v>
      </c>
      <c r="D461" s="11" t="n">
        <f aca="false">SUMIFS(Clean_Data!$M$2:$M$2086,Clean_Data!$B$2:$B$2086,A461)</f>
        <v>9000</v>
      </c>
      <c r="E461" s="11" t="n">
        <f aca="false">SUMIFS(Clean_Data!$N$2:$N$2086,Clean_Data!$B$2:$B$2086,A461)</f>
        <v>3000</v>
      </c>
      <c r="F461" s="2" t="str">
        <f aca="false">IF(C461&gt;1,"Repeat","One-time")</f>
        <v>One-time</v>
      </c>
      <c r="G461" s="13" t="n">
        <f aca="false">SUM($D$2:D461)/SUM($D$2:$D$800)</f>
        <v>0.929819715296705</v>
      </c>
    </row>
    <row r="462" customFormat="false" ht="15" hidden="false" customHeight="false" outlineLevel="0" collapsed="false">
      <c r="A462" s="2" t="s">
        <v>2786</v>
      </c>
      <c r="B462" s="2" t="str">
        <f aca="false">INDEX(Clean_Data!$F$2:$F$2086,MATCH(A462,Clean_Data!$B$2:$B$2086,0))</f>
        <v>Small Business</v>
      </c>
      <c r="C462" s="2" t="n">
        <f aca="false">COUNTIFS(Clean_Data!$B$2:$B$2086,A462)</f>
        <v>1</v>
      </c>
      <c r="D462" s="11" t="n">
        <f aca="false">SUMIFS(Clean_Data!$M$2:$M$2086,Clean_Data!$B$2:$B$2086,A462)</f>
        <v>9000</v>
      </c>
      <c r="E462" s="11" t="n">
        <f aca="false">SUMIFS(Clean_Data!$N$2:$N$2086,Clean_Data!$B$2:$B$2086,A462)</f>
        <v>2400</v>
      </c>
      <c r="F462" s="2" t="str">
        <f aca="false">IF(C462&gt;1,"Repeat","One-time")</f>
        <v>One-time</v>
      </c>
      <c r="G462" s="13" t="n">
        <f aca="false">SUM($D$2:D462)/SUM($D$2:$D$800)</f>
        <v>0.930257208088707</v>
      </c>
    </row>
    <row r="463" customFormat="false" ht="15" hidden="false" customHeight="false" outlineLevel="0" collapsed="false">
      <c r="A463" s="2" t="s">
        <v>2297</v>
      </c>
      <c r="B463" s="2" t="str">
        <f aca="false">INDEX(Clean_Data!$F$2:$F$2086,MATCH(A463,Clean_Data!$B$2:$B$2086,0))</f>
        <v>Small Business</v>
      </c>
      <c r="C463" s="2" t="n">
        <f aca="false">COUNTIFS(Clean_Data!$B$2:$B$2086,A463)</f>
        <v>1</v>
      </c>
      <c r="D463" s="11" t="n">
        <f aca="false">SUMIFS(Clean_Data!$M$2:$M$2086,Clean_Data!$B$2:$B$2086,A463)</f>
        <v>9000</v>
      </c>
      <c r="E463" s="11" t="n">
        <f aca="false">SUMIFS(Clean_Data!$N$2:$N$2086,Clean_Data!$B$2:$B$2086,A463)</f>
        <v>2800</v>
      </c>
      <c r="F463" s="2" t="str">
        <f aca="false">IF(C463&gt;1,"Repeat","One-time")</f>
        <v>One-time</v>
      </c>
      <c r="G463" s="13" t="n">
        <f aca="false">SUM($D$2:D463)/SUM($D$2:$D$800)</f>
        <v>0.93069470088071</v>
      </c>
    </row>
    <row r="464" customFormat="false" ht="15" hidden="false" customHeight="false" outlineLevel="0" collapsed="false">
      <c r="A464" s="2" t="s">
        <v>761</v>
      </c>
      <c r="B464" s="2" t="str">
        <f aca="false">INDEX(Clean_Data!$F$2:$F$2086,MATCH(A464,Clean_Data!$B$2:$B$2086,0))</f>
        <v>Consumer</v>
      </c>
      <c r="C464" s="2" t="n">
        <f aca="false">COUNTIFS(Clean_Data!$B$2:$B$2086,A464)</f>
        <v>2</v>
      </c>
      <c r="D464" s="11" t="n">
        <f aca="false">SUMIFS(Clean_Data!$M$2:$M$2086,Clean_Data!$B$2:$B$2086,A464)</f>
        <v>9000</v>
      </c>
      <c r="E464" s="11" t="n">
        <f aca="false">SUMIFS(Clean_Data!$N$2:$N$2086,Clean_Data!$B$2:$B$2086,A464)</f>
        <v>3000</v>
      </c>
      <c r="F464" s="2" t="str">
        <f aca="false">IF(C464&gt;1,"Repeat","One-time")</f>
        <v>Repeat</v>
      </c>
      <c r="G464" s="13" t="n">
        <f aca="false">SUM($D$2:D464)/SUM($D$2:$D$800)</f>
        <v>0.931132193672712</v>
      </c>
    </row>
    <row r="465" customFormat="false" ht="15" hidden="false" customHeight="false" outlineLevel="0" collapsed="false">
      <c r="A465" s="2" t="s">
        <v>1935</v>
      </c>
      <c r="B465" s="2" t="str">
        <f aca="false">INDEX(Clean_Data!$F$2:$F$2086,MATCH(A465,Clean_Data!$B$2:$B$2086,0))</f>
        <v>Consumer</v>
      </c>
      <c r="C465" s="2" t="n">
        <f aca="false">COUNTIFS(Clean_Data!$B$2:$B$2086,A465)</f>
        <v>1</v>
      </c>
      <c r="D465" s="11" t="n">
        <f aca="false">SUMIFS(Clean_Data!$M$2:$M$2086,Clean_Data!$B$2:$B$2086,A465)</f>
        <v>9000</v>
      </c>
      <c r="E465" s="11" t="n">
        <f aca="false">SUMIFS(Clean_Data!$N$2:$N$2086,Clean_Data!$B$2:$B$2086,A465)</f>
        <v>3000</v>
      </c>
      <c r="F465" s="2" t="str">
        <f aca="false">IF(C465&gt;1,"Repeat","One-time")</f>
        <v>One-time</v>
      </c>
      <c r="G465" s="13" t="n">
        <f aca="false">SUM($D$2:D465)/SUM($D$2:$D$800)</f>
        <v>0.931569686464714</v>
      </c>
    </row>
    <row r="466" customFormat="false" ht="15" hidden="false" customHeight="false" outlineLevel="0" collapsed="false">
      <c r="A466" s="2" t="s">
        <v>2654</v>
      </c>
      <c r="B466" s="2" t="str">
        <f aca="false">INDEX(Clean_Data!$F$2:$F$2086,MATCH(A466,Clean_Data!$B$2:$B$2086,0))</f>
        <v>Small Business</v>
      </c>
      <c r="C466" s="2" t="n">
        <f aca="false">COUNTIFS(Clean_Data!$B$2:$B$2086,A466)</f>
        <v>1</v>
      </c>
      <c r="D466" s="11" t="n">
        <f aca="false">SUMIFS(Clean_Data!$M$2:$M$2086,Clean_Data!$B$2:$B$2086,A466)</f>
        <v>9000</v>
      </c>
      <c r="E466" s="11" t="n">
        <f aca="false">SUMIFS(Clean_Data!$N$2:$N$2086,Clean_Data!$B$2:$B$2086,A466)</f>
        <v>2400</v>
      </c>
      <c r="F466" s="2" t="str">
        <f aca="false">IF(C466&gt;1,"Repeat","One-time")</f>
        <v>One-time</v>
      </c>
      <c r="G466" s="13" t="n">
        <f aca="false">SUM($D$2:D466)/SUM($D$2:$D$800)</f>
        <v>0.932007179256717</v>
      </c>
    </row>
    <row r="467" customFormat="false" ht="15" hidden="false" customHeight="false" outlineLevel="0" collapsed="false">
      <c r="A467" s="2" t="s">
        <v>1202</v>
      </c>
      <c r="B467" s="2" t="str">
        <f aca="false">INDEX(Clean_Data!$F$2:$F$2086,MATCH(A467,Clean_Data!$B$2:$B$2086,0))</f>
        <v>Consumer</v>
      </c>
      <c r="C467" s="2" t="n">
        <f aca="false">COUNTIFS(Clean_Data!$B$2:$B$2086,A467)</f>
        <v>2</v>
      </c>
      <c r="D467" s="11" t="n">
        <f aca="false">SUMIFS(Clean_Data!$M$2:$M$2086,Clean_Data!$B$2:$B$2086,A467)</f>
        <v>8850</v>
      </c>
      <c r="E467" s="11" t="n">
        <f aca="false">SUMIFS(Clean_Data!$N$2:$N$2086,Clean_Data!$B$2:$B$2086,A467)</f>
        <v>2850</v>
      </c>
      <c r="F467" s="2" t="str">
        <f aca="false">IF(C467&gt;1,"Repeat","One-time")</f>
        <v>Repeat</v>
      </c>
      <c r="G467" s="13" t="n">
        <f aca="false">SUM($D$2:D467)/SUM($D$2:$D$800)</f>
        <v>0.932437380502186</v>
      </c>
    </row>
    <row r="468" customFormat="false" ht="15" hidden="false" customHeight="false" outlineLevel="0" collapsed="false">
      <c r="A468" s="2" t="s">
        <v>2168</v>
      </c>
      <c r="B468" s="2" t="str">
        <f aca="false">INDEX(Clean_Data!$F$2:$F$2086,MATCH(A468,Clean_Data!$B$2:$B$2086,0))</f>
        <v>Consumer</v>
      </c>
      <c r="C468" s="2" t="n">
        <f aca="false">COUNTIFS(Clean_Data!$B$2:$B$2086,A468)</f>
        <v>3</v>
      </c>
      <c r="D468" s="11" t="n">
        <f aca="false">SUMIFS(Clean_Data!$M$2:$M$2086,Clean_Data!$B$2:$B$2086,A468)</f>
        <v>8750</v>
      </c>
      <c r="E468" s="11" t="n">
        <f aca="false">SUMIFS(Clean_Data!$N$2:$N$2086,Clean_Data!$B$2:$B$2086,A468)</f>
        <v>3750</v>
      </c>
      <c r="F468" s="2" t="str">
        <f aca="false">IF(C468&gt;1,"Repeat","One-time")</f>
        <v>Repeat</v>
      </c>
      <c r="G468" s="13" t="n">
        <f aca="false">SUM($D$2:D468)/SUM($D$2:$D$800)</f>
        <v>0.932862720716633</v>
      </c>
    </row>
    <row r="469" customFormat="false" ht="15" hidden="false" customHeight="false" outlineLevel="0" collapsed="false">
      <c r="A469" s="2" t="s">
        <v>1914</v>
      </c>
      <c r="B469" s="2" t="str">
        <f aca="false">INDEX(Clean_Data!$F$2:$F$2086,MATCH(A469,Clean_Data!$B$2:$B$2086,0))</f>
        <v>Small Business</v>
      </c>
      <c r="C469" s="2" t="n">
        <f aca="false">COUNTIFS(Clean_Data!$B$2:$B$2086,A469)</f>
        <v>1</v>
      </c>
      <c r="D469" s="11" t="n">
        <f aca="false">SUMIFS(Clean_Data!$M$2:$M$2086,Clean_Data!$B$2:$B$2086,A469)</f>
        <v>8550</v>
      </c>
      <c r="E469" s="11" t="n">
        <f aca="false">SUMIFS(Clean_Data!$N$2:$N$2086,Clean_Data!$B$2:$B$2086,A469)</f>
        <v>3800</v>
      </c>
      <c r="F469" s="2" t="str">
        <f aca="false">IF(C469&gt;1,"Repeat","One-time")</f>
        <v>One-time</v>
      </c>
      <c r="G469" s="13" t="n">
        <f aca="false">SUM($D$2:D469)/SUM($D$2:$D$800)</f>
        <v>0.933278338869035</v>
      </c>
    </row>
    <row r="470" customFormat="false" ht="15" hidden="false" customHeight="false" outlineLevel="0" collapsed="false">
      <c r="A470" s="2" t="s">
        <v>1811</v>
      </c>
      <c r="B470" s="2" t="str">
        <f aca="false">INDEX(Clean_Data!$F$2:$F$2086,MATCH(A470,Clean_Data!$B$2:$B$2086,0))</f>
        <v>Consumer</v>
      </c>
      <c r="C470" s="2" t="n">
        <f aca="false">COUNTIFS(Clean_Data!$B$2:$B$2086,A470)</f>
        <v>1</v>
      </c>
      <c r="D470" s="11" t="n">
        <f aca="false">SUMIFS(Clean_Data!$M$2:$M$2086,Clean_Data!$B$2:$B$2086,A470)</f>
        <v>8550</v>
      </c>
      <c r="E470" s="11" t="n">
        <f aca="false">SUMIFS(Clean_Data!$N$2:$N$2086,Clean_Data!$B$2:$B$2086,A470)</f>
        <v>2550</v>
      </c>
      <c r="F470" s="2" t="str">
        <f aca="false">IF(C470&gt;1,"Repeat","One-time")</f>
        <v>One-time</v>
      </c>
      <c r="G470" s="13" t="n">
        <f aca="false">SUM($D$2:D470)/SUM($D$2:$D$800)</f>
        <v>0.933693957021437</v>
      </c>
    </row>
    <row r="471" customFormat="false" ht="15" hidden="false" customHeight="false" outlineLevel="0" collapsed="false">
      <c r="A471" s="2" t="s">
        <v>216</v>
      </c>
      <c r="B471" s="2" t="str">
        <f aca="false">INDEX(Clean_Data!$F$2:$F$2086,MATCH(A471,Clean_Data!$B$2:$B$2086,0))</f>
        <v>Consumer</v>
      </c>
      <c r="C471" s="2" t="n">
        <f aca="false">COUNTIFS(Clean_Data!$B$2:$B$2086,A471)</f>
        <v>1</v>
      </c>
      <c r="D471" s="11" t="n">
        <f aca="false">SUMIFS(Clean_Data!$M$2:$M$2086,Clean_Data!$B$2:$B$2086,A471)</f>
        <v>8550</v>
      </c>
      <c r="E471" s="11" t="n">
        <f aca="false">SUMIFS(Clean_Data!$N$2:$N$2086,Clean_Data!$B$2:$B$2086,A471)</f>
        <v>2350</v>
      </c>
      <c r="F471" s="2" t="str">
        <f aca="false">IF(C471&gt;1,"Repeat","One-time")</f>
        <v>One-time</v>
      </c>
      <c r="G471" s="13" t="n">
        <f aca="false">SUM($D$2:D471)/SUM($D$2:$D$800)</f>
        <v>0.93410957517384</v>
      </c>
    </row>
    <row r="472" customFormat="false" ht="15" hidden="false" customHeight="false" outlineLevel="0" collapsed="false">
      <c r="A472" s="2" t="s">
        <v>2213</v>
      </c>
      <c r="B472" s="2" t="str">
        <f aca="false">INDEX(Clean_Data!$F$2:$F$2086,MATCH(A472,Clean_Data!$B$2:$B$2086,0))</f>
        <v>Consumer</v>
      </c>
      <c r="C472" s="2" t="n">
        <f aca="false">COUNTIFS(Clean_Data!$B$2:$B$2086,A472)</f>
        <v>1</v>
      </c>
      <c r="D472" s="11" t="n">
        <f aca="false">SUMIFS(Clean_Data!$M$2:$M$2086,Clean_Data!$B$2:$B$2086,A472)</f>
        <v>8550</v>
      </c>
      <c r="E472" s="11" t="n">
        <f aca="false">SUMIFS(Clean_Data!$N$2:$N$2086,Clean_Data!$B$2:$B$2086,A472)</f>
        <v>2350</v>
      </c>
      <c r="F472" s="2" t="str">
        <f aca="false">IF(C472&gt;1,"Repeat","One-time")</f>
        <v>One-time</v>
      </c>
      <c r="G472" s="13" t="n">
        <f aca="false">SUM($D$2:D472)/SUM($D$2:$D$800)</f>
        <v>0.934525193326242</v>
      </c>
    </row>
    <row r="473" customFormat="false" ht="15" hidden="false" customHeight="false" outlineLevel="0" collapsed="false">
      <c r="A473" s="2" t="s">
        <v>446</v>
      </c>
      <c r="B473" s="2" t="str">
        <f aca="false">INDEX(Clean_Data!$F$2:$F$2086,MATCH(A473,Clean_Data!$B$2:$B$2086,0))</f>
        <v>Small Business</v>
      </c>
      <c r="C473" s="2" t="n">
        <f aca="false">COUNTIFS(Clean_Data!$B$2:$B$2086,A473)</f>
        <v>1</v>
      </c>
      <c r="D473" s="11" t="n">
        <f aca="false">SUMIFS(Clean_Data!$M$2:$M$2086,Clean_Data!$B$2:$B$2086,A473)</f>
        <v>8550</v>
      </c>
      <c r="E473" s="11" t="n">
        <f aca="false">SUMIFS(Clean_Data!$N$2:$N$2086,Clean_Data!$B$2:$B$2086,A473)</f>
        <v>1950</v>
      </c>
      <c r="F473" s="2" t="str">
        <f aca="false">IF(C473&gt;1,"Repeat","One-time")</f>
        <v>One-time</v>
      </c>
      <c r="G473" s="13" t="n">
        <f aca="false">SUM($D$2:D473)/SUM($D$2:$D$800)</f>
        <v>0.934940811478644</v>
      </c>
    </row>
    <row r="474" customFormat="false" ht="15" hidden="false" customHeight="false" outlineLevel="0" collapsed="false">
      <c r="A474" s="2" t="s">
        <v>841</v>
      </c>
      <c r="B474" s="2" t="str">
        <f aca="false">INDEX(Clean_Data!$F$2:$F$2086,MATCH(A474,Clean_Data!$B$2:$B$2086,0))</f>
        <v>Consumer</v>
      </c>
      <c r="C474" s="2" t="n">
        <f aca="false">COUNTIFS(Clean_Data!$B$2:$B$2086,A474)</f>
        <v>1</v>
      </c>
      <c r="D474" s="11" t="n">
        <f aca="false">SUMIFS(Clean_Data!$M$2:$M$2086,Clean_Data!$B$2:$B$2086,A474)</f>
        <v>8550</v>
      </c>
      <c r="E474" s="11" t="n">
        <f aca="false">SUMIFS(Clean_Data!$N$2:$N$2086,Clean_Data!$B$2:$B$2086,A474)</f>
        <v>2550</v>
      </c>
      <c r="F474" s="2" t="str">
        <f aca="false">IF(C474&gt;1,"Repeat","One-time")</f>
        <v>One-time</v>
      </c>
      <c r="G474" s="13" t="n">
        <f aca="false">SUM($D$2:D474)/SUM($D$2:$D$800)</f>
        <v>0.935356429631047</v>
      </c>
    </row>
    <row r="475" customFormat="false" ht="15" hidden="false" customHeight="false" outlineLevel="0" collapsed="false">
      <c r="A475" s="2" t="s">
        <v>416</v>
      </c>
      <c r="B475" s="2" t="str">
        <f aca="false">INDEX(Clean_Data!$F$2:$F$2086,MATCH(A475,Clean_Data!$B$2:$B$2086,0))</f>
        <v>Consumer</v>
      </c>
      <c r="C475" s="2" t="n">
        <f aca="false">COUNTIFS(Clean_Data!$B$2:$B$2086,A475)</f>
        <v>1</v>
      </c>
      <c r="D475" s="11" t="n">
        <f aca="false">SUMIFS(Clean_Data!$M$2:$M$2086,Clean_Data!$B$2:$B$2086,A475)</f>
        <v>8550</v>
      </c>
      <c r="E475" s="11" t="n">
        <f aca="false">SUMIFS(Clean_Data!$N$2:$N$2086,Clean_Data!$B$2:$B$2086,A475)</f>
        <v>1950</v>
      </c>
      <c r="F475" s="2" t="str">
        <f aca="false">IF(C475&gt;1,"Repeat","One-time")</f>
        <v>One-time</v>
      </c>
      <c r="G475" s="13" t="n">
        <f aca="false">SUM($D$2:D475)/SUM($D$2:$D$800)</f>
        <v>0.935772047783449</v>
      </c>
    </row>
    <row r="476" customFormat="false" ht="15" hidden="false" customHeight="false" outlineLevel="0" collapsed="false">
      <c r="A476" s="2" t="s">
        <v>1312</v>
      </c>
      <c r="B476" s="2" t="str">
        <f aca="false">INDEX(Clean_Data!$F$2:$F$2086,MATCH(A476,Clean_Data!$B$2:$B$2086,0))</f>
        <v>Small Business</v>
      </c>
      <c r="C476" s="2" t="n">
        <f aca="false">COUNTIFS(Clean_Data!$B$2:$B$2086,A476)</f>
        <v>1</v>
      </c>
      <c r="D476" s="11" t="n">
        <f aca="false">SUMIFS(Clean_Data!$M$2:$M$2086,Clean_Data!$B$2:$B$2086,A476)</f>
        <v>8550</v>
      </c>
      <c r="E476" s="11" t="n">
        <f aca="false">SUMIFS(Clean_Data!$N$2:$N$2086,Clean_Data!$B$2:$B$2086,A476)</f>
        <v>2350</v>
      </c>
      <c r="F476" s="2" t="str">
        <f aca="false">IF(C476&gt;1,"Repeat","One-time")</f>
        <v>One-time</v>
      </c>
      <c r="G476" s="13" t="n">
        <f aca="false">SUM($D$2:D476)/SUM($D$2:$D$800)</f>
        <v>0.936187665935851</v>
      </c>
    </row>
    <row r="477" customFormat="false" ht="15" hidden="false" customHeight="false" outlineLevel="0" collapsed="false">
      <c r="A477" s="2" t="s">
        <v>2158</v>
      </c>
      <c r="B477" s="2" t="str">
        <f aca="false">INDEX(Clean_Data!$F$2:$F$2086,MATCH(A477,Clean_Data!$B$2:$B$2086,0))</f>
        <v>Consumer</v>
      </c>
      <c r="C477" s="2" t="n">
        <f aca="false">COUNTIFS(Clean_Data!$B$2:$B$2086,A477)</f>
        <v>1</v>
      </c>
      <c r="D477" s="11" t="n">
        <f aca="false">SUMIFS(Clean_Data!$M$2:$M$2086,Clean_Data!$B$2:$B$2086,A477)</f>
        <v>8550</v>
      </c>
      <c r="E477" s="11" t="n">
        <f aca="false">SUMIFS(Clean_Data!$N$2:$N$2086,Clean_Data!$B$2:$B$2086,A477)</f>
        <v>1950</v>
      </c>
      <c r="F477" s="2" t="str">
        <f aca="false">IF(C477&gt;1,"Repeat","One-time")</f>
        <v>One-time</v>
      </c>
      <c r="G477" s="13" t="n">
        <f aca="false">SUM($D$2:D477)/SUM($D$2:$D$800)</f>
        <v>0.936603284088253</v>
      </c>
    </row>
    <row r="478" customFormat="false" ht="15" hidden="false" customHeight="false" outlineLevel="0" collapsed="false">
      <c r="A478" s="2" t="s">
        <v>2695</v>
      </c>
      <c r="B478" s="2" t="str">
        <f aca="false">INDEX(Clean_Data!$F$2:$F$2086,MATCH(A478,Clean_Data!$B$2:$B$2086,0))</f>
        <v>Consumer</v>
      </c>
      <c r="C478" s="2" t="n">
        <f aca="false">COUNTIFS(Clean_Data!$B$2:$B$2086,A478)</f>
        <v>1</v>
      </c>
      <c r="D478" s="11" t="n">
        <f aca="false">SUMIFS(Clean_Data!$M$2:$M$2086,Clean_Data!$B$2:$B$2086,A478)</f>
        <v>8550</v>
      </c>
      <c r="E478" s="11" t="n">
        <f aca="false">SUMIFS(Clean_Data!$N$2:$N$2086,Clean_Data!$B$2:$B$2086,A478)</f>
        <v>1950</v>
      </c>
      <c r="F478" s="2" t="str">
        <f aca="false">IF(C478&gt;1,"Repeat","One-time")</f>
        <v>One-time</v>
      </c>
      <c r="G478" s="13" t="n">
        <f aca="false">SUM($D$2:D478)/SUM($D$2:$D$800)</f>
        <v>0.937018902240656</v>
      </c>
    </row>
    <row r="479" customFormat="false" ht="15" hidden="false" customHeight="false" outlineLevel="0" collapsed="false">
      <c r="A479" s="2" t="s">
        <v>1417</v>
      </c>
      <c r="B479" s="2" t="str">
        <f aca="false">INDEX(Clean_Data!$F$2:$F$2086,MATCH(A479,Clean_Data!$B$2:$B$2086,0))</f>
        <v>Consumer</v>
      </c>
      <c r="C479" s="2" t="n">
        <f aca="false">COUNTIFS(Clean_Data!$B$2:$B$2086,A479)</f>
        <v>1</v>
      </c>
      <c r="D479" s="11" t="n">
        <f aca="false">SUMIFS(Clean_Data!$M$2:$M$2086,Clean_Data!$B$2:$B$2086,A479)</f>
        <v>8550</v>
      </c>
      <c r="E479" s="11" t="n">
        <f aca="false">SUMIFS(Clean_Data!$N$2:$N$2086,Clean_Data!$B$2:$B$2086,A479)</f>
        <v>1950</v>
      </c>
      <c r="F479" s="2" t="str">
        <f aca="false">IF(C479&gt;1,"Repeat","One-time")</f>
        <v>One-time</v>
      </c>
      <c r="G479" s="13" t="n">
        <f aca="false">SUM($D$2:D479)/SUM($D$2:$D$800)</f>
        <v>0.937434520393058</v>
      </c>
    </row>
    <row r="480" customFormat="false" ht="15" hidden="false" customHeight="false" outlineLevel="0" collapsed="false">
      <c r="A480" s="2" t="s">
        <v>203</v>
      </c>
      <c r="B480" s="2" t="str">
        <f aca="false">INDEX(Clean_Data!$F$2:$F$2086,MATCH(A480,Clean_Data!$B$2:$B$2086,0))</f>
        <v>Consumer</v>
      </c>
      <c r="C480" s="2" t="n">
        <f aca="false">COUNTIFS(Clean_Data!$B$2:$B$2086,A480)</f>
        <v>1</v>
      </c>
      <c r="D480" s="11" t="n">
        <f aca="false">SUMIFS(Clean_Data!$M$2:$M$2086,Clean_Data!$B$2:$B$2086,A480)</f>
        <v>8550</v>
      </c>
      <c r="E480" s="11" t="n">
        <f aca="false">SUMIFS(Clean_Data!$N$2:$N$2086,Clean_Data!$B$2:$B$2086,A480)</f>
        <v>2550</v>
      </c>
      <c r="F480" s="2" t="str">
        <f aca="false">IF(C480&gt;1,"Repeat","One-time")</f>
        <v>One-time</v>
      </c>
      <c r="G480" s="13" t="n">
        <f aca="false">SUM($D$2:D480)/SUM($D$2:$D$800)</f>
        <v>0.93785013854546</v>
      </c>
    </row>
    <row r="481" customFormat="false" ht="15" hidden="false" customHeight="false" outlineLevel="0" collapsed="false">
      <c r="A481" s="2" t="s">
        <v>2420</v>
      </c>
      <c r="B481" s="2" t="str">
        <f aca="false">INDEX(Clean_Data!$F$2:$F$2086,MATCH(A481,Clean_Data!$B$2:$B$2086,0))</f>
        <v>Consumer</v>
      </c>
      <c r="C481" s="2" t="n">
        <f aca="false">COUNTIFS(Clean_Data!$B$2:$B$2086,A481)</f>
        <v>1</v>
      </c>
      <c r="D481" s="11" t="n">
        <f aca="false">SUMIFS(Clean_Data!$M$2:$M$2086,Clean_Data!$B$2:$B$2086,A481)</f>
        <v>8550</v>
      </c>
      <c r="E481" s="11" t="n">
        <f aca="false">SUMIFS(Clean_Data!$N$2:$N$2086,Clean_Data!$B$2:$B$2086,A481)</f>
        <v>2550</v>
      </c>
      <c r="F481" s="2" t="str">
        <f aca="false">IF(C481&gt;1,"Repeat","One-time")</f>
        <v>One-time</v>
      </c>
      <c r="G481" s="13" t="n">
        <f aca="false">SUM($D$2:D481)/SUM($D$2:$D$800)</f>
        <v>0.938265756697863</v>
      </c>
    </row>
    <row r="482" customFormat="false" ht="15" hidden="false" customHeight="false" outlineLevel="0" collapsed="false">
      <c r="A482" s="2" t="s">
        <v>1997</v>
      </c>
      <c r="B482" s="2" t="str">
        <f aca="false">INDEX(Clean_Data!$F$2:$F$2086,MATCH(A482,Clean_Data!$B$2:$B$2086,0))</f>
        <v>Consumer</v>
      </c>
      <c r="C482" s="2" t="n">
        <f aca="false">COUNTIFS(Clean_Data!$B$2:$B$2086,A482)</f>
        <v>2</v>
      </c>
      <c r="D482" s="11" t="n">
        <f aca="false">SUMIFS(Clean_Data!$M$2:$M$2086,Clean_Data!$B$2:$B$2086,A482)</f>
        <v>8550</v>
      </c>
      <c r="E482" s="11" t="n">
        <f aca="false">SUMIFS(Clean_Data!$N$2:$N$2086,Clean_Data!$B$2:$B$2086,A482)</f>
        <v>2050</v>
      </c>
      <c r="F482" s="2" t="str">
        <f aca="false">IF(C482&gt;1,"Repeat","One-time")</f>
        <v>Repeat</v>
      </c>
      <c r="G482" s="13" t="n">
        <f aca="false">SUM($D$2:D482)/SUM($D$2:$D$800)</f>
        <v>0.938681374850265</v>
      </c>
    </row>
    <row r="483" customFormat="false" ht="15" hidden="false" customHeight="false" outlineLevel="0" collapsed="false">
      <c r="A483" s="2" t="s">
        <v>1641</v>
      </c>
      <c r="B483" s="2" t="str">
        <f aca="false">INDEX(Clean_Data!$F$2:$F$2086,MATCH(A483,Clean_Data!$B$2:$B$2086,0))</f>
        <v>Consumer</v>
      </c>
      <c r="C483" s="2" t="n">
        <f aca="false">COUNTIFS(Clean_Data!$B$2:$B$2086,A483)</f>
        <v>1</v>
      </c>
      <c r="D483" s="11" t="n">
        <f aca="false">SUMIFS(Clean_Data!$M$2:$M$2086,Clean_Data!$B$2:$B$2086,A483)</f>
        <v>8550</v>
      </c>
      <c r="E483" s="11" t="n">
        <f aca="false">SUMIFS(Clean_Data!$N$2:$N$2086,Clean_Data!$B$2:$B$2086,A483)</f>
        <v>1950</v>
      </c>
      <c r="F483" s="2" t="str">
        <f aca="false">IF(C483&gt;1,"Repeat","One-time")</f>
        <v>One-time</v>
      </c>
      <c r="G483" s="13" t="n">
        <f aca="false">SUM($D$2:D483)/SUM($D$2:$D$800)</f>
        <v>0.939096993002667</v>
      </c>
    </row>
    <row r="484" customFormat="false" ht="15" hidden="false" customHeight="false" outlineLevel="0" collapsed="false">
      <c r="A484" s="2" t="s">
        <v>1561</v>
      </c>
      <c r="B484" s="2" t="str">
        <f aca="false">INDEX(Clean_Data!$F$2:$F$2086,MATCH(A484,Clean_Data!$B$2:$B$2086,0))</f>
        <v>Consumer</v>
      </c>
      <c r="C484" s="2" t="n">
        <f aca="false">COUNTIFS(Clean_Data!$B$2:$B$2086,A484)</f>
        <v>1</v>
      </c>
      <c r="D484" s="11" t="n">
        <f aca="false">SUMIFS(Clean_Data!$M$2:$M$2086,Clean_Data!$B$2:$B$2086,A484)</f>
        <v>8550</v>
      </c>
      <c r="E484" s="11" t="n">
        <f aca="false">SUMIFS(Clean_Data!$N$2:$N$2086,Clean_Data!$B$2:$B$2086,A484)</f>
        <v>1950</v>
      </c>
      <c r="F484" s="2" t="str">
        <f aca="false">IF(C484&gt;1,"Repeat","One-time")</f>
        <v>One-time</v>
      </c>
      <c r="G484" s="13" t="n">
        <f aca="false">SUM($D$2:D484)/SUM($D$2:$D$800)</f>
        <v>0.93951261115507</v>
      </c>
    </row>
    <row r="485" customFormat="false" ht="15" hidden="false" customHeight="false" outlineLevel="0" collapsed="false">
      <c r="A485" s="2" t="s">
        <v>1559</v>
      </c>
      <c r="B485" s="2" t="str">
        <f aca="false">INDEX(Clean_Data!$F$2:$F$2086,MATCH(A485,Clean_Data!$B$2:$B$2086,0))</f>
        <v>Small Business</v>
      </c>
      <c r="C485" s="2" t="n">
        <f aca="false">COUNTIFS(Clean_Data!$B$2:$B$2086,A485)</f>
        <v>1</v>
      </c>
      <c r="D485" s="11" t="n">
        <f aca="false">SUMIFS(Clean_Data!$M$2:$M$2086,Clean_Data!$B$2:$B$2086,A485)</f>
        <v>8550</v>
      </c>
      <c r="E485" s="11" t="n">
        <f aca="false">SUMIFS(Clean_Data!$N$2:$N$2086,Clean_Data!$B$2:$B$2086,A485)</f>
        <v>2550</v>
      </c>
      <c r="F485" s="2" t="str">
        <f aca="false">IF(C485&gt;1,"Repeat","One-time")</f>
        <v>One-time</v>
      </c>
      <c r="G485" s="13" t="n">
        <f aca="false">SUM($D$2:D485)/SUM($D$2:$D$800)</f>
        <v>0.939928229307472</v>
      </c>
    </row>
    <row r="486" customFormat="false" ht="15" hidden="false" customHeight="false" outlineLevel="0" collapsed="false">
      <c r="A486" s="2" t="s">
        <v>1538</v>
      </c>
      <c r="B486" s="2" t="str">
        <f aca="false">INDEX(Clean_Data!$F$2:$F$2086,MATCH(A486,Clean_Data!$B$2:$B$2086,0))</f>
        <v>Consumer</v>
      </c>
      <c r="C486" s="2" t="n">
        <f aca="false">COUNTIFS(Clean_Data!$B$2:$B$2086,A486)</f>
        <v>3</v>
      </c>
      <c r="D486" s="11" t="n">
        <f aca="false">SUMIFS(Clean_Data!$M$2:$M$2086,Clean_Data!$B$2:$B$2086,A486)</f>
        <v>8550</v>
      </c>
      <c r="E486" s="11" t="n">
        <f aca="false">SUMIFS(Clean_Data!$N$2:$N$2086,Clean_Data!$B$2:$B$2086,A486)</f>
        <v>3550</v>
      </c>
      <c r="F486" s="2" t="str">
        <f aca="false">IF(C486&gt;1,"Repeat","One-time")</f>
        <v>Repeat</v>
      </c>
      <c r="G486" s="13" t="n">
        <f aca="false">SUM($D$2:D486)/SUM($D$2:$D$800)</f>
        <v>0.940343847459874</v>
      </c>
    </row>
    <row r="487" customFormat="false" ht="15" hidden="false" customHeight="false" outlineLevel="0" collapsed="false">
      <c r="A487" s="2" t="s">
        <v>642</v>
      </c>
      <c r="B487" s="2" t="str">
        <f aca="false">INDEX(Clean_Data!$F$2:$F$2086,MATCH(A487,Clean_Data!$B$2:$B$2086,0))</f>
        <v>Consumer</v>
      </c>
      <c r="C487" s="2" t="n">
        <f aca="false">COUNTIFS(Clean_Data!$B$2:$B$2086,A487)</f>
        <v>1</v>
      </c>
      <c r="D487" s="11" t="n">
        <f aca="false">SUMIFS(Clean_Data!$M$2:$M$2086,Clean_Data!$B$2:$B$2086,A487)</f>
        <v>8550</v>
      </c>
      <c r="E487" s="11" t="n">
        <f aca="false">SUMIFS(Clean_Data!$N$2:$N$2086,Clean_Data!$B$2:$B$2086,A487)</f>
        <v>1950</v>
      </c>
      <c r="F487" s="2" t="str">
        <f aca="false">IF(C487&gt;1,"Repeat","One-time")</f>
        <v>One-time</v>
      </c>
      <c r="G487" s="13" t="n">
        <f aca="false">SUM($D$2:D487)/SUM($D$2:$D$800)</f>
        <v>0.940759465612277</v>
      </c>
    </row>
    <row r="488" customFormat="false" ht="15" hidden="false" customHeight="false" outlineLevel="0" collapsed="false">
      <c r="A488" s="2" t="s">
        <v>614</v>
      </c>
      <c r="B488" s="2" t="str">
        <f aca="false">INDEX(Clean_Data!$F$2:$F$2086,MATCH(A488,Clean_Data!$B$2:$B$2086,0))</f>
        <v>Small Business</v>
      </c>
      <c r="C488" s="2" t="n">
        <f aca="false">COUNTIFS(Clean_Data!$B$2:$B$2086,A488)</f>
        <v>1</v>
      </c>
      <c r="D488" s="11" t="n">
        <f aca="false">SUMIFS(Clean_Data!$M$2:$M$2086,Clean_Data!$B$2:$B$2086,A488)</f>
        <v>8500</v>
      </c>
      <c r="E488" s="11" t="n">
        <f aca="false">SUMIFS(Clean_Data!$N$2:$N$2086,Clean_Data!$B$2:$B$2086,A488)</f>
        <v>4250</v>
      </c>
      <c r="F488" s="2" t="str">
        <f aca="false">IF(C488&gt;1,"Repeat","One-time")</f>
        <v>One-time</v>
      </c>
      <c r="G488" s="13" t="n">
        <f aca="false">SUM($D$2:D488)/SUM($D$2:$D$800)</f>
        <v>0.941172653249168</v>
      </c>
    </row>
    <row r="489" customFormat="false" ht="15" hidden="false" customHeight="false" outlineLevel="0" collapsed="false">
      <c r="A489" s="2" t="s">
        <v>1763</v>
      </c>
      <c r="B489" s="2" t="str">
        <f aca="false">INDEX(Clean_Data!$F$2:$F$2086,MATCH(A489,Clean_Data!$B$2:$B$2086,0))</f>
        <v>Consumer</v>
      </c>
      <c r="C489" s="2" t="n">
        <f aca="false">COUNTIFS(Clean_Data!$B$2:$B$2086,A489)</f>
        <v>2</v>
      </c>
      <c r="D489" s="11" t="n">
        <f aca="false">SUMIFS(Clean_Data!$M$2:$M$2086,Clean_Data!$B$2:$B$2086,A489)</f>
        <v>8500</v>
      </c>
      <c r="E489" s="11" t="n">
        <f aca="false">SUMIFS(Clean_Data!$N$2:$N$2086,Clean_Data!$B$2:$B$2086,A489)</f>
        <v>3800</v>
      </c>
      <c r="F489" s="2" t="str">
        <f aca="false">IF(C489&gt;1,"Repeat","One-time")</f>
        <v>Repeat</v>
      </c>
      <c r="G489" s="13" t="n">
        <f aca="false">SUM($D$2:D489)/SUM($D$2:$D$800)</f>
        <v>0.941585840886059</v>
      </c>
    </row>
    <row r="490" customFormat="false" ht="15" hidden="false" customHeight="false" outlineLevel="0" collapsed="false">
      <c r="A490" s="2" t="s">
        <v>2575</v>
      </c>
      <c r="B490" s="2" t="str">
        <f aca="false">INDEX(Clean_Data!$F$2:$F$2086,MATCH(A490,Clean_Data!$B$2:$B$2086,0))</f>
        <v>Consumer</v>
      </c>
      <c r="C490" s="2" t="n">
        <f aca="false">COUNTIFS(Clean_Data!$B$2:$B$2086,A490)</f>
        <v>2</v>
      </c>
      <c r="D490" s="11" t="n">
        <f aca="false">SUMIFS(Clean_Data!$M$2:$M$2086,Clean_Data!$B$2:$B$2086,A490)</f>
        <v>8460</v>
      </c>
      <c r="E490" s="11" t="n">
        <f aca="false">SUMIFS(Clean_Data!$N$2:$N$2086,Clean_Data!$B$2:$B$2086,A490)</f>
        <v>2460</v>
      </c>
      <c r="F490" s="2" t="str">
        <f aca="false">IF(C490&gt;1,"Repeat","One-time")</f>
        <v>Repeat</v>
      </c>
      <c r="G490" s="13" t="n">
        <f aca="false">SUM($D$2:D490)/SUM($D$2:$D$800)</f>
        <v>0.941997084110541</v>
      </c>
    </row>
    <row r="491" customFormat="false" ht="15" hidden="false" customHeight="false" outlineLevel="0" collapsed="false">
      <c r="A491" s="2" t="s">
        <v>2725</v>
      </c>
      <c r="B491" s="2" t="str">
        <f aca="false">INDEX(Clean_Data!$F$2:$F$2086,MATCH(A491,Clean_Data!$B$2:$B$2086,0))</f>
        <v>Consumer</v>
      </c>
      <c r="C491" s="2" t="n">
        <f aca="false">COUNTIFS(Clean_Data!$B$2:$B$2086,A491)</f>
        <v>2</v>
      </c>
      <c r="D491" s="11" t="n">
        <f aca="false">SUMIFS(Clean_Data!$M$2:$M$2086,Clean_Data!$B$2:$B$2086,A491)</f>
        <v>8325</v>
      </c>
      <c r="E491" s="11" t="n">
        <f aca="false">SUMIFS(Clean_Data!$N$2:$N$2086,Clean_Data!$B$2:$B$2086,A491)</f>
        <v>2325</v>
      </c>
      <c r="F491" s="2" t="str">
        <f aca="false">IF(C491&gt;1,"Repeat","One-time")</f>
        <v>Repeat</v>
      </c>
      <c r="G491" s="13" t="n">
        <f aca="false">SUM($D$2:D491)/SUM($D$2:$D$800)</f>
        <v>0.942401764943144</v>
      </c>
    </row>
    <row r="492" customFormat="false" ht="15" hidden="false" customHeight="false" outlineLevel="0" collapsed="false">
      <c r="A492" s="2" t="s">
        <v>984</v>
      </c>
      <c r="B492" s="2" t="str">
        <f aca="false">INDEX(Clean_Data!$F$2:$F$2086,MATCH(A492,Clean_Data!$B$2:$B$2086,0))</f>
        <v>Consumer</v>
      </c>
      <c r="C492" s="2" t="n">
        <f aca="false">COUNTIFS(Clean_Data!$B$2:$B$2086,A492)</f>
        <v>2</v>
      </c>
      <c r="D492" s="11" t="n">
        <f aca="false">SUMIFS(Clean_Data!$M$2:$M$2086,Clean_Data!$B$2:$B$2086,A492)</f>
        <v>8300</v>
      </c>
      <c r="E492" s="11" t="n">
        <f aca="false">SUMIFS(Clean_Data!$N$2:$N$2086,Clean_Data!$B$2:$B$2086,A492)</f>
        <v>3100</v>
      </c>
      <c r="F492" s="2" t="str">
        <f aca="false">IF(C492&gt;1,"Repeat","One-time")</f>
        <v>Repeat</v>
      </c>
      <c r="G492" s="13" t="n">
        <f aca="false">SUM($D$2:D492)/SUM($D$2:$D$800)</f>
        <v>0.94280523051799</v>
      </c>
    </row>
    <row r="493" customFormat="false" ht="15" hidden="false" customHeight="false" outlineLevel="0" collapsed="false">
      <c r="A493" s="2" t="s">
        <v>1292</v>
      </c>
      <c r="B493" s="2" t="str">
        <f aca="false">INDEX(Clean_Data!$F$2:$F$2086,MATCH(A493,Clean_Data!$B$2:$B$2086,0))</f>
        <v>Small Business</v>
      </c>
      <c r="C493" s="2" t="n">
        <f aca="false">COUNTIFS(Clean_Data!$B$2:$B$2086,A493)</f>
        <v>2</v>
      </c>
      <c r="D493" s="11" t="n">
        <f aca="false">SUMIFS(Clean_Data!$M$2:$M$2086,Clean_Data!$B$2:$B$2086,A493)</f>
        <v>8250</v>
      </c>
      <c r="E493" s="11" t="n">
        <f aca="false">SUMIFS(Clean_Data!$N$2:$N$2086,Clean_Data!$B$2:$B$2086,A493)</f>
        <v>3650</v>
      </c>
      <c r="F493" s="2" t="str">
        <f aca="false">IF(C493&gt;1,"Repeat","One-time")</f>
        <v>Repeat</v>
      </c>
      <c r="G493" s="13" t="n">
        <f aca="false">SUM($D$2:D493)/SUM($D$2:$D$800)</f>
        <v>0.943206265577326</v>
      </c>
    </row>
    <row r="494" customFormat="false" ht="15" hidden="false" customHeight="false" outlineLevel="0" collapsed="false">
      <c r="A494" s="2" t="s">
        <v>106</v>
      </c>
      <c r="B494" s="2" t="str">
        <f aca="false">INDEX(Clean_Data!$F$2:$F$2086,MATCH(A494,Clean_Data!$B$2:$B$2086,0))</f>
        <v>Consumer</v>
      </c>
      <c r="C494" s="2" t="n">
        <f aca="false">COUNTIFS(Clean_Data!$B$2:$B$2086,A494)</f>
        <v>5</v>
      </c>
      <c r="D494" s="11" t="n">
        <f aca="false">SUMIFS(Clean_Data!$M$2:$M$2086,Clean_Data!$B$2:$B$2086,A494)</f>
        <v>8225</v>
      </c>
      <c r="E494" s="11" t="n">
        <f aca="false">SUMIFS(Clean_Data!$N$2:$N$2086,Clean_Data!$B$2:$B$2086,A494)</f>
        <v>3525</v>
      </c>
      <c r="F494" s="2" t="str">
        <f aca="false">IF(C494&gt;1,"Repeat","One-time")</f>
        <v>Repeat</v>
      </c>
      <c r="G494" s="13" t="n">
        <f aca="false">SUM($D$2:D494)/SUM($D$2:$D$800)</f>
        <v>0.943606085378906</v>
      </c>
    </row>
    <row r="495" customFormat="false" ht="15" hidden="false" customHeight="false" outlineLevel="0" collapsed="false">
      <c r="A495" s="2" t="s">
        <v>1909</v>
      </c>
      <c r="B495" s="2" t="str">
        <f aca="false">INDEX(Clean_Data!$F$2:$F$2086,MATCH(A495,Clean_Data!$B$2:$B$2086,0))</f>
        <v>Small Business</v>
      </c>
      <c r="C495" s="2" t="n">
        <f aca="false">COUNTIFS(Clean_Data!$B$2:$B$2086,A495)</f>
        <v>2</v>
      </c>
      <c r="D495" s="11" t="n">
        <f aca="false">SUMIFS(Clean_Data!$M$2:$M$2086,Clean_Data!$B$2:$B$2086,A495)</f>
        <v>8220</v>
      </c>
      <c r="E495" s="11" t="n">
        <f aca="false">SUMIFS(Clean_Data!$N$2:$N$2086,Clean_Data!$B$2:$B$2086,A495)</f>
        <v>4020</v>
      </c>
      <c r="F495" s="2" t="str">
        <f aca="false">IF(C495&gt;1,"Repeat","One-time")</f>
        <v>Repeat</v>
      </c>
      <c r="G495" s="13" t="n">
        <f aca="false">SUM($D$2:D495)/SUM($D$2:$D$800)</f>
        <v>0.944005662128935</v>
      </c>
    </row>
    <row r="496" customFormat="false" ht="15" hidden="false" customHeight="false" outlineLevel="0" collapsed="false">
      <c r="A496" s="2" t="s">
        <v>1833</v>
      </c>
      <c r="B496" s="2" t="str">
        <f aca="false">INDEX(Clean_Data!$F$2:$F$2086,MATCH(A496,Clean_Data!$B$2:$B$2086,0))</f>
        <v>Small Business</v>
      </c>
      <c r="C496" s="2" t="n">
        <f aca="false">COUNTIFS(Clean_Data!$B$2:$B$2086,A496)</f>
        <v>1</v>
      </c>
      <c r="D496" s="11" t="n">
        <f aca="false">SUMIFS(Clean_Data!$M$2:$M$2086,Clean_Data!$B$2:$B$2086,A496)</f>
        <v>8100</v>
      </c>
      <c r="E496" s="11" t="n">
        <f aca="false">SUMIFS(Clean_Data!$N$2:$N$2086,Clean_Data!$B$2:$B$2086,A496)</f>
        <v>3600</v>
      </c>
      <c r="F496" s="2" t="str">
        <f aca="false">IF(C496&gt;1,"Repeat","One-time")</f>
        <v>One-time</v>
      </c>
      <c r="G496" s="13" t="n">
        <f aca="false">SUM($D$2:D496)/SUM($D$2:$D$800)</f>
        <v>0.944399405641737</v>
      </c>
    </row>
    <row r="497" customFormat="false" ht="15" hidden="false" customHeight="false" outlineLevel="0" collapsed="false">
      <c r="A497" s="2" t="s">
        <v>2329</v>
      </c>
      <c r="B497" s="2" t="str">
        <f aca="false">INDEX(Clean_Data!$F$2:$F$2086,MATCH(A497,Clean_Data!$B$2:$B$2086,0))</f>
        <v>Consumer</v>
      </c>
      <c r="C497" s="2" t="n">
        <f aca="false">COUNTIFS(Clean_Data!$B$2:$B$2086,A497)</f>
        <v>2</v>
      </c>
      <c r="D497" s="11" t="n">
        <f aca="false">SUMIFS(Clean_Data!$M$2:$M$2086,Clean_Data!$B$2:$B$2086,A497)</f>
        <v>8100</v>
      </c>
      <c r="E497" s="11" t="n">
        <f aca="false">SUMIFS(Clean_Data!$N$2:$N$2086,Clean_Data!$B$2:$B$2086,A497)</f>
        <v>2400</v>
      </c>
      <c r="F497" s="2" t="str">
        <f aca="false">IF(C497&gt;1,"Repeat","One-time")</f>
        <v>Repeat</v>
      </c>
      <c r="G497" s="13" t="n">
        <f aca="false">SUM($D$2:D497)/SUM($D$2:$D$800)</f>
        <v>0.944793149154539</v>
      </c>
    </row>
    <row r="498" customFormat="false" ht="15" hidden="false" customHeight="false" outlineLevel="0" collapsed="false">
      <c r="A498" s="2" t="s">
        <v>2743</v>
      </c>
      <c r="B498" s="2" t="str">
        <f aca="false">INDEX(Clean_Data!$F$2:$F$2086,MATCH(A498,Clean_Data!$B$2:$B$2086,0))</f>
        <v>Consumer</v>
      </c>
      <c r="C498" s="2" t="n">
        <f aca="false">COUNTIFS(Clean_Data!$B$2:$B$2086,A498)</f>
        <v>3</v>
      </c>
      <c r="D498" s="11" t="n">
        <f aca="false">SUMIFS(Clean_Data!$M$2:$M$2086,Clean_Data!$B$2:$B$2086,A498)</f>
        <v>8045</v>
      </c>
      <c r="E498" s="11" t="n">
        <f aca="false">SUMIFS(Clean_Data!$N$2:$N$2086,Clean_Data!$B$2:$B$2086,A498)</f>
        <v>2545</v>
      </c>
      <c r="F498" s="2" t="str">
        <f aca="false">IF(C498&gt;1,"Repeat","One-time")</f>
        <v>Repeat</v>
      </c>
      <c r="G498" s="13" t="n">
        <f aca="false">SUM($D$2:D498)/SUM($D$2:$D$800)</f>
        <v>0.945184219100279</v>
      </c>
    </row>
    <row r="499" customFormat="false" ht="15" hidden="false" customHeight="false" outlineLevel="0" collapsed="false">
      <c r="A499" s="2" t="s">
        <v>1987</v>
      </c>
      <c r="B499" s="2" t="str">
        <f aca="false">INDEX(Clean_Data!$F$2:$F$2086,MATCH(A499,Clean_Data!$B$2:$B$2086,0))</f>
        <v>Consumer</v>
      </c>
      <c r="C499" s="2" t="n">
        <f aca="false">COUNTIFS(Clean_Data!$B$2:$B$2086,A499)</f>
        <v>2</v>
      </c>
      <c r="D499" s="11" t="n">
        <f aca="false">SUMIFS(Clean_Data!$M$2:$M$2086,Clean_Data!$B$2:$B$2086,A499)</f>
        <v>7950</v>
      </c>
      <c r="E499" s="11" t="n">
        <f aca="false">SUMIFS(Clean_Data!$N$2:$N$2086,Clean_Data!$B$2:$B$2086,A499)</f>
        <v>2350</v>
      </c>
      <c r="F499" s="2" t="str">
        <f aca="false">IF(C499&gt;1,"Repeat","One-time")</f>
        <v>Repeat</v>
      </c>
      <c r="G499" s="13" t="n">
        <f aca="false">SUM($D$2:D499)/SUM($D$2:$D$800)</f>
        <v>0.945570671066548</v>
      </c>
    </row>
    <row r="500" customFormat="false" ht="15" hidden="false" customHeight="false" outlineLevel="0" collapsed="false">
      <c r="A500" s="2" t="s">
        <v>2366</v>
      </c>
      <c r="B500" s="2" t="str">
        <f aca="false">INDEX(Clean_Data!$F$2:$F$2086,MATCH(A500,Clean_Data!$B$2:$B$2086,0))</f>
        <v>Consumer</v>
      </c>
      <c r="C500" s="2" t="n">
        <f aca="false">COUNTIFS(Clean_Data!$B$2:$B$2086,A500)</f>
        <v>2</v>
      </c>
      <c r="D500" s="11" t="n">
        <f aca="false">SUMIFS(Clean_Data!$M$2:$M$2086,Clean_Data!$B$2:$B$2086,A500)</f>
        <v>7900</v>
      </c>
      <c r="E500" s="11" t="n">
        <f aca="false">SUMIFS(Clean_Data!$N$2:$N$2086,Clean_Data!$B$2:$B$2086,A500)</f>
        <v>2300</v>
      </c>
      <c r="F500" s="2" t="str">
        <f aca="false">IF(C500&gt;1,"Repeat","One-time")</f>
        <v>Repeat</v>
      </c>
      <c r="G500" s="13" t="n">
        <f aca="false">SUM($D$2:D500)/SUM($D$2:$D$800)</f>
        <v>0.945954692517306</v>
      </c>
    </row>
    <row r="501" customFormat="false" ht="15" hidden="false" customHeight="false" outlineLevel="0" collapsed="false">
      <c r="A501" s="2" t="s">
        <v>463</v>
      </c>
      <c r="B501" s="2" t="str">
        <f aca="false">INDEX(Clean_Data!$F$2:$F$2086,MATCH(A501,Clean_Data!$B$2:$B$2086,0))</f>
        <v>Consumer</v>
      </c>
      <c r="C501" s="2" t="n">
        <f aca="false">COUNTIFS(Clean_Data!$B$2:$B$2086,A501)</f>
        <v>2</v>
      </c>
      <c r="D501" s="11" t="n">
        <f aca="false">SUMIFS(Clean_Data!$M$2:$M$2086,Clean_Data!$B$2:$B$2086,A501)</f>
        <v>7850</v>
      </c>
      <c r="E501" s="11" t="n">
        <f aca="false">SUMIFS(Clean_Data!$N$2:$N$2086,Clean_Data!$B$2:$B$2086,A501)</f>
        <v>2850</v>
      </c>
      <c r="F501" s="2" t="str">
        <f aca="false">IF(C501&gt;1,"Repeat","One-time")</f>
        <v>Repeat</v>
      </c>
      <c r="G501" s="13" t="n">
        <f aca="false">SUM($D$2:D501)/SUM($D$2:$D$800)</f>
        <v>0.946336283452552</v>
      </c>
    </row>
    <row r="502" customFormat="false" ht="15" hidden="false" customHeight="false" outlineLevel="0" collapsed="false">
      <c r="A502" s="2" t="s">
        <v>775</v>
      </c>
      <c r="B502" s="2" t="str">
        <f aca="false">INDEX(Clean_Data!$F$2:$F$2086,MATCH(A502,Clean_Data!$B$2:$B$2086,0))</f>
        <v>Consumer</v>
      </c>
      <c r="C502" s="2" t="n">
        <f aca="false">COUNTIFS(Clean_Data!$B$2:$B$2086,A502)</f>
        <v>2</v>
      </c>
      <c r="D502" s="11" t="n">
        <f aca="false">SUMIFS(Clean_Data!$M$2:$M$2086,Clean_Data!$B$2:$B$2086,A502)</f>
        <v>7825</v>
      </c>
      <c r="E502" s="11" t="n">
        <f aca="false">SUMIFS(Clean_Data!$N$2:$N$2086,Clean_Data!$B$2:$B$2086,A502)</f>
        <v>2775</v>
      </c>
      <c r="F502" s="2" t="str">
        <f aca="false">IF(C502&gt;1,"Repeat","One-time")</f>
        <v>Repeat</v>
      </c>
      <c r="G502" s="13" t="n">
        <f aca="false">SUM($D$2:D502)/SUM($D$2:$D$800)</f>
        <v>0.946716659130043</v>
      </c>
    </row>
    <row r="503" customFormat="false" ht="15" hidden="false" customHeight="false" outlineLevel="0" collapsed="false">
      <c r="A503" s="2" t="s">
        <v>129</v>
      </c>
      <c r="B503" s="2" t="str">
        <f aca="false">INDEX(Clean_Data!$F$2:$F$2086,MATCH(A503,Clean_Data!$B$2:$B$2086,0))</f>
        <v>Consumer</v>
      </c>
      <c r="C503" s="2" t="n">
        <f aca="false">COUNTIFS(Clean_Data!$B$2:$B$2086,A503)</f>
        <v>2</v>
      </c>
      <c r="D503" s="11" t="n">
        <f aca="false">SUMIFS(Clean_Data!$M$2:$M$2086,Clean_Data!$B$2:$B$2086,A503)</f>
        <v>7800</v>
      </c>
      <c r="E503" s="11" t="n">
        <f aca="false">SUMIFS(Clean_Data!$N$2:$N$2086,Clean_Data!$B$2:$B$2086,A503)</f>
        <v>2400</v>
      </c>
      <c r="F503" s="2" t="str">
        <f aca="false">IF(C503&gt;1,"Repeat","One-time")</f>
        <v>Repeat</v>
      </c>
      <c r="G503" s="13" t="n">
        <f aca="false">SUM($D$2:D503)/SUM($D$2:$D$800)</f>
        <v>0.947095819549779</v>
      </c>
    </row>
    <row r="504" customFormat="false" ht="15" hidden="false" customHeight="false" outlineLevel="0" collapsed="false">
      <c r="A504" s="2" t="s">
        <v>2899</v>
      </c>
      <c r="B504" s="2" t="str">
        <f aca="false">INDEX(Clean_Data!$F$2:$F$2086,MATCH(A504,Clean_Data!$B$2:$B$2086,0))</f>
        <v>Consumer</v>
      </c>
      <c r="C504" s="2" t="n">
        <f aca="false">COUNTIFS(Clean_Data!$B$2:$B$2086,A504)</f>
        <v>1</v>
      </c>
      <c r="D504" s="11" t="n">
        <f aca="false">SUMIFS(Clean_Data!$M$2:$M$2086,Clean_Data!$B$2:$B$2086,A504)</f>
        <v>7650</v>
      </c>
      <c r="E504" s="11" t="n">
        <f aca="false">SUMIFS(Clean_Data!$N$2:$N$2086,Clean_Data!$B$2:$B$2086,A504)</f>
        <v>1650</v>
      </c>
      <c r="F504" s="2" t="str">
        <f aca="false">IF(C504&gt;1,"Repeat","One-time")</f>
        <v>One-time</v>
      </c>
      <c r="G504" s="13" t="n">
        <f aca="false">SUM($D$2:D504)/SUM($D$2:$D$800)</f>
        <v>0.947467688422981</v>
      </c>
    </row>
    <row r="505" customFormat="false" ht="15" hidden="false" customHeight="false" outlineLevel="0" collapsed="false">
      <c r="A505" s="2" t="s">
        <v>2299</v>
      </c>
      <c r="B505" s="2" t="str">
        <f aca="false">INDEX(Clean_Data!$F$2:$F$2086,MATCH(A505,Clean_Data!$B$2:$B$2086,0))</f>
        <v>Consumer</v>
      </c>
      <c r="C505" s="2" t="n">
        <f aca="false">COUNTIFS(Clean_Data!$B$2:$B$2086,A505)</f>
        <v>3</v>
      </c>
      <c r="D505" s="11" t="n">
        <f aca="false">SUMIFS(Clean_Data!$M$2:$M$2086,Clean_Data!$B$2:$B$2086,A505)</f>
        <v>7600</v>
      </c>
      <c r="E505" s="11" t="n">
        <f aca="false">SUMIFS(Clean_Data!$N$2:$N$2086,Clean_Data!$B$2:$B$2086,A505)</f>
        <v>2750</v>
      </c>
      <c r="F505" s="2" t="str">
        <f aca="false">IF(C505&gt;1,"Repeat","One-time")</f>
        <v>Repeat</v>
      </c>
      <c r="G505" s="13" t="n">
        <f aca="false">SUM($D$2:D505)/SUM($D$2:$D$800)</f>
        <v>0.947837126780672</v>
      </c>
    </row>
    <row r="506" customFormat="false" ht="15" hidden="false" customHeight="false" outlineLevel="0" collapsed="false">
      <c r="A506" s="2" t="s">
        <v>1459</v>
      </c>
      <c r="B506" s="2" t="str">
        <f aca="false">INDEX(Clean_Data!$F$2:$F$2086,MATCH(A506,Clean_Data!$B$2:$B$2086,0))</f>
        <v>Small Business</v>
      </c>
      <c r="C506" s="2" t="n">
        <f aca="false">COUNTIFS(Clean_Data!$B$2:$B$2086,A506)</f>
        <v>1</v>
      </c>
      <c r="D506" s="11" t="n">
        <f aca="false">SUMIFS(Clean_Data!$M$2:$M$2086,Clean_Data!$B$2:$B$2086,A506)</f>
        <v>7600</v>
      </c>
      <c r="E506" s="11" t="n">
        <f aca="false">SUMIFS(Clean_Data!$N$2:$N$2086,Clean_Data!$B$2:$B$2086,A506)</f>
        <v>3800</v>
      </c>
      <c r="F506" s="2" t="str">
        <f aca="false">IF(C506&gt;1,"Repeat","One-time")</f>
        <v>One-time</v>
      </c>
      <c r="G506" s="13" t="n">
        <f aca="false">SUM($D$2:D506)/SUM($D$2:$D$800)</f>
        <v>0.948206565138363</v>
      </c>
    </row>
    <row r="507" customFormat="false" ht="15" hidden="false" customHeight="false" outlineLevel="0" collapsed="false">
      <c r="A507" s="2" t="s">
        <v>1336</v>
      </c>
      <c r="B507" s="2" t="str">
        <f aca="false">INDEX(Clean_Data!$F$2:$F$2086,MATCH(A507,Clean_Data!$B$2:$B$2086,0))</f>
        <v>Small Business</v>
      </c>
      <c r="C507" s="2" t="n">
        <f aca="false">COUNTIFS(Clean_Data!$B$2:$B$2086,A507)</f>
        <v>1</v>
      </c>
      <c r="D507" s="11" t="n">
        <f aca="false">SUMIFS(Clean_Data!$M$2:$M$2086,Clean_Data!$B$2:$B$2086,A507)</f>
        <v>7500</v>
      </c>
      <c r="E507" s="11" t="n">
        <f aca="false">SUMIFS(Clean_Data!$N$2:$N$2086,Clean_Data!$B$2:$B$2086,A507)</f>
        <v>3750</v>
      </c>
      <c r="F507" s="2" t="str">
        <f aca="false">IF(C507&gt;1,"Repeat","One-time")</f>
        <v>One-time</v>
      </c>
      <c r="G507" s="13" t="n">
        <f aca="false">SUM($D$2:D507)/SUM($D$2:$D$800)</f>
        <v>0.948571142465031</v>
      </c>
    </row>
    <row r="508" customFormat="false" ht="15" hidden="false" customHeight="false" outlineLevel="0" collapsed="false">
      <c r="A508" s="2" t="s">
        <v>1602</v>
      </c>
      <c r="B508" s="2" t="str">
        <f aca="false">INDEX(Clean_Data!$F$2:$F$2086,MATCH(A508,Clean_Data!$B$2:$B$2086,0))</f>
        <v>Small Business</v>
      </c>
      <c r="C508" s="2" t="n">
        <f aca="false">COUNTIFS(Clean_Data!$B$2:$B$2086,A508)</f>
        <v>2</v>
      </c>
      <c r="D508" s="11" t="n">
        <f aca="false">SUMIFS(Clean_Data!$M$2:$M$2086,Clean_Data!$B$2:$B$2086,A508)</f>
        <v>7437.5</v>
      </c>
      <c r="E508" s="11" t="n">
        <f aca="false">SUMIFS(Clean_Data!$N$2:$N$2086,Clean_Data!$B$2:$B$2086,A508)</f>
        <v>3337.5</v>
      </c>
      <c r="F508" s="2" t="str">
        <f aca="false">IF(C508&gt;1,"Repeat","One-time")</f>
        <v>Repeat</v>
      </c>
      <c r="G508" s="13" t="n">
        <f aca="false">SUM($D$2:D508)/SUM($D$2:$D$800)</f>
        <v>0.948932681647311</v>
      </c>
    </row>
    <row r="509" customFormat="false" ht="15" hidden="false" customHeight="false" outlineLevel="0" collapsed="false">
      <c r="A509" s="2" t="s">
        <v>1438</v>
      </c>
      <c r="B509" s="2" t="str">
        <f aca="false">INDEX(Clean_Data!$F$2:$F$2086,MATCH(A509,Clean_Data!$B$2:$B$2086,0))</f>
        <v>Consumer</v>
      </c>
      <c r="C509" s="2" t="n">
        <f aca="false">COUNTIFS(Clean_Data!$B$2:$B$2086,A509)</f>
        <v>3</v>
      </c>
      <c r="D509" s="11" t="n">
        <f aca="false">SUMIFS(Clean_Data!$M$2:$M$2086,Clean_Data!$B$2:$B$2086,A509)</f>
        <v>7435</v>
      </c>
      <c r="E509" s="11" t="n">
        <f aca="false">SUMIFS(Clean_Data!$N$2:$N$2086,Clean_Data!$B$2:$B$2086,A509)</f>
        <v>2535</v>
      </c>
      <c r="F509" s="2" t="str">
        <f aca="false">IF(C509&gt;1,"Repeat","One-time")</f>
        <v>Repeat</v>
      </c>
      <c r="G509" s="13" t="n">
        <f aca="false">SUM($D$2:D509)/SUM($D$2:$D$800)</f>
        <v>0.949294099303815</v>
      </c>
    </row>
    <row r="510" customFormat="false" ht="15" hidden="false" customHeight="false" outlineLevel="0" collapsed="false">
      <c r="A510" s="2" t="s">
        <v>1897</v>
      </c>
      <c r="B510" s="2" t="str">
        <f aca="false">INDEX(Clean_Data!$F$2:$F$2086,MATCH(A510,Clean_Data!$B$2:$B$2086,0))</f>
        <v>Consumer</v>
      </c>
      <c r="C510" s="2" t="n">
        <f aca="false">COUNTIFS(Clean_Data!$B$2:$B$2086,A510)</f>
        <v>3</v>
      </c>
      <c r="D510" s="11" t="n">
        <f aca="false">SUMIFS(Clean_Data!$M$2:$M$2086,Clean_Data!$B$2:$B$2086,A510)</f>
        <v>7390</v>
      </c>
      <c r="E510" s="11" t="n">
        <f aca="false">SUMIFS(Clean_Data!$N$2:$N$2086,Clean_Data!$B$2:$B$2086,A510)</f>
        <v>3090</v>
      </c>
      <c r="F510" s="2" t="str">
        <f aca="false">IF(C510&gt;1,"Repeat","One-time")</f>
        <v>Repeat</v>
      </c>
      <c r="G510" s="13" t="n">
        <f aca="false">SUM($D$2:D510)/SUM($D$2:$D$800)</f>
        <v>0.94965332949636</v>
      </c>
    </row>
    <row r="511" customFormat="false" ht="15" hidden="false" customHeight="false" outlineLevel="0" collapsed="false">
      <c r="A511" s="2" t="s">
        <v>2750</v>
      </c>
      <c r="B511" s="2" t="str">
        <f aca="false">INDEX(Clean_Data!$F$2:$F$2086,MATCH(A511,Clean_Data!$B$2:$B$2086,0))</f>
        <v>Consumer</v>
      </c>
      <c r="C511" s="2" t="n">
        <f aca="false">COUNTIFS(Clean_Data!$B$2:$B$2086,A511)</f>
        <v>2</v>
      </c>
      <c r="D511" s="11" t="n">
        <f aca="false">SUMIFS(Clean_Data!$M$2:$M$2086,Clean_Data!$B$2:$B$2086,A511)</f>
        <v>7375</v>
      </c>
      <c r="E511" s="11" t="n">
        <f aca="false">SUMIFS(Clean_Data!$N$2:$N$2086,Clean_Data!$B$2:$B$2086,A511)</f>
        <v>2325</v>
      </c>
      <c r="F511" s="2" t="str">
        <f aca="false">IF(C511&gt;1,"Repeat","One-time")</f>
        <v>Repeat</v>
      </c>
      <c r="G511" s="13" t="n">
        <f aca="false">SUM($D$2:D511)/SUM($D$2:$D$800)</f>
        <v>0.95001183053425</v>
      </c>
    </row>
    <row r="512" customFormat="false" ht="15" hidden="false" customHeight="false" outlineLevel="0" collapsed="false">
      <c r="A512" s="2" t="s">
        <v>1171</v>
      </c>
      <c r="B512" s="2" t="str">
        <f aca="false">INDEX(Clean_Data!$F$2:$F$2086,MATCH(A512,Clean_Data!$B$2:$B$2086,0))</f>
        <v>Consumer</v>
      </c>
      <c r="C512" s="2" t="n">
        <f aca="false">COUNTIFS(Clean_Data!$B$2:$B$2086,A512)</f>
        <v>2</v>
      </c>
      <c r="D512" s="11" t="n">
        <f aca="false">SUMIFS(Clean_Data!$M$2:$M$2086,Clean_Data!$B$2:$B$2086,A512)</f>
        <v>7375</v>
      </c>
      <c r="E512" s="11" t="n">
        <f aca="false">SUMIFS(Clean_Data!$N$2:$N$2086,Clean_Data!$B$2:$B$2086,A512)</f>
        <v>2925</v>
      </c>
      <c r="F512" s="2" t="str">
        <f aca="false">IF(C512&gt;1,"Repeat","One-time")</f>
        <v>Repeat</v>
      </c>
      <c r="G512" s="13" t="n">
        <f aca="false">SUM($D$2:D512)/SUM($D$2:$D$800)</f>
        <v>0.950370331572141</v>
      </c>
    </row>
    <row r="513" customFormat="false" ht="15" hidden="false" customHeight="false" outlineLevel="0" collapsed="false">
      <c r="A513" s="2" t="s">
        <v>1132</v>
      </c>
      <c r="B513" s="2" t="str">
        <f aca="false">INDEX(Clean_Data!$F$2:$F$2086,MATCH(A513,Clean_Data!$B$2:$B$2086,0))</f>
        <v>Small Business</v>
      </c>
      <c r="C513" s="2" t="n">
        <f aca="false">COUNTIFS(Clean_Data!$B$2:$B$2086,A513)</f>
        <v>1</v>
      </c>
      <c r="D513" s="11" t="n">
        <f aca="false">SUMIFS(Clean_Data!$M$2:$M$2086,Clean_Data!$B$2:$B$2086,A513)</f>
        <v>7220</v>
      </c>
      <c r="E513" s="11" t="n">
        <f aca="false">SUMIFS(Clean_Data!$N$2:$N$2086,Clean_Data!$B$2:$B$2086,A513)</f>
        <v>3420</v>
      </c>
      <c r="F513" s="2" t="str">
        <f aca="false">IF(C513&gt;1,"Repeat","One-time")</f>
        <v>One-time</v>
      </c>
      <c r="G513" s="13" t="n">
        <f aca="false">SUM($D$2:D513)/SUM($D$2:$D$800)</f>
        <v>0.950721298011948</v>
      </c>
    </row>
    <row r="514" customFormat="false" ht="15" hidden="false" customHeight="false" outlineLevel="0" collapsed="false">
      <c r="A514" s="2" t="s">
        <v>759</v>
      </c>
      <c r="B514" s="2" t="str">
        <f aca="false">INDEX(Clean_Data!$F$2:$F$2086,MATCH(A514,Clean_Data!$B$2:$B$2086,0))</f>
        <v>Small Business</v>
      </c>
      <c r="C514" s="2" t="n">
        <f aca="false">COUNTIFS(Clean_Data!$B$2:$B$2086,A514)</f>
        <v>1</v>
      </c>
      <c r="D514" s="11" t="n">
        <f aca="false">SUMIFS(Clean_Data!$M$2:$M$2086,Clean_Data!$B$2:$B$2086,A514)</f>
        <v>7200</v>
      </c>
      <c r="E514" s="11" t="n">
        <f aca="false">SUMIFS(Clean_Data!$N$2:$N$2086,Clean_Data!$B$2:$B$2086,A514)</f>
        <v>3600</v>
      </c>
      <c r="F514" s="2" t="str">
        <f aca="false">IF(C514&gt;1,"Repeat","One-time")</f>
        <v>One-time</v>
      </c>
      <c r="G514" s="13" t="n">
        <f aca="false">SUM($D$2:D514)/SUM($D$2:$D$800)</f>
        <v>0.95107129224555</v>
      </c>
    </row>
    <row r="515" customFormat="false" ht="15" hidden="false" customHeight="false" outlineLevel="0" collapsed="false">
      <c r="A515" s="2" t="s">
        <v>466</v>
      </c>
      <c r="B515" s="2" t="str">
        <f aca="false">INDEX(Clean_Data!$F$2:$F$2086,MATCH(A515,Clean_Data!$B$2:$B$2086,0))</f>
        <v>Consumer</v>
      </c>
      <c r="C515" s="2" t="n">
        <f aca="false">COUNTIFS(Clean_Data!$B$2:$B$2086,A515)</f>
        <v>2</v>
      </c>
      <c r="D515" s="11" t="n">
        <f aca="false">SUMIFS(Clean_Data!$M$2:$M$2086,Clean_Data!$B$2:$B$2086,A515)</f>
        <v>7125</v>
      </c>
      <c r="E515" s="11" t="n">
        <f aca="false">SUMIFS(Clean_Data!$N$2:$N$2086,Clean_Data!$B$2:$B$2086,A515)</f>
        <v>2925</v>
      </c>
      <c r="F515" s="2" t="str">
        <f aca="false">IF(C515&gt;1,"Repeat","One-time")</f>
        <v>Repeat</v>
      </c>
      <c r="G515" s="13" t="n">
        <f aca="false">SUM($D$2:D515)/SUM($D$2:$D$800)</f>
        <v>0.951417640705885</v>
      </c>
    </row>
    <row r="516" customFormat="false" ht="15" hidden="false" customHeight="false" outlineLevel="0" collapsed="false">
      <c r="A516" s="2" t="s">
        <v>2764</v>
      </c>
      <c r="B516" s="2" t="str">
        <f aca="false">INDEX(Clean_Data!$F$2:$F$2086,MATCH(A516,Clean_Data!$B$2:$B$2086,0))</f>
        <v>Small Business</v>
      </c>
      <c r="C516" s="2" t="n">
        <f aca="false">COUNTIFS(Clean_Data!$B$2:$B$2086,A516)</f>
        <v>1</v>
      </c>
      <c r="D516" s="11" t="n">
        <f aca="false">SUMIFS(Clean_Data!$M$2:$M$2086,Clean_Data!$B$2:$B$2086,A516)</f>
        <v>7125</v>
      </c>
      <c r="E516" s="11" t="n">
        <f aca="false">SUMIFS(Clean_Data!$N$2:$N$2086,Clean_Data!$B$2:$B$2086,A516)</f>
        <v>2325</v>
      </c>
      <c r="F516" s="2" t="str">
        <f aca="false">IF(C516&gt;1,"Repeat","One-time")</f>
        <v>One-time</v>
      </c>
      <c r="G516" s="13" t="n">
        <f aca="false">SUM($D$2:D516)/SUM($D$2:$D$800)</f>
        <v>0.95176398916622</v>
      </c>
    </row>
    <row r="517" customFormat="false" ht="15" hidden="false" customHeight="false" outlineLevel="0" collapsed="false">
      <c r="A517" s="2" t="s">
        <v>1329</v>
      </c>
      <c r="B517" s="2" t="str">
        <f aca="false">INDEX(Clean_Data!$F$2:$F$2086,MATCH(A517,Clean_Data!$B$2:$B$2086,0))</f>
        <v>Consumer</v>
      </c>
      <c r="C517" s="2" t="n">
        <f aca="false">COUNTIFS(Clean_Data!$B$2:$B$2086,A517)</f>
        <v>1</v>
      </c>
      <c r="D517" s="11" t="n">
        <f aca="false">SUMIFS(Clean_Data!$M$2:$M$2086,Clean_Data!$B$2:$B$2086,A517)</f>
        <v>7125</v>
      </c>
      <c r="E517" s="11" t="n">
        <f aca="false">SUMIFS(Clean_Data!$N$2:$N$2086,Clean_Data!$B$2:$B$2086,A517)</f>
        <v>2325</v>
      </c>
      <c r="F517" s="2" t="str">
        <f aca="false">IF(C517&gt;1,"Repeat","One-time")</f>
        <v>One-time</v>
      </c>
      <c r="G517" s="13" t="n">
        <f aca="false">SUM($D$2:D517)/SUM($D$2:$D$800)</f>
        <v>0.952110337626555</v>
      </c>
    </row>
    <row r="518" customFormat="false" ht="15" hidden="false" customHeight="false" outlineLevel="0" collapsed="false">
      <c r="A518" s="2" t="s">
        <v>2247</v>
      </c>
      <c r="B518" s="2" t="str">
        <f aca="false">INDEX(Clean_Data!$F$2:$F$2086,MATCH(A518,Clean_Data!$B$2:$B$2086,0))</f>
        <v>Consumer</v>
      </c>
      <c r="C518" s="2" t="n">
        <f aca="false">COUNTIFS(Clean_Data!$B$2:$B$2086,A518)</f>
        <v>1</v>
      </c>
      <c r="D518" s="11" t="n">
        <f aca="false">SUMIFS(Clean_Data!$M$2:$M$2086,Clean_Data!$B$2:$B$2086,A518)</f>
        <v>7000</v>
      </c>
      <c r="E518" s="11" t="n">
        <f aca="false">SUMIFS(Clean_Data!$N$2:$N$2086,Clean_Data!$B$2:$B$2086,A518)</f>
        <v>2200</v>
      </c>
      <c r="F518" s="2" t="str">
        <f aca="false">IF(C518&gt;1,"Repeat","One-time")</f>
        <v>One-time</v>
      </c>
      <c r="G518" s="13" t="n">
        <f aca="false">SUM($D$2:D518)/SUM($D$2:$D$800)</f>
        <v>0.952450609798113</v>
      </c>
    </row>
    <row r="519" customFormat="false" ht="15" hidden="false" customHeight="false" outlineLevel="0" collapsed="false">
      <c r="A519" s="2" t="s">
        <v>2824</v>
      </c>
      <c r="B519" s="2" t="str">
        <f aca="false">INDEX(Clean_Data!$F$2:$F$2086,MATCH(A519,Clean_Data!$B$2:$B$2086,0))</f>
        <v>Consumer</v>
      </c>
      <c r="C519" s="2" t="n">
        <f aca="false">COUNTIFS(Clean_Data!$B$2:$B$2086,A519)</f>
        <v>2</v>
      </c>
      <c r="D519" s="11" t="n">
        <f aca="false">SUMIFS(Clean_Data!$M$2:$M$2086,Clean_Data!$B$2:$B$2086,A519)</f>
        <v>7000</v>
      </c>
      <c r="E519" s="11" t="n">
        <f aca="false">SUMIFS(Clean_Data!$N$2:$N$2086,Clean_Data!$B$2:$B$2086,A519)</f>
        <v>2000</v>
      </c>
      <c r="F519" s="2" t="str">
        <f aca="false">IF(C519&gt;1,"Repeat","One-time")</f>
        <v>Repeat</v>
      </c>
      <c r="G519" s="13" t="n">
        <f aca="false">SUM($D$2:D519)/SUM($D$2:$D$800)</f>
        <v>0.95279088196967</v>
      </c>
    </row>
    <row r="520" customFormat="false" ht="15" hidden="false" customHeight="false" outlineLevel="0" collapsed="false">
      <c r="A520" s="2" t="s">
        <v>2523</v>
      </c>
      <c r="B520" s="2" t="str">
        <f aca="false">INDEX(Clean_Data!$F$2:$F$2086,MATCH(A520,Clean_Data!$B$2:$B$2086,0))</f>
        <v>Consumer</v>
      </c>
      <c r="C520" s="2" t="n">
        <f aca="false">COUNTIFS(Clean_Data!$B$2:$B$2086,A520)</f>
        <v>2</v>
      </c>
      <c r="D520" s="11" t="n">
        <f aca="false">SUMIFS(Clean_Data!$M$2:$M$2086,Clean_Data!$B$2:$B$2086,A520)</f>
        <v>6900</v>
      </c>
      <c r="E520" s="11" t="n">
        <f aca="false">SUMIFS(Clean_Data!$N$2:$N$2086,Clean_Data!$B$2:$B$2086,A520)</f>
        <v>3000</v>
      </c>
      <c r="F520" s="2" t="str">
        <f aca="false">IF(C520&gt;1,"Repeat","One-time")</f>
        <v>Repeat</v>
      </c>
      <c r="G520" s="13" t="n">
        <f aca="false">SUM($D$2:D520)/SUM($D$2:$D$800)</f>
        <v>0.953126293110206</v>
      </c>
    </row>
    <row r="521" customFormat="false" ht="15" hidden="false" customHeight="false" outlineLevel="0" collapsed="false">
      <c r="A521" s="2" t="s">
        <v>1027</v>
      </c>
      <c r="B521" s="2" t="str">
        <f aca="false">INDEX(Clean_Data!$F$2:$F$2086,MATCH(A521,Clean_Data!$B$2:$B$2086,0))</f>
        <v>Consumer</v>
      </c>
      <c r="C521" s="2" t="n">
        <f aca="false">COUNTIFS(Clean_Data!$B$2:$B$2086,A521)</f>
        <v>2</v>
      </c>
      <c r="D521" s="11" t="n">
        <f aca="false">SUMIFS(Clean_Data!$M$2:$M$2086,Clean_Data!$B$2:$B$2086,A521)</f>
        <v>6887.5</v>
      </c>
      <c r="E521" s="11" t="n">
        <f aca="false">SUMIFS(Clean_Data!$N$2:$N$2086,Clean_Data!$B$2:$B$2086,A521)</f>
        <v>2187.5</v>
      </c>
      <c r="F521" s="2" t="str">
        <f aca="false">IF(C521&gt;1,"Repeat","One-time")</f>
        <v>Repeat</v>
      </c>
      <c r="G521" s="13" t="n">
        <f aca="false">SUM($D$2:D521)/SUM($D$2:$D$800)</f>
        <v>0.953461096621863</v>
      </c>
    </row>
    <row r="522" customFormat="false" ht="15" hidden="false" customHeight="false" outlineLevel="0" collapsed="false">
      <c r="A522" s="2" t="s">
        <v>1707</v>
      </c>
      <c r="B522" s="2" t="str">
        <f aca="false">INDEX(Clean_Data!$F$2:$F$2086,MATCH(A522,Clean_Data!$B$2:$B$2086,0))</f>
        <v>Consumer</v>
      </c>
      <c r="C522" s="2" t="n">
        <f aca="false">COUNTIFS(Clean_Data!$B$2:$B$2086,A522)</f>
        <v>2</v>
      </c>
      <c r="D522" s="11" t="n">
        <f aca="false">SUMIFS(Clean_Data!$M$2:$M$2086,Clean_Data!$B$2:$B$2086,A522)</f>
        <v>6840</v>
      </c>
      <c r="E522" s="11" t="n">
        <f aca="false">SUMIFS(Clean_Data!$N$2:$N$2086,Clean_Data!$B$2:$B$2086,A522)</f>
        <v>3040</v>
      </c>
      <c r="F522" s="2" t="str">
        <f aca="false">IF(C522&gt;1,"Repeat","One-time")</f>
        <v>Repeat</v>
      </c>
      <c r="G522" s="13" t="n">
        <f aca="false">SUM($D$2:D522)/SUM($D$2:$D$800)</f>
        <v>0.953793591143785</v>
      </c>
    </row>
    <row r="523" customFormat="false" ht="15" hidden="false" customHeight="false" outlineLevel="0" collapsed="false">
      <c r="A523" s="2" t="s">
        <v>2426</v>
      </c>
      <c r="B523" s="2" t="str">
        <f aca="false">INDEX(Clean_Data!$F$2:$F$2086,MATCH(A523,Clean_Data!$B$2:$B$2086,0))</f>
        <v>Consumer</v>
      </c>
      <c r="C523" s="2" t="n">
        <f aca="false">COUNTIFS(Clean_Data!$B$2:$B$2086,A523)</f>
        <v>1</v>
      </c>
      <c r="D523" s="11" t="n">
        <f aca="false">SUMIFS(Clean_Data!$M$2:$M$2086,Clean_Data!$B$2:$B$2086,A523)</f>
        <v>6750</v>
      </c>
      <c r="E523" s="11" t="n">
        <f aca="false">SUMIFS(Clean_Data!$N$2:$N$2086,Clean_Data!$B$2:$B$2086,A523)</f>
        <v>1950</v>
      </c>
      <c r="F523" s="2" t="str">
        <f aca="false">IF(C523&gt;1,"Repeat","One-time")</f>
        <v>One-time</v>
      </c>
      <c r="G523" s="13" t="n">
        <f aca="false">SUM($D$2:D523)/SUM($D$2:$D$800)</f>
        <v>0.954121710737787</v>
      </c>
    </row>
    <row r="524" customFormat="false" ht="15" hidden="false" customHeight="false" outlineLevel="0" collapsed="false">
      <c r="A524" s="2" t="s">
        <v>2564</v>
      </c>
      <c r="B524" s="2" t="str">
        <f aca="false">INDEX(Clean_Data!$F$2:$F$2086,MATCH(A524,Clean_Data!$B$2:$B$2086,0))</f>
        <v>Small Business</v>
      </c>
      <c r="C524" s="2" t="n">
        <f aca="false">COUNTIFS(Clean_Data!$B$2:$B$2086,A524)</f>
        <v>1</v>
      </c>
      <c r="D524" s="11" t="n">
        <f aca="false">SUMIFS(Clean_Data!$M$2:$M$2086,Clean_Data!$B$2:$B$2086,A524)</f>
        <v>6650</v>
      </c>
      <c r="E524" s="11" t="n">
        <f aca="false">SUMIFS(Clean_Data!$N$2:$N$2086,Clean_Data!$B$2:$B$2086,A524)</f>
        <v>3150</v>
      </c>
      <c r="F524" s="2" t="str">
        <f aca="false">IF(C524&gt;1,"Repeat","One-time")</f>
        <v>One-time</v>
      </c>
      <c r="G524" s="13" t="n">
        <f aca="false">SUM($D$2:D524)/SUM($D$2:$D$800)</f>
        <v>0.954444969300766</v>
      </c>
    </row>
    <row r="525" customFormat="false" ht="15" hidden="false" customHeight="false" outlineLevel="0" collapsed="false">
      <c r="A525" s="2" t="s">
        <v>2235</v>
      </c>
      <c r="B525" s="2" t="str">
        <f aca="false">INDEX(Clean_Data!$F$2:$F$2086,MATCH(A525,Clean_Data!$B$2:$B$2086,0))</f>
        <v>Small Business</v>
      </c>
      <c r="C525" s="2" t="n">
        <f aca="false">COUNTIFS(Clean_Data!$B$2:$B$2086,A525)</f>
        <v>1</v>
      </c>
      <c r="D525" s="11" t="n">
        <f aca="false">SUMIFS(Clean_Data!$M$2:$M$2086,Clean_Data!$B$2:$B$2086,A525)</f>
        <v>6650</v>
      </c>
      <c r="E525" s="11" t="n">
        <f aca="false">SUMIFS(Clean_Data!$N$2:$N$2086,Clean_Data!$B$2:$B$2086,A525)</f>
        <v>3150</v>
      </c>
      <c r="F525" s="2" t="str">
        <f aca="false">IF(C525&gt;1,"Repeat","One-time")</f>
        <v>One-time</v>
      </c>
      <c r="G525" s="13" t="n">
        <f aca="false">SUM($D$2:D525)/SUM($D$2:$D$800)</f>
        <v>0.954768227863746</v>
      </c>
    </row>
    <row r="526" customFormat="false" ht="15" hidden="false" customHeight="false" outlineLevel="0" collapsed="false">
      <c r="A526" s="2" t="s">
        <v>1542</v>
      </c>
      <c r="B526" s="2" t="str">
        <f aca="false">INDEX(Clean_Data!$F$2:$F$2086,MATCH(A526,Clean_Data!$B$2:$B$2086,0))</f>
        <v>Consumer</v>
      </c>
      <c r="C526" s="2" t="n">
        <f aca="false">COUNTIFS(Clean_Data!$B$2:$B$2086,A526)</f>
        <v>3</v>
      </c>
      <c r="D526" s="11" t="n">
        <f aca="false">SUMIFS(Clean_Data!$M$2:$M$2086,Clean_Data!$B$2:$B$2086,A526)</f>
        <v>6650</v>
      </c>
      <c r="E526" s="11" t="n">
        <f aca="false">SUMIFS(Clean_Data!$N$2:$N$2086,Clean_Data!$B$2:$B$2086,A526)</f>
        <v>3200</v>
      </c>
      <c r="F526" s="2" t="str">
        <f aca="false">IF(C526&gt;1,"Repeat","One-time")</f>
        <v>Repeat</v>
      </c>
      <c r="G526" s="13" t="n">
        <f aca="false">SUM($D$2:D526)/SUM($D$2:$D$800)</f>
        <v>0.955091486426725</v>
      </c>
    </row>
    <row r="527" customFormat="false" ht="15" hidden="false" customHeight="false" outlineLevel="0" collapsed="false">
      <c r="A527" s="2" t="s">
        <v>382</v>
      </c>
      <c r="B527" s="2" t="str">
        <f aca="false">INDEX(Clean_Data!$F$2:$F$2086,MATCH(A527,Clean_Data!$B$2:$B$2086,0))</f>
        <v>Small Business</v>
      </c>
      <c r="C527" s="2" t="n">
        <f aca="false">COUNTIFS(Clean_Data!$B$2:$B$2086,A527)</f>
        <v>1</v>
      </c>
      <c r="D527" s="11" t="n">
        <f aca="false">SUMIFS(Clean_Data!$M$2:$M$2086,Clean_Data!$B$2:$B$2086,A527)</f>
        <v>6650</v>
      </c>
      <c r="E527" s="11" t="n">
        <f aca="false">SUMIFS(Clean_Data!$N$2:$N$2086,Clean_Data!$B$2:$B$2086,A527)</f>
        <v>3150</v>
      </c>
      <c r="F527" s="2" t="str">
        <f aca="false">IF(C527&gt;1,"Repeat","One-time")</f>
        <v>One-time</v>
      </c>
      <c r="G527" s="13" t="n">
        <f aca="false">SUM($D$2:D527)/SUM($D$2:$D$800)</f>
        <v>0.955414744989705</v>
      </c>
    </row>
    <row r="528" customFormat="false" ht="15" hidden="false" customHeight="false" outlineLevel="0" collapsed="false">
      <c r="A528" s="2" t="s">
        <v>1266</v>
      </c>
      <c r="B528" s="2" t="str">
        <f aca="false">INDEX(Clean_Data!$F$2:$F$2086,MATCH(A528,Clean_Data!$B$2:$B$2086,0))</f>
        <v>Corporate</v>
      </c>
      <c r="C528" s="2" t="n">
        <f aca="false">COUNTIFS(Clean_Data!$B$2:$B$2086,A528)</f>
        <v>2</v>
      </c>
      <c r="D528" s="11" t="n">
        <f aca="false">SUMIFS(Clean_Data!$M$2:$M$2086,Clean_Data!$B$2:$B$2086,A528)</f>
        <v>6600</v>
      </c>
      <c r="E528" s="11" t="n">
        <f aca="false">SUMIFS(Clean_Data!$N$2:$N$2086,Clean_Data!$B$2:$B$2086,A528)</f>
        <v>3000</v>
      </c>
      <c r="F528" s="2" t="str">
        <f aca="false">IF(C528&gt;1,"Repeat","One-time")</f>
        <v>Repeat</v>
      </c>
      <c r="G528" s="13" t="n">
        <f aca="false">SUM($D$2:D528)/SUM($D$2:$D$800)</f>
        <v>0.955735573037173</v>
      </c>
    </row>
    <row r="529" customFormat="false" ht="15" hidden="false" customHeight="false" outlineLevel="0" collapsed="false">
      <c r="A529" s="2" t="s">
        <v>1430</v>
      </c>
      <c r="B529" s="2" t="str">
        <f aca="false">INDEX(Clean_Data!$F$2:$F$2086,MATCH(A529,Clean_Data!$B$2:$B$2086,0))</f>
        <v>Consumer</v>
      </c>
      <c r="C529" s="2" t="n">
        <f aca="false">COUNTIFS(Clean_Data!$B$2:$B$2086,A529)</f>
        <v>2</v>
      </c>
      <c r="D529" s="11" t="n">
        <f aca="false">SUMIFS(Clean_Data!$M$2:$M$2086,Clean_Data!$B$2:$B$2086,A529)</f>
        <v>6570</v>
      </c>
      <c r="E529" s="11" t="n">
        <f aca="false">SUMIFS(Clean_Data!$N$2:$N$2086,Clean_Data!$B$2:$B$2086,A529)</f>
        <v>3020</v>
      </c>
      <c r="F529" s="2" t="str">
        <f aca="false">IF(C529&gt;1,"Repeat","One-time")</f>
        <v>Repeat</v>
      </c>
      <c r="G529" s="13" t="n">
        <f aca="false">SUM($D$2:D529)/SUM($D$2:$D$800)</f>
        <v>0.956054942775335</v>
      </c>
    </row>
    <row r="530" customFormat="false" ht="15" hidden="false" customHeight="false" outlineLevel="0" collapsed="false">
      <c r="A530" s="2" t="s">
        <v>2776</v>
      </c>
      <c r="B530" s="2" t="str">
        <f aca="false">INDEX(Clean_Data!$F$2:$F$2086,MATCH(A530,Clean_Data!$B$2:$B$2086,0))</f>
        <v>Consumer</v>
      </c>
      <c r="C530" s="2" t="n">
        <f aca="false">COUNTIFS(Clean_Data!$B$2:$B$2086,A530)</f>
        <v>2</v>
      </c>
      <c r="D530" s="11" t="n">
        <f aca="false">SUMIFS(Clean_Data!$M$2:$M$2086,Clean_Data!$B$2:$B$2086,A530)</f>
        <v>6550</v>
      </c>
      <c r="E530" s="11" t="n">
        <f aca="false">SUMIFS(Clean_Data!$N$2:$N$2086,Clean_Data!$B$2:$B$2086,A530)</f>
        <v>2550</v>
      </c>
      <c r="F530" s="2" t="str">
        <f aca="false">IF(C530&gt;1,"Repeat","One-time")</f>
        <v>Repeat</v>
      </c>
      <c r="G530" s="13" t="n">
        <f aca="false">SUM($D$2:D530)/SUM($D$2:$D$800)</f>
        <v>0.956373340307293</v>
      </c>
    </row>
    <row r="531" customFormat="false" ht="15" hidden="false" customHeight="false" outlineLevel="0" collapsed="false">
      <c r="A531" s="2" t="s">
        <v>2781</v>
      </c>
      <c r="B531" s="2" t="str">
        <f aca="false">INDEX(Clean_Data!$F$2:$F$2086,MATCH(A531,Clean_Data!$B$2:$B$2086,0))</f>
        <v>Small Business</v>
      </c>
      <c r="C531" s="2" t="n">
        <f aca="false">COUNTIFS(Clean_Data!$B$2:$B$2086,A531)</f>
        <v>2</v>
      </c>
      <c r="D531" s="11" t="n">
        <f aca="false">SUMIFS(Clean_Data!$M$2:$M$2086,Clean_Data!$B$2:$B$2086,A531)</f>
        <v>6425</v>
      </c>
      <c r="E531" s="11" t="n">
        <f aca="false">SUMIFS(Clean_Data!$N$2:$N$2086,Clean_Data!$B$2:$B$2086,A531)</f>
        <v>2225</v>
      </c>
      <c r="F531" s="2" t="str">
        <f aca="false">IF(C531&gt;1,"Repeat","One-time")</f>
        <v>Repeat</v>
      </c>
      <c r="G531" s="13" t="n">
        <f aca="false">SUM($D$2:D531)/SUM($D$2:$D$800)</f>
        <v>0.956685661550472</v>
      </c>
    </row>
    <row r="532" customFormat="false" ht="15" hidden="false" customHeight="false" outlineLevel="0" collapsed="false">
      <c r="A532" s="2" t="s">
        <v>2656</v>
      </c>
      <c r="B532" s="2" t="str">
        <f aca="false">INDEX(Clean_Data!$F$2:$F$2086,MATCH(A532,Clean_Data!$B$2:$B$2086,0))</f>
        <v>Consumer</v>
      </c>
      <c r="C532" s="2" t="n">
        <f aca="false">COUNTIFS(Clean_Data!$B$2:$B$2086,A532)</f>
        <v>1</v>
      </c>
      <c r="D532" s="11" t="n">
        <f aca="false">SUMIFS(Clean_Data!$M$2:$M$2086,Clean_Data!$B$2:$B$2086,A532)</f>
        <v>6375</v>
      </c>
      <c r="E532" s="11" t="n">
        <f aca="false">SUMIFS(Clean_Data!$N$2:$N$2086,Clean_Data!$B$2:$B$2086,A532)</f>
        <v>1575</v>
      </c>
      <c r="F532" s="2" t="str">
        <f aca="false">IF(C532&gt;1,"Repeat","One-time")</f>
        <v>One-time</v>
      </c>
      <c r="G532" s="13" t="n">
        <f aca="false">SUM($D$2:D532)/SUM($D$2:$D$800)</f>
        <v>0.95699555227814</v>
      </c>
    </row>
    <row r="533" customFormat="false" ht="15" hidden="false" customHeight="false" outlineLevel="0" collapsed="false">
      <c r="A533" s="2" t="s">
        <v>2859</v>
      </c>
      <c r="B533" s="2" t="str">
        <f aca="false">INDEX(Clean_Data!$F$2:$F$2086,MATCH(A533,Clean_Data!$B$2:$B$2086,0))</f>
        <v>Consumer</v>
      </c>
      <c r="C533" s="2" t="n">
        <f aca="false">COUNTIFS(Clean_Data!$B$2:$B$2086,A533)</f>
        <v>2</v>
      </c>
      <c r="D533" s="11" t="n">
        <f aca="false">SUMIFS(Clean_Data!$M$2:$M$2086,Clean_Data!$B$2:$B$2086,A533)</f>
        <v>6350</v>
      </c>
      <c r="E533" s="11" t="n">
        <f aca="false">SUMIFS(Clean_Data!$N$2:$N$2086,Clean_Data!$B$2:$B$2086,A533)</f>
        <v>2800</v>
      </c>
      <c r="F533" s="2" t="str">
        <f aca="false">IF(C533&gt;1,"Repeat","One-time")</f>
        <v>Repeat</v>
      </c>
      <c r="G533" s="13" t="n">
        <f aca="false">SUM($D$2:D533)/SUM($D$2:$D$800)</f>
        <v>0.957304227748053</v>
      </c>
    </row>
    <row r="534" customFormat="false" ht="15" hidden="false" customHeight="false" outlineLevel="0" collapsed="false">
      <c r="A534" s="2" t="s">
        <v>1962</v>
      </c>
      <c r="B534" s="2" t="str">
        <f aca="false">INDEX(Clean_Data!$F$2:$F$2086,MATCH(A534,Clean_Data!$B$2:$B$2086,0))</f>
        <v>Consumer</v>
      </c>
      <c r="C534" s="2" t="n">
        <f aca="false">COUNTIFS(Clean_Data!$B$2:$B$2086,A534)</f>
        <v>3</v>
      </c>
      <c r="D534" s="11" t="n">
        <f aca="false">SUMIFS(Clean_Data!$M$2:$M$2086,Clean_Data!$B$2:$B$2086,A534)</f>
        <v>6325</v>
      </c>
      <c r="E534" s="11" t="n">
        <f aca="false">SUMIFS(Clean_Data!$N$2:$N$2086,Clean_Data!$B$2:$B$2086,A534)</f>
        <v>3125</v>
      </c>
      <c r="F534" s="2" t="str">
        <f aca="false">IF(C534&gt;1,"Repeat","One-time")</f>
        <v>Repeat</v>
      </c>
      <c r="G534" s="13" t="n">
        <f aca="false">SUM($D$2:D534)/SUM($D$2:$D$800)</f>
        <v>0.957611687960211</v>
      </c>
    </row>
    <row r="535" customFormat="false" ht="15" hidden="false" customHeight="false" outlineLevel="0" collapsed="false">
      <c r="A535" s="2" t="s">
        <v>420</v>
      </c>
      <c r="B535" s="2" t="str">
        <f aca="false">INDEX(Clean_Data!$F$2:$F$2086,MATCH(A535,Clean_Data!$B$2:$B$2086,0))</f>
        <v>Small Business</v>
      </c>
      <c r="C535" s="2" t="n">
        <f aca="false">COUNTIFS(Clean_Data!$B$2:$B$2086,A535)</f>
        <v>1</v>
      </c>
      <c r="D535" s="11" t="n">
        <f aca="false">SUMIFS(Clean_Data!$M$2:$M$2086,Clean_Data!$B$2:$B$2086,A535)</f>
        <v>6300</v>
      </c>
      <c r="E535" s="11" t="n">
        <f aca="false">SUMIFS(Clean_Data!$N$2:$N$2086,Clean_Data!$B$2:$B$2086,A535)</f>
        <v>1500</v>
      </c>
      <c r="F535" s="2" t="str">
        <f aca="false">IF(C535&gt;1,"Repeat","One-time")</f>
        <v>One-time</v>
      </c>
      <c r="G535" s="13" t="n">
        <f aca="false">SUM($D$2:D535)/SUM($D$2:$D$800)</f>
        <v>0.957917932914612</v>
      </c>
    </row>
    <row r="536" customFormat="false" ht="15" hidden="false" customHeight="false" outlineLevel="0" collapsed="false">
      <c r="A536" s="2" t="s">
        <v>1523</v>
      </c>
      <c r="B536" s="2" t="str">
        <f aca="false">INDEX(Clean_Data!$F$2:$F$2086,MATCH(A536,Clean_Data!$B$2:$B$2086,0))</f>
        <v>Consumer</v>
      </c>
      <c r="C536" s="2" t="n">
        <f aca="false">COUNTIFS(Clean_Data!$B$2:$B$2086,A536)</f>
        <v>1</v>
      </c>
      <c r="D536" s="11" t="n">
        <f aca="false">SUMIFS(Clean_Data!$M$2:$M$2086,Clean_Data!$B$2:$B$2086,A536)</f>
        <v>6300</v>
      </c>
      <c r="E536" s="11" t="n">
        <f aca="false">SUMIFS(Clean_Data!$N$2:$N$2086,Clean_Data!$B$2:$B$2086,A536)</f>
        <v>1500</v>
      </c>
      <c r="F536" s="2" t="str">
        <f aca="false">IF(C536&gt;1,"Repeat","One-time")</f>
        <v>One-time</v>
      </c>
      <c r="G536" s="13" t="n">
        <f aca="false">SUM($D$2:D536)/SUM($D$2:$D$800)</f>
        <v>0.958224177869014</v>
      </c>
    </row>
    <row r="537" customFormat="false" ht="15" hidden="false" customHeight="false" outlineLevel="0" collapsed="false">
      <c r="A537" s="2" t="s">
        <v>593</v>
      </c>
      <c r="B537" s="2" t="str">
        <f aca="false">INDEX(Clean_Data!$F$2:$F$2086,MATCH(A537,Clean_Data!$B$2:$B$2086,0))</f>
        <v>Small Business</v>
      </c>
      <c r="C537" s="2" t="n">
        <f aca="false">COUNTIFS(Clean_Data!$B$2:$B$2086,A537)</f>
        <v>1</v>
      </c>
      <c r="D537" s="11" t="n">
        <f aca="false">SUMIFS(Clean_Data!$M$2:$M$2086,Clean_Data!$B$2:$B$2086,A537)</f>
        <v>6300</v>
      </c>
      <c r="E537" s="11" t="n">
        <f aca="false">SUMIFS(Clean_Data!$N$2:$N$2086,Clean_Data!$B$2:$B$2086,A537)</f>
        <v>1500</v>
      </c>
      <c r="F537" s="2" t="str">
        <f aca="false">IF(C537&gt;1,"Repeat","One-time")</f>
        <v>One-time</v>
      </c>
      <c r="G537" s="13" t="n">
        <f aca="false">SUM($D$2:D537)/SUM($D$2:$D$800)</f>
        <v>0.958530422823416</v>
      </c>
    </row>
    <row r="538" customFormat="false" ht="15" hidden="false" customHeight="false" outlineLevel="0" collapsed="false">
      <c r="A538" s="2" t="s">
        <v>1219</v>
      </c>
      <c r="B538" s="2" t="str">
        <f aca="false">INDEX(Clean_Data!$F$2:$F$2086,MATCH(A538,Clean_Data!$B$2:$B$2086,0))</f>
        <v>Small Business</v>
      </c>
      <c r="C538" s="2" t="n">
        <f aca="false">COUNTIFS(Clean_Data!$B$2:$B$2086,A538)</f>
        <v>1</v>
      </c>
      <c r="D538" s="11" t="n">
        <f aca="false">SUMIFS(Clean_Data!$M$2:$M$2086,Clean_Data!$B$2:$B$2086,A538)</f>
        <v>6270</v>
      </c>
      <c r="E538" s="11" t="n">
        <f aca="false">SUMIFS(Clean_Data!$N$2:$N$2086,Clean_Data!$B$2:$B$2086,A538)</f>
        <v>2970</v>
      </c>
      <c r="F538" s="2" t="str">
        <f aca="false">IF(C538&gt;1,"Repeat","One-time")</f>
        <v>One-time</v>
      </c>
      <c r="G538" s="13" t="n">
        <f aca="false">SUM($D$2:D538)/SUM($D$2:$D$800)</f>
        <v>0.958835209468511</v>
      </c>
    </row>
    <row r="539" customFormat="false" ht="15" hidden="false" customHeight="false" outlineLevel="0" collapsed="false">
      <c r="A539" s="2" t="s">
        <v>236</v>
      </c>
      <c r="B539" s="2" t="str">
        <f aca="false">INDEX(Clean_Data!$F$2:$F$2086,MATCH(A539,Clean_Data!$B$2:$B$2086,0))</f>
        <v>Consumer</v>
      </c>
      <c r="C539" s="2" t="n">
        <f aca="false">COUNTIFS(Clean_Data!$B$2:$B$2086,A539)</f>
        <v>3</v>
      </c>
      <c r="D539" s="11" t="n">
        <f aca="false">SUMIFS(Clean_Data!$M$2:$M$2086,Clean_Data!$B$2:$B$2086,A539)</f>
        <v>6220</v>
      </c>
      <c r="E539" s="11" t="n">
        <f aca="false">SUMIFS(Clean_Data!$N$2:$N$2086,Clean_Data!$B$2:$B$2086,A539)</f>
        <v>2820</v>
      </c>
      <c r="F539" s="2" t="str">
        <f aca="false">IF(C539&gt;1,"Repeat","One-time")</f>
        <v>Repeat</v>
      </c>
      <c r="G539" s="13" t="n">
        <f aca="false">SUM($D$2:D539)/SUM($D$2:$D$800)</f>
        <v>0.959137565598095</v>
      </c>
    </row>
    <row r="540" customFormat="false" ht="15" hidden="false" customHeight="false" outlineLevel="0" collapsed="false">
      <c r="A540" s="2" t="s">
        <v>1143</v>
      </c>
      <c r="B540" s="2" t="str">
        <f aca="false">INDEX(Clean_Data!$F$2:$F$2086,MATCH(A540,Clean_Data!$B$2:$B$2086,0))</f>
        <v>Consumer</v>
      </c>
      <c r="C540" s="2" t="n">
        <f aca="false">COUNTIFS(Clean_Data!$B$2:$B$2086,A540)</f>
        <v>2</v>
      </c>
      <c r="D540" s="11" t="n">
        <f aca="false">SUMIFS(Clean_Data!$M$2:$M$2086,Clean_Data!$B$2:$B$2086,A540)</f>
        <v>6200</v>
      </c>
      <c r="E540" s="11" t="n">
        <f aca="false">SUMIFS(Clean_Data!$N$2:$N$2086,Clean_Data!$B$2:$B$2086,A540)</f>
        <v>1300</v>
      </c>
      <c r="F540" s="2" t="str">
        <f aca="false">IF(C540&gt;1,"Repeat","One-time")</f>
        <v>Repeat</v>
      </c>
      <c r="G540" s="13" t="n">
        <f aca="false">SUM($D$2:D540)/SUM($D$2:$D$800)</f>
        <v>0.959438949521474</v>
      </c>
    </row>
    <row r="541" customFormat="false" ht="15" hidden="false" customHeight="false" outlineLevel="0" collapsed="false">
      <c r="A541" s="2" t="s">
        <v>591</v>
      </c>
      <c r="B541" s="2" t="str">
        <f aca="false">INDEX(Clean_Data!$F$2:$F$2086,MATCH(A541,Clean_Data!$B$2:$B$2086,0))</f>
        <v>Small Business</v>
      </c>
      <c r="C541" s="2" t="n">
        <f aca="false">COUNTIFS(Clean_Data!$B$2:$B$2086,A541)</f>
        <v>1</v>
      </c>
      <c r="D541" s="11" t="n">
        <f aca="false">SUMIFS(Clean_Data!$M$2:$M$2086,Clean_Data!$B$2:$B$2086,A541)</f>
        <v>6175</v>
      </c>
      <c r="E541" s="11" t="n">
        <f aca="false">SUMIFS(Clean_Data!$N$2:$N$2086,Clean_Data!$B$2:$B$2086,A541)</f>
        <v>2925</v>
      </c>
      <c r="F541" s="2" t="str">
        <f aca="false">IF(C541&gt;1,"Repeat","One-time")</f>
        <v>One-time</v>
      </c>
      <c r="G541" s="13" t="n">
        <f aca="false">SUM($D$2:D541)/SUM($D$2:$D$800)</f>
        <v>0.959739118187098</v>
      </c>
    </row>
    <row r="542" customFormat="false" ht="15" hidden="false" customHeight="false" outlineLevel="0" collapsed="false">
      <c r="A542" s="2" t="s">
        <v>1813</v>
      </c>
      <c r="B542" s="2" t="str">
        <f aca="false">INDEX(Clean_Data!$F$2:$F$2086,MATCH(A542,Clean_Data!$B$2:$B$2086,0))</f>
        <v>Consumer</v>
      </c>
      <c r="C542" s="2" t="n">
        <f aca="false">COUNTIFS(Clean_Data!$B$2:$B$2086,A542)</f>
        <v>2</v>
      </c>
      <c r="D542" s="11" t="n">
        <f aca="false">SUMIFS(Clean_Data!$M$2:$M$2086,Clean_Data!$B$2:$B$2086,A542)</f>
        <v>6040</v>
      </c>
      <c r="E542" s="11" t="n">
        <f aca="false">SUMIFS(Clean_Data!$N$2:$N$2086,Clean_Data!$B$2:$B$2086,A542)</f>
        <v>2440</v>
      </c>
      <c r="F542" s="2" t="str">
        <f aca="false">IF(C542&gt;1,"Repeat","One-time")</f>
        <v>Repeat</v>
      </c>
      <c r="G542" s="13" t="n">
        <f aca="false">SUM($D$2:D542)/SUM($D$2:$D$800)</f>
        <v>0.960032724460842</v>
      </c>
    </row>
    <row r="543" customFormat="false" ht="15" hidden="false" customHeight="false" outlineLevel="0" collapsed="false">
      <c r="A543" s="2" t="s">
        <v>2224</v>
      </c>
      <c r="B543" s="2" t="str">
        <f aca="false">INDEX(Clean_Data!$F$2:$F$2086,MATCH(A543,Clean_Data!$B$2:$B$2086,0))</f>
        <v>Small Business</v>
      </c>
      <c r="C543" s="2" t="n">
        <f aca="false">COUNTIFS(Clean_Data!$B$2:$B$2086,A543)</f>
        <v>1</v>
      </c>
      <c r="D543" s="11" t="n">
        <f aca="false">SUMIFS(Clean_Data!$M$2:$M$2086,Clean_Data!$B$2:$B$2086,A543)</f>
        <v>6000</v>
      </c>
      <c r="E543" s="11" t="n">
        <f aca="false">SUMIFS(Clean_Data!$N$2:$N$2086,Clean_Data!$B$2:$B$2086,A543)</f>
        <v>3000</v>
      </c>
      <c r="F543" s="2" t="str">
        <f aca="false">IF(C543&gt;1,"Repeat","One-time")</f>
        <v>One-time</v>
      </c>
      <c r="G543" s="13" t="n">
        <f aca="false">SUM($D$2:D543)/SUM($D$2:$D$800)</f>
        <v>0.960324386322177</v>
      </c>
    </row>
    <row r="544" customFormat="false" ht="15" hidden="false" customHeight="false" outlineLevel="0" collapsed="false">
      <c r="A544" s="2" t="s">
        <v>671</v>
      </c>
      <c r="B544" s="2" t="str">
        <f aca="false">INDEX(Clean_Data!$F$2:$F$2086,MATCH(A544,Clean_Data!$B$2:$B$2086,0))</f>
        <v>Small Business</v>
      </c>
      <c r="C544" s="2" t="n">
        <f aca="false">COUNTIFS(Clean_Data!$B$2:$B$2086,A544)</f>
        <v>1</v>
      </c>
      <c r="D544" s="11" t="n">
        <f aca="false">SUMIFS(Clean_Data!$M$2:$M$2086,Clean_Data!$B$2:$B$2086,A544)</f>
        <v>6000</v>
      </c>
      <c r="E544" s="11" t="n">
        <f aca="false">SUMIFS(Clean_Data!$N$2:$N$2086,Clean_Data!$B$2:$B$2086,A544)</f>
        <v>3000</v>
      </c>
      <c r="F544" s="2" t="str">
        <f aca="false">IF(C544&gt;1,"Repeat","One-time")</f>
        <v>One-time</v>
      </c>
      <c r="G544" s="13" t="n">
        <f aca="false">SUM($D$2:D544)/SUM($D$2:$D$800)</f>
        <v>0.960616048183512</v>
      </c>
    </row>
    <row r="545" customFormat="false" ht="15" hidden="false" customHeight="false" outlineLevel="0" collapsed="false">
      <c r="A545" s="2" t="s">
        <v>1255</v>
      </c>
      <c r="B545" s="2" t="str">
        <f aca="false">INDEX(Clean_Data!$F$2:$F$2086,MATCH(A545,Clean_Data!$B$2:$B$2086,0))</f>
        <v>Small Business</v>
      </c>
      <c r="C545" s="2" t="n">
        <f aca="false">COUNTIFS(Clean_Data!$B$2:$B$2086,A545)</f>
        <v>1</v>
      </c>
      <c r="D545" s="11" t="n">
        <f aca="false">SUMIFS(Clean_Data!$M$2:$M$2086,Clean_Data!$B$2:$B$2086,A545)</f>
        <v>6000</v>
      </c>
      <c r="E545" s="11" t="n">
        <f aca="false">SUMIFS(Clean_Data!$N$2:$N$2086,Clean_Data!$B$2:$B$2086,A545)</f>
        <v>2000</v>
      </c>
      <c r="F545" s="2" t="str">
        <f aca="false">IF(C545&gt;1,"Repeat","One-time")</f>
        <v>One-time</v>
      </c>
      <c r="G545" s="13" t="n">
        <f aca="false">SUM($D$2:D545)/SUM($D$2:$D$800)</f>
        <v>0.960907710044847</v>
      </c>
    </row>
    <row r="546" customFormat="false" ht="15" hidden="false" customHeight="false" outlineLevel="0" collapsed="false">
      <c r="A546" s="2" t="s">
        <v>598</v>
      </c>
      <c r="B546" s="2" t="str">
        <f aca="false">INDEX(Clean_Data!$F$2:$F$2086,MATCH(A546,Clean_Data!$B$2:$B$2086,0))</f>
        <v>Small Business</v>
      </c>
      <c r="C546" s="2" t="n">
        <f aca="false">COUNTIFS(Clean_Data!$B$2:$B$2086,A546)</f>
        <v>1</v>
      </c>
      <c r="D546" s="11" t="n">
        <f aca="false">SUMIFS(Clean_Data!$M$2:$M$2086,Clean_Data!$B$2:$B$2086,A546)</f>
        <v>6000</v>
      </c>
      <c r="E546" s="11" t="n">
        <f aca="false">SUMIFS(Clean_Data!$N$2:$N$2086,Clean_Data!$B$2:$B$2086,A546)</f>
        <v>2000</v>
      </c>
      <c r="F546" s="2" t="str">
        <f aca="false">IF(C546&gt;1,"Repeat","One-time")</f>
        <v>One-time</v>
      </c>
      <c r="G546" s="13" t="n">
        <f aca="false">SUM($D$2:D546)/SUM($D$2:$D$800)</f>
        <v>0.961199371906182</v>
      </c>
    </row>
    <row r="547" customFormat="false" ht="15" hidden="false" customHeight="false" outlineLevel="0" collapsed="false">
      <c r="A547" s="2" t="s">
        <v>2739</v>
      </c>
      <c r="B547" s="2" t="str">
        <f aca="false">INDEX(Clean_Data!$F$2:$F$2086,MATCH(A547,Clean_Data!$B$2:$B$2086,0))</f>
        <v>Small Business</v>
      </c>
      <c r="C547" s="2" t="n">
        <f aca="false">COUNTIFS(Clean_Data!$B$2:$B$2086,A547)</f>
        <v>1</v>
      </c>
      <c r="D547" s="11" t="n">
        <f aca="false">SUMIFS(Clean_Data!$M$2:$M$2086,Clean_Data!$B$2:$B$2086,A547)</f>
        <v>6000</v>
      </c>
      <c r="E547" s="11" t="n">
        <f aca="false">SUMIFS(Clean_Data!$N$2:$N$2086,Clean_Data!$B$2:$B$2086,A547)</f>
        <v>3000</v>
      </c>
      <c r="F547" s="2" t="str">
        <f aca="false">IF(C547&gt;1,"Repeat","One-time")</f>
        <v>One-time</v>
      </c>
      <c r="G547" s="13" t="n">
        <f aca="false">SUM($D$2:D547)/SUM($D$2:$D$800)</f>
        <v>0.961491033767517</v>
      </c>
    </row>
    <row r="548" customFormat="false" ht="15" hidden="false" customHeight="false" outlineLevel="0" collapsed="false">
      <c r="A548" s="2" t="s">
        <v>1069</v>
      </c>
      <c r="B548" s="2" t="str">
        <f aca="false">INDEX(Clean_Data!$F$2:$F$2086,MATCH(A548,Clean_Data!$B$2:$B$2086,0))</f>
        <v>Consumer</v>
      </c>
      <c r="C548" s="2" t="n">
        <f aca="false">COUNTIFS(Clean_Data!$B$2:$B$2086,A548)</f>
        <v>1</v>
      </c>
      <c r="D548" s="11" t="n">
        <f aca="false">SUMIFS(Clean_Data!$M$2:$M$2086,Clean_Data!$B$2:$B$2086,A548)</f>
        <v>6000</v>
      </c>
      <c r="E548" s="11" t="n">
        <f aca="false">SUMIFS(Clean_Data!$N$2:$N$2086,Clean_Data!$B$2:$B$2086,A548)</f>
        <v>2000</v>
      </c>
      <c r="F548" s="2" t="str">
        <f aca="false">IF(C548&gt;1,"Repeat","One-time")</f>
        <v>One-time</v>
      </c>
      <c r="G548" s="13" t="n">
        <f aca="false">SUM($D$2:D548)/SUM($D$2:$D$800)</f>
        <v>0.961782695628852</v>
      </c>
    </row>
    <row r="549" customFormat="false" ht="15" hidden="false" customHeight="false" outlineLevel="0" collapsed="false">
      <c r="A549" s="2" t="s">
        <v>2503</v>
      </c>
      <c r="B549" s="2" t="str">
        <f aca="false">INDEX(Clean_Data!$F$2:$F$2086,MATCH(A549,Clean_Data!$B$2:$B$2086,0))</f>
        <v>Small Business</v>
      </c>
      <c r="C549" s="2" t="n">
        <f aca="false">COUNTIFS(Clean_Data!$B$2:$B$2086,A549)</f>
        <v>1</v>
      </c>
      <c r="D549" s="11" t="n">
        <f aca="false">SUMIFS(Clean_Data!$M$2:$M$2086,Clean_Data!$B$2:$B$2086,A549)</f>
        <v>6000</v>
      </c>
      <c r="E549" s="11" t="n">
        <f aca="false">SUMIFS(Clean_Data!$N$2:$N$2086,Clean_Data!$B$2:$B$2086,A549)</f>
        <v>3000</v>
      </c>
      <c r="F549" s="2" t="str">
        <f aca="false">IF(C549&gt;1,"Repeat","One-time")</f>
        <v>One-time</v>
      </c>
      <c r="G549" s="13" t="n">
        <f aca="false">SUM($D$2:D549)/SUM($D$2:$D$800)</f>
        <v>0.962074357490186</v>
      </c>
    </row>
    <row r="550" customFormat="false" ht="15" hidden="false" customHeight="false" outlineLevel="0" collapsed="false">
      <c r="A550" s="2" t="s">
        <v>484</v>
      </c>
      <c r="B550" s="2" t="str">
        <f aca="false">INDEX(Clean_Data!$F$2:$F$2086,MATCH(A550,Clean_Data!$B$2:$B$2086,0))</f>
        <v>Small Business</v>
      </c>
      <c r="C550" s="2" t="n">
        <f aca="false">COUNTIFS(Clean_Data!$B$2:$B$2086,A550)</f>
        <v>1</v>
      </c>
      <c r="D550" s="11" t="n">
        <f aca="false">SUMIFS(Clean_Data!$M$2:$M$2086,Clean_Data!$B$2:$B$2086,A550)</f>
        <v>6000</v>
      </c>
      <c r="E550" s="11" t="n">
        <f aca="false">SUMIFS(Clean_Data!$N$2:$N$2086,Clean_Data!$B$2:$B$2086,A550)</f>
        <v>3000</v>
      </c>
      <c r="F550" s="2" t="str">
        <f aca="false">IF(C550&gt;1,"Repeat","One-time")</f>
        <v>One-time</v>
      </c>
      <c r="G550" s="13" t="n">
        <f aca="false">SUM($D$2:D550)/SUM($D$2:$D$800)</f>
        <v>0.962366019351521</v>
      </c>
    </row>
    <row r="551" customFormat="false" ht="15" hidden="false" customHeight="false" outlineLevel="0" collapsed="false">
      <c r="A551" s="2" t="s">
        <v>96</v>
      </c>
      <c r="B551" s="2" t="str">
        <f aca="false">INDEX(Clean_Data!$F$2:$F$2086,MATCH(A551,Clean_Data!$B$2:$B$2086,0))</f>
        <v>Consumer</v>
      </c>
      <c r="C551" s="2" t="n">
        <f aca="false">COUNTIFS(Clean_Data!$B$2:$B$2086,A551)</f>
        <v>1</v>
      </c>
      <c r="D551" s="11" t="n">
        <f aca="false">SUMIFS(Clean_Data!$M$2:$M$2086,Clean_Data!$B$2:$B$2086,A551)</f>
        <v>6000</v>
      </c>
      <c r="E551" s="11" t="n">
        <f aca="false">SUMIFS(Clean_Data!$N$2:$N$2086,Clean_Data!$B$2:$B$2086,A551)</f>
        <v>2000</v>
      </c>
      <c r="F551" s="2" t="str">
        <f aca="false">IF(C551&gt;1,"Repeat","One-time")</f>
        <v>One-time</v>
      </c>
      <c r="G551" s="13" t="n">
        <f aca="false">SUM($D$2:D551)/SUM($D$2:$D$800)</f>
        <v>0.962657681212856</v>
      </c>
    </row>
    <row r="552" customFormat="false" ht="15" hidden="false" customHeight="false" outlineLevel="0" collapsed="false">
      <c r="A552" s="2" t="s">
        <v>1346</v>
      </c>
      <c r="B552" s="2" t="str">
        <f aca="false">INDEX(Clean_Data!$F$2:$F$2086,MATCH(A552,Clean_Data!$B$2:$B$2086,0))</f>
        <v>Small Business</v>
      </c>
      <c r="C552" s="2" t="n">
        <f aca="false">COUNTIFS(Clean_Data!$B$2:$B$2086,A552)</f>
        <v>1</v>
      </c>
      <c r="D552" s="11" t="n">
        <f aca="false">SUMIFS(Clean_Data!$M$2:$M$2086,Clean_Data!$B$2:$B$2086,A552)</f>
        <v>6000</v>
      </c>
      <c r="E552" s="11" t="n">
        <f aca="false">SUMIFS(Clean_Data!$N$2:$N$2086,Clean_Data!$B$2:$B$2086,A552)</f>
        <v>2000</v>
      </c>
      <c r="F552" s="2" t="str">
        <f aca="false">IF(C552&gt;1,"Repeat","One-time")</f>
        <v>One-time</v>
      </c>
      <c r="G552" s="13" t="n">
        <f aca="false">SUM($D$2:D552)/SUM($D$2:$D$800)</f>
        <v>0.962949343074191</v>
      </c>
    </row>
    <row r="553" customFormat="false" ht="15" hidden="false" customHeight="false" outlineLevel="0" collapsed="false">
      <c r="A553" s="2" t="s">
        <v>792</v>
      </c>
      <c r="B553" s="2" t="str">
        <f aca="false">INDEX(Clean_Data!$F$2:$F$2086,MATCH(A553,Clean_Data!$B$2:$B$2086,0))</f>
        <v>Small Business</v>
      </c>
      <c r="C553" s="2" t="n">
        <f aca="false">COUNTIFS(Clean_Data!$B$2:$B$2086,A553)</f>
        <v>2</v>
      </c>
      <c r="D553" s="11" t="n">
        <f aca="false">SUMIFS(Clean_Data!$M$2:$M$2086,Clean_Data!$B$2:$B$2086,A553)</f>
        <v>5887.5</v>
      </c>
      <c r="E553" s="11" t="n">
        <f aca="false">SUMIFS(Clean_Data!$N$2:$N$2086,Clean_Data!$B$2:$B$2086,A553)</f>
        <v>3187.5</v>
      </c>
      <c r="F553" s="2" t="str">
        <f aca="false">IF(C553&gt;1,"Repeat","One-time")</f>
        <v>Repeat</v>
      </c>
      <c r="G553" s="13" t="n">
        <f aca="false">SUM($D$2:D553)/SUM($D$2:$D$800)</f>
        <v>0.963235536275626</v>
      </c>
    </row>
    <row r="554" customFormat="false" ht="15" hidden="false" customHeight="false" outlineLevel="0" collapsed="false">
      <c r="A554" s="2" t="s">
        <v>1755</v>
      </c>
      <c r="B554" s="2" t="str">
        <f aca="false">INDEX(Clean_Data!$F$2:$F$2086,MATCH(A554,Clean_Data!$B$2:$B$2086,0))</f>
        <v>Consumer</v>
      </c>
      <c r="C554" s="2" t="n">
        <f aca="false">COUNTIFS(Clean_Data!$B$2:$B$2086,A554)</f>
        <v>2</v>
      </c>
      <c r="D554" s="11" t="n">
        <f aca="false">SUMIFS(Clean_Data!$M$2:$M$2086,Clean_Data!$B$2:$B$2086,A554)</f>
        <v>5800</v>
      </c>
      <c r="E554" s="11" t="n">
        <f aca="false">SUMIFS(Clean_Data!$N$2:$N$2086,Clean_Data!$B$2:$B$2086,A554)</f>
        <v>2900</v>
      </c>
      <c r="F554" s="2" t="str">
        <f aca="false">IF(C554&gt;1,"Repeat","One-time")</f>
        <v>Repeat</v>
      </c>
      <c r="G554" s="13" t="n">
        <f aca="false">SUM($D$2:D554)/SUM($D$2:$D$800)</f>
        <v>0.963517476074917</v>
      </c>
    </row>
    <row r="555" customFormat="false" ht="15" hidden="false" customHeight="false" outlineLevel="0" collapsed="false">
      <c r="A555" s="2" t="s">
        <v>2433</v>
      </c>
      <c r="B555" s="2" t="str">
        <f aca="false">INDEX(Clean_Data!$F$2:$F$2086,MATCH(A555,Clean_Data!$B$2:$B$2086,0))</f>
        <v>Consumer</v>
      </c>
      <c r="C555" s="2" t="n">
        <f aca="false">COUNTIFS(Clean_Data!$B$2:$B$2086,A555)</f>
        <v>2</v>
      </c>
      <c r="D555" s="11" t="n">
        <f aca="false">SUMIFS(Clean_Data!$M$2:$M$2086,Clean_Data!$B$2:$B$2086,A555)</f>
        <v>5775</v>
      </c>
      <c r="E555" s="11" t="n">
        <f aca="false">SUMIFS(Clean_Data!$N$2:$N$2086,Clean_Data!$B$2:$B$2086,A555)</f>
        <v>2325</v>
      </c>
      <c r="F555" s="2" t="str">
        <f aca="false">IF(C555&gt;1,"Repeat","One-time")</f>
        <v>Repeat</v>
      </c>
      <c r="G555" s="13" t="n">
        <f aca="false">SUM($D$2:D555)/SUM($D$2:$D$800)</f>
        <v>0.963798200616452</v>
      </c>
    </row>
    <row r="556" customFormat="false" ht="15" hidden="false" customHeight="false" outlineLevel="0" collapsed="false">
      <c r="A556" s="2" t="s">
        <v>967</v>
      </c>
      <c r="B556" s="2" t="str">
        <f aca="false">INDEX(Clean_Data!$F$2:$F$2086,MATCH(A556,Clean_Data!$B$2:$B$2086,0))</f>
        <v>Small Business</v>
      </c>
      <c r="C556" s="2" t="n">
        <f aca="false">COUNTIFS(Clean_Data!$B$2:$B$2086,A556)</f>
        <v>1</v>
      </c>
      <c r="D556" s="11" t="n">
        <f aca="false">SUMIFS(Clean_Data!$M$2:$M$2086,Clean_Data!$B$2:$B$2086,A556)</f>
        <v>5700</v>
      </c>
      <c r="E556" s="11" t="n">
        <f aca="false">SUMIFS(Clean_Data!$N$2:$N$2086,Clean_Data!$B$2:$B$2086,A556)</f>
        <v>2700</v>
      </c>
      <c r="F556" s="2" t="str">
        <f aca="false">IF(C556&gt;1,"Repeat","One-time")</f>
        <v>One-time</v>
      </c>
      <c r="G556" s="13" t="n">
        <f aca="false">SUM($D$2:D556)/SUM($D$2:$D$800)</f>
        <v>0.96407527938472</v>
      </c>
    </row>
    <row r="557" customFormat="false" ht="15" hidden="false" customHeight="false" outlineLevel="0" collapsed="false">
      <c r="A557" s="2" t="s">
        <v>284</v>
      </c>
      <c r="B557" s="2" t="str">
        <f aca="false">INDEX(Clean_Data!$F$2:$F$2086,MATCH(A557,Clean_Data!$B$2:$B$2086,0))</f>
        <v>Consumer</v>
      </c>
      <c r="C557" s="2" t="n">
        <f aca="false">COUNTIFS(Clean_Data!$B$2:$B$2086,A557)</f>
        <v>1</v>
      </c>
      <c r="D557" s="11" t="n">
        <f aca="false">SUMIFS(Clean_Data!$M$2:$M$2086,Clean_Data!$B$2:$B$2086,A557)</f>
        <v>5700</v>
      </c>
      <c r="E557" s="11" t="n">
        <f aca="false">SUMIFS(Clean_Data!$N$2:$N$2086,Clean_Data!$B$2:$B$2086,A557)</f>
        <v>1700</v>
      </c>
      <c r="F557" s="2" t="str">
        <f aca="false">IF(C557&gt;1,"Repeat","One-time")</f>
        <v>One-time</v>
      </c>
      <c r="G557" s="13" t="n">
        <f aca="false">SUM($D$2:D557)/SUM($D$2:$D$800)</f>
        <v>0.964352358152988</v>
      </c>
    </row>
    <row r="558" customFormat="false" ht="15" hidden="false" customHeight="false" outlineLevel="0" collapsed="false">
      <c r="A558" s="2" t="s">
        <v>769</v>
      </c>
      <c r="B558" s="2" t="str">
        <f aca="false">INDEX(Clean_Data!$F$2:$F$2086,MATCH(A558,Clean_Data!$B$2:$B$2086,0))</f>
        <v>Consumer</v>
      </c>
      <c r="C558" s="2" t="n">
        <f aca="false">COUNTIFS(Clean_Data!$B$2:$B$2086,A558)</f>
        <v>2</v>
      </c>
      <c r="D558" s="11" t="n">
        <f aca="false">SUMIFS(Clean_Data!$M$2:$M$2086,Clean_Data!$B$2:$B$2086,A558)</f>
        <v>5625</v>
      </c>
      <c r="E558" s="11" t="n">
        <f aca="false">SUMIFS(Clean_Data!$N$2:$N$2086,Clean_Data!$B$2:$B$2086,A558)</f>
        <v>2625</v>
      </c>
      <c r="F558" s="2" t="str">
        <f aca="false">IF(C558&gt;1,"Repeat","One-time")</f>
        <v>Repeat</v>
      </c>
      <c r="G558" s="13" t="n">
        <f aca="false">SUM($D$2:D558)/SUM($D$2:$D$800)</f>
        <v>0.96462579114799</v>
      </c>
    </row>
    <row r="559" customFormat="false" ht="15" hidden="false" customHeight="false" outlineLevel="0" collapsed="false">
      <c r="A559" s="2" t="s">
        <v>2478</v>
      </c>
      <c r="B559" s="2" t="str">
        <f aca="false">INDEX(Clean_Data!$F$2:$F$2086,MATCH(A559,Clean_Data!$B$2:$B$2086,0))</f>
        <v>Consumer</v>
      </c>
      <c r="C559" s="2" t="n">
        <f aca="false">COUNTIFS(Clean_Data!$B$2:$B$2086,A559)</f>
        <v>1</v>
      </c>
      <c r="D559" s="11" t="n">
        <f aca="false">SUMIFS(Clean_Data!$M$2:$M$2086,Clean_Data!$B$2:$B$2086,A559)</f>
        <v>5500</v>
      </c>
      <c r="E559" s="11" t="n">
        <f aca="false">SUMIFS(Clean_Data!$N$2:$N$2086,Clean_Data!$B$2:$B$2086,A559)</f>
        <v>1900</v>
      </c>
      <c r="F559" s="2" t="str">
        <f aca="false">IF(C559&gt;1,"Repeat","One-time")</f>
        <v>One-time</v>
      </c>
      <c r="G559" s="13" t="n">
        <f aca="false">SUM($D$2:D559)/SUM($D$2:$D$800)</f>
        <v>0.964893147854213</v>
      </c>
    </row>
    <row r="560" customFormat="false" ht="15" hidden="false" customHeight="false" outlineLevel="0" collapsed="false">
      <c r="A560" s="2" t="s">
        <v>2183</v>
      </c>
      <c r="B560" s="2" t="str">
        <f aca="false">INDEX(Clean_Data!$F$2:$F$2086,MATCH(A560,Clean_Data!$B$2:$B$2086,0))</f>
        <v>Small Business</v>
      </c>
      <c r="C560" s="2" t="n">
        <f aca="false">COUNTIFS(Clean_Data!$B$2:$B$2086,A560)</f>
        <v>1</v>
      </c>
      <c r="D560" s="11" t="n">
        <f aca="false">SUMIFS(Clean_Data!$M$2:$M$2086,Clean_Data!$B$2:$B$2086,A560)</f>
        <v>5500</v>
      </c>
      <c r="E560" s="11" t="n">
        <f aca="false">SUMIFS(Clean_Data!$N$2:$N$2086,Clean_Data!$B$2:$B$2086,A560)</f>
        <v>1900</v>
      </c>
      <c r="F560" s="2" t="str">
        <f aca="false">IF(C560&gt;1,"Repeat","One-time")</f>
        <v>One-time</v>
      </c>
      <c r="G560" s="13" t="n">
        <f aca="false">SUM($D$2:D560)/SUM($D$2:$D$800)</f>
        <v>0.965160504560437</v>
      </c>
    </row>
    <row r="561" customFormat="false" ht="15" hidden="false" customHeight="false" outlineLevel="0" collapsed="false">
      <c r="A561" s="2" t="s">
        <v>232</v>
      </c>
      <c r="B561" s="2" t="str">
        <f aca="false">INDEX(Clean_Data!$F$2:$F$2086,MATCH(A561,Clean_Data!$B$2:$B$2086,0))</f>
        <v>Consumer</v>
      </c>
      <c r="C561" s="2" t="n">
        <f aca="false">COUNTIFS(Clean_Data!$B$2:$B$2086,A561)</f>
        <v>3</v>
      </c>
      <c r="D561" s="11" t="n">
        <f aca="false">SUMIFS(Clean_Data!$M$2:$M$2086,Clean_Data!$B$2:$B$2086,A561)</f>
        <v>5425</v>
      </c>
      <c r="E561" s="11" t="n">
        <f aca="false">SUMIFS(Clean_Data!$N$2:$N$2086,Clean_Data!$B$2:$B$2086,A561)</f>
        <v>2525</v>
      </c>
      <c r="F561" s="2" t="str">
        <f aca="false">IF(C561&gt;1,"Repeat","One-time")</f>
        <v>Repeat</v>
      </c>
      <c r="G561" s="13" t="n">
        <f aca="false">SUM($D$2:D561)/SUM($D$2:$D$800)</f>
        <v>0.965424215493394</v>
      </c>
    </row>
    <row r="562" customFormat="false" ht="15" hidden="false" customHeight="false" outlineLevel="0" collapsed="false">
      <c r="A562" s="2" t="s">
        <v>2560</v>
      </c>
      <c r="B562" s="2" t="str">
        <f aca="false">INDEX(Clean_Data!$F$2:$F$2086,MATCH(A562,Clean_Data!$B$2:$B$2086,0))</f>
        <v>Consumer</v>
      </c>
      <c r="C562" s="2" t="n">
        <f aca="false">COUNTIFS(Clean_Data!$B$2:$B$2086,A562)</f>
        <v>3</v>
      </c>
      <c r="D562" s="11" t="n">
        <f aca="false">SUMIFS(Clean_Data!$M$2:$M$2086,Clean_Data!$B$2:$B$2086,A562)</f>
        <v>5425</v>
      </c>
      <c r="E562" s="11" t="n">
        <f aca="false">SUMIFS(Clean_Data!$N$2:$N$2086,Clean_Data!$B$2:$B$2086,A562)</f>
        <v>2725</v>
      </c>
      <c r="F562" s="2" t="str">
        <f aca="false">IF(C562&gt;1,"Repeat","One-time")</f>
        <v>Repeat</v>
      </c>
      <c r="G562" s="13" t="n">
        <f aca="false">SUM($D$2:D562)/SUM($D$2:$D$800)</f>
        <v>0.965687926426351</v>
      </c>
    </row>
    <row r="563" customFormat="false" ht="15" hidden="false" customHeight="false" outlineLevel="0" collapsed="false">
      <c r="A563" s="2" t="s">
        <v>1954</v>
      </c>
      <c r="B563" s="2" t="str">
        <f aca="false">INDEX(Clean_Data!$F$2:$F$2086,MATCH(A563,Clean_Data!$B$2:$B$2086,0))</f>
        <v>Small Business</v>
      </c>
      <c r="C563" s="2" t="n">
        <f aca="false">COUNTIFS(Clean_Data!$B$2:$B$2086,A563)</f>
        <v>1</v>
      </c>
      <c r="D563" s="11" t="n">
        <f aca="false">SUMIFS(Clean_Data!$M$2:$M$2086,Clean_Data!$B$2:$B$2086,A563)</f>
        <v>5400</v>
      </c>
      <c r="E563" s="11" t="n">
        <f aca="false">SUMIFS(Clean_Data!$N$2:$N$2086,Clean_Data!$B$2:$B$2086,A563)</f>
        <v>1800</v>
      </c>
      <c r="F563" s="2" t="str">
        <f aca="false">IF(C563&gt;1,"Repeat","One-time")</f>
        <v>One-time</v>
      </c>
      <c r="G563" s="13" t="n">
        <f aca="false">SUM($D$2:D563)/SUM($D$2:$D$800)</f>
        <v>0.965950422101553</v>
      </c>
    </row>
    <row r="564" customFormat="false" ht="15" hidden="false" customHeight="false" outlineLevel="0" collapsed="false">
      <c r="A564" s="2" t="s">
        <v>277</v>
      </c>
      <c r="B564" s="2" t="str">
        <f aca="false">INDEX(Clean_Data!$F$2:$F$2086,MATCH(A564,Clean_Data!$B$2:$B$2086,0))</f>
        <v>Consumer</v>
      </c>
      <c r="C564" s="2" t="n">
        <f aca="false">COUNTIFS(Clean_Data!$B$2:$B$2086,A564)</f>
        <v>1</v>
      </c>
      <c r="D564" s="11" t="n">
        <f aca="false">SUMIFS(Clean_Data!$M$2:$M$2086,Clean_Data!$B$2:$B$2086,A564)</f>
        <v>5400</v>
      </c>
      <c r="E564" s="11" t="n">
        <f aca="false">SUMIFS(Clean_Data!$N$2:$N$2086,Clean_Data!$B$2:$B$2086,A564)</f>
        <v>1400</v>
      </c>
      <c r="F564" s="2" t="str">
        <f aca="false">IF(C564&gt;1,"Repeat","One-time")</f>
        <v>One-time</v>
      </c>
      <c r="G564" s="13" t="n">
        <f aca="false">SUM($D$2:D564)/SUM($D$2:$D$800)</f>
        <v>0.966212917776754</v>
      </c>
    </row>
    <row r="565" customFormat="false" ht="15" hidden="false" customHeight="false" outlineLevel="0" collapsed="false">
      <c r="A565" s="2" t="s">
        <v>1134</v>
      </c>
      <c r="B565" s="2" t="str">
        <f aca="false">INDEX(Clean_Data!$F$2:$F$2086,MATCH(A565,Clean_Data!$B$2:$B$2086,0))</f>
        <v>Consumer</v>
      </c>
      <c r="C565" s="2" t="n">
        <f aca="false">COUNTIFS(Clean_Data!$B$2:$B$2086,A565)</f>
        <v>2</v>
      </c>
      <c r="D565" s="11" t="n">
        <f aca="false">SUMIFS(Clean_Data!$M$2:$M$2086,Clean_Data!$B$2:$B$2086,A565)</f>
        <v>5400</v>
      </c>
      <c r="E565" s="11" t="n">
        <f aca="false">SUMIFS(Clean_Data!$N$2:$N$2086,Clean_Data!$B$2:$B$2086,A565)</f>
        <v>2700</v>
      </c>
      <c r="F565" s="2" t="str">
        <f aca="false">IF(C565&gt;1,"Repeat","One-time")</f>
        <v>Repeat</v>
      </c>
      <c r="G565" s="13" t="n">
        <f aca="false">SUM($D$2:D565)/SUM($D$2:$D$800)</f>
        <v>0.966475413451955</v>
      </c>
    </row>
    <row r="566" customFormat="false" ht="15" hidden="false" customHeight="false" outlineLevel="0" collapsed="false">
      <c r="A566" s="2" t="s">
        <v>2925</v>
      </c>
      <c r="B566" s="2" t="str">
        <f aca="false">INDEX(Clean_Data!$F$2:$F$2086,MATCH(A566,Clean_Data!$B$2:$B$2086,0))</f>
        <v>Small Business</v>
      </c>
      <c r="C566" s="2" t="n">
        <f aca="false">COUNTIFS(Clean_Data!$B$2:$B$2086,A566)</f>
        <v>1</v>
      </c>
      <c r="D566" s="11" t="n">
        <f aca="false">SUMIFS(Clean_Data!$M$2:$M$2086,Clean_Data!$B$2:$B$2086,A566)</f>
        <v>5400</v>
      </c>
      <c r="E566" s="11" t="n">
        <f aca="false">SUMIFS(Clean_Data!$N$2:$N$2086,Clean_Data!$B$2:$B$2086,A566)</f>
        <v>1400</v>
      </c>
      <c r="F566" s="2" t="str">
        <f aca="false">IF(C566&gt;1,"Repeat","One-time")</f>
        <v>One-time</v>
      </c>
      <c r="G566" s="13" t="n">
        <f aca="false">SUM($D$2:D566)/SUM($D$2:$D$800)</f>
        <v>0.966737909127157</v>
      </c>
    </row>
    <row r="567" customFormat="false" ht="15" hidden="false" customHeight="false" outlineLevel="0" collapsed="false">
      <c r="A567" s="2" t="s">
        <v>1401</v>
      </c>
      <c r="B567" s="2" t="str">
        <f aca="false">INDEX(Clean_Data!$F$2:$F$2086,MATCH(A567,Clean_Data!$B$2:$B$2086,0))</f>
        <v>Consumer</v>
      </c>
      <c r="C567" s="2" t="n">
        <f aca="false">COUNTIFS(Clean_Data!$B$2:$B$2086,A567)</f>
        <v>2</v>
      </c>
      <c r="D567" s="11" t="n">
        <f aca="false">SUMIFS(Clean_Data!$M$2:$M$2086,Clean_Data!$B$2:$B$2086,A567)</f>
        <v>5325</v>
      </c>
      <c r="E567" s="11" t="n">
        <f aca="false">SUMIFS(Clean_Data!$N$2:$N$2086,Clean_Data!$B$2:$B$2086,A567)</f>
        <v>1875</v>
      </c>
      <c r="F567" s="2" t="str">
        <f aca="false">IF(C567&gt;1,"Repeat","One-time")</f>
        <v>Repeat</v>
      </c>
      <c r="G567" s="13" t="n">
        <f aca="false">SUM($D$2:D567)/SUM($D$2:$D$800)</f>
        <v>0.966996759029092</v>
      </c>
    </row>
    <row r="568" customFormat="false" ht="15" hidden="false" customHeight="false" outlineLevel="0" collapsed="false">
      <c r="A568" s="2" t="s">
        <v>1966</v>
      </c>
      <c r="B568" s="2" t="str">
        <f aca="false">INDEX(Clean_Data!$F$2:$F$2086,MATCH(A568,Clean_Data!$B$2:$B$2086,0))</f>
        <v>Consumer</v>
      </c>
      <c r="C568" s="2" t="n">
        <f aca="false">COUNTIFS(Clean_Data!$B$2:$B$2086,A568)</f>
        <v>1</v>
      </c>
      <c r="D568" s="11" t="n">
        <f aca="false">SUMIFS(Clean_Data!$M$2:$M$2086,Clean_Data!$B$2:$B$2086,A568)</f>
        <v>5225</v>
      </c>
      <c r="E568" s="11" t="n">
        <f aca="false">SUMIFS(Clean_Data!$N$2:$N$2086,Clean_Data!$B$2:$B$2086,A568)</f>
        <v>1625</v>
      </c>
      <c r="F568" s="2" t="str">
        <f aca="false">IF(C568&gt;1,"Repeat","One-time")</f>
        <v>One-time</v>
      </c>
      <c r="G568" s="13" t="n">
        <f aca="false">SUM($D$2:D568)/SUM($D$2:$D$800)</f>
        <v>0.967250747900004</v>
      </c>
    </row>
    <row r="569" customFormat="false" ht="15" hidden="false" customHeight="false" outlineLevel="0" collapsed="false">
      <c r="A569" s="2" t="s">
        <v>418</v>
      </c>
      <c r="B569" s="2" t="str">
        <f aca="false">INDEX(Clean_Data!$F$2:$F$2086,MATCH(A569,Clean_Data!$B$2:$B$2086,0))</f>
        <v>Consumer</v>
      </c>
      <c r="C569" s="2" t="n">
        <f aca="false">COUNTIFS(Clean_Data!$B$2:$B$2086,A569)</f>
        <v>1</v>
      </c>
      <c r="D569" s="11" t="n">
        <f aca="false">SUMIFS(Clean_Data!$M$2:$M$2086,Clean_Data!$B$2:$B$2086,A569)</f>
        <v>5225</v>
      </c>
      <c r="E569" s="11" t="n">
        <f aca="false">SUMIFS(Clean_Data!$N$2:$N$2086,Clean_Data!$B$2:$B$2086,A569)</f>
        <v>1625</v>
      </c>
      <c r="F569" s="2" t="str">
        <f aca="false">IF(C569&gt;1,"Repeat","One-time")</f>
        <v>One-time</v>
      </c>
      <c r="G569" s="13" t="n">
        <f aca="false">SUM($D$2:D569)/SUM($D$2:$D$800)</f>
        <v>0.967504736770917</v>
      </c>
    </row>
    <row r="570" customFormat="false" ht="15" hidden="false" customHeight="false" outlineLevel="0" collapsed="false">
      <c r="A570" s="2" t="s">
        <v>1043</v>
      </c>
      <c r="B570" s="2" t="str">
        <f aca="false">INDEX(Clean_Data!$F$2:$F$2086,MATCH(A570,Clean_Data!$B$2:$B$2086,0))</f>
        <v>Consumer</v>
      </c>
      <c r="C570" s="2" t="n">
        <f aca="false">COUNTIFS(Clean_Data!$B$2:$B$2086,A570)</f>
        <v>1</v>
      </c>
      <c r="D570" s="11" t="n">
        <f aca="false">SUMIFS(Clean_Data!$M$2:$M$2086,Clean_Data!$B$2:$B$2086,A570)</f>
        <v>5225</v>
      </c>
      <c r="E570" s="11" t="n">
        <f aca="false">SUMIFS(Clean_Data!$N$2:$N$2086,Clean_Data!$B$2:$B$2086,A570)</f>
        <v>1625</v>
      </c>
      <c r="F570" s="2" t="str">
        <f aca="false">IF(C570&gt;1,"Repeat","One-time")</f>
        <v>One-time</v>
      </c>
      <c r="G570" s="13" t="n">
        <f aca="false">SUM($D$2:D570)/SUM($D$2:$D$800)</f>
        <v>0.967758725641829</v>
      </c>
    </row>
    <row r="571" customFormat="false" ht="15" hidden="false" customHeight="false" outlineLevel="0" collapsed="false">
      <c r="A571" s="2" t="s">
        <v>2872</v>
      </c>
      <c r="B571" s="2" t="str">
        <f aca="false">INDEX(Clean_Data!$F$2:$F$2086,MATCH(A571,Clean_Data!$B$2:$B$2086,0))</f>
        <v>Small Business</v>
      </c>
      <c r="C571" s="2" t="n">
        <f aca="false">COUNTIFS(Clean_Data!$B$2:$B$2086,A571)</f>
        <v>1</v>
      </c>
      <c r="D571" s="11" t="n">
        <f aca="false">SUMIFS(Clean_Data!$M$2:$M$2086,Clean_Data!$B$2:$B$2086,A571)</f>
        <v>5130</v>
      </c>
      <c r="E571" s="11" t="n">
        <f aca="false">SUMIFS(Clean_Data!$N$2:$N$2086,Clean_Data!$B$2:$B$2086,A571)</f>
        <v>2430</v>
      </c>
      <c r="F571" s="2" t="str">
        <f aca="false">IF(C571&gt;1,"Repeat","One-time")</f>
        <v>One-time</v>
      </c>
      <c r="G571" s="13" t="n">
        <f aca="false">SUM($D$2:D571)/SUM($D$2:$D$800)</f>
        <v>0.968008096533271</v>
      </c>
    </row>
    <row r="572" customFormat="false" ht="15" hidden="false" customHeight="false" outlineLevel="0" collapsed="false">
      <c r="A572" s="2" t="s">
        <v>1122</v>
      </c>
      <c r="B572" s="2" t="str">
        <f aca="false">INDEX(Clean_Data!$F$2:$F$2086,MATCH(A572,Clean_Data!$B$2:$B$2086,0))</f>
        <v>Consumer</v>
      </c>
      <c r="C572" s="2" t="n">
        <f aca="false">COUNTIFS(Clean_Data!$B$2:$B$2086,A572)</f>
        <v>3</v>
      </c>
      <c r="D572" s="11" t="n">
        <f aca="false">SUMIFS(Clean_Data!$M$2:$M$2086,Clean_Data!$B$2:$B$2086,A572)</f>
        <v>5120</v>
      </c>
      <c r="E572" s="11" t="n">
        <f aca="false">SUMIFS(Clean_Data!$N$2:$N$2086,Clean_Data!$B$2:$B$2086,A572)</f>
        <v>2320</v>
      </c>
      <c r="F572" s="2" t="str">
        <f aca="false">IF(C572&gt;1,"Repeat","One-time")</f>
        <v>Repeat</v>
      </c>
      <c r="G572" s="13" t="n">
        <f aca="false">SUM($D$2:D572)/SUM($D$2:$D$800)</f>
        <v>0.96825698132161</v>
      </c>
    </row>
    <row r="573" customFormat="false" ht="15" hidden="false" customHeight="false" outlineLevel="0" collapsed="false">
      <c r="A573" s="2" t="s">
        <v>1995</v>
      </c>
      <c r="B573" s="2" t="str">
        <f aca="false">INDEX(Clean_Data!$F$2:$F$2086,MATCH(A573,Clean_Data!$B$2:$B$2086,0))</f>
        <v>Small Business</v>
      </c>
      <c r="C573" s="2" t="n">
        <f aca="false">COUNTIFS(Clean_Data!$B$2:$B$2086,A573)</f>
        <v>1</v>
      </c>
      <c r="D573" s="11" t="n">
        <f aca="false">SUMIFS(Clean_Data!$M$2:$M$2086,Clean_Data!$B$2:$B$2086,A573)</f>
        <v>5100</v>
      </c>
      <c r="E573" s="11" t="n">
        <f aca="false">SUMIFS(Clean_Data!$N$2:$N$2086,Clean_Data!$B$2:$B$2086,A573)</f>
        <v>2100</v>
      </c>
      <c r="F573" s="2" t="str">
        <f aca="false">IF(C573&gt;1,"Repeat","One-time")</f>
        <v>One-time</v>
      </c>
      <c r="G573" s="13" t="n">
        <f aca="false">SUM($D$2:D573)/SUM($D$2:$D$800)</f>
        <v>0.968504893903745</v>
      </c>
    </row>
    <row r="574" customFormat="false" ht="15" hidden="false" customHeight="false" outlineLevel="0" collapsed="false">
      <c r="A574" s="2" t="s">
        <v>2345</v>
      </c>
      <c r="B574" s="2" t="str">
        <f aca="false">INDEX(Clean_Data!$F$2:$F$2086,MATCH(A574,Clean_Data!$B$2:$B$2086,0))</f>
        <v>Consumer</v>
      </c>
      <c r="C574" s="2" t="n">
        <f aca="false">COUNTIFS(Clean_Data!$B$2:$B$2086,A574)</f>
        <v>2</v>
      </c>
      <c r="D574" s="11" t="n">
        <f aca="false">SUMIFS(Clean_Data!$M$2:$M$2086,Clean_Data!$B$2:$B$2086,A574)</f>
        <v>5055</v>
      </c>
      <c r="E574" s="11" t="n">
        <f aca="false">SUMIFS(Clean_Data!$N$2:$N$2086,Clean_Data!$B$2:$B$2086,A574)</f>
        <v>2055</v>
      </c>
      <c r="F574" s="2" t="str">
        <f aca="false">IF(C574&gt;1,"Repeat","One-time")</f>
        <v>Repeat</v>
      </c>
      <c r="G574" s="13" t="n">
        <f aca="false">SUM($D$2:D574)/SUM($D$2:$D$800)</f>
        <v>0.968750619021919</v>
      </c>
    </row>
    <row r="575" customFormat="false" ht="15" hidden="false" customHeight="false" outlineLevel="0" collapsed="false">
      <c r="A575" s="2" t="s">
        <v>2149</v>
      </c>
      <c r="B575" s="2" t="str">
        <f aca="false">INDEX(Clean_Data!$F$2:$F$2086,MATCH(A575,Clean_Data!$B$2:$B$2086,0))</f>
        <v>Consumer</v>
      </c>
      <c r="C575" s="2" t="n">
        <f aca="false">COUNTIFS(Clean_Data!$B$2:$B$2086,A575)</f>
        <v>1</v>
      </c>
      <c r="D575" s="11" t="n">
        <f aca="false">SUMIFS(Clean_Data!$M$2:$M$2086,Clean_Data!$B$2:$B$2086,A575)</f>
        <v>5000</v>
      </c>
      <c r="E575" s="11" t="n">
        <f aca="false">SUMIFS(Clean_Data!$N$2:$N$2086,Clean_Data!$B$2:$B$2086,A575)</f>
        <v>1800</v>
      </c>
      <c r="F575" s="2" t="str">
        <f aca="false">IF(C575&gt;1,"Repeat","One-time")</f>
        <v>One-time</v>
      </c>
      <c r="G575" s="13" t="n">
        <f aca="false">SUM($D$2:D575)/SUM($D$2:$D$800)</f>
        <v>0.968993670573032</v>
      </c>
    </row>
    <row r="576" customFormat="false" ht="15" hidden="false" customHeight="false" outlineLevel="0" collapsed="false">
      <c r="A576" s="2" t="s">
        <v>750</v>
      </c>
      <c r="B576" s="2" t="str">
        <f aca="false">INDEX(Clean_Data!$F$2:$F$2086,MATCH(A576,Clean_Data!$B$2:$B$2086,0))</f>
        <v>Consumer</v>
      </c>
      <c r="C576" s="2" t="n">
        <f aca="false">COUNTIFS(Clean_Data!$B$2:$B$2086,A576)</f>
        <v>1</v>
      </c>
      <c r="D576" s="11" t="n">
        <f aca="false">SUMIFS(Clean_Data!$M$2:$M$2086,Clean_Data!$B$2:$B$2086,A576)</f>
        <v>5000</v>
      </c>
      <c r="E576" s="11" t="n">
        <f aca="false">SUMIFS(Clean_Data!$N$2:$N$2086,Clean_Data!$B$2:$B$2086,A576)</f>
        <v>1800</v>
      </c>
      <c r="F576" s="2" t="str">
        <f aca="false">IF(C576&gt;1,"Repeat","One-time")</f>
        <v>One-time</v>
      </c>
      <c r="G576" s="13" t="n">
        <f aca="false">SUM($D$2:D576)/SUM($D$2:$D$800)</f>
        <v>0.969236722124144</v>
      </c>
    </row>
    <row r="577" customFormat="false" ht="15" hidden="false" customHeight="false" outlineLevel="0" collapsed="false">
      <c r="A577" s="2" t="s">
        <v>1821</v>
      </c>
      <c r="B577" s="2" t="str">
        <f aca="false">INDEX(Clean_Data!$F$2:$F$2086,MATCH(A577,Clean_Data!$B$2:$B$2086,0))</f>
        <v>Consumer</v>
      </c>
      <c r="C577" s="2" t="n">
        <f aca="false">COUNTIFS(Clean_Data!$B$2:$B$2086,A577)</f>
        <v>1</v>
      </c>
      <c r="D577" s="11" t="n">
        <f aca="false">SUMIFS(Clean_Data!$M$2:$M$2086,Clean_Data!$B$2:$B$2086,A577)</f>
        <v>5000</v>
      </c>
      <c r="E577" s="11" t="n">
        <f aca="false">SUMIFS(Clean_Data!$N$2:$N$2086,Clean_Data!$B$2:$B$2086,A577)</f>
        <v>1800</v>
      </c>
      <c r="F577" s="2" t="str">
        <f aca="false">IF(C577&gt;1,"Repeat","One-time")</f>
        <v>One-time</v>
      </c>
      <c r="G577" s="13" t="n">
        <f aca="false">SUM($D$2:D577)/SUM($D$2:$D$800)</f>
        <v>0.969479773675257</v>
      </c>
    </row>
    <row r="578" customFormat="false" ht="15" hidden="false" customHeight="false" outlineLevel="0" collapsed="false">
      <c r="A578" s="2" t="s">
        <v>553</v>
      </c>
      <c r="B578" s="2" t="str">
        <f aca="false">INDEX(Clean_Data!$F$2:$F$2086,MATCH(A578,Clean_Data!$B$2:$B$2086,0))</f>
        <v>Consumer</v>
      </c>
      <c r="C578" s="2" t="n">
        <f aca="false">COUNTIFS(Clean_Data!$B$2:$B$2086,A578)</f>
        <v>3</v>
      </c>
      <c r="D578" s="11" t="n">
        <f aca="false">SUMIFS(Clean_Data!$M$2:$M$2086,Clean_Data!$B$2:$B$2086,A578)</f>
        <v>4980</v>
      </c>
      <c r="E578" s="11" t="n">
        <f aca="false">SUMIFS(Clean_Data!$N$2:$N$2086,Clean_Data!$B$2:$B$2086,A578)</f>
        <v>1980</v>
      </c>
      <c r="F578" s="2" t="str">
        <f aca="false">IF(C578&gt;1,"Repeat","One-time")</f>
        <v>Repeat</v>
      </c>
      <c r="G578" s="13" t="n">
        <f aca="false">SUM($D$2:D578)/SUM($D$2:$D$800)</f>
        <v>0.969721853020165</v>
      </c>
    </row>
    <row r="579" customFormat="false" ht="15" hidden="false" customHeight="false" outlineLevel="0" collapsed="false">
      <c r="A579" s="2" t="s">
        <v>2779</v>
      </c>
      <c r="B579" s="2" t="str">
        <f aca="false">INDEX(Clean_Data!$F$2:$F$2086,MATCH(A579,Clean_Data!$B$2:$B$2086,0))</f>
        <v>Consumer</v>
      </c>
      <c r="C579" s="2" t="n">
        <f aca="false">COUNTIFS(Clean_Data!$B$2:$B$2086,A579)</f>
        <v>1</v>
      </c>
      <c r="D579" s="11" t="n">
        <f aca="false">SUMIFS(Clean_Data!$M$2:$M$2086,Clean_Data!$B$2:$B$2086,A579)</f>
        <v>4950</v>
      </c>
      <c r="E579" s="11" t="n">
        <f aca="false">SUMIFS(Clean_Data!$N$2:$N$2086,Clean_Data!$B$2:$B$2086,A579)</f>
        <v>1350</v>
      </c>
      <c r="F579" s="2" t="str">
        <f aca="false">IF(C579&gt;1,"Repeat","One-time")</f>
        <v>One-time</v>
      </c>
      <c r="G579" s="13" t="n">
        <f aca="false">SUM($D$2:D579)/SUM($D$2:$D$800)</f>
        <v>0.969962474055766</v>
      </c>
    </row>
    <row r="580" customFormat="false" ht="15" hidden="false" customHeight="false" outlineLevel="0" collapsed="false">
      <c r="A580" s="2" t="s">
        <v>1940</v>
      </c>
      <c r="B580" s="2" t="str">
        <f aca="false">INDEX(Clean_Data!$F$2:$F$2086,MATCH(A580,Clean_Data!$B$2:$B$2086,0))</f>
        <v>Consumer</v>
      </c>
      <c r="C580" s="2" t="n">
        <f aca="false">COUNTIFS(Clean_Data!$B$2:$B$2086,A580)</f>
        <v>2</v>
      </c>
      <c r="D580" s="11" t="n">
        <f aca="false">SUMIFS(Clean_Data!$M$2:$M$2086,Clean_Data!$B$2:$B$2086,A580)</f>
        <v>4925</v>
      </c>
      <c r="E580" s="11" t="n">
        <f aca="false">SUMIFS(Clean_Data!$N$2:$N$2086,Clean_Data!$B$2:$B$2086,A580)</f>
        <v>2425</v>
      </c>
      <c r="F580" s="2" t="str">
        <f aca="false">IF(C580&gt;1,"Repeat","One-time")</f>
        <v>Repeat</v>
      </c>
      <c r="G580" s="13" t="n">
        <f aca="false">SUM($D$2:D580)/SUM($D$2:$D$800)</f>
        <v>0.970201879833612</v>
      </c>
    </row>
    <row r="581" customFormat="false" ht="15" hidden="false" customHeight="false" outlineLevel="0" collapsed="false">
      <c r="A581" s="2" t="s">
        <v>1803</v>
      </c>
      <c r="B581" s="2" t="str">
        <f aca="false">INDEX(Clean_Data!$F$2:$F$2086,MATCH(A581,Clean_Data!$B$2:$B$2086,0))</f>
        <v>Small Business</v>
      </c>
      <c r="C581" s="2" t="n">
        <f aca="false">COUNTIFS(Clean_Data!$B$2:$B$2086,A581)</f>
        <v>1</v>
      </c>
      <c r="D581" s="11" t="n">
        <f aca="false">SUMIFS(Clean_Data!$M$2:$M$2086,Clean_Data!$B$2:$B$2086,A581)</f>
        <v>4860</v>
      </c>
      <c r="E581" s="11" t="n">
        <f aca="false">SUMIFS(Clean_Data!$N$2:$N$2086,Clean_Data!$B$2:$B$2086,A581)</f>
        <v>2160</v>
      </c>
      <c r="F581" s="2" t="str">
        <f aca="false">IF(C581&gt;1,"Repeat","One-time")</f>
        <v>One-time</v>
      </c>
      <c r="G581" s="13" t="n">
        <f aca="false">SUM($D$2:D581)/SUM($D$2:$D$800)</f>
        <v>0.970438125941293</v>
      </c>
    </row>
    <row r="582" customFormat="false" ht="15" hidden="false" customHeight="false" outlineLevel="0" collapsed="false">
      <c r="A582" s="2" t="s">
        <v>1373</v>
      </c>
      <c r="B582" s="2" t="str">
        <f aca="false">INDEX(Clean_Data!$F$2:$F$2086,MATCH(A582,Clean_Data!$B$2:$B$2086,0))</f>
        <v>Small Business</v>
      </c>
      <c r="C582" s="2" t="n">
        <f aca="false">COUNTIFS(Clean_Data!$B$2:$B$2086,A582)</f>
        <v>1</v>
      </c>
      <c r="D582" s="11" t="n">
        <f aca="false">SUMIFS(Clean_Data!$M$2:$M$2086,Clean_Data!$B$2:$B$2086,A582)</f>
        <v>4800</v>
      </c>
      <c r="E582" s="11" t="n">
        <f aca="false">SUMIFS(Clean_Data!$N$2:$N$2086,Clean_Data!$B$2:$B$2086,A582)</f>
        <v>2400</v>
      </c>
      <c r="F582" s="2" t="str">
        <f aca="false">IF(C582&gt;1,"Repeat","One-time")</f>
        <v>One-time</v>
      </c>
      <c r="G582" s="13" t="n">
        <f aca="false">SUM($D$2:D582)/SUM($D$2:$D$800)</f>
        <v>0.970671455430361</v>
      </c>
    </row>
    <row r="583" customFormat="false" ht="15" hidden="false" customHeight="false" outlineLevel="0" collapsed="false">
      <c r="A583" s="2" t="s">
        <v>538</v>
      </c>
      <c r="B583" s="2" t="str">
        <f aca="false">INDEX(Clean_Data!$F$2:$F$2086,MATCH(A583,Clean_Data!$B$2:$B$2086,0))</f>
        <v>Consumer</v>
      </c>
      <c r="C583" s="2" t="n">
        <f aca="false">COUNTIFS(Clean_Data!$B$2:$B$2086,A583)</f>
        <v>2</v>
      </c>
      <c r="D583" s="11" t="n">
        <f aca="false">SUMIFS(Clean_Data!$M$2:$M$2086,Clean_Data!$B$2:$B$2086,A583)</f>
        <v>4780</v>
      </c>
      <c r="E583" s="11" t="n">
        <f aca="false">SUMIFS(Clean_Data!$N$2:$N$2086,Clean_Data!$B$2:$B$2086,A583)</f>
        <v>1980</v>
      </c>
      <c r="F583" s="2" t="str">
        <f aca="false">IF(C583&gt;1,"Repeat","One-time")</f>
        <v>Repeat</v>
      </c>
      <c r="G583" s="13" t="n">
        <f aca="false">SUM($D$2:D583)/SUM($D$2:$D$800)</f>
        <v>0.970903812713225</v>
      </c>
    </row>
    <row r="584" customFormat="false" ht="15" hidden="false" customHeight="false" outlineLevel="0" collapsed="false">
      <c r="A584" s="2" t="s">
        <v>2315</v>
      </c>
      <c r="B584" s="2" t="str">
        <f aca="false">INDEX(Clean_Data!$F$2:$F$2086,MATCH(A584,Clean_Data!$B$2:$B$2086,0))</f>
        <v>Consumer</v>
      </c>
      <c r="C584" s="2" t="n">
        <f aca="false">COUNTIFS(Clean_Data!$B$2:$B$2086,A584)</f>
        <v>2</v>
      </c>
      <c r="D584" s="11" t="n">
        <f aca="false">SUMIFS(Clean_Data!$M$2:$M$2086,Clean_Data!$B$2:$B$2086,A584)</f>
        <v>4780</v>
      </c>
      <c r="E584" s="11" t="n">
        <f aca="false">SUMIFS(Clean_Data!$N$2:$N$2086,Clean_Data!$B$2:$B$2086,A584)</f>
        <v>2180</v>
      </c>
      <c r="F584" s="2" t="str">
        <f aca="false">IF(C584&gt;1,"Repeat","One-time")</f>
        <v>Repeat</v>
      </c>
      <c r="G584" s="13" t="n">
        <f aca="false">SUM($D$2:D584)/SUM($D$2:$D$800)</f>
        <v>0.971136169996088</v>
      </c>
    </row>
    <row r="585" customFormat="false" ht="15" hidden="false" customHeight="false" outlineLevel="0" collapsed="false">
      <c r="A585" s="2" t="s">
        <v>568</v>
      </c>
      <c r="B585" s="2" t="str">
        <f aca="false">INDEX(Clean_Data!$F$2:$F$2086,MATCH(A585,Clean_Data!$B$2:$B$2086,0))</f>
        <v>Small Business</v>
      </c>
      <c r="C585" s="2" t="n">
        <f aca="false">COUNTIFS(Clean_Data!$B$2:$B$2086,A585)</f>
        <v>1</v>
      </c>
      <c r="D585" s="11" t="n">
        <f aca="false">SUMIFS(Clean_Data!$M$2:$M$2086,Clean_Data!$B$2:$B$2086,A585)</f>
        <v>4750</v>
      </c>
      <c r="E585" s="11" t="n">
        <f aca="false">SUMIFS(Clean_Data!$N$2:$N$2086,Clean_Data!$B$2:$B$2086,A585)</f>
        <v>2750</v>
      </c>
      <c r="F585" s="2" t="str">
        <f aca="false">IF(C585&gt;1,"Repeat","One-time")</f>
        <v>One-time</v>
      </c>
      <c r="G585" s="13" t="n">
        <f aca="false">SUM($D$2:D585)/SUM($D$2:$D$800)</f>
        <v>0.971367068969645</v>
      </c>
    </row>
    <row r="586" customFormat="false" ht="15" hidden="false" customHeight="false" outlineLevel="0" collapsed="false">
      <c r="A586" s="2" t="s">
        <v>1970</v>
      </c>
      <c r="B586" s="2" t="str">
        <f aca="false">INDEX(Clean_Data!$F$2:$F$2086,MATCH(A586,Clean_Data!$B$2:$B$2086,0))</f>
        <v>Consumer</v>
      </c>
      <c r="C586" s="2" t="n">
        <f aca="false">COUNTIFS(Clean_Data!$B$2:$B$2086,A586)</f>
        <v>2</v>
      </c>
      <c r="D586" s="11" t="n">
        <f aca="false">SUMIFS(Clean_Data!$M$2:$M$2086,Clean_Data!$B$2:$B$2086,A586)</f>
        <v>4740</v>
      </c>
      <c r="E586" s="11" t="n">
        <f aca="false">SUMIFS(Clean_Data!$N$2:$N$2086,Clean_Data!$B$2:$B$2086,A586)</f>
        <v>2040</v>
      </c>
      <c r="F586" s="2" t="str">
        <f aca="false">IF(C586&gt;1,"Repeat","One-time")</f>
        <v>Repeat</v>
      </c>
      <c r="G586" s="13" t="n">
        <f aca="false">SUM($D$2:D586)/SUM($D$2:$D$800)</f>
        <v>0.9715974818401</v>
      </c>
    </row>
    <row r="587" customFormat="false" ht="15" hidden="false" customHeight="false" outlineLevel="0" collapsed="false">
      <c r="A587" s="2" t="s">
        <v>1119</v>
      </c>
      <c r="B587" s="2" t="str">
        <f aca="false">INDEX(Clean_Data!$F$2:$F$2086,MATCH(A587,Clean_Data!$B$2:$B$2086,0))</f>
        <v>Consumer</v>
      </c>
      <c r="C587" s="2" t="n">
        <f aca="false">COUNTIFS(Clean_Data!$B$2:$B$2086,A587)</f>
        <v>2</v>
      </c>
      <c r="D587" s="11" t="n">
        <f aca="false">SUMIFS(Clean_Data!$M$2:$M$2086,Clean_Data!$B$2:$B$2086,A587)</f>
        <v>4700</v>
      </c>
      <c r="E587" s="11" t="n">
        <f aca="false">SUMIFS(Clean_Data!$N$2:$N$2086,Clean_Data!$B$2:$B$2086,A587)</f>
        <v>2350</v>
      </c>
      <c r="F587" s="2" t="str">
        <f aca="false">IF(C587&gt;1,"Repeat","One-time")</f>
        <v>Repeat</v>
      </c>
      <c r="G587" s="13" t="n">
        <f aca="false">SUM($D$2:D587)/SUM($D$2:$D$800)</f>
        <v>0.971825950298145</v>
      </c>
    </row>
    <row r="588" customFormat="false" ht="15" hidden="false" customHeight="false" outlineLevel="0" collapsed="false">
      <c r="A588" s="2" t="s">
        <v>2454</v>
      </c>
      <c r="B588" s="2" t="str">
        <f aca="false">INDEX(Clean_Data!$F$2:$F$2086,MATCH(A588,Clean_Data!$B$2:$B$2086,0))</f>
        <v>Small Business</v>
      </c>
      <c r="C588" s="2" t="n">
        <f aca="false">COUNTIFS(Clean_Data!$B$2:$B$2086,A588)</f>
        <v>2</v>
      </c>
      <c r="D588" s="11" t="n">
        <f aca="false">SUMIFS(Clean_Data!$M$2:$M$2086,Clean_Data!$B$2:$B$2086,A588)</f>
        <v>4695</v>
      </c>
      <c r="E588" s="11" t="n">
        <f aca="false">SUMIFS(Clean_Data!$N$2:$N$2086,Clean_Data!$B$2:$B$2086,A588)</f>
        <v>1995</v>
      </c>
      <c r="F588" s="2" t="str">
        <f aca="false">IF(C588&gt;1,"Repeat","One-time")</f>
        <v>Repeat</v>
      </c>
      <c r="G588" s="13" t="n">
        <f aca="false">SUM($D$2:D588)/SUM($D$2:$D$800)</f>
        <v>0.97205417570464</v>
      </c>
    </row>
    <row r="589" customFormat="false" ht="15" hidden="false" customHeight="false" outlineLevel="0" collapsed="false">
      <c r="A589" s="2" t="s">
        <v>1205</v>
      </c>
      <c r="B589" s="2" t="str">
        <f aca="false">INDEX(Clean_Data!$F$2:$F$2086,MATCH(A589,Clean_Data!$B$2:$B$2086,0))</f>
        <v>Consumer</v>
      </c>
      <c r="C589" s="2" t="n">
        <f aca="false">COUNTIFS(Clean_Data!$B$2:$B$2086,A589)</f>
        <v>2</v>
      </c>
      <c r="D589" s="11" t="n">
        <f aca="false">SUMIFS(Clean_Data!$M$2:$M$2086,Clean_Data!$B$2:$B$2086,A589)</f>
        <v>4680</v>
      </c>
      <c r="E589" s="11" t="n">
        <f aca="false">SUMIFS(Clean_Data!$N$2:$N$2086,Clean_Data!$B$2:$B$2086,A589)</f>
        <v>2280</v>
      </c>
      <c r="F589" s="2" t="str">
        <f aca="false">IF(C589&gt;1,"Repeat","One-time")</f>
        <v>Repeat</v>
      </c>
      <c r="G589" s="13" t="n">
        <f aca="false">SUM($D$2:D589)/SUM($D$2:$D$800)</f>
        <v>0.972281671956481</v>
      </c>
    </row>
    <row r="590" customFormat="false" ht="15" hidden="false" customHeight="false" outlineLevel="0" collapsed="false">
      <c r="A590" s="2" t="s">
        <v>2357</v>
      </c>
      <c r="B590" s="2" t="str">
        <f aca="false">INDEX(Clean_Data!$F$2:$F$2086,MATCH(A590,Clean_Data!$B$2:$B$2086,0))</f>
        <v>Consumer</v>
      </c>
      <c r="C590" s="2" t="n">
        <f aca="false">COUNTIFS(Clean_Data!$B$2:$B$2086,A590)</f>
        <v>2</v>
      </c>
      <c r="D590" s="11" t="n">
        <f aca="false">SUMIFS(Clean_Data!$M$2:$M$2086,Clean_Data!$B$2:$B$2086,A590)</f>
        <v>4660</v>
      </c>
      <c r="E590" s="11" t="n">
        <f aca="false">SUMIFS(Clean_Data!$N$2:$N$2086,Clean_Data!$B$2:$B$2086,A590)</f>
        <v>1860</v>
      </c>
      <c r="F590" s="2" t="str">
        <f aca="false">IF(C590&gt;1,"Repeat","One-time")</f>
        <v>Repeat</v>
      </c>
      <c r="G590" s="13" t="n">
        <f aca="false">SUM($D$2:D590)/SUM($D$2:$D$800)</f>
        <v>0.972508196002118</v>
      </c>
    </row>
    <row r="591" customFormat="false" ht="15" hidden="false" customHeight="false" outlineLevel="0" collapsed="false">
      <c r="A591" s="2" t="s">
        <v>2332</v>
      </c>
      <c r="B591" s="2" t="str">
        <f aca="false">INDEX(Clean_Data!$F$2:$F$2086,MATCH(A591,Clean_Data!$B$2:$B$2086,0))</f>
        <v>Consumer</v>
      </c>
      <c r="C591" s="2" t="n">
        <f aca="false">COUNTIFS(Clean_Data!$B$2:$B$2086,A591)</f>
        <v>2</v>
      </c>
      <c r="D591" s="11" t="n">
        <f aca="false">SUMIFS(Clean_Data!$M$2:$M$2086,Clean_Data!$B$2:$B$2086,A591)</f>
        <v>4620</v>
      </c>
      <c r="E591" s="11" t="n">
        <f aca="false">SUMIFS(Clean_Data!$N$2:$N$2086,Clean_Data!$B$2:$B$2086,A591)</f>
        <v>2220</v>
      </c>
      <c r="F591" s="2" t="str">
        <f aca="false">IF(C591&gt;1,"Repeat","One-time")</f>
        <v>Repeat</v>
      </c>
      <c r="G591" s="13" t="n">
        <f aca="false">SUM($D$2:D591)/SUM($D$2:$D$800)</f>
        <v>0.972732775635346</v>
      </c>
    </row>
    <row r="592" customFormat="false" ht="15" hidden="false" customHeight="false" outlineLevel="0" collapsed="false">
      <c r="A592" s="2" t="s">
        <v>998</v>
      </c>
      <c r="B592" s="2" t="str">
        <f aca="false">INDEX(Clean_Data!$F$2:$F$2086,MATCH(A592,Clean_Data!$B$2:$B$2086,0))</f>
        <v>Consumer</v>
      </c>
      <c r="C592" s="2" t="n">
        <f aca="false">COUNTIFS(Clean_Data!$B$2:$B$2086,A592)</f>
        <v>2</v>
      </c>
      <c r="D592" s="11" t="n">
        <f aca="false">SUMIFS(Clean_Data!$M$2:$M$2086,Clean_Data!$B$2:$B$2086,A592)</f>
        <v>4607.5</v>
      </c>
      <c r="E592" s="11" t="n">
        <f aca="false">SUMIFS(Clean_Data!$N$2:$N$2086,Clean_Data!$B$2:$B$2086,A592)</f>
        <v>2307.5</v>
      </c>
      <c r="F592" s="2" t="str">
        <f aca="false">IF(C592&gt;1,"Repeat","One-time")</f>
        <v>Repeat</v>
      </c>
      <c r="G592" s="13" t="n">
        <f aca="false">SUM($D$2:D592)/SUM($D$2:$D$800)</f>
        <v>0.972956747639696</v>
      </c>
    </row>
    <row r="593" customFormat="false" ht="15" hidden="false" customHeight="false" outlineLevel="0" collapsed="false">
      <c r="A593" s="2" t="s">
        <v>299</v>
      </c>
      <c r="B593" s="2" t="str">
        <f aca="false">INDEX(Clean_Data!$F$2:$F$2086,MATCH(A593,Clean_Data!$B$2:$B$2086,0))</f>
        <v>Consumer</v>
      </c>
      <c r="C593" s="2" t="n">
        <f aca="false">COUNTIFS(Clean_Data!$B$2:$B$2086,A593)</f>
        <v>2</v>
      </c>
      <c r="D593" s="11" t="n">
        <f aca="false">SUMIFS(Clean_Data!$M$2:$M$2086,Clean_Data!$B$2:$B$2086,A593)</f>
        <v>4575</v>
      </c>
      <c r="E593" s="11" t="n">
        <f aca="false">SUMIFS(Clean_Data!$N$2:$N$2086,Clean_Data!$B$2:$B$2086,A593)</f>
        <v>2325</v>
      </c>
      <c r="F593" s="2" t="str">
        <f aca="false">IF(C593&gt;1,"Repeat","One-time")</f>
        <v>Repeat</v>
      </c>
      <c r="G593" s="13" t="n">
        <f aca="false">SUM($D$2:D593)/SUM($D$2:$D$800)</f>
        <v>0.973179139808964</v>
      </c>
    </row>
    <row r="594" customFormat="false" ht="15" hidden="false" customHeight="false" outlineLevel="0" collapsed="false">
      <c r="A594" s="2" t="s">
        <v>2952</v>
      </c>
      <c r="B594" s="2" t="str">
        <f aca="false">INDEX(Clean_Data!$F$2:$F$2086,MATCH(A594,Clean_Data!$B$2:$B$2086,0))</f>
        <v>Small Business</v>
      </c>
      <c r="C594" s="2" t="n">
        <f aca="false">COUNTIFS(Clean_Data!$B$2:$B$2086,A594)</f>
        <v>1</v>
      </c>
      <c r="D594" s="11" t="n">
        <f aca="false">SUMIFS(Clean_Data!$M$2:$M$2086,Clean_Data!$B$2:$B$2086,A594)</f>
        <v>4560</v>
      </c>
      <c r="E594" s="11" t="n">
        <f aca="false">SUMIFS(Clean_Data!$N$2:$N$2086,Clean_Data!$B$2:$B$2086,A594)</f>
        <v>2160</v>
      </c>
      <c r="F594" s="2" t="str">
        <f aca="false">IF(C594&gt;1,"Repeat","One-time")</f>
        <v>One-time</v>
      </c>
      <c r="G594" s="13" t="n">
        <f aca="false">SUM($D$2:D594)/SUM($D$2:$D$800)</f>
        <v>0.973400802823578</v>
      </c>
    </row>
    <row r="595" customFormat="false" ht="15" hidden="false" customHeight="false" outlineLevel="0" collapsed="false">
      <c r="A595" s="2" t="s">
        <v>1421</v>
      </c>
      <c r="B595" s="2" t="str">
        <f aca="false">INDEX(Clean_Data!$F$2:$F$2086,MATCH(A595,Clean_Data!$B$2:$B$2086,0))</f>
        <v>Consumer</v>
      </c>
      <c r="C595" s="2" t="n">
        <f aca="false">COUNTIFS(Clean_Data!$B$2:$B$2086,A595)</f>
        <v>1</v>
      </c>
      <c r="D595" s="11" t="n">
        <f aca="false">SUMIFS(Clean_Data!$M$2:$M$2086,Clean_Data!$B$2:$B$2086,A595)</f>
        <v>4560</v>
      </c>
      <c r="E595" s="11" t="n">
        <f aca="false">SUMIFS(Clean_Data!$N$2:$N$2086,Clean_Data!$B$2:$B$2086,A595)</f>
        <v>2160</v>
      </c>
      <c r="F595" s="2" t="str">
        <f aca="false">IF(C595&gt;1,"Repeat","One-time")</f>
        <v>One-time</v>
      </c>
      <c r="G595" s="13" t="n">
        <f aca="false">SUM($D$2:D595)/SUM($D$2:$D$800)</f>
        <v>0.973622465838193</v>
      </c>
    </row>
    <row r="596" customFormat="false" ht="15" hidden="false" customHeight="false" outlineLevel="0" collapsed="false">
      <c r="A596" s="2" t="s">
        <v>2011</v>
      </c>
      <c r="B596" s="2" t="str">
        <f aca="false">INDEX(Clean_Data!$F$2:$F$2086,MATCH(A596,Clean_Data!$B$2:$B$2086,0))</f>
        <v>Small Business</v>
      </c>
      <c r="C596" s="2" t="n">
        <f aca="false">COUNTIFS(Clean_Data!$B$2:$B$2086,A596)</f>
        <v>1</v>
      </c>
      <c r="D596" s="11" t="n">
        <f aca="false">SUMIFS(Clean_Data!$M$2:$M$2086,Clean_Data!$B$2:$B$2086,A596)</f>
        <v>4560</v>
      </c>
      <c r="E596" s="11" t="n">
        <f aca="false">SUMIFS(Clean_Data!$N$2:$N$2086,Clean_Data!$B$2:$B$2086,A596)</f>
        <v>2160</v>
      </c>
      <c r="F596" s="2" t="str">
        <f aca="false">IF(C596&gt;1,"Repeat","One-time")</f>
        <v>One-time</v>
      </c>
      <c r="G596" s="13" t="n">
        <f aca="false">SUM($D$2:D596)/SUM($D$2:$D$800)</f>
        <v>0.973844128852808</v>
      </c>
    </row>
    <row r="597" customFormat="false" ht="15" hidden="false" customHeight="false" outlineLevel="0" collapsed="false">
      <c r="A597" s="2" t="s">
        <v>855</v>
      </c>
      <c r="B597" s="2" t="str">
        <f aca="false">INDEX(Clean_Data!$F$2:$F$2086,MATCH(A597,Clean_Data!$B$2:$B$2086,0))</f>
        <v>Small Business</v>
      </c>
      <c r="C597" s="2" t="n">
        <f aca="false">COUNTIFS(Clean_Data!$B$2:$B$2086,A597)</f>
        <v>1</v>
      </c>
      <c r="D597" s="11" t="n">
        <f aca="false">SUMIFS(Clean_Data!$M$2:$M$2086,Clean_Data!$B$2:$B$2086,A597)</f>
        <v>4560</v>
      </c>
      <c r="E597" s="11" t="n">
        <f aca="false">SUMIFS(Clean_Data!$N$2:$N$2086,Clean_Data!$B$2:$B$2086,A597)</f>
        <v>2160</v>
      </c>
      <c r="F597" s="2" t="str">
        <f aca="false">IF(C597&gt;1,"Repeat","One-time")</f>
        <v>One-time</v>
      </c>
      <c r="G597" s="13" t="n">
        <f aca="false">SUM($D$2:D597)/SUM($D$2:$D$800)</f>
        <v>0.974065791867422</v>
      </c>
    </row>
    <row r="598" customFormat="false" ht="15" hidden="false" customHeight="false" outlineLevel="0" collapsed="false">
      <c r="A598" s="2" t="s">
        <v>1678</v>
      </c>
      <c r="B598" s="2" t="str">
        <f aca="false">INDEX(Clean_Data!$F$2:$F$2086,MATCH(A598,Clean_Data!$B$2:$B$2086,0))</f>
        <v>Small Business</v>
      </c>
      <c r="C598" s="2" t="n">
        <f aca="false">COUNTIFS(Clean_Data!$B$2:$B$2086,A598)</f>
        <v>1</v>
      </c>
      <c r="D598" s="11" t="n">
        <f aca="false">SUMIFS(Clean_Data!$M$2:$M$2086,Clean_Data!$B$2:$B$2086,A598)</f>
        <v>4500</v>
      </c>
      <c r="E598" s="11" t="n">
        <f aca="false">SUMIFS(Clean_Data!$N$2:$N$2086,Clean_Data!$B$2:$B$2086,A598)</f>
        <v>1800</v>
      </c>
      <c r="F598" s="2" t="str">
        <f aca="false">IF(C598&gt;1,"Repeat","One-time")</f>
        <v>One-time</v>
      </c>
      <c r="G598" s="13" t="n">
        <f aca="false">SUM($D$2:D598)/SUM($D$2:$D$800)</f>
        <v>0.974284538263423</v>
      </c>
    </row>
    <row r="599" customFormat="false" ht="15" hidden="false" customHeight="false" outlineLevel="0" collapsed="false">
      <c r="A599" s="2" t="s">
        <v>2495</v>
      </c>
      <c r="B599" s="2" t="str">
        <f aca="false">INDEX(Clean_Data!$F$2:$F$2086,MATCH(A599,Clean_Data!$B$2:$B$2086,0))</f>
        <v>Consumer</v>
      </c>
      <c r="C599" s="2" t="n">
        <f aca="false">COUNTIFS(Clean_Data!$B$2:$B$2086,A599)</f>
        <v>1</v>
      </c>
      <c r="D599" s="11" t="n">
        <f aca="false">SUMIFS(Clean_Data!$M$2:$M$2086,Clean_Data!$B$2:$B$2086,A599)</f>
        <v>4500</v>
      </c>
      <c r="E599" s="11" t="n">
        <f aca="false">SUMIFS(Clean_Data!$N$2:$N$2086,Clean_Data!$B$2:$B$2086,A599)</f>
        <v>1800</v>
      </c>
      <c r="F599" s="2" t="str">
        <f aca="false">IF(C599&gt;1,"Repeat","One-time")</f>
        <v>One-time</v>
      </c>
      <c r="G599" s="13" t="n">
        <f aca="false">SUM($D$2:D599)/SUM($D$2:$D$800)</f>
        <v>0.974503284659425</v>
      </c>
    </row>
    <row r="600" customFormat="false" ht="15" hidden="false" customHeight="false" outlineLevel="0" collapsed="false">
      <c r="A600" s="2" t="s">
        <v>2762</v>
      </c>
      <c r="B600" s="2" t="str">
        <f aca="false">INDEX(Clean_Data!$F$2:$F$2086,MATCH(A600,Clean_Data!$B$2:$B$2086,0))</f>
        <v>Consumer</v>
      </c>
      <c r="C600" s="2" t="n">
        <f aca="false">COUNTIFS(Clean_Data!$B$2:$B$2086,A600)</f>
        <v>1</v>
      </c>
      <c r="D600" s="11" t="n">
        <f aca="false">SUMIFS(Clean_Data!$M$2:$M$2086,Clean_Data!$B$2:$B$2086,A600)</f>
        <v>4500</v>
      </c>
      <c r="E600" s="11" t="n">
        <f aca="false">SUMIFS(Clean_Data!$N$2:$N$2086,Clean_Data!$B$2:$B$2086,A600)</f>
        <v>1200</v>
      </c>
      <c r="F600" s="2" t="str">
        <f aca="false">IF(C600&gt;1,"Repeat","One-time")</f>
        <v>One-time</v>
      </c>
      <c r="G600" s="13" t="n">
        <f aca="false">SUM($D$2:D600)/SUM($D$2:$D$800)</f>
        <v>0.974722031055426</v>
      </c>
    </row>
    <row r="601" customFormat="false" ht="15" hidden="false" customHeight="false" outlineLevel="0" collapsed="false">
      <c r="A601" s="2" t="s">
        <v>1137</v>
      </c>
      <c r="B601" s="2" t="str">
        <f aca="false">INDEX(Clean_Data!$F$2:$F$2086,MATCH(A601,Clean_Data!$B$2:$B$2086,0))</f>
        <v>Consumer</v>
      </c>
      <c r="C601" s="2" t="n">
        <f aca="false">COUNTIFS(Clean_Data!$B$2:$B$2086,A601)</f>
        <v>1</v>
      </c>
      <c r="D601" s="11" t="n">
        <f aca="false">SUMIFS(Clean_Data!$M$2:$M$2086,Clean_Data!$B$2:$B$2086,A601)</f>
        <v>4500</v>
      </c>
      <c r="E601" s="11" t="n">
        <f aca="false">SUMIFS(Clean_Data!$N$2:$N$2086,Clean_Data!$B$2:$B$2086,A601)</f>
        <v>1200</v>
      </c>
      <c r="F601" s="2" t="str">
        <f aca="false">IF(C601&gt;1,"Repeat","One-time")</f>
        <v>One-time</v>
      </c>
      <c r="G601" s="13" t="n">
        <f aca="false">SUM($D$2:D601)/SUM($D$2:$D$800)</f>
        <v>0.974940777451427</v>
      </c>
    </row>
    <row r="602" customFormat="false" ht="15" hidden="false" customHeight="false" outlineLevel="0" collapsed="false">
      <c r="A602" s="2" t="s">
        <v>839</v>
      </c>
      <c r="B602" s="2" t="str">
        <f aca="false">INDEX(Clean_Data!$F$2:$F$2086,MATCH(A602,Clean_Data!$B$2:$B$2086,0))</f>
        <v>Consumer</v>
      </c>
      <c r="C602" s="2" t="n">
        <f aca="false">COUNTIFS(Clean_Data!$B$2:$B$2086,A602)</f>
        <v>1</v>
      </c>
      <c r="D602" s="11" t="n">
        <f aca="false">SUMIFS(Clean_Data!$M$2:$M$2086,Clean_Data!$B$2:$B$2086,A602)</f>
        <v>4500</v>
      </c>
      <c r="E602" s="11" t="n">
        <f aca="false">SUMIFS(Clean_Data!$N$2:$N$2086,Clean_Data!$B$2:$B$2086,A602)</f>
        <v>1800</v>
      </c>
      <c r="F602" s="2" t="str">
        <f aca="false">IF(C602&gt;1,"Repeat","One-time")</f>
        <v>One-time</v>
      </c>
      <c r="G602" s="13" t="n">
        <f aca="false">SUM($D$2:D602)/SUM($D$2:$D$800)</f>
        <v>0.975159523847428</v>
      </c>
    </row>
    <row r="603" customFormat="false" ht="15" hidden="false" customHeight="false" outlineLevel="0" collapsed="false">
      <c r="A603" s="2" t="s">
        <v>2820</v>
      </c>
      <c r="B603" s="2" t="str">
        <f aca="false">INDEX(Clean_Data!$F$2:$F$2086,MATCH(A603,Clean_Data!$B$2:$B$2086,0))</f>
        <v>Consumer</v>
      </c>
      <c r="C603" s="2" t="n">
        <f aca="false">COUNTIFS(Clean_Data!$B$2:$B$2086,A603)</f>
        <v>1</v>
      </c>
      <c r="D603" s="11" t="n">
        <f aca="false">SUMIFS(Clean_Data!$M$2:$M$2086,Clean_Data!$B$2:$B$2086,A603)</f>
        <v>4500</v>
      </c>
      <c r="E603" s="11" t="n">
        <f aca="false">SUMIFS(Clean_Data!$N$2:$N$2086,Clean_Data!$B$2:$B$2086,A603)</f>
        <v>1200</v>
      </c>
      <c r="F603" s="2" t="str">
        <f aca="false">IF(C603&gt;1,"Repeat","One-time")</f>
        <v>One-time</v>
      </c>
      <c r="G603" s="13" t="n">
        <f aca="false">SUM($D$2:D603)/SUM($D$2:$D$800)</f>
        <v>0.97537827024343</v>
      </c>
    </row>
    <row r="604" customFormat="false" ht="15" hidden="false" customHeight="false" outlineLevel="0" collapsed="false">
      <c r="A604" s="2" t="s">
        <v>426</v>
      </c>
      <c r="B604" s="2" t="str">
        <f aca="false">INDEX(Clean_Data!$F$2:$F$2086,MATCH(A604,Clean_Data!$B$2:$B$2086,0))</f>
        <v>Small Business</v>
      </c>
      <c r="C604" s="2" t="n">
        <f aca="false">COUNTIFS(Clean_Data!$B$2:$B$2086,A604)</f>
        <v>1</v>
      </c>
      <c r="D604" s="11" t="n">
        <f aca="false">SUMIFS(Clean_Data!$M$2:$M$2086,Clean_Data!$B$2:$B$2086,A604)</f>
        <v>4500</v>
      </c>
      <c r="E604" s="11" t="n">
        <f aca="false">SUMIFS(Clean_Data!$N$2:$N$2086,Clean_Data!$B$2:$B$2086,A604)</f>
        <v>1200</v>
      </c>
      <c r="F604" s="2" t="str">
        <f aca="false">IF(C604&gt;1,"Repeat","One-time")</f>
        <v>One-time</v>
      </c>
      <c r="G604" s="13" t="n">
        <f aca="false">SUM($D$2:D604)/SUM($D$2:$D$800)</f>
        <v>0.975597016639431</v>
      </c>
    </row>
    <row r="605" customFormat="false" ht="15" hidden="false" customHeight="false" outlineLevel="0" collapsed="false">
      <c r="A605" s="2" t="s">
        <v>2096</v>
      </c>
      <c r="B605" s="2" t="str">
        <f aca="false">INDEX(Clean_Data!$F$2:$F$2086,MATCH(A605,Clean_Data!$B$2:$B$2086,0))</f>
        <v>Small Business</v>
      </c>
      <c r="C605" s="2" t="n">
        <f aca="false">COUNTIFS(Clean_Data!$B$2:$B$2086,A605)</f>
        <v>1</v>
      </c>
      <c r="D605" s="11" t="n">
        <f aca="false">SUMIFS(Clean_Data!$M$2:$M$2086,Clean_Data!$B$2:$B$2086,A605)</f>
        <v>4500</v>
      </c>
      <c r="E605" s="11" t="n">
        <f aca="false">SUMIFS(Clean_Data!$N$2:$N$2086,Clean_Data!$B$2:$B$2086,A605)</f>
        <v>1200</v>
      </c>
      <c r="F605" s="2" t="str">
        <f aca="false">IF(C605&gt;1,"Repeat","One-time")</f>
        <v>One-time</v>
      </c>
      <c r="G605" s="13" t="n">
        <f aca="false">SUM($D$2:D605)/SUM($D$2:$D$800)</f>
        <v>0.975815763035432</v>
      </c>
    </row>
    <row r="606" customFormat="false" ht="15" hidden="false" customHeight="false" outlineLevel="0" collapsed="false">
      <c r="A606" s="2" t="s">
        <v>1415</v>
      </c>
      <c r="B606" s="2" t="str">
        <f aca="false">INDEX(Clean_Data!$F$2:$F$2086,MATCH(A606,Clean_Data!$B$2:$B$2086,0))</f>
        <v>Consumer</v>
      </c>
      <c r="C606" s="2" t="n">
        <f aca="false">COUNTIFS(Clean_Data!$B$2:$B$2086,A606)</f>
        <v>1</v>
      </c>
      <c r="D606" s="11" t="n">
        <f aca="false">SUMIFS(Clean_Data!$M$2:$M$2086,Clean_Data!$B$2:$B$2086,A606)</f>
        <v>4500</v>
      </c>
      <c r="E606" s="11" t="n">
        <f aca="false">SUMIFS(Clean_Data!$N$2:$N$2086,Clean_Data!$B$2:$B$2086,A606)</f>
        <v>1800</v>
      </c>
      <c r="F606" s="2" t="str">
        <f aca="false">IF(C606&gt;1,"Repeat","One-time")</f>
        <v>One-time</v>
      </c>
      <c r="G606" s="13" t="n">
        <f aca="false">SUM($D$2:D606)/SUM($D$2:$D$800)</f>
        <v>0.976034509431433</v>
      </c>
    </row>
    <row r="607" customFormat="false" ht="15" hidden="false" customHeight="false" outlineLevel="0" collapsed="false">
      <c r="A607" s="2" t="s">
        <v>1185</v>
      </c>
      <c r="B607" s="2" t="str">
        <f aca="false">INDEX(Clean_Data!$F$2:$F$2086,MATCH(A607,Clean_Data!$B$2:$B$2086,0))</f>
        <v>Consumer</v>
      </c>
      <c r="C607" s="2" t="n">
        <f aca="false">COUNTIFS(Clean_Data!$B$2:$B$2086,A607)</f>
        <v>3</v>
      </c>
      <c r="D607" s="11" t="n">
        <f aca="false">SUMIFS(Clean_Data!$M$2:$M$2086,Clean_Data!$B$2:$B$2086,A607)</f>
        <v>4380</v>
      </c>
      <c r="E607" s="11" t="n">
        <f aca="false">SUMIFS(Clean_Data!$N$2:$N$2086,Clean_Data!$B$2:$B$2086,A607)</f>
        <v>2080</v>
      </c>
      <c r="F607" s="2" t="str">
        <f aca="false">IF(C607&gt;1,"Repeat","One-time")</f>
        <v>Repeat</v>
      </c>
      <c r="G607" s="13" t="n">
        <f aca="false">SUM($D$2:D607)/SUM($D$2:$D$800)</f>
        <v>0.976247422590208</v>
      </c>
    </row>
    <row r="608" customFormat="false" ht="15" hidden="false" customHeight="false" outlineLevel="0" collapsed="false">
      <c r="A608" s="2" t="s">
        <v>2619</v>
      </c>
      <c r="B608" s="2" t="str">
        <f aca="false">INDEX(Clean_Data!$F$2:$F$2086,MATCH(A608,Clean_Data!$B$2:$B$2086,0))</f>
        <v>Consumer</v>
      </c>
      <c r="C608" s="2" t="n">
        <f aca="false">COUNTIFS(Clean_Data!$B$2:$B$2086,A608)</f>
        <v>1</v>
      </c>
      <c r="D608" s="11" t="n">
        <f aca="false">SUMIFS(Clean_Data!$M$2:$M$2086,Clean_Data!$B$2:$B$2086,A608)</f>
        <v>4320</v>
      </c>
      <c r="E608" s="11" t="n">
        <f aca="false">SUMIFS(Clean_Data!$N$2:$N$2086,Clean_Data!$B$2:$B$2086,A608)</f>
        <v>1920</v>
      </c>
      <c r="F608" s="2" t="str">
        <f aca="false">IF(C608&gt;1,"Repeat","One-time")</f>
        <v>One-time</v>
      </c>
      <c r="G608" s="13" t="n">
        <f aca="false">SUM($D$2:D608)/SUM($D$2:$D$800)</f>
        <v>0.976457419130369</v>
      </c>
    </row>
    <row r="609" customFormat="false" ht="15" hidden="false" customHeight="false" outlineLevel="0" collapsed="false">
      <c r="A609" s="2" t="s">
        <v>1829</v>
      </c>
      <c r="B609" s="2" t="str">
        <f aca="false">INDEX(Clean_Data!$F$2:$F$2086,MATCH(A609,Clean_Data!$B$2:$B$2086,0))</f>
        <v>Small Business</v>
      </c>
      <c r="C609" s="2" t="n">
        <f aca="false">COUNTIFS(Clean_Data!$B$2:$B$2086,A609)</f>
        <v>1</v>
      </c>
      <c r="D609" s="11" t="n">
        <f aca="false">SUMIFS(Clean_Data!$M$2:$M$2086,Clean_Data!$B$2:$B$2086,A609)</f>
        <v>4275</v>
      </c>
      <c r="E609" s="11" t="n">
        <f aca="false">SUMIFS(Clean_Data!$N$2:$N$2086,Clean_Data!$B$2:$B$2086,A609)</f>
        <v>975</v>
      </c>
      <c r="F609" s="2" t="str">
        <f aca="false">IF(C609&gt;1,"Repeat","One-time")</f>
        <v>One-time</v>
      </c>
      <c r="G609" s="13" t="n">
        <f aca="false">SUM($D$2:D609)/SUM($D$2:$D$800)</f>
        <v>0.97666522820657</v>
      </c>
    </row>
    <row r="610" customFormat="false" ht="15" hidden="false" customHeight="false" outlineLevel="0" collapsed="false">
      <c r="A610" s="2" t="s">
        <v>656</v>
      </c>
      <c r="B610" s="2" t="str">
        <f aca="false">INDEX(Clean_Data!$F$2:$F$2086,MATCH(A610,Clean_Data!$B$2:$B$2086,0))</f>
        <v>Consumer</v>
      </c>
      <c r="C610" s="2" t="n">
        <f aca="false">COUNTIFS(Clean_Data!$B$2:$B$2086,A610)</f>
        <v>1</v>
      </c>
      <c r="D610" s="11" t="n">
        <f aca="false">SUMIFS(Clean_Data!$M$2:$M$2086,Clean_Data!$B$2:$B$2086,A610)</f>
        <v>4275</v>
      </c>
      <c r="E610" s="11" t="n">
        <f aca="false">SUMIFS(Clean_Data!$N$2:$N$2086,Clean_Data!$B$2:$B$2086,A610)</f>
        <v>975</v>
      </c>
      <c r="F610" s="2" t="str">
        <f aca="false">IF(C610&gt;1,"Repeat","One-time")</f>
        <v>One-time</v>
      </c>
      <c r="G610" s="13" t="n">
        <f aca="false">SUM($D$2:D610)/SUM($D$2:$D$800)</f>
        <v>0.976873037282771</v>
      </c>
    </row>
    <row r="611" customFormat="false" ht="15" hidden="false" customHeight="false" outlineLevel="0" collapsed="false">
      <c r="A611" s="2" t="s">
        <v>2544</v>
      </c>
      <c r="B611" s="2" t="str">
        <f aca="false">INDEX(Clean_Data!$F$2:$F$2086,MATCH(A611,Clean_Data!$B$2:$B$2086,0))</f>
        <v>Consumer</v>
      </c>
      <c r="C611" s="2" t="n">
        <f aca="false">COUNTIFS(Clean_Data!$B$2:$B$2086,A611)</f>
        <v>1</v>
      </c>
      <c r="D611" s="11" t="n">
        <f aca="false">SUMIFS(Clean_Data!$M$2:$M$2086,Clean_Data!$B$2:$B$2086,A611)</f>
        <v>4275</v>
      </c>
      <c r="E611" s="11" t="n">
        <f aca="false">SUMIFS(Clean_Data!$N$2:$N$2086,Clean_Data!$B$2:$B$2086,A611)</f>
        <v>1575</v>
      </c>
      <c r="F611" s="2" t="str">
        <f aca="false">IF(C611&gt;1,"Repeat","One-time")</f>
        <v>One-time</v>
      </c>
      <c r="G611" s="13" t="n">
        <f aca="false">SUM($D$2:D611)/SUM($D$2:$D$800)</f>
        <v>0.977080846358972</v>
      </c>
    </row>
    <row r="612" customFormat="false" ht="15" hidden="false" customHeight="false" outlineLevel="0" collapsed="false">
      <c r="A612" s="2" t="s">
        <v>600</v>
      </c>
      <c r="B612" s="2" t="str">
        <f aca="false">INDEX(Clean_Data!$F$2:$F$2086,MATCH(A612,Clean_Data!$B$2:$B$2086,0))</f>
        <v>Small Business</v>
      </c>
      <c r="C612" s="2" t="n">
        <f aca="false">COUNTIFS(Clean_Data!$B$2:$B$2086,A612)</f>
        <v>1</v>
      </c>
      <c r="D612" s="11" t="n">
        <f aca="false">SUMIFS(Clean_Data!$M$2:$M$2086,Clean_Data!$B$2:$B$2086,A612)</f>
        <v>4275</v>
      </c>
      <c r="E612" s="11" t="n">
        <f aca="false">SUMIFS(Clean_Data!$N$2:$N$2086,Clean_Data!$B$2:$B$2086,A612)</f>
        <v>2475</v>
      </c>
      <c r="F612" s="2" t="str">
        <f aca="false">IF(C612&gt;1,"Repeat","One-time")</f>
        <v>One-time</v>
      </c>
      <c r="G612" s="13" t="n">
        <f aca="false">SUM($D$2:D612)/SUM($D$2:$D$800)</f>
        <v>0.977288655435174</v>
      </c>
    </row>
    <row r="613" customFormat="false" ht="15" hidden="false" customHeight="false" outlineLevel="0" collapsed="false">
      <c r="A613" s="2" t="s">
        <v>1491</v>
      </c>
      <c r="B613" s="2" t="str">
        <f aca="false">INDEX(Clean_Data!$F$2:$F$2086,MATCH(A613,Clean_Data!$B$2:$B$2086,0))</f>
        <v>Consumer</v>
      </c>
      <c r="C613" s="2" t="n">
        <f aca="false">COUNTIFS(Clean_Data!$B$2:$B$2086,A613)</f>
        <v>1</v>
      </c>
      <c r="D613" s="11" t="n">
        <f aca="false">SUMIFS(Clean_Data!$M$2:$M$2086,Clean_Data!$B$2:$B$2086,A613)</f>
        <v>4275</v>
      </c>
      <c r="E613" s="11" t="n">
        <f aca="false">SUMIFS(Clean_Data!$N$2:$N$2086,Clean_Data!$B$2:$B$2086,A613)</f>
        <v>975</v>
      </c>
      <c r="F613" s="2" t="str">
        <f aca="false">IF(C613&gt;1,"Repeat","One-time")</f>
        <v>One-time</v>
      </c>
      <c r="G613" s="13" t="n">
        <f aca="false">SUM($D$2:D613)/SUM($D$2:$D$800)</f>
        <v>0.977496464511375</v>
      </c>
    </row>
    <row r="614" customFormat="false" ht="15" hidden="false" customHeight="false" outlineLevel="0" collapsed="false">
      <c r="A614" s="2" t="s">
        <v>2741</v>
      </c>
      <c r="B614" s="2" t="str">
        <f aca="false">INDEX(Clean_Data!$F$2:$F$2086,MATCH(A614,Clean_Data!$B$2:$B$2086,0))</f>
        <v>Consumer</v>
      </c>
      <c r="C614" s="2" t="n">
        <f aca="false">COUNTIFS(Clean_Data!$B$2:$B$2086,A614)</f>
        <v>1</v>
      </c>
      <c r="D614" s="11" t="n">
        <f aca="false">SUMIFS(Clean_Data!$M$2:$M$2086,Clean_Data!$B$2:$B$2086,A614)</f>
        <v>4275</v>
      </c>
      <c r="E614" s="11" t="n">
        <f aca="false">SUMIFS(Clean_Data!$N$2:$N$2086,Clean_Data!$B$2:$B$2086,A614)</f>
        <v>975</v>
      </c>
      <c r="F614" s="2" t="str">
        <f aca="false">IF(C614&gt;1,"Repeat","One-time")</f>
        <v>One-time</v>
      </c>
      <c r="G614" s="13" t="n">
        <f aca="false">SUM($D$2:D614)/SUM($D$2:$D$800)</f>
        <v>0.977704273587576</v>
      </c>
    </row>
    <row r="615" customFormat="false" ht="15" hidden="false" customHeight="false" outlineLevel="0" collapsed="false">
      <c r="A615" s="2" t="s">
        <v>1795</v>
      </c>
      <c r="B615" s="2" t="str">
        <f aca="false">INDEX(Clean_Data!$F$2:$F$2086,MATCH(A615,Clean_Data!$B$2:$B$2086,0))</f>
        <v>Consumer</v>
      </c>
      <c r="C615" s="2" t="n">
        <f aca="false">COUNTIFS(Clean_Data!$B$2:$B$2086,A615)</f>
        <v>1</v>
      </c>
      <c r="D615" s="11" t="n">
        <f aca="false">SUMIFS(Clean_Data!$M$2:$M$2086,Clean_Data!$B$2:$B$2086,A615)</f>
        <v>4275</v>
      </c>
      <c r="E615" s="11" t="n">
        <f aca="false">SUMIFS(Clean_Data!$N$2:$N$2086,Clean_Data!$B$2:$B$2086,A615)</f>
        <v>975</v>
      </c>
      <c r="F615" s="2" t="str">
        <f aca="false">IF(C615&gt;1,"Repeat","One-time")</f>
        <v>One-time</v>
      </c>
      <c r="G615" s="13" t="n">
        <f aca="false">SUM($D$2:D615)/SUM($D$2:$D$800)</f>
        <v>0.977912082663777</v>
      </c>
    </row>
    <row r="616" customFormat="false" ht="15" hidden="false" customHeight="false" outlineLevel="0" collapsed="false">
      <c r="A616" s="2" t="s">
        <v>2882</v>
      </c>
      <c r="B616" s="2" t="str">
        <f aca="false">INDEX(Clean_Data!$F$2:$F$2086,MATCH(A616,Clean_Data!$B$2:$B$2086,0))</f>
        <v>Small Business</v>
      </c>
      <c r="C616" s="2" t="n">
        <f aca="false">COUNTIFS(Clean_Data!$B$2:$B$2086,A616)</f>
        <v>1</v>
      </c>
      <c r="D616" s="11" t="n">
        <f aca="false">SUMIFS(Clean_Data!$M$2:$M$2086,Clean_Data!$B$2:$B$2086,A616)</f>
        <v>4250</v>
      </c>
      <c r="E616" s="11" t="n">
        <f aca="false">SUMIFS(Clean_Data!$N$2:$N$2086,Clean_Data!$B$2:$B$2086,A616)</f>
        <v>2550</v>
      </c>
      <c r="F616" s="2" t="str">
        <f aca="false">IF(C616&gt;1,"Repeat","One-time")</f>
        <v>One-time</v>
      </c>
      <c r="G616" s="13" t="n">
        <f aca="false">SUM($D$2:D616)/SUM($D$2:$D$800)</f>
        <v>0.978118676482223</v>
      </c>
    </row>
    <row r="617" customFormat="false" ht="15" hidden="false" customHeight="false" outlineLevel="0" collapsed="false">
      <c r="A617" s="2" t="s">
        <v>411</v>
      </c>
      <c r="B617" s="2" t="str">
        <f aca="false">INDEX(Clean_Data!$F$2:$F$2086,MATCH(A617,Clean_Data!$B$2:$B$2086,0))</f>
        <v>Small Business</v>
      </c>
      <c r="C617" s="2" t="n">
        <f aca="false">COUNTIFS(Clean_Data!$B$2:$B$2086,A617)</f>
        <v>1</v>
      </c>
      <c r="D617" s="11" t="n">
        <f aca="false">SUMIFS(Clean_Data!$M$2:$M$2086,Clean_Data!$B$2:$B$2086,A617)</f>
        <v>4250</v>
      </c>
      <c r="E617" s="11" t="n">
        <f aca="false">SUMIFS(Clean_Data!$N$2:$N$2086,Clean_Data!$B$2:$B$2086,A617)</f>
        <v>1050</v>
      </c>
      <c r="F617" s="2" t="str">
        <f aca="false">IF(C617&gt;1,"Repeat","One-time")</f>
        <v>One-time</v>
      </c>
      <c r="G617" s="13" t="n">
        <f aca="false">SUM($D$2:D617)/SUM($D$2:$D$800)</f>
        <v>0.978325270300668</v>
      </c>
    </row>
    <row r="618" customFormat="false" ht="15" hidden="false" customHeight="false" outlineLevel="0" collapsed="false">
      <c r="A618" s="2" t="s">
        <v>612</v>
      </c>
      <c r="B618" s="2" t="str">
        <f aca="false">INDEX(Clean_Data!$F$2:$F$2086,MATCH(A618,Clean_Data!$B$2:$B$2086,0))</f>
        <v>Consumer</v>
      </c>
      <c r="C618" s="2" t="n">
        <f aca="false">COUNTIFS(Clean_Data!$B$2:$B$2086,A618)</f>
        <v>1</v>
      </c>
      <c r="D618" s="11" t="n">
        <f aca="false">SUMIFS(Clean_Data!$M$2:$M$2086,Clean_Data!$B$2:$B$2086,A618)</f>
        <v>4080</v>
      </c>
      <c r="E618" s="11" t="n">
        <f aca="false">SUMIFS(Clean_Data!$N$2:$N$2086,Clean_Data!$B$2:$B$2086,A618)</f>
        <v>1680</v>
      </c>
      <c r="F618" s="2" t="str">
        <f aca="false">IF(C618&gt;1,"Repeat","One-time")</f>
        <v>One-time</v>
      </c>
      <c r="G618" s="13" t="n">
        <f aca="false">SUM($D$2:D618)/SUM($D$2:$D$800)</f>
        <v>0.978523600366376</v>
      </c>
    </row>
    <row r="619" customFormat="false" ht="15" hidden="false" customHeight="false" outlineLevel="0" collapsed="false">
      <c r="A619" s="2" t="s">
        <v>140</v>
      </c>
      <c r="B619" s="2" t="str">
        <f aca="false">INDEX(Clean_Data!$F$2:$F$2086,MATCH(A619,Clean_Data!$B$2:$B$2086,0))</f>
        <v>Consumer</v>
      </c>
      <c r="C619" s="2" t="n">
        <f aca="false">COUNTIFS(Clean_Data!$B$2:$B$2086,A619)</f>
        <v>1</v>
      </c>
      <c r="D619" s="11" t="n">
        <f aca="false">SUMIFS(Clean_Data!$M$2:$M$2086,Clean_Data!$B$2:$B$2086,A619)</f>
        <v>4080</v>
      </c>
      <c r="E619" s="11" t="n">
        <f aca="false">SUMIFS(Clean_Data!$N$2:$N$2086,Clean_Data!$B$2:$B$2086,A619)</f>
        <v>1680</v>
      </c>
      <c r="F619" s="2" t="str">
        <f aca="false">IF(C619&gt;1,"Repeat","One-time")</f>
        <v>One-time</v>
      </c>
      <c r="G619" s="13" t="n">
        <f aca="false">SUM($D$2:D619)/SUM($D$2:$D$800)</f>
        <v>0.978721930432084</v>
      </c>
    </row>
    <row r="620" customFormat="false" ht="15" hidden="false" customHeight="false" outlineLevel="0" collapsed="false">
      <c r="A620" s="2" t="s">
        <v>479</v>
      </c>
      <c r="B620" s="2" t="str">
        <f aca="false">INDEX(Clean_Data!$F$2:$F$2086,MATCH(A620,Clean_Data!$B$2:$B$2086,0))</f>
        <v>Small Business</v>
      </c>
      <c r="C620" s="2" t="n">
        <f aca="false">COUNTIFS(Clean_Data!$B$2:$B$2086,A620)</f>
        <v>2</v>
      </c>
      <c r="D620" s="11" t="n">
        <f aca="false">SUMIFS(Clean_Data!$M$2:$M$2086,Clean_Data!$B$2:$B$2086,A620)</f>
        <v>4065</v>
      </c>
      <c r="E620" s="11" t="n">
        <f aca="false">SUMIFS(Clean_Data!$N$2:$N$2086,Clean_Data!$B$2:$B$2086,A620)</f>
        <v>2165</v>
      </c>
      <c r="F620" s="2" t="str">
        <f aca="false">IF(C620&gt;1,"Repeat","One-time")</f>
        <v>Repeat</v>
      </c>
      <c r="G620" s="13" t="n">
        <f aca="false">SUM($D$2:D620)/SUM($D$2:$D$800)</f>
        <v>0.978919531343138</v>
      </c>
    </row>
    <row r="621" customFormat="false" ht="15" hidden="false" customHeight="false" outlineLevel="0" collapsed="false">
      <c r="A621" s="2" t="s">
        <v>1912</v>
      </c>
      <c r="B621" s="2" t="str">
        <f aca="false">INDEX(Clean_Data!$F$2:$F$2086,MATCH(A621,Clean_Data!$B$2:$B$2086,0))</f>
        <v>Consumer</v>
      </c>
      <c r="C621" s="2" t="n">
        <f aca="false">COUNTIFS(Clean_Data!$B$2:$B$2086,A621)</f>
        <v>1</v>
      </c>
      <c r="D621" s="11" t="n">
        <f aca="false">SUMIFS(Clean_Data!$M$2:$M$2086,Clean_Data!$B$2:$B$2086,A621)</f>
        <v>4050</v>
      </c>
      <c r="E621" s="11" t="n">
        <f aca="false">SUMIFS(Clean_Data!$N$2:$N$2086,Clean_Data!$B$2:$B$2086,A621)</f>
        <v>1350</v>
      </c>
      <c r="F621" s="2" t="str">
        <f aca="false">IF(C621&gt;1,"Repeat","One-time")</f>
        <v>One-time</v>
      </c>
      <c r="G621" s="13" t="n">
        <f aca="false">SUM($D$2:D621)/SUM($D$2:$D$800)</f>
        <v>0.979116403099539</v>
      </c>
    </row>
    <row r="622" customFormat="false" ht="15" hidden="false" customHeight="false" outlineLevel="0" collapsed="false">
      <c r="A622" s="2" t="s">
        <v>1952</v>
      </c>
      <c r="B622" s="2" t="str">
        <f aca="false">INDEX(Clean_Data!$F$2:$F$2086,MATCH(A622,Clean_Data!$B$2:$B$2086,0))</f>
        <v>Consumer</v>
      </c>
      <c r="C622" s="2" t="n">
        <f aca="false">COUNTIFS(Clean_Data!$B$2:$B$2086,A622)</f>
        <v>1</v>
      </c>
      <c r="D622" s="11" t="n">
        <f aca="false">SUMIFS(Clean_Data!$M$2:$M$2086,Clean_Data!$B$2:$B$2086,A622)</f>
        <v>4050</v>
      </c>
      <c r="E622" s="11" t="n">
        <f aca="false">SUMIFS(Clean_Data!$N$2:$N$2086,Clean_Data!$B$2:$B$2086,A622)</f>
        <v>750</v>
      </c>
      <c r="F622" s="2" t="str">
        <f aca="false">IF(C622&gt;1,"Repeat","One-time")</f>
        <v>One-time</v>
      </c>
      <c r="G622" s="13" t="n">
        <f aca="false">SUM($D$2:D622)/SUM($D$2:$D$800)</f>
        <v>0.97931327485594</v>
      </c>
    </row>
    <row r="623" customFormat="false" ht="15" hidden="false" customHeight="false" outlineLevel="0" collapsed="false">
      <c r="A623" s="2" t="s">
        <v>2123</v>
      </c>
      <c r="B623" s="2" t="str">
        <f aca="false">INDEX(Clean_Data!$F$2:$F$2086,MATCH(A623,Clean_Data!$B$2:$B$2086,0))</f>
        <v>Consumer</v>
      </c>
      <c r="C623" s="2" t="n">
        <f aca="false">COUNTIFS(Clean_Data!$B$2:$B$2086,A623)</f>
        <v>1</v>
      </c>
      <c r="D623" s="11" t="n">
        <f aca="false">SUMIFS(Clean_Data!$M$2:$M$2086,Clean_Data!$B$2:$B$2086,A623)</f>
        <v>4050</v>
      </c>
      <c r="E623" s="11" t="n">
        <f aca="false">SUMIFS(Clean_Data!$N$2:$N$2086,Clean_Data!$B$2:$B$2086,A623)</f>
        <v>750</v>
      </c>
      <c r="F623" s="2" t="str">
        <f aca="false">IF(C623&gt;1,"Repeat","One-time")</f>
        <v>One-time</v>
      </c>
      <c r="G623" s="13" t="n">
        <f aca="false">SUM($D$2:D623)/SUM($D$2:$D$800)</f>
        <v>0.979510146612341</v>
      </c>
    </row>
    <row r="624" customFormat="false" ht="15" hidden="false" customHeight="false" outlineLevel="0" collapsed="false">
      <c r="A624" s="2" t="s">
        <v>2660</v>
      </c>
      <c r="B624" s="2" t="str">
        <f aca="false">INDEX(Clean_Data!$F$2:$F$2086,MATCH(A624,Clean_Data!$B$2:$B$2086,0))</f>
        <v>Consumer</v>
      </c>
      <c r="C624" s="2" t="n">
        <f aca="false">COUNTIFS(Clean_Data!$B$2:$B$2086,A624)</f>
        <v>1</v>
      </c>
      <c r="D624" s="11" t="n">
        <f aca="false">SUMIFS(Clean_Data!$M$2:$M$2086,Clean_Data!$B$2:$B$2086,A624)</f>
        <v>4050</v>
      </c>
      <c r="E624" s="11" t="n">
        <f aca="false">SUMIFS(Clean_Data!$N$2:$N$2086,Clean_Data!$B$2:$B$2086,A624)</f>
        <v>1350</v>
      </c>
      <c r="F624" s="2" t="str">
        <f aca="false">IF(C624&gt;1,"Repeat","One-time")</f>
        <v>One-time</v>
      </c>
      <c r="G624" s="13" t="n">
        <f aca="false">SUM($D$2:D624)/SUM($D$2:$D$800)</f>
        <v>0.979707018368743</v>
      </c>
    </row>
    <row r="625" customFormat="false" ht="15" hidden="false" customHeight="false" outlineLevel="0" collapsed="false">
      <c r="A625" s="2" t="s">
        <v>1413</v>
      </c>
      <c r="B625" s="2" t="str">
        <f aca="false">INDEX(Clean_Data!$F$2:$F$2086,MATCH(A625,Clean_Data!$B$2:$B$2086,0))</f>
        <v>Consumer</v>
      </c>
      <c r="C625" s="2" t="n">
        <f aca="false">COUNTIFS(Clean_Data!$B$2:$B$2086,A625)</f>
        <v>1</v>
      </c>
      <c r="D625" s="11" t="n">
        <f aca="false">SUMIFS(Clean_Data!$M$2:$M$2086,Clean_Data!$B$2:$B$2086,A625)</f>
        <v>4050</v>
      </c>
      <c r="E625" s="11" t="n">
        <f aca="false">SUMIFS(Clean_Data!$N$2:$N$2086,Clean_Data!$B$2:$B$2086,A625)</f>
        <v>1350</v>
      </c>
      <c r="F625" s="2" t="str">
        <f aca="false">IF(C625&gt;1,"Repeat","One-time")</f>
        <v>One-time</v>
      </c>
      <c r="G625" s="13" t="n">
        <f aca="false">SUM($D$2:D625)/SUM($D$2:$D$800)</f>
        <v>0.979903890125144</v>
      </c>
    </row>
    <row r="626" customFormat="false" ht="15" hidden="false" customHeight="false" outlineLevel="0" collapsed="false">
      <c r="A626" s="2" t="s">
        <v>1257</v>
      </c>
      <c r="B626" s="2" t="str">
        <f aca="false">INDEX(Clean_Data!$F$2:$F$2086,MATCH(A626,Clean_Data!$B$2:$B$2086,0))</f>
        <v>Consumer</v>
      </c>
      <c r="C626" s="2" t="n">
        <f aca="false">COUNTIFS(Clean_Data!$B$2:$B$2086,A626)</f>
        <v>1</v>
      </c>
      <c r="D626" s="11" t="n">
        <f aca="false">SUMIFS(Clean_Data!$M$2:$M$2086,Clean_Data!$B$2:$B$2086,A626)</f>
        <v>4050</v>
      </c>
      <c r="E626" s="11" t="n">
        <f aca="false">SUMIFS(Clean_Data!$N$2:$N$2086,Clean_Data!$B$2:$B$2086,A626)</f>
        <v>1350</v>
      </c>
      <c r="F626" s="2" t="str">
        <f aca="false">IF(C626&gt;1,"Repeat","One-time")</f>
        <v>One-time</v>
      </c>
      <c r="G626" s="13" t="n">
        <f aca="false">SUM($D$2:D626)/SUM($D$2:$D$800)</f>
        <v>0.980100761881545</v>
      </c>
    </row>
    <row r="627" customFormat="false" ht="15" hidden="false" customHeight="false" outlineLevel="0" collapsed="false">
      <c r="A627" s="2" t="s">
        <v>735</v>
      </c>
      <c r="B627" s="2" t="str">
        <f aca="false">INDEX(Clean_Data!$F$2:$F$2086,MATCH(A627,Clean_Data!$B$2:$B$2086,0))</f>
        <v>Consumer</v>
      </c>
      <c r="C627" s="2" t="n">
        <f aca="false">COUNTIFS(Clean_Data!$B$2:$B$2086,A627)</f>
        <v>1</v>
      </c>
      <c r="D627" s="11" t="n">
        <f aca="false">SUMIFS(Clean_Data!$M$2:$M$2086,Clean_Data!$B$2:$B$2086,A627)</f>
        <v>4000</v>
      </c>
      <c r="E627" s="11" t="n">
        <f aca="false">SUMIFS(Clean_Data!$N$2:$N$2086,Clean_Data!$B$2:$B$2086,A627)</f>
        <v>2000</v>
      </c>
      <c r="F627" s="2" t="str">
        <f aca="false">IF(C627&gt;1,"Repeat","One-time")</f>
        <v>One-time</v>
      </c>
      <c r="G627" s="13" t="n">
        <f aca="false">SUM($D$2:D627)/SUM($D$2:$D$800)</f>
        <v>0.980295203122435</v>
      </c>
    </row>
    <row r="628" customFormat="false" ht="15" hidden="false" customHeight="false" outlineLevel="0" collapsed="false">
      <c r="A628" s="2" t="s">
        <v>408</v>
      </c>
      <c r="B628" s="2" t="str">
        <f aca="false">INDEX(Clean_Data!$F$2:$F$2086,MATCH(A628,Clean_Data!$B$2:$B$2086,0))</f>
        <v>Consumer</v>
      </c>
      <c r="C628" s="2" t="n">
        <f aca="false">COUNTIFS(Clean_Data!$B$2:$B$2086,A628)</f>
        <v>2</v>
      </c>
      <c r="D628" s="11" t="n">
        <f aca="false">SUMIFS(Clean_Data!$M$2:$M$2086,Clean_Data!$B$2:$B$2086,A628)</f>
        <v>4000</v>
      </c>
      <c r="E628" s="11" t="n">
        <f aca="false">SUMIFS(Clean_Data!$N$2:$N$2086,Clean_Data!$B$2:$B$2086,A628)</f>
        <v>2000</v>
      </c>
      <c r="F628" s="2" t="str">
        <f aca="false">IF(C628&gt;1,"Repeat","One-time")</f>
        <v>Repeat</v>
      </c>
      <c r="G628" s="13" t="n">
        <f aca="false">SUM($D$2:D628)/SUM($D$2:$D$800)</f>
        <v>0.980489644363325</v>
      </c>
    </row>
    <row r="629" customFormat="false" ht="15" hidden="false" customHeight="false" outlineLevel="0" collapsed="false">
      <c r="A629" s="2" t="s">
        <v>503</v>
      </c>
      <c r="B629" s="2" t="str">
        <f aca="false">INDEX(Clean_Data!$F$2:$F$2086,MATCH(A629,Clean_Data!$B$2:$B$2086,0))</f>
        <v>Consumer</v>
      </c>
      <c r="C629" s="2" t="n">
        <f aca="false">COUNTIFS(Clean_Data!$B$2:$B$2086,A629)</f>
        <v>1</v>
      </c>
      <c r="D629" s="11" t="n">
        <f aca="false">SUMIFS(Clean_Data!$M$2:$M$2086,Clean_Data!$B$2:$B$2086,A629)</f>
        <v>3990</v>
      </c>
      <c r="E629" s="11" t="n">
        <f aca="false">SUMIFS(Clean_Data!$N$2:$N$2086,Clean_Data!$B$2:$B$2086,A629)</f>
        <v>1890</v>
      </c>
      <c r="F629" s="2" t="str">
        <f aca="false">IF(C629&gt;1,"Repeat","One-time")</f>
        <v>One-time</v>
      </c>
      <c r="G629" s="13" t="n">
        <f aca="false">SUM($D$2:D629)/SUM($D$2:$D$800)</f>
        <v>0.980683599501112</v>
      </c>
    </row>
    <row r="630" customFormat="false" ht="15" hidden="false" customHeight="false" outlineLevel="0" collapsed="false">
      <c r="A630" s="2" t="s">
        <v>723</v>
      </c>
      <c r="B630" s="2" t="str">
        <f aca="false">INDEX(Clean_Data!$F$2:$F$2086,MATCH(A630,Clean_Data!$B$2:$B$2086,0))</f>
        <v>Consumer</v>
      </c>
      <c r="C630" s="2" t="n">
        <f aca="false">COUNTIFS(Clean_Data!$B$2:$B$2086,A630)</f>
        <v>1</v>
      </c>
      <c r="D630" s="11" t="n">
        <f aca="false">SUMIFS(Clean_Data!$M$2:$M$2086,Clean_Data!$B$2:$B$2086,A630)</f>
        <v>3990</v>
      </c>
      <c r="E630" s="11" t="n">
        <f aca="false">SUMIFS(Clean_Data!$N$2:$N$2086,Clean_Data!$B$2:$B$2086,A630)</f>
        <v>1890</v>
      </c>
      <c r="F630" s="2" t="str">
        <f aca="false">IF(C630&gt;1,"Repeat","One-time")</f>
        <v>One-time</v>
      </c>
      <c r="G630" s="13" t="n">
        <f aca="false">SUM($D$2:D630)/SUM($D$2:$D$800)</f>
        <v>0.9808775546389</v>
      </c>
    </row>
    <row r="631" customFormat="false" ht="15" hidden="false" customHeight="false" outlineLevel="0" collapsed="false">
      <c r="A631" s="2" t="s">
        <v>1826</v>
      </c>
      <c r="B631" s="2" t="str">
        <f aca="false">INDEX(Clean_Data!$F$2:$F$2086,MATCH(A631,Clean_Data!$B$2:$B$2086,0))</f>
        <v>Consumer</v>
      </c>
      <c r="C631" s="2" t="n">
        <f aca="false">COUNTIFS(Clean_Data!$B$2:$B$2086,A631)</f>
        <v>2</v>
      </c>
      <c r="D631" s="11" t="n">
        <f aca="false">SUMIFS(Clean_Data!$M$2:$M$2086,Clean_Data!$B$2:$B$2086,A631)</f>
        <v>3900</v>
      </c>
      <c r="E631" s="11" t="n">
        <f aca="false">SUMIFS(Clean_Data!$N$2:$N$2086,Clean_Data!$B$2:$B$2086,A631)</f>
        <v>2100</v>
      </c>
      <c r="F631" s="2" t="str">
        <f aca="false">IF(C631&gt;1,"Repeat","One-time")</f>
        <v>Repeat</v>
      </c>
      <c r="G631" s="13" t="n">
        <f aca="false">SUM($D$2:D631)/SUM($D$2:$D$800)</f>
        <v>0.981067134848768</v>
      </c>
    </row>
    <row r="632" customFormat="false" ht="15" hidden="false" customHeight="false" outlineLevel="0" collapsed="false">
      <c r="A632" s="2" t="s">
        <v>384</v>
      </c>
      <c r="B632" s="2" t="str">
        <f aca="false">INDEX(Clean_Data!$F$2:$F$2086,MATCH(A632,Clean_Data!$B$2:$B$2086,0))</f>
        <v>Consumer</v>
      </c>
      <c r="C632" s="2" t="n">
        <f aca="false">COUNTIFS(Clean_Data!$B$2:$B$2086,A632)</f>
        <v>2</v>
      </c>
      <c r="D632" s="11" t="n">
        <f aca="false">SUMIFS(Clean_Data!$M$2:$M$2086,Clean_Data!$B$2:$B$2086,A632)</f>
        <v>3887.5</v>
      </c>
      <c r="E632" s="11" t="n">
        <f aca="false">SUMIFS(Clean_Data!$N$2:$N$2086,Clean_Data!$B$2:$B$2086,A632)</f>
        <v>1387.5</v>
      </c>
      <c r="F632" s="2" t="str">
        <f aca="false">IF(C632&gt;1,"Repeat","One-time")</f>
        <v>Repeat</v>
      </c>
      <c r="G632" s="13" t="n">
        <f aca="false">SUM($D$2:D632)/SUM($D$2:$D$800)</f>
        <v>0.981256107429758</v>
      </c>
    </row>
    <row r="633" customFormat="false" ht="15" hidden="false" customHeight="false" outlineLevel="0" collapsed="false">
      <c r="A633" s="2" t="s">
        <v>1354</v>
      </c>
      <c r="B633" s="2" t="str">
        <f aca="false">INDEX(Clean_Data!$F$2:$F$2086,MATCH(A633,Clean_Data!$B$2:$B$2086,0))</f>
        <v>Consumer</v>
      </c>
      <c r="C633" s="2" t="n">
        <f aca="false">COUNTIFS(Clean_Data!$B$2:$B$2086,A633)</f>
        <v>1</v>
      </c>
      <c r="D633" s="11" t="n">
        <f aca="false">SUMIFS(Clean_Data!$M$2:$M$2086,Clean_Data!$B$2:$B$2086,A633)</f>
        <v>3825</v>
      </c>
      <c r="E633" s="11" t="n">
        <f aca="false">SUMIFS(Clean_Data!$N$2:$N$2086,Clean_Data!$B$2:$B$2086,A633)</f>
        <v>525</v>
      </c>
      <c r="F633" s="2" t="str">
        <f aca="false">IF(C633&gt;1,"Repeat","One-time")</f>
        <v>One-time</v>
      </c>
      <c r="G633" s="13" t="n">
        <f aca="false">SUM($D$2:D633)/SUM($D$2:$D$800)</f>
        <v>0.981442041866359</v>
      </c>
    </row>
    <row r="634" customFormat="false" ht="15" hidden="false" customHeight="false" outlineLevel="0" collapsed="false">
      <c r="A634" s="2" t="s">
        <v>2245</v>
      </c>
      <c r="B634" s="2" t="str">
        <f aca="false">INDEX(Clean_Data!$F$2:$F$2086,MATCH(A634,Clean_Data!$B$2:$B$2086,0))</f>
        <v>Small Business</v>
      </c>
      <c r="C634" s="2" t="n">
        <f aca="false">COUNTIFS(Clean_Data!$B$2:$B$2086,A634)</f>
        <v>1</v>
      </c>
      <c r="D634" s="11" t="n">
        <f aca="false">SUMIFS(Clean_Data!$M$2:$M$2086,Clean_Data!$B$2:$B$2086,A634)</f>
        <v>3825</v>
      </c>
      <c r="E634" s="11" t="n">
        <f aca="false">SUMIFS(Clean_Data!$N$2:$N$2086,Clean_Data!$B$2:$B$2086,A634)</f>
        <v>525</v>
      </c>
      <c r="F634" s="2" t="str">
        <f aca="false">IF(C634&gt;1,"Repeat","One-time")</f>
        <v>One-time</v>
      </c>
      <c r="G634" s="13" t="n">
        <f aca="false">SUM($D$2:D634)/SUM($D$2:$D$800)</f>
        <v>0.98162797630296</v>
      </c>
    </row>
    <row r="635" customFormat="false" ht="15" hidden="false" customHeight="false" outlineLevel="0" collapsed="false">
      <c r="A635" s="2" t="s">
        <v>1489</v>
      </c>
      <c r="B635" s="2" t="str">
        <f aca="false">INDEX(Clean_Data!$F$2:$F$2086,MATCH(A635,Clean_Data!$B$2:$B$2086,0))</f>
        <v>Small Business</v>
      </c>
      <c r="C635" s="2" t="n">
        <f aca="false">COUNTIFS(Clean_Data!$B$2:$B$2086,A635)</f>
        <v>1</v>
      </c>
      <c r="D635" s="11" t="n">
        <f aca="false">SUMIFS(Clean_Data!$M$2:$M$2086,Clean_Data!$B$2:$B$2086,A635)</f>
        <v>3825</v>
      </c>
      <c r="E635" s="11" t="n">
        <f aca="false">SUMIFS(Clean_Data!$N$2:$N$2086,Clean_Data!$B$2:$B$2086,A635)</f>
        <v>525</v>
      </c>
      <c r="F635" s="2" t="str">
        <f aca="false">IF(C635&gt;1,"Repeat","One-time")</f>
        <v>One-time</v>
      </c>
      <c r="G635" s="13" t="n">
        <f aca="false">SUM($D$2:D635)/SUM($D$2:$D$800)</f>
        <v>0.981813910739561</v>
      </c>
    </row>
    <row r="636" customFormat="false" ht="15" hidden="false" customHeight="false" outlineLevel="0" collapsed="false">
      <c r="A636" s="2" t="s">
        <v>1208</v>
      </c>
      <c r="B636" s="2" t="str">
        <f aca="false">INDEX(Clean_Data!$F$2:$F$2086,MATCH(A636,Clean_Data!$B$2:$B$2086,0))</f>
        <v>Consumer</v>
      </c>
      <c r="C636" s="2" t="n">
        <f aca="false">COUNTIFS(Clean_Data!$B$2:$B$2086,A636)</f>
        <v>1</v>
      </c>
      <c r="D636" s="11" t="n">
        <f aca="false">SUMIFS(Clean_Data!$M$2:$M$2086,Clean_Data!$B$2:$B$2086,A636)</f>
        <v>3800</v>
      </c>
      <c r="E636" s="11" t="n">
        <f aca="false">SUMIFS(Clean_Data!$N$2:$N$2086,Clean_Data!$B$2:$B$2086,A636)</f>
        <v>1800</v>
      </c>
      <c r="F636" s="2" t="str">
        <f aca="false">IF(C636&gt;1,"Repeat","One-time")</f>
        <v>One-time</v>
      </c>
      <c r="G636" s="13" t="n">
        <f aca="false">SUM($D$2:D636)/SUM($D$2:$D$800)</f>
        <v>0.981998629918406</v>
      </c>
    </row>
    <row r="637" customFormat="false" ht="15" hidden="false" customHeight="false" outlineLevel="0" collapsed="false">
      <c r="A637" s="2" t="s">
        <v>1495</v>
      </c>
      <c r="B637" s="2" t="str">
        <f aca="false">INDEX(Clean_Data!$F$2:$F$2086,MATCH(A637,Clean_Data!$B$2:$B$2086,0))</f>
        <v>Consumer</v>
      </c>
      <c r="C637" s="2" t="n">
        <f aca="false">COUNTIFS(Clean_Data!$B$2:$B$2086,A637)</f>
        <v>1</v>
      </c>
      <c r="D637" s="11" t="n">
        <f aca="false">SUMIFS(Clean_Data!$M$2:$M$2086,Clean_Data!$B$2:$B$2086,A637)</f>
        <v>3780</v>
      </c>
      <c r="E637" s="11" t="n">
        <f aca="false">SUMIFS(Clean_Data!$N$2:$N$2086,Clean_Data!$B$2:$B$2086,A637)</f>
        <v>1680</v>
      </c>
      <c r="F637" s="2" t="str">
        <f aca="false">IF(C637&gt;1,"Repeat","One-time")</f>
        <v>One-time</v>
      </c>
      <c r="G637" s="13" t="n">
        <f aca="false">SUM($D$2:D637)/SUM($D$2:$D$800)</f>
        <v>0.982182376891047</v>
      </c>
    </row>
    <row r="638" customFormat="false" ht="15" hidden="false" customHeight="false" outlineLevel="0" collapsed="false">
      <c r="A638" s="2" t="s">
        <v>1229</v>
      </c>
      <c r="B638" s="2" t="str">
        <f aca="false">INDEX(Clean_Data!$F$2:$F$2086,MATCH(A638,Clean_Data!$B$2:$B$2086,0))</f>
        <v>Small Business</v>
      </c>
      <c r="C638" s="2" t="n">
        <f aca="false">COUNTIFS(Clean_Data!$B$2:$B$2086,A638)</f>
        <v>1</v>
      </c>
      <c r="D638" s="11" t="n">
        <f aca="false">SUMIFS(Clean_Data!$M$2:$M$2086,Clean_Data!$B$2:$B$2086,A638)</f>
        <v>3780</v>
      </c>
      <c r="E638" s="11" t="n">
        <f aca="false">SUMIFS(Clean_Data!$N$2:$N$2086,Clean_Data!$B$2:$B$2086,A638)</f>
        <v>1680</v>
      </c>
      <c r="F638" s="2" t="str">
        <f aca="false">IF(C638&gt;1,"Repeat","One-time")</f>
        <v>One-time</v>
      </c>
      <c r="G638" s="13" t="n">
        <f aca="false">SUM($D$2:D638)/SUM($D$2:$D$800)</f>
        <v>0.982366123863688</v>
      </c>
    </row>
    <row r="639" customFormat="false" ht="15" hidden="false" customHeight="false" outlineLevel="0" collapsed="false">
      <c r="A639" s="2" t="s">
        <v>2817</v>
      </c>
      <c r="B639" s="2" t="str">
        <f aca="false">INDEX(Clean_Data!$F$2:$F$2086,MATCH(A639,Clean_Data!$B$2:$B$2086,0))</f>
        <v>Small Business</v>
      </c>
      <c r="C639" s="2" t="n">
        <f aca="false">COUNTIFS(Clean_Data!$B$2:$B$2086,A639)</f>
        <v>2</v>
      </c>
      <c r="D639" s="11" t="n">
        <f aca="false">SUMIFS(Clean_Data!$M$2:$M$2086,Clean_Data!$B$2:$B$2086,A639)</f>
        <v>3750</v>
      </c>
      <c r="E639" s="11" t="n">
        <f aca="false">SUMIFS(Clean_Data!$N$2:$N$2086,Clean_Data!$B$2:$B$2086,A639)</f>
        <v>1550</v>
      </c>
      <c r="F639" s="2" t="str">
        <f aca="false">IF(C639&gt;1,"Repeat","One-time")</f>
        <v>Repeat</v>
      </c>
      <c r="G639" s="13" t="n">
        <f aca="false">SUM($D$2:D639)/SUM($D$2:$D$800)</f>
        <v>0.982548412527023</v>
      </c>
    </row>
    <row r="640" customFormat="false" ht="15" hidden="false" customHeight="false" outlineLevel="0" collapsed="false">
      <c r="A640" s="2" t="s">
        <v>2259</v>
      </c>
      <c r="B640" s="2" t="str">
        <f aca="false">INDEX(Clean_Data!$F$2:$F$2086,MATCH(A640,Clean_Data!$B$2:$B$2086,0))</f>
        <v>Consumer</v>
      </c>
      <c r="C640" s="2" t="n">
        <f aca="false">COUNTIFS(Clean_Data!$B$2:$B$2086,A640)</f>
        <v>2</v>
      </c>
      <c r="D640" s="11" t="n">
        <f aca="false">SUMIFS(Clean_Data!$M$2:$M$2086,Clean_Data!$B$2:$B$2086,A640)</f>
        <v>3675</v>
      </c>
      <c r="E640" s="11" t="n">
        <f aca="false">SUMIFS(Clean_Data!$N$2:$N$2086,Clean_Data!$B$2:$B$2086,A640)</f>
        <v>1875</v>
      </c>
      <c r="F640" s="2" t="str">
        <f aca="false">IF(C640&gt;1,"Repeat","One-time")</f>
        <v>Repeat</v>
      </c>
      <c r="G640" s="13" t="n">
        <f aca="false">SUM($D$2:D640)/SUM($D$2:$D$800)</f>
        <v>0.982727055417091</v>
      </c>
    </row>
    <row r="641" customFormat="false" ht="15" hidden="false" customHeight="false" outlineLevel="0" collapsed="false">
      <c r="A641" s="2" t="s">
        <v>1600</v>
      </c>
      <c r="B641" s="2" t="str">
        <f aca="false">INDEX(Clean_Data!$F$2:$F$2086,MATCH(A641,Clean_Data!$B$2:$B$2086,0))</f>
        <v>Consumer</v>
      </c>
      <c r="C641" s="2" t="n">
        <f aca="false">COUNTIFS(Clean_Data!$B$2:$B$2086,A641)</f>
        <v>1</v>
      </c>
      <c r="D641" s="11" t="n">
        <f aca="false">SUMIFS(Clean_Data!$M$2:$M$2086,Clean_Data!$B$2:$B$2086,A641)</f>
        <v>3600</v>
      </c>
      <c r="E641" s="11" t="n">
        <f aca="false">SUMIFS(Clean_Data!$N$2:$N$2086,Clean_Data!$B$2:$B$2086,A641)</f>
        <v>1800</v>
      </c>
      <c r="F641" s="2" t="str">
        <f aca="false">IF(C641&gt;1,"Repeat","One-time")</f>
        <v>One-time</v>
      </c>
      <c r="G641" s="13" t="n">
        <f aca="false">SUM($D$2:D641)/SUM($D$2:$D$800)</f>
        <v>0.982902052533891</v>
      </c>
    </row>
    <row r="642" customFormat="false" ht="15" hidden="false" customHeight="false" outlineLevel="0" collapsed="false">
      <c r="A642" s="2" t="s">
        <v>1334</v>
      </c>
      <c r="B642" s="2" t="str">
        <f aca="false">INDEX(Clean_Data!$F$2:$F$2086,MATCH(A642,Clean_Data!$B$2:$B$2086,0))</f>
        <v>Consumer</v>
      </c>
      <c r="C642" s="2" t="n">
        <f aca="false">COUNTIFS(Clean_Data!$B$2:$B$2086,A642)</f>
        <v>1</v>
      </c>
      <c r="D642" s="11" t="n">
        <f aca="false">SUMIFS(Clean_Data!$M$2:$M$2086,Clean_Data!$B$2:$B$2086,A642)</f>
        <v>3600</v>
      </c>
      <c r="E642" s="11" t="n">
        <f aca="false">SUMIFS(Clean_Data!$N$2:$N$2086,Clean_Data!$B$2:$B$2086,A642)</f>
        <v>1800</v>
      </c>
      <c r="F642" s="2" t="str">
        <f aca="false">IF(C642&gt;1,"Repeat","One-time")</f>
        <v>One-time</v>
      </c>
      <c r="G642" s="13" t="n">
        <f aca="false">SUM($D$2:D642)/SUM($D$2:$D$800)</f>
        <v>0.983077049650692</v>
      </c>
    </row>
    <row r="643" customFormat="false" ht="15" hidden="false" customHeight="false" outlineLevel="0" collapsed="false">
      <c r="A643" s="2" t="s">
        <v>250</v>
      </c>
      <c r="B643" s="2" t="str">
        <f aca="false">INDEX(Clean_Data!$F$2:$F$2086,MATCH(A643,Clean_Data!$B$2:$B$2086,0))</f>
        <v>Small Business</v>
      </c>
      <c r="C643" s="2" t="n">
        <f aca="false">COUNTIFS(Clean_Data!$B$2:$B$2086,A643)</f>
        <v>1</v>
      </c>
      <c r="D643" s="11" t="n">
        <f aca="false">SUMIFS(Clean_Data!$M$2:$M$2086,Clean_Data!$B$2:$B$2086,A643)</f>
        <v>3600</v>
      </c>
      <c r="E643" s="11" t="n">
        <f aca="false">SUMIFS(Clean_Data!$N$2:$N$2086,Clean_Data!$B$2:$B$2086,A643)</f>
        <v>1800</v>
      </c>
      <c r="F643" s="2" t="str">
        <f aca="false">IF(C643&gt;1,"Repeat","One-time")</f>
        <v>One-time</v>
      </c>
      <c r="G643" s="13" t="n">
        <f aca="false">SUM($D$2:D643)/SUM($D$2:$D$800)</f>
        <v>0.983252046767493</v>
      </c>
    </row>
    <row r="644" customFormat="false" ht="15" hidden="false" customHeight="false" outlineLevel="0" collapsed="false">
      <c r="A644" s="2" t="s">
        <v>189</v>
      </c>
      <c r="B644" s="2" t="str">
        <f aca="false">INDEX(Clean_Data!$F$2:$F$2086,MATCH(A644,Clean_Data!$B$2:$B$2086,0))</f>
        <v>Small Business</v>
      </c>
      <c r="C644" s="2" t="n">
        <f aca="false">COUNTIFS(Clean_Data!$B$2:$B$2086,A644)</f>
        <v>1</v>
      </c>
      <c r="D644" s="11" t="n">
        <f aca="false">SUMIFS(Clean_Data!$M$2:$M$2086,Clean_Data!$B$2:$B$2086,A644)</f>
        <v>3600</v>
      </c>
      <c r="E644" s="11" t="n">
        <f aca="false">SUMIFS(Clean_Data!$N$2:$N$2086,Clean_Data!$B$2:$B$2086,A644)</f>
        <v>1800</v>
      </c>
      <c r="F644" s="2" t="str">
        <f aca="false">IF(C644&gt;1,"Repeat","One-time")</f>
        <v>One-time</v>
      </c>
      <c r="G644" s="13" t="n">
        <f aca="false">SUM($D$2:D644)/SUM($D$2:$D$800)</f>
        <v>0.983427043884294</v>
      </c>
    </row>
    <row r="645" customFormat="false" ht="15" hidden="false" customHeight="false" outlineLevel="0" collapsed="false">
      <c r="A645" s="2" t="s">
        <v>1041</v>
      </c>
      <c r="B645" s="2" t="str">
        <f aca="false">INDEX(Clean_Data!$F$2:$F$2086,MATCH(A645,Clean_Data!$B$2:$B$2086,0))</f>
        <v>Consumer</v>
      </c>
      <c r="C645" s="2" t="n">
        <f aca="false">COUNTIFS(Clean_Data!$B$2:$B$2086,A645)</f>
        <v>1</v>
      </c>
      <c r="D645" s="11" t="n">
        <f aca="false">SUMIFS(Clean_Data!$M$2:$M$2086,Clean_Data!$B$2:$B$2086,A645)</f>
        <v>3600</v>
      </c>
      <c r="E645" s="11" t="n">
        <f aca="false">SUMIFS(Clean_Data!$N$2:$N$2086,Clean_Data!$B$2:$B$2086,A645)</f>
        <v>1800</v>
      </c>
      <c r="F645" s="2" t="str">
        <f aca="false">IF(C645&gt;1,"Repeat","One-time")</f>
        <v>One-time</v>
      </c>
      <c r="G645" s="13" t="n">
        <f aca="false">SUM($D$2:D645)/SUM($D$2:$D$800)</f>
        <v>0.983602041001095</v>
      </c>
    </row>
    <row r="646" customFormat="false" ht="15" hidden="false" customHeight="false" outlineLevel="0" collapsed="false">
      <c r="A646" s="2" t="s">
        <v>2950</v>
      </c>
      <c r="B646" s="2" t="str">
        <f aca="false">INDEX(Clean_Data!$F$2:$F$2086,MATCH(A646,Clean_Data!$B$2:$B$2086,0))</f>
        <v>Consumer</v>
      </c>
      <c r="C646" s="2" t="n">
        <f aca="false">COUNTIFS(Clean_Data!$B$2:$B$2086,A646)</f>
        <v>1</v>
      </c>
      <c r="D646" s="11" t="n">
        <f aca="false">SUMIFS(Clean_Data!$M$2:$M$2086,Clean_Data!$B$2:$B$2086,A646)</f>
        <v>3600</v>
      </c>
      <c r="E646" s="11" t="n">
        <f aca="false">SUMIFS(Clean_Data!$N$2:$N$2086,Clean_Data!$B$2:$B$2086,A646)</f>
        <v>1800</v>
      </c>
      <c r="F646" s="2" t="str">
        <f aca="false">IF(C646&gt;1,"Repeat","One-time")</f>
        <v>One-time</v>
      </c>
      <c r="G646" s="13" t="n">
        <f aca="false">SUM($D$2:D646)/SUM($D$2:$D$800)</f>
        <v>0.983777038117896</v>
      </c>
    </row>
    <row r="647" customFormat="false" ht="15" hidden="false" customHeight="false" outlineLevel="0" collapsed="false">
      <c r="A647" s="2" t="s">
        <v>290</v>
      </c>
      <c r="B647" s="2" t="str">
        <f aca="false">INDEX(Clean_Data!$F$2:$F$2086,MATCH(A647,Clean_Data!$B$2:$B$2086,0))</f>
        <v>Consumer</v>
      </c>
      <c r="C647" s="2" t="n">
        <f aca="false">COUNTIFS(Clean_Data!$B$2:$B$2086,A647)</f>
        <v>2</v>
      </c>
      <c r="D647" s="11" t="n">
        <f aca="false">SUMIFS(Clean_Data!$M$2:$M$2086,Clean_Data!$B$2:$B$2086,A647)</f>
        <v>3600</v>
      </c>
      <c r="E647" s="11" t="n">
        <f aca="false">SUMIFS(Clean_Data!$N$2:$N$2086,Clean_Data!$B$2:$B$2086,A647)</f>
        <v>1600</v>
      </c>
      <c r="F647" s="2" t="str">
        <f aca="false">IF(C647&gt;1,"Repeat","One-time")</f>
        <v>Repeat</v>
      </c>
      <c r="G647" s="13" t="n">
        <f aca="false">SUM($D$2:D647)/SUM($D$2:$D$800)</f>
        <v>0.983952035234697</v>
      </c>
    </row>
    <row r="648" customFormat="false" ht="15" hidden="false" customHeight="false" outlineLevel="0" collapsed="false">
      <c r="A648" s="2" t="s">
        <v>1831</v>
      </c>
      <c r="B648" s="2" t="str">
        <f aca="false">INDEX(Clean_Data!$F$2:$F$2086,MATCH(A648,Clean_Data!$B$2:$B$2086,0))</f>
        <v>Small Business</v>
      </c>
      <c r="C648" s="2" t="n">
        <f aca="false">COUNTIFS(Clean_Data!$B$2:$B$2086,A648)</f>
        <v>1</v>
      </c>
      <c r="D648" s="11" t="n">
        <f aca="false">SUMIFS(Clean_Data!$M$2:$M$2086,Clean_Data!$B$2:$B$2086,A648)</f>
        <v>3600</v>
      </c>
      <c r="E648" s="11" t="n">
        <f aca="false">SUMIFS(Clean_Data!$N$2:$N$2086,Clean_Data!$B$2:$B$2086,A648)</f>
        <v>1800</v>
      </c>
      <c r="F648" s="2" t="str">
        <f aca="false">IF(C648&gt;1,"Repeat","One-time")</f>
        <v>One-time</v>
      </c>
      <c r="G648" s="13" t="n">
        <f aca="false">SUM($D$2:D648)/SUM($D$2:$D$800)</f>
        <v>0.984127032351498</v>
      </c>
    </row>
    <row r="649" customFormat="false" ht="15" hidden="false" customHeight="false" outlineLevel="0" collapsed="false">
      <c r="A649" s="2" t="s">
        <v>2459</v>
      </c>
      <c r="B649" s="2" t="str">
        <f aca="false">INDEX(Clean_Data!$F$2:$F$2086,MATCH(A649,Clean_Data!$B$2:$B$2086,0))</f>
        <v>Consumer</v>
      </c>
      <c r="C649" s="2" t="n">
        <f aca="false">COUNTIFS(Clean_Data!$B$2:$B$2086,A649)</f>
        <v>1</v>
      </c>
      <c r="D649" s="11" t="n">
        <f aca="false">SUMIFS(Clean_Data!$M$2:$M$2086,Clean_Data!$B$2:$B$2086,A649)</f>
        <v>3600</v>
      </c>
      <c r="E649" s="11" t="n">
        <f aca="false">SUMIFS(Clean_Data!$N$2:$N$2086,Clean_Data!$B$2:$B$2086,A649)</f>
        <v>1800</v>
      </c>
      <c r="F649" s="2" t="str">
        <f aca="false">IF(C649&gt;1,"Repeat","One-time")</f>
        <v>One-time</v>
      </c>
      <c r="G649" s="13" t="n">
        <f aca="false">SUM($D$2:D649)/SUM($D$2:$D$800)</f>
        <v>0.984302029468299</v>
      </c>
    </row>
    <row r="650" customFormat="false" ht="15" hidden="false" customHeight="false" outlineLevel="0" collapsed="false">
      <c r="A650" s="2" t="s">
        <v>1651</v>
      </c>
      <c r="B650" s="2" t="str">
        <f aca="false">INDEX(Clean_Data!$F$2:$F$2086,MATCH(A650,Clean_Data!$B$2:$B$2086,0))</f>
        <v>Consumer</v>
      </c>
      <c r="C650" s="2" t="n">
        <f aca="false">COUNTIFS(Clean_Data!$B$2:$B$2086,A650)</f>
        <v>3</v>
      </c>
      <c r="D650" s="11" t="n">
        <f aca="false">SUMIFS(Clean_Data!$M$2:$M$2086,Clean_Data!$B$2:$B$2086,A650)</f>
        <v>3575</v>
      </c>
      <c r="E650" s="11" t="n">
        <f aca="false">SUMIFS(Clean_Data!$N$2:$N$2086,Clean_Data!$B$2:$B$2086,A650)</f>
        <v>1625</v>
      </c>
      <c r="F650" s="2" t="str">
        <f aca="false">IF(C650&gt;1,"Repeat","One-time")</f>
        <v>Repeat</v>
      </c>
      <c r="G650" s="13" t="n">
        <f aca="false">SUM($D$2:D650)/SUM($D$2:$D$800)</f>
        <v>0.984475811327345</v>
      </c>
    </row>
    <row r="651" customFormat="false" ht="15" hidden="false" customHeight="false" outlineLevel="0" collapsed="false">
      <c r="A651" s="2" t="s">
        <v>875</v>
      </c>
      <c r="B651" s="2" t="str">
        <f aca="false">INDEX(Clean_Data!$F$2:$F$2086,MATCH(A651,Clean_Data!$B$2:$B$2086,0))</f>
        <v>Consumer</v>
      </c>
      <c r="C651" s="2" t="n">
        <f aca="false">COUNTIFS(Clean_Data!$B$2:$B$2086,A651)</f>
        <v>2</v>
      </c>
      <c r="D651" s="11" t="n">
        <f aca="false">SUMIFS(Clean_Data!$M$2:$M$2086,Clean_Data!$B$2:$B$2086,A651)</f>
        <v>3500</v>
      </c>
      <c r="E651" s="11" t="n">
        <f aca="false">SUMIFS(Clean_Data!$N$2:$N$2086,Clean_Data!$B$2:$B$2086,A651)</f>
        <v>1300</v>
      </c>
      <c r="F651" s="2" t="str">
        <f aca="false">IF(C651&gt;1,"Repeat","One-time")</f>
        <v>Repeat</v>
      </c>
      <c r="G651" s="13" t="n">
        <f aca="false">SUM($D$2:D651)/SUM($D$2:$D$800)</f>
        <v>0.984645947413123</v>
      </c>
    </row>
    <row r="652" customFormat="false" ht="15" hidden="false" customHeight="false" outlineLevel="0" collapsed="false">
      <c r="A652" s="2" t="s">
        <v>263</v>
      </c>
      <c r="B652" s="2" t="str">
        <f aca="false">INDEX(Clean_Data!$F$2:$F$2086,MATCH(A652,Clean_Data!$B$2:$B$2086,0))</f>
        <v>Small Business</v>
      </c>
      <c r="C652" s="2" t="n">
        <f aca="false">COUNTIFS(Clean_Data!$B$2:$B$2086,A652)</f>
        <v>1</v>
      </c>
      <c r="D652" s="11" t="n">
        <f aca="false">SUMIFS(Clean_Data!$M$2:$M$2086,Clean_Data!$B$2:$B$2086,A652)</f>
        <v>3500</v>
      </c>
      <c r="E652" s="11" t="n">
        <f aca="false">SUMIFS(Clean_Data!$N$2:$N$2086,Clean_Data!$B$2:$B$2086,A652)</f>
        <v>2100</v>
      </c>
      <c r="F652" s="2" t="str">
        <f aca="false">IF(C652&gt;1,"Repeat","One-time")</f>
        <v>One-time</v>
      </c>
      <c r="G652" s="13" t="n">
        <f aca="false">SUM($D$2:D652)/SUM($D$2:$D$800)</f>
        <v>0.984816083498902</v>
      </c>
    </row>
    <row r="653" customFormat="false" ht="15" hidden="false" customHeight="false" outlineLevel="0" collapsed="false">
      <c r="A653" s="2" t="s">
        <v>1014</v>
      </c>
      <c r="B653" s="2" t="str">
        <f aca="false">INDEX(Clean_Data!$F$2:$F$2086,MATCH(A653,Clean_Data!$B$2:$B$2086,0))</f>
        <v>Consumer</v>
      </c>
      <c r="C653" s="2" t="n">
        <f aca="false">COUNTIFS(Clean_Data!$B$2:$B$2086,A653)</f>
        <v>1</v>
      </c>
      <c r="D653" s="11" t="n">
        <f aca="false">SUMIFS(Clean_Data!$M$2:$M$2086,Clean_Data!$B$2:$B$2086,A653)</f>
        <v>3500</v>
      </c>
      <c r="E653" s="11" t="n">
        <f aca="false">SUMIFS(Clean_Data!$N$2:$N$2086,Clean_Data!$B$2:$B$2086,A653)</f>
        <v>1750</v>
      </c>
      <c r="F653" s="2" t="str">
        <f aca="false">IF(C653&gt;1,"Repeat","One-time")</f>
        <v>One-time</v>
      </c>
      <c r="G653" s="13" t="n">
        <f aca="false">SUM($D$2:D653)/SUM($D$2:$D$800)</f>
        <v>0.984986219584681</v>
      </c>
    </row>
    <row r="654" customFormat="false" ht="15" hidden="false" customHeight="false" outlineLevel="0" collapsed="false">
      <c r="A654" s="2" t="s">
        <v>1356</v>
      </c>
      <c r="B654" s="2" t="str">
        <f aca="false">INDEX(Clean_Data!$F$2:$F$2086,MATCH(A654,Clean_Data!$B$2:$B$2086,0))</f>
        <v>Small Business</v>
      </c>
      <c r="C654" s="2" t="n">
        <f aca="false">COUNTIFS(Clean_Data!$B$2:$B$2086,A654)</f>
        <v>1</v>
      </c>
      <c r="D654" s="11" t="n">
        <f aca="false">SUMIFS(Clean_Data!$M$2:$M$2086,Clean_Data!$B$2:$B$2086,A654)</f>
        <v>3420</v>
      </c>
      <c r="E654" s="11" t="n">
        <f aca="false">SUMIFS(Clean_Data!$N$2:$N$2086,Clean_Data!$B$2:$B$2086,A654)</f>
        <v>1620</v>
      </c>
      <c r="F654" s="2" t="str">
        <f aca="false">IF(C654&gt;1,"Repeat","One-time")</f>
        <v>One-time</v>
      </c>
      <c r="G654" s="13" t="n">
        <f aca="false">SUM($D$2:D654)/SUM($D$2:$D$800)</f>
        <v>0.985152466845642</v>
      </c>
    </row>
    <row r="655" customFormat="false" ht="15" hidden="false" customHeight="false" outlineLevel="0" collapsed="false">
      <c r="A655" s="2" t="s">
        <v>1348</v>
      </c>
      <c r="B655" s="2" t="str">
        <f aca="false">INDEX(Clean_Data!$F$2:$F$2086,MATCH(A655,Clean_Data!$B$2:$B$2086,0))</f>
        <v>Small Business</v>
      </c>
      <c r="C655" s="2" t="n">
        <f aca="false">COUNTIFS(Clean_Data!$B$2:$B$2086,A655)</f>
        <v>1</v>
      </c>
      <c r="D655" s="11" t="n">
        <f aca="false">SUMIFS(Clean_Data!$M$2:$M$2086,Clean_Data!$B$2:$B$2086,A655)</f>
        <v>3420</v>
      </c>
      <c r="E655" s="11" t="n">
        <f aca="false">SUMIFS(Clean_Data!$N$2:$N$2086,Clean_Data!$B$2:$B$2086,A655)</f>
        <v>1620</v>
      </c>
      <c r="F655" s="2" t="str">
        <f aca="false">IF(C655&gt;1,"Repeat","One-time")</f>
        <v>One-time</v>
      </c>
      <c r="G655" s="13" t="n">
        <f aca="false">SUM($D$2:D655)/SUM($D$2:$D$800)</f>
        <v>0.985318714106603</v>
      </c>
    </row>
    <row r="656" customFormat="false" ht="15" hidden="false" customHeight="false" outlineLevel="0" collapsed="false">
      <c r="A656" s="2" t="s">
        <v>2927</v>
      </c>
      <c r="B656" s="2" t="str">
        <f aca="false">INDEX(Clean_Data!$F$2:$F$2086,MATCH(A656,Clean_Data!$B$2:$B$2086,0))</f>
        <v>Small Business</v>
      </c>
      <c r="C656" s="2" t="n">
        <f aca="false">COUNTIFS(Clean_Data!$B$2:$B$2086,A656)</f>
        <v>1</v>
      </c>
      <c r="D656" s="11" t="n">
        <f aca="false">SUMIFS(Clean_Data!$M$2:$M$2086,Clean_Data!$B$2:$B$2086,A656)</f>
        <v>3400</v>
      </c>
      <c r="E656" s="11" t="n">
        <f aca="false">SUMIFS(Clean_Data!$N$2:$N$2086,Clean_Data!$B$2:$B$2086,A656)</f>
        <v>1400</v>
      </c>
      <c r="F656" s="2" t="str">
        <f aca="false">IF(C656&gt;1,"Repeat","One-time")</f>
        <v>One-time</v>
      </c>
      <c r="G656" s="13" t="n">
        <f aca="false">SUM($D$2:D656)/SUM($D$2:$D$800)</f>
        <v>0.985483989161359</v>
      </c>
    </row>
    <row r="657" customFormat="false" ht="15" hidden="false" customHeight="false" outlineLevel="0" collapsed="false">
      <c r="A657" s="2" t="s">
        <v>2998</v>
      </c>
      <c r="B657" s="2" t="str">
        <f aca="false">INDEX(Clean_Data!$F$2:$F$2086,MATCH(A657,Clean_Data!$B$2:$B$2086,0))</f>
        <v>Consumer</v>
      </c>
      <c r="C657" s="2" t="n">
        <f aca="false">COUNTIFS(Clean_Data!$B$2:$B$2086,A657)</f>
        <v>1</v>
      </c>
      <c r="D657" s="11" t="n">
        <f aca="false">SUMIFS(Clean_Data!$M$2:$M$2086,Clean_Data!$B$2:$B$2086,A657)</f>
        <v>3400</v>
      </c>
      <c r="E657" s="11" t="n">
        <f aca="false">SUMIFS(Clean_Data!$N$2:$N$2086,Clean_Data!$B$2:$B$2086,A657)</f>
        <v>1400</v>
      </c>
      <c r="F657" s="2" t="str">
        <f aca="false">IF(C657&gt;1,"Repeat","One-time")</f>
        <v>One-time</v>
      </c>
      <c r="G657" s="13" t="n">
        <f aca="false">SUM($D$2:D657)/SUM($D$2:$D$800)</f>
        <v>0.985649264216116</v>
      </c>
    </row>
    <row r="658" customFormat="false" ht="15" hidden="false" customHeight="false" outlineLevel="0" collapsed="false">
      <c r="A658" s="2" t="s">
        <v>505</v>
      </c>
      <c r="B658" s="2" t="str">
        <f aca="false">INDEX(Clean_Data!$F$2:$F$2086,MATCH(A658,Clean_Data!$B$2:$B$2086,0))</f>
        <v>Consumer</v>
      </c>
      <c r="C658" s="2" t="n">
        <f aca="false">COUNTIFS(Clean_Data!$B$2:$B$2086,A658)</f>
        <v>1</v>
      </c>
      <c r="D658" s="11" t="n">
        <f aca="false">SUMIFS(Clean_Data!$M$2:$M$2086,Clean_Data!$B$2:$B$2086,A658)</f>
        <v>3325</v>
      </c>
      <c r="E658" s="11" t="n">
        <f aca="false">SUMIFS(Clean_Data!$N$2:$N$2086,Clean_Data!$B$2:$B$2086,A658)</f>
        <v>1575</v>
      </c>
      <c r="F658" s="2" t="str">
        <f aca="false">IF(C658&gt;1,"Repeat","One-time")</f>
        <v>One-time</v>
      </c>
      <c r="G658" s="13" t="n">
        <f aca="false">SUM($D$2:D658)/SUM($D$2:$D$800)</f>
        <v>0.985810893497605</v>
      </c>
    </row>
    <row r="659" customFormat="false" ht="15" hidden="false" customHeight="false" outlineLevel="0" collapsed="false">
      <c r="A659" s="2" t="s">
        <v>2417</v>
      </c>
      <c r="B659" s="2" t="str">
        <f aca="false">INDEX(Clean_Data!$F$2:$F$2086,MATCH(A659,Clean_Data!$B$2:$B$2086,0))</f>
        <v>Consumer</v>
      </c>
      <c r="C659" s="2" t="n">
        <f aca="false">COUNTIFS(Clean_Data!$B$2:$B$2086,A659)</f>
        <v>2</v>
      </c>
      <c r="D659" s="11" t="n">
        <f aca="false">SUMIFS(Clean_Data!$M$2:$M$2086,Clean_Data!$B$2:$B$2086,A659)</f>
        <v>3300</v>
      </c>
      <c r="E659" s="11" t="n">
        <f aca="false">SUMIFS(Clean_Data!$N$2:$N$2086,Clean_Data!$B$2:$B$2086,A659)</f>
        <v>1300</v>
      </c>
      <c r="F659" s="2" t="str">
        <f aca="false">IF(C659&gt;1,"Repeat","One-time")</f>
        <v>Repeat</v>
      </c>
      <c r="G659" s="13" t="n">
        <f aca="false">SUM($D$2:D659)/SUM($D$2:$D$800)</f>
        <v>0.98597130752134</v>
      </c>
    </row>
    <row r="660" customFormat="false" ht="15" hidden="false" customHeight="false" outlineLevel="0" collapsed="false">
      <c r="A660" s="2" t="s">
        <v>2520</v>
      </c>
      <c r="B660" s="2" t="str">
        <f aca="false">INDEX(Clean_Data!$F$2:$F$2086,MATCH(A660,Clean_Data!$B$2:$B$2086,0))</f>
        <v>Consumer</v>
      </c>
      <c r="C660" s="2" t="n">
        <f aca="false">COUNTIFS(Clean_Data!$B$2:$B$2086,A660)</f>
        <v>2</v>
      </c>
      <c r="D660" s="11" t="n">
        <f aca="false">SUMIFS(Clean_Data!$M$2:$M$2086,Clean_Data!$B$2:$B$2086,A660)</f>
        <v>3210</v>
      </c>
      <c r="E660" s="11" t="n">
        <f aca="false">SUMIFS(Clean_Data!$N$2:$N$2086,Clean_Data!$B$2:$B$2086,A660)</f>
        <v>1410</v>
      </c>
      <c r="F660" s="2" t="str">
        <f aca="false">IF(C660&gt;1,"Repeat","One-time")</f>
        <v>Repeat</v>
      </c>
      <c r="G660" s="13" t="n">
        <f aca="false">SUM($D$2:D660)/SUM($D$2:$D$800)</f>
        <v>0.986127346617154</v>
      </c>
    </row>
    <row r="661" customFormat="false" ht="15" hidden="false" customHeight="false" outlineLevel="0" collapsed="false">
      <c r="A661" s="2" t="s">
        <v>694</v>
      </c>
      <c r="B661" s="2" t="str">
        <f aca="false">INDEX(Clean_Data!$F$2:$F$2086,MATCH(A661,Clean_Data!$B$2:$B$2086,0))</f>
        <v>Consumer</v>
      </c>
      <c r="C661" s="2" t="n">
        <f aca="false">COUNTIFS(Clean_Data!$B$2:$B$2086,A661)</f>
        <v>2</v>
      </c>
      <c r="D661" s="11" t="n">
        <f aca="false">SUMIFS(Clean_Data!$M$2:$M$2086,Clean_Data!$B$2:$B$2086,A661)</f>
        <v>3205</v>
      </c>
      <c r="E661" s="11" t="n">
        <f aca="false">SUMIFS(Clean_Data!$N$2:$N$2086,Clean_Data!$B$2:$B$2086,A661)</f>
        <v>1355</v>
      </c>
      <c r="F661" s="2" t="str">
        <f aca="false">IF(C661&gt;1,"Repeat","One-time")</f>
        <v>Repeat</v>
      </c>
      <c r="G661" s="13" t="n">
        <f aca="false">SUM($D$2:D661)/SUM($D$2:$D$800)</f>
        <v>0.986283142661417</v>
      </c>
    </row>
    <row r="662" customFormat="false" ht="15" hidden="false" customHeight="false" outlineLevel="0" collapsed="false">
      <c r="A662" s="2" t="s">
        <v>2813</v>
      </c>
      <c r="B662" s="2" t="str">
        <f aca="false">INDEX(Clean_Data!$F$2:$F$2086,MATCH(A662,Clean_Data!$B$2:$B$2086,0))</f>
        <v>Consumer</v>
      </c>
      <c r="C662" s="2" t="n">
        <f aca="false">COUNTIFS(Clean_Data!$B$2:$B$2086,A662)</f>
        <v>1</v>
      </c>
      <c r="D662" s="11" t="n">
        <f aca="false">SUMIFS(Clean_Data!$M$2:$M$2086,Clean_Data!$B$2:$B$2086,A662)</f>
        <v>3200</v>
      </c>
      <c r="E662" s="11" t="n">
        <f aca="false">SUMIFS(Clean_Data!$N$2:$N$2086,Clean_Data!$B$2:$B$2086,A662)</f>
        <v>1600</v>
      </c>
      <c r="F662" s="2" t="str">
        <f aca="false">IF(C662&gt;1,"Repeat","One-time")</f>
        <v>One-time</v>
      </c>
      <c r="G662" s="13" t="n">
        <f aca="false">SUM($D$2:D662)/SUM($D$2:$D$800)</f>
        <v>0.986438695654129</v>
      </c>
    </row>
    <row r="663" customFormat="false" ht="15" hidden="false" customHeight="false" outlineLevel="0" collapsed="false">
      <c r="A663" s="2" t="s">
        <v>2753</v>
      </c>
      <c r="B663" s="2" t="str">
        <f aca="false">INDEX(Clean_Data!$F$2:$F$2086,MATCH(A663,Clean_Data!$B$2:$B$2086,0))</f>
        <v>Consumer</v>
      </c>
      <c r="C663" s="2" t="n">
        <f aca="false">COUNTIFS(Clean_Data!$B$2:$B$2086,A663)</f>
        <v>1</v>
      </c>
      <c r="D663" s="11" t="n">
        <f aca="false">SUMIFS(Clean_Data!$M$2:$M$2086,Clean_Data!$B$2:$B$2086,A663)</f>
        <v>3040</v>
      </c>
      <c r="E663" s="11" t="n">
        <f aca="false">SUMIFS(Clean_Data!$N$2:$N$2086,Clean_Data!$B$2:$B$2086,A663)</f>
        <v>1440</v>
      </c>
      <c r="F663" s="2" t="str">
        <f aca="false">IF(C663&gt;1,"Repeat","One-time")</f>
        <v>One-time</v>
      </c>
      <c r="G663" s="13" t="n">
        <f aca="false">SUM($D$2:D663)/SUM($D$2:$D$800)</f>
        <v>0.986586470997205</v>
      </c>
    </row>
    <row r="664" customFormat="false" ht="15" hidden="false" customHeight="false" outlineLevel="0" collapsed="false">
      <c r="A664" s="2" t="s">
        <v>2843</v>
      </c>
      <c r="B664" s="2" t="str">
        <f aca="false">INDEX(Clean_Data!$F$2:$F$2086,MATCH(A664,Clean_Data!$B$2:$B$2086,0))</f>
        <v>Consumer</v>
      </c>
      <c r="C664" s="2" t="n">
        <f aca="false">COUNTIFS(Clean_Data!$B$2:$B$2086,A664)</f>
        <v>1</v>
      </c>
      <c r="D664" s="11" t="n">
        <f aca="false">SUMIFS(Clean_Data!$M$2:$M$2086,Clean_Data!$B$2:$B$2086,A664)</f>
        <v>3000</v>
      </c>
      <c r="E664" s="11" t="n">
        <f aca="false">SUMIFS(Clean_Data!$N$2:$N$2086,Clean_Data!$B$2:$B$2086,A664)</f>
        <v>1000</v>
      </c>
      <c r="F664" s="2" t="str">
        <f aca="false">IF(C664&gt;1,"Repeat","One-time")</f>
        <v>One-time</v>
      </c>
      <c r="G664" s="13" t="n">
        <f aca="false">SUM($D$2:D664)/SUM($D$2:$D$800)</f>
        <v>0.986732301927873</v>
      </c>
    </row>
    <row r="665" customFormat="false" ht="15" hidden="false" customHeight="false" outlineLevel="0" collapsed="false">
      <c r="A665" s="2" t="s">
        <v>252</v>
      </c>
      <c r="B665" s="2" t="str">
        <f aca="false">INDEX(Clean_Data!$F$2:$F$2086,MATCH(A665,Clean_Data!$B$2:$B$2086,0))</f>
        <v>Consumer</v>
      </c>
      <c r="C665" s="2" t="n">
        <f aca="false">COUNTIFS(Clean_Data!$B$2:$B$2086,A665)</f>
        <v>1</v>
      </c>
      <c r="D665" s="11" t="n">
        <f aca="false">SUMIFS(Clean_Data!$M$2:$M$2086,Clean_Data!$B$2:$B$2086,A665)</f>
        <v>3000</v>
      </c>
      <c r="E665" s="11" t="n">
        <f aca="false">SUMIFS(Clean_Data!$N$2:$N$2086,Clean_Data!$B$2:$B$2086,A665)</f>
        <v>1500</v>
      </c>
      <c r="F665" s="2" t="str">
        <f aca="false">IF(C665&gt;1,"Repeat","One-time")</f>
        <v>One-time</v>
      </c>
      <c r="G665" s="13" t="n">
        <f aca="false">SUM($D$2:D665)/SUM($D$2:$D$800)</f>
        <v>0.98687813285854</v>
      </c>
    </row>
    <row r="666" customFormat="false" ht="15" hidden="false" customHeight="false" outlineLevel="0" collapsed="false">
      <c r="A666" s="2" t="s">
        <v>2362</v>
      </c>
      <c r="B666" s="2" t="str">
        <f aca="false">INDEX(Clean_Data!$F$2:$F$2086,MATCH(A666,Clean_Data!$B$2:$B$2086,0))</f>
        <v>Consumer</v>
      </c>
      <c r="C666" s="2" t="n">
        <f aca="false">COUNTIFS(Clean_Data!$B$2:$B$2086,A666)</f>
        <v>1</v>
      </c>
      <c r="D666" s="11" t="n">
        <f aca="false">SUMIFS(Clean_Data!$M$2:$M$2086,Clean_Data!$B$2:$B$2086,A666)</f>
        <v>3000</v>
      </c>
      <c r="E666" s="11" t="n">
        <f aca="false">SUMIFS(Clean_Data!$N$2:$N$2086,Clean_Data!$B$2:$B$2086,A666)</f>
        <v>1000</v>
      </c>
      <c r="F666" s="2" t="str">
        <f aca="false">IF(C666&gt;1,"Repeat","One-time")</f>
        <v>One-time</v>
      </c>
      <c r="G666" s="13" t="n">
        <f aca="false">SUM($D$2:D666)/SUM($D$2:$D$800)</f>
        <v>0.987023963789208</v>
      </c>
    </row>
    <row r="667" customFormat="false" ht="15" hidden="false" customHeight="false" outlineLevel="0" collapsed="false">
      <c r="A667" s="2" t="s">
        <v>1894</v>
      </c>
      <c r="B667" s="2" t="str">
        <f aca="false">INDEX(Clean_Data!$F$2:$F$2086,MATCH(A667,Clean_Data!$B$2:$B$2086,0))</f>
        <v>Consumer</v>
      </c>
      <c r="C667" s="2" t="n">
        <f aca="false">COUNTIFS(Clean_Data!$B$2:$B$2086,A667)</f>
        <v>1</v>
      </c>
      <c r="D667" s="11" t="n">
        <f aca="false">SUMIFS(Clean_Data!$M$2:$M$2086,Clean_Data!$B$2:$B$2086,A667)</f>
        <v>3000</v>
      </c>
      <c r="E667" s="11" t="n">
        <f aca="false">SUMIFS(Clean_Data!$N$2:$N$2086,Clean_Data!$B$2:$B$2086,A667)</f>
        <v>1200</v>
      </c>
      <c r="F667" s="2" t="str">
        <f aca="false">IF(C667&gt;1,"Repeat","One-time")</f>
        <v>One-time</v>
      </c>
      <c r="G667" s="13" t="n">
        <f aca="false">SUM($D$2:D667)/SUM($D$2:$D$800)</f>
        <v>0.987169794719875</v>
      </c>
    </row>
    <row r="668" customFormat="false" ht="15" hidden="false" customHeight="false" outlineLevel="0" collapsed="false">
      <c r="A668" s="2" t="s">
        <v>2230</v>
      </c>
      <c r="B668" s="2" t="str">
        <f aca="false">INDEX(Clean_Data!$F$2:$F$2086,MATCH(A668,Clean_Data!$B$2:$B$2086,0))</f>
        <v>Consumer</v>
      </c>
      <c r="C668" s="2" t="n">
        <f aca="false">COUNTIFS(Clean_Data!$B$2:$B$2086,A668)</f>
        <v>1</v>
      </c>
      <c r="D668" s="11" t="n">
        <f aca="false">SUMIFS(Clean_Data!$M$2:$M$2086,Clean_Data!$B$2:$B$2086,A668)</f>
        <v>3000</v>
      </c>
      <c r="E668" s="11" t="n">
        <f aca="false">SUMIFS(Clean_Data!$N$2:$N$2086,Clean_Data!$B$2:$B$2086,A668)</f>
        <v>1200</v>
      </c>
      <c r="F668" s="2" t="str">
        <f aca="false">IF(C668&gt;1,"Repeat","One-time")</f>
        <v>One-time</v>
      </c>
      <c r="G668" s="13" t="n">
        <f aca="false">SUM($D$2:D668)/SUM($D$2:$D$800)</f>
        <v>0.987315625650543</v>
      </c>
    </row>
    <row r="669" customFormat="false" ht="15" hidden="false" customHeight="false" outlineLevel="0" collapsed="false">
      <c r="A669" s="2" t="s">
        <v>1280</v>
      </c>
      <c r="B669" s="2" t="str">
        <f aca="false">INDEX(Clean_Data!$F$2:$F$2086,MATCH(A669,Clean_Data!$B$2:$B$2086,0))</f>
        <v>Small Business</v>
      </c>
      <c r="C669" s="2" t="n">
        <f aca="false">COUNTIFS(Clean_Data!$B$2:$B$2086,A669)</f>
        <v>1</v>
      </c>
      <c r="D669" s="11" t="n">
        <f aca="false">SUMIFS(Clean_Data!$M$2:$M$2086,Clean_Data!$B$2:$B$2086,A669)</f>
        <v>3000</v>
      </c>
      <c r="E669" s="11" t="n">
        <f aca="false">SUMIFS(Clean_Data!$N$2:$N$2086,Clean_Data!$B$2:$B$2086,A669)</f>
        <v>1800</v>
      </c>
      <c r="F669" s="2" t="str">
        <f aca="false">IF(C669&gt;1,"Repeat","One-time")</f>
        <v>One-time</v>
      </c>
      <c r="G669" s="13" t="n">
        <f aca="false">SUM($D$2:D669)/SUM($D$2:$D$800)</f>
        <v>0.98746145658121</v>
      </c>
    </row>
    <row r="670" customFormat="false" ht="15" hidden="false" customHeight="false" outlineLevel="0" collapsed="false">
      <c r="A670" s="2" t="s">
        <v>2811</v>
      </c>
      <c r="B670" s="2" t="str">
        <f aca="false">INDEX(Clean_Data!$F$2:$F$2086,MATCH(A670,Clean_Data!$B$2:$B$2086,0))</f>
        <v>Consumer</v>
      </c>
      <c r="C670" s="2" t="n">
        <f aca="false">COUNTIFS(Clean_Data!$B$2:$B$2086,A670)</f>
        <v>1</v>
      </c>
      <c r="D670" s="11" t="n">
        <f aca="false">SUMIFS(Clean_Data!$M$2:$M$2086,Clean_Data!$B$2:$B$2086,A670)</f>
        <v>3000</v>
      </c>
      <c r="E670" s="11" t="n">
        <f aca="false">SUMIFS(Clean_Data!$N$2:$N$2086,Clean_Data!$B$2:$B$2086,A670)</f>
        <v>1000</v>
      </c>
      <c r="F670" s="2" t="str">
        <f aca="false">IF(C670&gt;1,"Repeat","One-time")</f>
        <v>One-time</v>
      </c>
      <c r="G670" s="13" t="n">
        <f aca="false">SUM($D$2:D670)/SUM($D$2:$D$800)</f>
        <v>0.987607287511878</v>
      </c>
    </row>
    <row r="671" customFormat="false" ht="15" hidden="false" customHeight="false" outlineLevel="0" collapsed="false">
      <c r="A671" s="2" t="s">
        <v>2878</v>
      </c>
      <c r="B671" s="2" t="str">
        <f aca="false">INDEX(Clean_Data!$F$2:$F$2086,MATCH(A671,Clean_Data!$B$2:$B$2086,0))</f>
        <v>Consumer</v>
      </c>
      <c r="C671" s="2" t="n">
        <f aca="false">COUNTIFS(Clean_Data!$B$2:$B$2086,A671)</f>
        <v>1</v>
      </c>
      <c r="D671" s="11" t="n">
        <f aca="false">SUMIFS(Clean_Data!$M$2:$M$2086,Clean_Data!$B$2:$B$2086,A671)</f>
        <v>3000</v>
      </c>
      <c r="E671" s="11" t="n">
        <f aca="false">SUMIFS(Clean_Data!$N$2:$N$2086,Clean_Data!$B$2:$B$2086,A671)</f>
        <v>1200</v>
      </c>
      <c r="F671" s="2" t="str">
        <f aca="false">IF(C671&gt;1,"Repeat","One-time")</f>
        <v>One-time</v>
      </c>
      <c r="G671" s="13" t="n">
        <f aca="false">SUM($D$2:D671)/SUM($D$2:$D$800)</f>
        <v>0.987753118442545</v>
      </c>
    </row>
    <row r="672" customFormat="false" ht="15" hidden="false" customHeight="false" outlineLevel="0" collapsed="false">
      <c r="A672" s="2" t="s">
        <v>2017</v>
      </c>
      <c r="B672" s="2" t="str">
        <f aca="false">INDEX(Clean_Data!$F$2:$F$2086,MATCH(A672,Clean_Data!$B$2:$B$2086,0))</f>
        <v>Consumer</v>
      </c>
      <c r="C672" s="2" t="n">
        <f aca="false">COUNTIFS(Clean_Data!$B$2:$B$2086,A672)</f>
        <v>1</v>
      </c>
      <c r="D672" s="11" t="n">
        <f aca="false">SUMIFS(Clean_Data!$M$2:$M$2086,Clean_Data!$B$2:$B$2086,A672)</f>
        <v>3000</v>
      </c>
      <c r="E672" s="11" t="n">
        <f aca="false">SUMIFS(Clean_Data!$N$2:$N$2086,Clean_Data!$B$2:$B$2086,A672)</f>
        <v>1000</v>
      </c>
      <c r="F672" s="2" t="str">
        <f aca="false">IF(C672&gt;1,"Repeat","One-time")</f>
        <v>One-time</v>
      </c>
      <c r="G672" s="13" t="n">
        <f aca="false">SUM($D$2:D672)/SUM($D$2:$D$800)</f>
        <v>0.987898949373213</v>
      </c>
    </row>
    <row r="673" customFormat="false" ht="15" hidden="false" customHeight="false" outlineLevel="0" collapsed="false">
      <c r="A673" s="2" t="s">
        <v>1239</v>
      </c>
      <c r="B673" s="2" t="str">
        <f aca="false">INDEX(Clean_Data!$F$2:$F$2086,MATCH(A673,Clean_Data!$B$2:$B$2086,0))</f>
        <v>Consumer</v>
      </c>
      <c r="C673" s="2" t="n">
        <f aca="false">COUNTIFS(Clean_Data!$B$2:$B$2086,A673)</f>
        <v>1</v>
      </c>
      <c r="D673" s="11" t="n">
        <f aca="false">SUMIFS(Clean_Data!$M$2:$M$2086,Clean_Data!$B$2:$B$2086,A673)</f>
        <v>3000</v>
      </c>
      <c r="E673" s="11" t="n">
        <f aca="false">SUMIFS(Clean_Data!$N$2:$N$2086,Clean_Data!$B$2:$B$2086,A673)</f>
        <v>1000</v>
      </c>
      <c r="F673" s="2" t="str">
        <f aca="false">IF(C673&gt;1,"Repeat","One-time")</f>
        <v>One-time</v>
      </c>
      <c r="G673" s="13" t="n">
        <f aca="false">SUM($D$2:D673)/SUM($D$2:$D$800)</f>
        <v>0.98804478030388</v>
      </c>
    </row>
    <row r="674" customFormat="false" ht="15" hidden="false" customHeight="false" outlineLevel="0" collapsed="false">
      <c r="A674" s="2" t="s">
        <v>805</v>
      </c>
      <c r="B674" s="2" t="str">
        <f aca="false">INDEX(Clean_Data!$F$2:$F$2086,MATCH(A674,Clean_Data!$B$2:$B$2086,0))</f>
        <v>Small Business</v>
      </c>
      <c r="C674" s="2" t="n">
        <f aca="false">COUNTIFS(Clean_Data!$B$2:$B$2086,A674)</f>
        <v>1</v>
      </c>
      <c r="D674" s="11" t="n">
        <f aca="false">SUMIFS(Clean_Data!$M$2:$M$2086,Clean_Data!$B$2:$B$2086,A674)</f>
        <v>2975</v>
      </c>
      <c r="E674" s="11" t="n">
        <f aca="false">SUMIFS(Clean_Data!$N$2:$N$2086,Clean_Data!$B$2:$B$2086,A674)</f>
        <v>1575</v>
      </c>
      <c r="F674" s="2" t="str">
        <f aca="false">IF(C674&gt;1,"Repeat","One-time")</f>
        <v>One-time</v>
      </c>
      <c r="G674" s="13" t="n">
        <f aca="false">SUM($D$2:D674)/SUM($D$2:$D$800)</f>
        <v>0.988189395976792</v>
      </c>
    </row>
    <row r="675" customFormat="false" ht="15" hidden="false" customHeight="false" outlineLevel="0" collapsed="false">
      <c r="A675" s="2" t="s">
        <v>2651</v>
      </c>
      <c r="B675" s="2" t="str">
        <f aca="false">INDEX(Clean_Data!$F$2:$F$2086,MATCH(A675,Clean_Data!$B$2:$B$2086,0))</f>
        <v>Consumer</v>
      </c>
      <c r="C675" s="2" t="n">
        <f aca="false">COUNTIFS(Clean_Data!$B$2:$B$2086,A675)</f>
        <v>2</v>
      </c>
      <c r="D675" s="11" t="n">
        <f aca="false">SUMIFS(Clean_Data!$M$2:$M$2086,Clean_Data!$B$2:$B$2086,A675)</f>
        <v>2955</v>
      </c>
      <c r="E675" s="11" t="n">
        <f aca="false">SUMIFS(Clean_Data!$N$2:$N$2086,Clean_Data!$B$2:$B$2086,A675)</f>
        <v>1455</v>
      </c>
      <c r="F675" s="2" t="str">
        <f aca="false">IF(C675&gt;1,"Repeat","One-time")</f>
        <v>Repeat</v>
      </c>
      <c r="G675" s="13" t="n">
        <f aca="false">SUM($D$2:D675)/SUM($D$2:$D$800)</f>
        <v>0.9883330394435</v>
      </c>
    </row>
    <row r="676" customFormat="false" ht="15" hidden="false" customHeight="false" outlineLevel="0" collapsed="false">
      <c r="A676" s="2" t="s">
        <v>2428</v>
      </c>
      <c r="B676" s="2" t="str">
        <f aca="false">INDEX(Clean_Data!$F$2:$F$2086,MATCH(A676,Clean_Data!$B$2:$B$2086,0))</f>
        <v>Small Business</v>
      </c>
      <c r="C676" s="2" t="n">
        <f aca="false">COUNTIFS(Clean_Data!$B$2:$B$2086,A676)</f>
        <v>1</v>
      </c>
      <c r="D676" s="11" t="n">
        <f aca="false">SUMIFS(Clean_Data!$M$2:$M$2086,Clean_Data!$B$2:$B$2086,A676)</f>
        <v>2925</v>
      </c>
      <c r="E676" s="11" t="n">
        <f aca="false">SUMIFS(Clean_Data!$N$2:$N$2086,Clean_Data!$B$2:$B$2086,A676)</f>
        <v>1625</v>
      </c>
      <c r="F676" s="2" t="str">
        <f aca="false">IF(C676&gt;1,"Repeat","One-time")</f>
        <v>One-time</v>
      </c>
      <c r="G676" s="13" t="n">
        <f aca="false">SUM($D$2:D676)/SUM($D$2:$D$800)</f>
        <v>0.9884752246009</v>
      </c>
    </row>
    <row r="677" customFormat="false" ht="15" hidden="false" customHeight="false" outlineLevel="0" collapsed="false">
      <c r="A677" s="2" t="s">
        <v>2954</v>
      </c>
      <c r="B677" s="2" t="str">
        <f aca="false">INDEX(Clean_Data!$F$2:$F$2086,MATCH(A677,Clean_Data!$B$2:$B$2086,0))</f>
        <v>Consumer</v>
      </c>
      <c r="C677" s="2" t="n">
        <f aca="false">COUNTIFS(Clean_Data!$B$2:$B$2086,A677)</f>
        <v>2</v>
      </c>
      <c r="D677" s="11" t="n">
        <f aca="false">SUMIFS(Clean_Data!$M$2:$M$2086,Clean_Data!$B$2:$B$2086,A677)</f>
        <v>2880</v>
      </c>
      <c r="E677" s="11" t="n">
        <f aca="false">SUMIFS(Clean_Data!$N$2:$N$2086,Clean_Data!$B$2:$B$2086,A677)</f>
        <v>1280</v>
      </c>
      <c r="F677" s="2" t="str">
        <f aca="false">IF(C677&gt;1,"Repeat","One-time")</f>
        <v>Repeat</v>
      </c>
      <c r="G677" s="13" t="n">
        <f aca="false">SUM($D$2:D677)/SUM($D$2:$D$800)</f>
        <v>0.988615222294341</v>
      </c>
    </row>
    <row r="678" customFormat="false" ht="15" hidden="false" customHeight="false" outlineLevel="0" collapsed="false">
      <c r="A678" s="2" t="s">
        <v>721</v>
      </c>
      <c r="B678" s="2" t="str">
        <f aca="false">INDEX(Clean_Data!$F$2:$F$2086,MATCH(A678,Clean_Data!$B$2:$B$2086,0))</f>
        <v>Consumer</v>
      </c>
      <c r="C678" s="2" t="n">
        <f aca="false">COUNTIFS(Clean_Data!$B$2:$B$2086,A678)</f>
        <v>1</v>
      </c>
      <c r="D678" s="11" t="n">
        <f aca="false">SUMIFS(Clean_Data!$M$2:$M$2086,Clean_Data!$B$2:$B$2086,A678)</f>
        <v>2880</v>
      </c>
      <c r="E678" s="11" t="n">
        <f aca="false">SUMIFS(Clean_Data!$N$2:$N$2086,Clean_Data!$B$2:$B$2086,A678)</f>
        <v>1280</v>
      </c>
      <c r="F678" s="2" t="str">
        <f aca="false">IF(C678&gt;1,"Repeat","One-time")</f>
        <v>One-time</v>
      </c>
      <c r="G678" s="13" t="n">
        <f aca="false">SUM($D$2:D678)/SUM($D$2:$D$800)</f>
        <v>0.988755219987782</v>
      </c>
    </row>
    <row r="679" customFormat="false" ht="15" hidden="false" customHeight="false" outlineLevel="0" collapsed="false">
      <c r="A679" s="2" t="s">
        <v>564</v>
      </c>
      <c r="B679" s="2" t="str">
        <f aca="false">INDEX(Clean_Data!$F$2:$F$2086,MATCH(A679,Clean_Data!$B$2:$B$2086,0))</f>
        <v>Consumer</v>
      </c>
      <c r="C679" s="2" t="n">
        <f aca="false">COUNTIFS(Clean_Data!$B$2:$B$2086,A679)</f>
        <v>1</v>
      </c>
      <c r="D679" s="11" t="n">
        <f aca="false">SUMIFS(Clean_Data!$M$2:$M$2086,Clean_Data!$B$2:$B$2086,A679)</f>
        <v>2850</v>
      </c>
      <c r="E679" s="11" t="n">
        <f aca="false">SUMIFS(Clean_Data!$N$2:$N$2086,Clean_Data!$B$2:$B$2086,A679)</f>
        <v>1050</v>
      </c>
      <c r="F679" s="2" t="str">
        <f aca="false">IF(C679&gt;1,"Repeat","One-time")</f>
        <v>One-time</v>
      </c>
      <c r="G679" s="13" t="n">
        <f aca="false">SUM($D$2:D679)/SUM($D$2:$D$800)</f>
        <v>0.988893759371916</v>
      </c>
    </row>
    <row r="680" customFormat="false" ht="15" hidden="false" customHeight="false" outlineLevel="0" collapsed="false">
      <c r="A680" s="2" t="s">
        <v>764</v>
      </c>
      <c r="B680" s="2" t="str">
        <f aca="false">INDEX(Clean_Data!$F$2:$F$2086,MATCH(A680,Clean_Data!$B$2:$B$2086,0))</f>
        <v>Consumer</v>
      </c>
      <c r="C680" s="2" t="n">
        <f aca="false">COUNTIFS(Clean_Data!$B$2:$B$2086,A680)</f>
        <v>1</v>
      </c>
      <c r="D680" s="11" t="n">
        <f aca="false">SUMIFS(Clean_Data!$M$2:$M$2086,Clean_Data!$B$2:$B$2086,A680)</f>
        <v>2850</v>
      </c>
      <c r="E680" s="11" t="n">
        <f aca="false">SUMIFS(Clean_Data!$N$2:$N$2086,Clean_Data!$B$2:$B$2086,A680)</f>
        <v>1350</v>
      </c>
      <c r="F680" s="2" t="str">
        <f aca="false">IF(C680&gt;1,"Repeat","One-time")</f>
        <v>One-time</v>
      </c>
      <c r="G680" s="13" t="n">
        <f aca="false">SUM($D$2:D680)/SUM($D$2:$D$800)</f>
        <v>0.98903229875605</v>
      </c>
    </row>
    <row r="681" customFormat="false" ht="15" hidden="false" customHeight="false" outlineLevel="0" collapsed="false">
      <c r="A681" s="2" t="s">
        <v>2389</v>
      </c>
      <c r="B681" s="2" t="str">
        <f aca="false">INDEX(Clean_Data!$F$2:$F$2086,MATCH(A681,Clean_Data!$B$2:$B$2086,0))</f>
        <v>Consumer</v>
      </c>
      <c r="C681" s="2" t="n">
        <f aca="false">COUNTIFS(Clean_Data!$B$2:$B$2086,A681)</f>
        <v>1</v>
      </c>
      <c r="D681" s="11" t="n">
        <f aca="false">SUMIFS(Clean_Data!$M$2:$M$2086,Clean_Data!$B$2:$B$2086,A681)</f>
        <v>2850</v>
      </c>
      <c r="E681" s="11" t="n">
        <f aca="false">SUMIFS(Clean_Data!$N$2:$N$2086,Clean_Data!$B$2:$B$2086,A681)</f>
        <v>850</v>
      </c>
      <c r="F681" s="2" t="str">
        <f aca="false">IF(C681&gt;1,"Repeat","One-time")</f>
        <v>One-time</v>
      </c>
      <c r="G681" s="13" t="n">
        <f aca="false">SUM($D$2:D681)/SUM($D$2:$D$800)</f>
        <v>0.989170838140184</v>
      </c>
    </row>
    <row r="682" customFormat="false" ht="15" hidden="false" customHeight="false" outlineLevel="0" collapsed="false">
      <c r="A682" s="2" t="s">
        <v>2697</v>
      </c>
      <c r="B682" s="2" t="str">
        <f aca="false">INDEX(Clean_Data!$F$2:$F$2086,MATCH(A682,Clean_Data!$B$2:$B$2086,0))</f>
        <v>Consumer</v>
      </c>
      <c r="C682" s="2" t="n">
        <f aca="false">COUNTIFS(Clean_Data!$B$2:$B$2086,A682)</f>
        <v>1</v>
      </c>
      <c r="D682" s="11" t="n">
        <f aca="false">SUMIFS(Clean_Data!$M$2:$M$2086,Clean_Data!$B$2:$B$2086,A682)</f>
        <v>2850</v>
      </c>
      <c r="E682" s="11" t="n">
        <f aca="false">SUMIFS(Clean_Data!$N$2:$N$2086,Clean_Data!$B$2:$B$2086,A682)</f>
        <v>1350</v>
      </c>
      <c r="F682" s="2" t="str">
        <f aca="false">IF(C682&gt;1,"Repeat","One-time")</f>
        <v>One-time</v>
      </c>
      <c r="G682" s="13" t="n">
        <f aca="false">SUM($D$2:D682)/SUM($D$2:$D$800)</f>
        <v>0.989309377524318</v>
      </c>
    </row>
    <row r="683" customFormat="false" ht="15" hidden="false" customHeight="false" outlineLevel="0" collapsed="false">
      <c r="A683" s="2" t="s">
        <v>440</v>
      </c>
      <c r="B683" s="2" t="str">
        <f aca="false">INDEX(Clean_Data!$F$2:$F$2086,MATCH(A683,Clean_Data!$B$2:$B$2086,0))</f>
        <v>Consumer</v>
      </c>
      <c r="C683" s="2" t="n">
        <f aca="false">COUNTIFS(Clean_Data!$B$2:$B$2086,A683)</f>
        <v>1</v>
      </c>
      <c r="D683" s="11" t="n">
        <f aca="false">SUMIFS(Clean_Data!$M$2:$M$2086,Clean_Data!$B$2:$B$2086,A683)</f>
        <v>2850</v>
      </c>
      <c r="E683" s="11" t="n">
        <f aca="false">SUMIFS(Clean_Data!$N$2:$N$2086,Clean_Data!$B$2:$B$2086,A683)</f>
        <v>850</v>
      </c>
      <c r="F683" s="2" t="str">
        <f aca="false">IF(C683&gt;1,"Repeat","One-time")</f>
        <v>One-time</v>
      </c>
      <c r="G683" s="13" t="n">
        <f aca="false">SUM($D$2:D683)/SUM($D$2:$D$800)</f>
        <v>0.989447916908452</v>
      </c>
    </row>
    <row r="684" customFormat="false" ht="15" hidden="false" customHeight="false" outlineLevel="0" collapsed="false">
      <c r="A684" s="2" t="s">
        <v>2264</v>
      </c>
      <c r="B684" s="2" t="str">
        <f aca="false">INDEX(Clean_Data!$F$2:$F$2086,MATCH(A684,Clean_Data!$B$2:$B$2086,0))</f>
        <v>Consumer</v>
      </c>
      <c r="C684" s="2" t="n">
        <f aca="false">COUNTIFS(Clean_Data!$B$2:$B$2086,A684)</f>
        <v>1</v>
      </c>
      <c r="D684" s="11" t="n">
        <f aca="false">SUMIFS(Clean_Data!$M$2:$M$2086,Clean_Data!$B$2:$B$2086,A684)</f>
        <v>2850</v>
      </c>
      <c r="E684" s="11" t="n">
        <f aca="false">SUMIFS(Clean_Data!$N$2:$N$2086,Clean_Data!$B$2:$B$2086,A684)</f>
        <v>850</v>
      </c>
      <c r="F684" s="2" t="str">
        <f aca="false">IF(C684&gt;1,"Repeat","One-time")</f>
        <v>One-time</v>
      </c>
      <c r="G684" s="13" t="n">
        <f aca="false">SUM($D$2:D684)/SUM($D$2:$D$800)</f>
        <v>0.989586456292587</v>
      </c>
    </row>
    <row r="685" customFormat="false" ht="15" hidden="false" customHeight="false" outlineLevel="0" collapsed="false">
      <c r="A685" s="2" t="s">
        <v>1350</v>
      </c>
      <c r="B685" s="2" t="str">
        <f aca="false">INDEX(Clean_Data!$F$2:$F$2086,MATCH(A685,Clean_Data!$B$2:$B$2086,0))</f>
        <v>Consumer</v>
      </c>
      <c r="C685" s="2" t="n">
        <f aca="false">COUNTIFS(Clean_Data!$B$2:$B$2086,A685)</f>
        <v>1</v>
      </c>
      <c r="D685" s="11" t="n">
        <f aca="false">SUMIFS(Clean_Data!$M$2:$M$2086,Clean_Data!$B$2:$B$2086,A685)</f>
        <v>2850</v>
      </c>
      <c r="E685" s="11" t="n">
        <f aca="false">SUMIFS(Clean_Data!$N$2:$N$2086,Clean_Data!$B$2:$B$2086,A685)</f>
        <v>850</v>
      </c>
      <c r="F685" s="2" t="str">
        <f aca="false">IF(C685&gt;1,"Repeat","One-time")</f>
        <v>One-time</v>
      </c>
      <c r="G685" s="13" t="n">
        <f aca="false">SUM($D$2:D685)/SUM($D$2:$D$800)</f>
        <v>0.989724995676721</v>
      </c>
    </row>
    <row r="686" customFormat="false" ht="15" hidden="false" customHeight="false" outlineLevel="0" collapsed="false">
      <c r="A686" s="2" t="s">
        <v>1837</v>
      </c>
      <c r="B686" s="2" t="str">
        <f aca="false">INDEX(Clean_Data!$F$2:$F$2086,MATCH(A686,Clean_Data!$B$2:$B$2086,0))</f>
        <v>Consumer</v>
      </c>
      <c r="C686" s="2" t="n">
        <f aca="false">COUNTIFS(Clean_Data!$B$2:$B$2086,A686)</f>
        <v>1</v>
      </c>
      <c r="D686" s="11" t="n">
        <f aca="false">SUMIFS(Clean_Data!$M$2:$M$2086,Clean_Data!$B$2:$B$2086,A686)</f>
        <v>2850</v>
      </c>
      <c r="E686" s="11" t="n">
        <f aca="false">SUMIFS(Clean_Data!$N$2:$N$2086,Clean_Data!$B$2:$B$2086,A686)</f>
        <v>850</v>
      </c>
      <c r="F686" s="2" t="str">
        <f aca="false">IF(C686&gt;1,"Repeat","One-time")</f>
        <v>One-time</v>
      </c>
      <c r="G686" s="13" t="n">
        <f aca="false">SUM($D$2:D686)/SUM($D$2:$D$800)</f>
        <v>0.989863535060855</v>
      </c>
    </row>
    <row r="687" customFormat="false" ht="15" hidden="false" customHeight="false" outlineLevel="0" collapsed="false">
      <c r="A687" s="2" t="s">
        <v>2755</v>
      </c>
      <c r="B687" s="2" t="str">
        <f aca="false">INDEX(Clean_Data!$F$2:$F$2086,MATCH(A687,Clean_Data!$B$2:$B$2086,0))</f>
        <v>Consumer</v>
      </c>
      <c r="C687" s="2" t="n">
        <f aca="false">COUNTIFS(Clean_Data!$B$2:$B$2086,A687)</f>
        <v>1</v>
      </c>
      <c r="D687" s="11" t="n">
        <f aca="false">SUMIFS(Clean_Data!$M$2:$M$2086,Clean_Data!$B$2:$B$2086,A687)</f>
        <v>2850</v>
      </c>
      <c r="E687" s="11" t="n">
        <f aca="false">SUMIFS(Clean_Data!$N$2:$N$2086,Clean_Data!$B$2:$B$2086,A687)</f>
        <v>1050</v>
      </c>
      <c r="F687" s="2" t="str">
        <f aca="false">IF(C687&gt;1,"Repeat","One-time")</f>
        <v>One-time</v>
      </c>
      <c r="G687" s="13" t="n">
        <f aca="false">SUM($D$2:D687)/SUM($D$2:$D$800)</f>
        <v>0.990002074444989</v>
      </c>
    </row>
    <row r="688" customFormat="false" ht="15" hidden="false" customHeight="false" outlineLevel="0" collapsed="false">
      <c r="A688" s="2" t="s">
        <v>717</v>
      </c>
      <c r="B688" s="2" t="str">
        <f aca="false">INDEX(Clean_Data!$F$2:$F$2086,MATCH(A688,Clean_Data!$B$2:$B$2086,0))</f>
        <v>Consumer</v>
      </c>
      <c r="C688" s="2" t="n">
        <f aca="false">COUNTIFS(Clean_Data!$B$2:$B$2086,A688)</f>
        <v>1</v>
      </c>
      <c r="D688" s="11" t="n">
        <f aca="false">SUMIFS(Clean_Data!$M$2:$M$2086,Clean_Data!$B$2:$B$2086,A688)</f>
        <v>2850</v>
      </c>
      <c r="E688" s="11" t="n">
        <f aca="false">SUMIFS(Clean_Data!$N$2:$N$2086,Clean_Data!$B$2:$B$2086,A688)</f>
        <v>1350</v>
      </c>
      <c r="F688" s="2" t="str">
        <f aca="false">IF(C688&gt;1,"Repeat","One-time")</f>
        <v>One-time</v>
      </c>
      <c r="G688" s="13" t="n">
        <f aca="false">SUM($D$2:D688)/SUM($D$2:$D$800)</f>
        <v>0.990140613829123</v>
      </c>
    </row>
    <row r="689" customFormat="false" ht="15" hidden="false" customHeight="false" outlineLevel="0" collapsed="false">
      <c r="A689" s="2" t="s">
        <v>1231</v>
      </c>
      <c r="B689" s="2" t="str">
        <f aca="false">INDEX(Clean_Data!$F$2:$F$2086,MATCH(A689,Clean_Data!$B$2:$B$2086,0))</f>
        <v>Small Business</v>
      </c>
      <c r="C689" s="2" t="n">
        <f aca="false">COUNTIFS(Clean_Data!$B$2:$B$2086,A689)</f>
        <v>1</v>
      </c>
      <c r="D689" s="11" t="n">
        <f aca="false">SUMIFS(Clean_Data!$M$2:$M$2086,Clean_Data!$B$2:$B$2086,A689)</f>
        <v>2850</v>
      </c>
      <c r="E689" s="11" t="n">
        <f aca="false">SUMIFS(Clean_Data!$N$2:$N$2086,Clean_Data!$B$2:$B$2086,A689)</f>
        <v>1050</v>
      </c>
      <c r="F689" s="2" t="str">
        <f aca="false">IF(C689&gt;1,"Repeat","One-time")</f>
        <v>One-time</v>
      </c>
      <c r="G689" s="13" t="n">
        <f aca="false">SUM($D$2:D689)/SUM($D$2:$D$800)</f>
        <v>0.990279153213257</v>
      </c>
    </row>
    <row r="690" customFormat="false" ht="15" hidden="false" customHeight="false" outlineLevel="0" collapsed="false">
      <c r="A690" s="2" t="s">
        <v>658</v>
      </c>
      <c r="B690" s="2" t="str">
        <f aca="false">INDEX(Clean_Data!$F$2:$F$2086,MATCH(A690,Clean_Data!$B$2:$B$2086,0))</f>
        <v>Small Business</v>
      </c>
      <c r="C690" s="2" t="n">
        <f aca="false">COUNTIFS(Clean_Data!$B$2:$B$2086,A690)</f>
        <v>1</v>
      </c>
      <c r="D690" s="11" t="n">
        <f aca="false">SUMIFS(Clean_Data!$M$2:$M$2086,Clean_Data!$B$2:$B$2086,A690)</f>
        <v>2850</v>
      </c>
      <c r="E690" s="11" t="n">
        <f aca="false">SUMIFS(Clean_Data!$N$2:$N$2086,Clean_Data!$B$2:$B$2086,A690)</f>
        <v>1050</v>
      </c>
      <c r="F690" s="2" t="str">
        <f aca="false">IF(C690&gt;1,"Repeat","One-time")</f>
        <v>One-time</v>
      </c>
      <c r="G690" s="13" t="n">
        <f aca="false">SUM($D$2:D690)/SUM($D$2:$D$800)</f>
        <v>0.990417692597391</v>
      </c>
    </row>
    <row r="691" customFormat="false" ht="15" hidden="false" customHeight="false" outlineLevel="0" collapsed="false">
      <c r="A691" s="2" t="s">
        <v>949</v>
      </c>
      <c r="B691" s="2" t="str">
        <f aca="false">INDEX(Clean_Data!$F$2:$F$2086,MATCH(A691,Clean_Data!$B$2:$B$2086,0))</f>
        <v>Consumer</v>
      </c>
      <c r="C691" s="2" t="n">
        <f aca="false">COUNTIFS(Clean_Data!$B$2:$B$2086,A691)</f>
        <v>1</v>
      </c>
      <c r="D691" s="11" t="n">
        <f aca="false">SUMIFS(Clean_Data!$M$2:$M$2086,Clean_Data!$B$2:$B$2086,A691)</f>
        <v>2800</v>
      </c>
      <c r="E691" s="11" t="n">
        <f aca="false">SUMIFS(Clean_Data!$N$2:$N$2086,Clean_Data!$B$2:$B$2086,A691)</f>
        <v>1400</v>
      </c>
      <c r="F691" s="2" t="str">
        <f aca="false">IF(C691&gt;1,"Repeat","One-time")</f>
        <v>One-time</v>
      </c>
      <c r="G691" s="13" t="n">
        <f aca="false">SUM($D$2:D691)/SUM($D$2:$D$800)</f>
        <v>0.990553801466014</v>
      </c>
    </row>
    <row r="692" customFormat="false" ht="15" hidden="false" customHeight="false" outlineLevel="0" collapsed="false">
      <c r="A692" s="2" t="s">
        <v>2870</v>
      </c>
      <c r="B692" s="2" t="str">
        <f aca="false">INDEX(Clean_Data!$F$2:$F$2086,MATCH(A692,Clean_Data!$B$2:$B$2086,0))</f>
        <v>Consumer</v>
      </c>
      <c r="C692" s="2" t="n">
        <f aca="false">COUNTIFS(Clean_Data!$B$2:$B$2086,A692)</f>
        <v>1</v>
      </c>
      <c r="D692" s="11" t="n">
        <f aca="false">SUMIFS(Clean_Data!$M$2:$M$2086,Clean_Data!$B$2:$B$2086,A692)</f>
        <v>2800</v>
      </c>
      <c r="E692" s="11" t="n">
        <f aca="false">SUMIFS(Clean_Data!$N$2:$N$2086,Clean_Data!$B$2:$B$2086,A692)</f>
        <v>1400</v>
      </c>
      <c r="F692" s="2" t="str">
        <f aca="false">IF(C692&gt;1,"Repeat","One-time")</f>
        <v>One-time</v>
      </c>
      <c r="G692" s="13" t="n">
        <f aca="false">SUM($D$2:D692)/SUM($D$2:$D$800)</f>
        <v>0.990689910334637</v>
      </c>
    </row>
    <row r="693" customFormat="false" ht="15" hidden="false" customHeight="false" outlineLevel="0" collapsed="false">
      <c r="A693" s="2" t="s">
        <v>2202</v>
      </c>
      <c r="B693" s="2" t="str">
        <f aca="false">INDEX(Clean_Data!$F$2:$F$2086,MATCH(A693,Clean_Data!$B$2:$B$2086,0))</f>
        <v>Consumer</v>
      </c>
      <c r="C693" s="2" t="n">
        <f aca="false">COUNTIFS(Clean_Data!$B$2:$B$2086,A693)</f>
        <v>1</v>
      </c>
      <c r="D693" s="11" t="n">
        <f aca="false">SUMIFS(Clean_Data!$M$2:$M$2086,Clean_Data!$B$2:$B$2086,A693)</f>
        <v>2800</v>
      </c>
      <c r="E693" s="11" t="n">
        <f aca="false">SUMIFS(Clean_Data!$N$2:$N$2086,Clean_Data!$B$2:$B$2086,A693)</f>
        <v>1400</v>
      </c>
      <c r="F693" s="2" t="str">
        <f aca="false">IF(C693&gt;1,"Repeat","One-time")</f>
        <v>One-time</v>
      </c>
      <c r="G693" s="13" t="n">
        <f aca="false">SUM($D$2:D693)/SUM($D$2:$D$800)</f>
        <v>0.99082601920326</v>
      </c>
    </row>
    <row r="694" customFormat="false" ht="15" hidden="false" customHeight="false" outlineLevel="0" collapsed="false">
      <c r="A694" s="2" t="s">
        <v>2128</v>
      </c>
      <c r="B694" s="2" t="str">
        <f aca="false">INDEX(Clean_Data!$F$2:$F$2086,MATCH(A694,Clean_Data!$B$2:$B$2086,0))</f>
        <v>Consumer</v>
      </c>
      <c r="C694" s="2" t="n">
        <f aca="false">COUNTIFS(Clean_Data!$B$2:$B$2086,A694)</f>
        <v>2</v>
      </c>
      <c r="D694" s="11" t="n">
        <f aca="false">SUMIFS(Clean_Data!$M$2:$M$2086,Clean_Data!$B$2:$B$2086,A694)</f>
        <v>2750</v>
      </c>
      <c r="E694" s="11" t="n">
        <f aca="false">SUMIFS(Clean_Data!$N$2:$N$2086,Clean_Data!$B$2:$B$2086,A694)</f>
        <v>1350</v>
      </c>
      <c r="F694" s="2" t="str">
        <f aca="false">IF(C694&gt;1,"Repeat","One-time")</f>
        <v>Repeat</v>
      </c>
      <c r="G694" s="13" t="n">
        <f aca="false">SUM($D$2:D694)/SUM($D$2:$D$800)</f>
        <v>0.990959697556372</v>
      </c>
    </row>
    <row r="695" customFormat="false" ht="15" hidden="false" customHeight="false" outlineLevel="0" collapsed="false">
      <c r="A695" s="2" t="s">
        <v>2966</v>
      </c>
      <c r="B695" s="2" t="str">
        <f aca="false">INDEX(Clean_Data!$F$2:$F$2086,MATCH(A695,Clean_Data!$B$2:$B$2086,0))</f>
        <v>Consumer</v>
      </c>
      <c r="C695" s="2" t="n">
        <f aca="false">COUNTIFS(Clean_Data!$B$2:$B$2086,A695)</f>
        <v>1</v>
      </c>
      <c r="D695" s="11" t="n">
        <f aca="false">SUMIFS(Clean_Data!$M$2:$M$2086,Clean_Data!$B$2:$B$2086,A695)</f>
        <v>2700</v>
      </c>
      <c r="E695" s="11" t="n">
        <f aca="false">SUMIFS(Clean_Data!$N$2:$N$2086,Clean_Data!$B$2:$B$2086,A695)</f>
        <v>1200</v>
      </c>
      <c r="F695" s="2" t="str">
        <f aca="false">IF(C695&gt;1,"Repeat","One-time")</f>
        <v>One-time</v>
      </c>
      <c r="G695" s="13" t="n">
        <f aca="false">SUM($D$2:D695)/SUM($D$2:$D$800)</f>
        <v>0.991090945393973</v>
      </c>
    </row>
    <row r="696" customFormat="false" ht="15" hidden="false" customHeight="false" outlineLevel="0" collapsed="false">
      <c r="A696" s="2" t="s">
        <v>1436</v>
      </c>
      <c r="B696" s="2" t="str">
        <f aca="false">INDEX(Clean_Data!$F$2:$F$2086,MATCH(A696,Clean_Data!$B$2:$B$2086,0))</f>
        <v>Small Business</v>
      </c>
      <c r="C696" s="2" t="n">
        <f aca="false">COUNTIFS(Clean_Data!$B$2:$B$2086,A696)</f>
        <v>1</v>
      </c>
      <c r="D696" s="11" t="n">
        <f aca="false">SUMIFS(Clean_Data!$M$2:$M$2086,Clean_Data!$B$2:$B$2086,A696)</f>
        <v>2700</v>
      </c>
      <c r="E696" s="11" t="n">
        <f aca="false">SUMIFS(Clean_Data!$N$2:$N$2086,Clean_Data!$B$2:$B$2086,A696)</f>
        <v>1500</v>
      </c>
      <c r="F696" s="2" t="str">
        <f aca="false">IF(C696&gt;1,"Repeat","One-time")</f>
        <v>One-time</v>
      </c>
      <c r="G696" s="13" t="n">
        <f aca="false">SUM($D$2:D696)/SUM($D$2:$D$800)</f>
        <v>0.991222193231573</v>
      </c>
    </row>
    <row r="697" customFormat="false" ht="15" hidden="false" customHeight="false" outlineLevel="0" collapsed="false">
      <c r="A697" s="2" t="s">
        <v>482</v>
      </c>
      <c r="B697" s="2" t="str">
        <f aca="false">INDEX(Clean_Data!$F$2:$F$2086,MATCH(A697,Clean_Data!$B$2:$B$2086,0))</f>
        <v>Small Business</v>
      </c>
      <c r="C697" s="2" t="n">
        <f aca="false">COUNTIFS(Clean_Data!$B$2:$B$2086,A697)</f>
        <v>1</v>
      </c>
      <c r="D697" s="11" t="n">
        <f aca="false">SUMIFS(Clean_Data!$M$2:$M$2086,Clean_Data!$B$2:$B$2086,A697)</f>
        <v>2700</v>
      </c>
      <c r="E697" s="11" t="n">
        <f aca="false">SUMIFS(Clean_Data!$N$2:$N$2086,Clean_Data!$B$2:$B$2086,A697)</f>
        <v>1500</v>
      </c>
      <c r="F697" s="2" t="str">
        <f aca="false">IF(C697&gt;1,"Repeat","One-time")</f>
        <v>One-time</v>
      </c>
      <c r="G697" s="13" t="n">
        <f aca="false">SUM($D$2:D697)/SUM($D$2:$D$800)</f>
        <v>0.991353441069174</v>
      </c>
    </row>
    <row r="698" customFormat="false" ht="15" hidden="false" customHeight="false" outlineLevel="0" collapsed="false">
      <c r="A698" s="2" t="s">
        <v>2243</v>
      </c>
      <c r="B698" s="2" t="str">
        <f aca="false">INDEX(Clean_Data!$F$2:$F$2086,MATCH(A698,Clean_Data!$B$2:$B$2086,0))</f>
        <v>Consumer</v>
      </c>
      <c r="C698" s="2" t="n">
        <f aca="false">COUNTIFS(Clean_Data!$B$2:$B$2086,A698)</f>
        <v>1</v>
      </c>
      <c r="D698" s="11" t="n">
        <f aca="false">SUMIFS(Clean_Data!$M$2:$M$2086,Clean_Data!$B$2:$B$2086,A698)</f>
        <v>2700</v>
      </c>
      <c r="E698" s="11" t="n">
        <f aca="false">SUMIFS(Clean_Data!$N$2:$N$2086,Clean_Data!$B$2:$B$2086,A698)</f>
        <v>900</v>
      </c>
      <c r="F698" s="2" t="str">
        <f aca="false">IF(C698&gt;1,"Repeat","One-time")</f>
        <v>One-time</v>
      </c>
      <c r="G698" s="13" t="n">
        <f aca="false">SUM($D$2:D698)/SUM($D$2:$D$800)</f>
        <v>0.991484688906775</v>
      </c>
    </row>
    <row r="699" customFormat="false" ht="15" hidden="false" customHeight="false" outlineLevel="0" collapsed="false">
      <c r="A699" s="2" t="s">
        <v>2505</v>
      </c>
      <c r="B699" s="2" t="str">
        <f aca="false">INDEX(Clean_Data!$F$2:$F$2086,MATCH(A699,Clean_Data!$B$2:$B$2086,0))</f>
        <v>Consumer</v>
      </c>
      <c r="C699" s="2" t="n">
        <f aca="false">COUNTIFS(Clean_Data!$B$2:$B$2086,A699)</f>
        <v>1</v>
      </c>
      <c r="D699" s="11" t="n">
        <f aca="false">SUMIFS(Clean_Data!$M$2:$M$2086,Clean_Data!$B$2:$B$2086,A699)</f>
        <v>2700</v>
      </c>
      <c r="E699" s="11" t="n">
        <f aca="false">SUMIFS(Clean_Data!$N$2:$N$2086,Clean_Data!$B$2:$B$2086,A699)</f>
        <v>900</v>
      </c>
      <c r="F699" s="2" t="str">
        <f aca="false">IF(C699&gt;1,"Repeat","One-time")</f>
        <v>One-time</v>
      </c>
      <c r="G699" s="13" t="n">
        <f aca="false">SUM($D$2:D699)/SUM($D$2:$D$800)</f>
        <v>0.991615936744376</v>
      </c>
    </row>
    <row r="700" customFormat="false" ht="15" hidden="false" customHeight="false" outlineLevel="0" collapsed="false">
      <c r="A700" s="2" t="s">
        <v>1973</v>
      </c>
      <c r="B700" s="2" t="str">
        <f aca="false">INDEX(Clean_Data!$F$2:$F$2086,MATCH(A700,Clean_Data!$B$2:$B$2086,0))</f>
        <v>Consumer</v>
      </c>
      <c r="C700" s="2" t="n">
        <f aca="false">COUNTIFS(Clean_Data!$B$2:$B$2086,A700)</f>
        <v>2</v>
      </c>
      <c r="D700" s="11" t="n">
        <f aca="false">SUMIFS(Clean_Data!$M$2:$M$2086,Clean_Data!$B$2:$B$2086,A700)</f>
        <v>2625</v>
      </c>
      <c r="E700" s="11" t="n">
        <f aca="false">SUMIFS(Clean_Data!$N$2:$N$2086,Clean_Data!$B$2:$B$2086,A700)</f>
        <v>1125</v>
      </c>
      <c r="F700" s="2" t="str">
        <f aca="false">IF(C700&gt;1,"Repeat","One-time")</f>
        <v>Repeat</v>
      </c>
      <c r="G700" s="13" t="n">
        <f aca="false">SUM($D$2:D700)/SUM($D$2:$D$800)</f>
        <v>0.99174353880871</v>
      </c>
    </row>
    <row r="701" customFormat="false" ht="15" hidden="false" customHeight="false" outlineLevel="0" collapsed="false">
      <c r="A701" s="2" t="s">
        <v>1928</v>
      </c>
      <c r="B701" s="2" t="str">
        <f aca="false">INDEX(Clean_Data!$F$2:$F$2086,MATCH(A701,Clean_Data!$B$2:$B$2086,0))</f>
        <v>Consumer</v>
      </c>
      <c r="C701" s="2" t="n">
        <f aca="false">COUNTIFS(Clean_Data!$B$2:$B$2086,A701)</f>
        <v>2</v>
      </c>
      <c r="D701" s="11" t="n">
        <f aca="false">SUMIFS(Clean_Data!$M$2:$M$2086,Clean_Data!$B$2:$B$2086,A701)</f>
        <v>2520</v>
      </c>
      <c r="E701" s="11" t="n">
        <f aca="false">SUMIFS(Clean_Data!$N$2:$N$2086,Clean_Data!$B$2:$B$2086,A701)</f>
        <v>1320</v>
      </c>
      <c r="F701" s="2" t="str">
        <f aca="false">IF(C701&gt;1,"Repeat","One-time")</f>
        <v>Repeat</v>
      </c>
      <c r="G701" s="13" t="n">
        <f aca="false">SUM($D$2:D701)/SUM($D$2:$D$800)</f>
        <v>0.99186603679047</v>
      </c>
    </row>
    <row r="702" customFormat="false" ht="15" hidden="false" customHeight="false" outlineLevel="0" collapsed="false">
      <c r="A702" s="2" t="s">
        <v>2140</v>
      </c>
      <c r="B702" s="2" t="str">
        <f aca="false">INDEX(Clean_Data!$F$2:$F$2086,MATCH(A702,Clean_Data!$B$2:$B$2086,0))</f>
        <v>Consumer</v>
      </c>
      <c r="C702" s="2" t="n">
        <f aca="false">COUNTIFS(Clean_Data!$B$2:$B$2086,A702)</f>
        <v>1</v>
      </c>
      <c r="D702" s="11" t="n">
        <f aca="false">SUMIFS(Clean_Data!$M$2:$M$2086,Clean_Data!$B$2:$B$2086,A702)</f>
        <v>2500</v>
      </c>
      <c r="E702" s="11" t="n">
        <f aca="false">SUMIFS(Clean_Data!$N$2:$N$2086,Clean_Data!$B$2:$B$2086,A702)</f>
        <v>900</v>
      </c>
      <c r="F702" s="2" t="str">
        <f aca="false">IF(C702&gt;1,"Repeat","One-time")</f>
        <v>One-time</v>
      </c>
      <c r="G702" s="13" t="n">
        <f aca="false">SUM($D$2:D702)/SUM($D$2:$D$800)</f>
        <v>0.991987562566027</v>
      </c>
    </row>
    <row r="703" customFormat="false" ht="15" hidden="false" customHeight="false" outlineLevel="0" collapsed="false">
      <c r="A703" s="2" t="s">
        <v>2192</v>
      </c>
      <c r="B703" s="2" t="str">
        <f aca="false">INDEX(Clean_Data!$F$2:$F$2086,MATCH(A703,Clean_Data!$B$2:$B$2086,0))</f>
        <v>Consumer</v>
      </c>
      <c r="C703" s="2" t="n">
        <f aca="false">COUNTIFS(Clean_Data!$B$2:$B$2086,A703)</f>
        <v>1</v>
      </c>
      <c r="D703" s="11" t="n">
        <f aca="false">SUMIFS(Clean_Data!$M$2:$M$2086,Clean_Data!$B$2:$B$2086,A703)</f>
        <v>2500</v>
      </c>
      <c r="E703" s="11" t="n">
        <f aca="false">SUMIFS(Clean_Data!$N$2:$N$2086,Clean_Data!$B$2:$B$2086,A703)</f>
        <v>1250</v>
      </c>
      <c r="F703" s="2" t="str">
        <f aca="false">IF(C703&gt;1,"Repeat","One-time")</f>
        <v>One-time</v>
      </c>
      <c r="G703" s="13" t="n">
        <f aca="false">SUM($D$2:D703)/SUM($D$2:$D$800)</f>
        <v>0.992109088341583</v>
      </c>
    </row>
    <row r="704" customFormat="false" ht="15" hidden="false" customHeight="false" outlineLevel="0" collapsed="false">
      <c r="A704" s="2" t="s">
        <v>1276</v>
      </c>
      <c r="B704" s="2" t="str">
        <f aca="false">INDEX(Clean_Data!$F$2:$F$2086,MATCH(A704,Clean_Data!$B$2:$B$2086,0))</f>
        <v>Consumer</v>
      </c>
      <c r="C704" s="2" t="n">
        <f aca="false">COUNTIFS(Clean_Data!$B$2:$B$2086,A704)</f>
        <v>1</v>
      </c>
      <c r="D704" s="11" t="n">
        <f aca="false">SUMIFS(Clean_Data!$M$2:$M$2086,Clean_Data!$B$2:$B$2086,A704)</f>
        <v>2500</v>
      </c>
      <c r="E704" s="11" t="n">
        <f aca="false">SUMIFS(Clean_Data!$N$2:$N$2086,Clean_Data!$B$2:$B$2086,A704)</f>
        <v>900</v>
      </c>
      <c r="F704" s="2" t="str">
        <f aca="false">IF(C704&gt;1,"Repeat","One-time")</f>
        <v>One-time</v>
      </c>
      <c r="G704" s="13" t="n">
        <f aca="false">SUM($D$2:D704)/SUM($D$2:$D$800)</f>
        <v>0.992230614117139</v>
      </c>
    </row>
    <row r="705" customFormat="false" ht="15" hidden="false" customHeight="false" outlineLevel="0" collapsed="false">
      <c r="A705" s="2" t="s">
        <v>2175</v>
      </c>
      <c r="B705" s="2" t="str">
        <f aca="false">INDEX(Clean_Data!$F$2:$F$2086,MATCH(A705,Clean_Data!$B$2:$B$2086,0))</f>
        <v>Consumer</v>
      </c>
      <c r="C705" s="2" t="n">
        <f aca="false">COUNTIFS(Clean_Data!$B$2:$B$2086,A705)</f>
        <v>1</v>
      </c>
      <c r="D705" s="11" t="n">
        <f aca="false">SUMIFS(Clean_Data!$M$2:$M$2086,Clean_Data!$B$2:$B$2086,A705)</f>
        <v>2500</v>
      </c>
      <c r="E705" s="11" t="n">
        <f aca="false">SUMIFS(Clean_Data!$N$2:$N$2086,Clean_Data!$B$2:$B$2086,A705)</f>
        <v>900</v>
      </c>
      <c r="F705" s="2" t="str">
        <f aca="false">IF(C705&gt;1,"Repeat","One-time")</f>
        <v>One-time</v>
      </c>
      <c r="G705" s="13" t="n">
        <f aca="false">SUM($D$2:D705)/SUM($D$2:$D$800)</f>
        <v>0.992352139892695</v>
      </c>
    </row>
    <row r="706" customFormat="false" ht="15" hidden="false" customHeight="false" outlineLevel="0" collapsed="false">
      <c r="A706" s="2" t="s">
        <v>401</v>
      </c>
      <c r="B706" s="2" t="str">
        <f aca="false">INDEX(Clean_Data!$F$2:$F$2086,MATCH(A706,Clean_Data!$B$2:$B$2086,0))</f>
        <v>Consumer</v>
      </c>
      <c r="C706" s="2" t="n">
        <f aca="false">COUNTIFS(Clean_Data!$B$2:$B$2086,A706)</f>
        <v>2</v>
      </c>
      <c r="D706" s="11" t="n">
        <f aca="false">SUMIFS(Clean_Data!$M$2:$M$2086,Clean_Data!$B$2:$B$2086,A706)</f>
        <v>2425</v>
      </c>
      <c r="E706" s="11" t="n">
        <f aca="false">SUMIFS(Clean_Data!$N$2:$N$2086,Clean_Data!$B$2:$B$2086,A706)</f>
        <v>1275</v>
      </c>
      <c r="F706" s="2" t="str">
        <f aca="false">IF(C706&gt;1,"Repeat","One-time")</f>
        <v>Repeat</v>
      </c>
      <c r="G706" s="13" t="n">
        <f aca="false">SUM($D$2:D706)/SUM($D$2:$D$800)</f>
        <v>0.992470019894985</v>
      </c>
    </row>
    <row r="707" customFormat="false" ht="15" hidden="false" customHeight="false" outlineLevel="0" collapsed="false">
      <c r="A707" s="2" t="s">
        <v>1701</v>
      </c>
      <c r="B707" s="2" t="str">
        <f aca="false">INDEX(Clean_Data!$F$2:$F$2086,MATCH(A707,Clean_Data!$B$2:$B$2086,0))</f>
        <v>Consumer</v>
      </c>
      <c r="C707" s="2" t="n">
        <f aca="false">COUNTIFS(Clean_Data!$B$2:$B$2086,A707)</f>
        <v>1</v>
      </c>
      <c r="D707" s="11" t="n">
        <f aca="false">SUMIFS(Clean_Data!$M$2:$M$2086,Clean_Data!$B$2:$B$2086,A707)</f>
        <v>2400</v>
      </c>
      <c r="E707" s="11" t="n">
        <f aca="false">SUMIFS(Clean_Data!$N$2:$N$2086,Clean_Data!$B$2:$B$2086,A707)</f>
        <v>1200</v>
      </c>
      <c r="F707" s="2" t="str">
        <f aca="false">IF(C707&gt;1,"Repeat","One-time")</f>
        <v>One-time</v>
      </c>
      <c r="G707" s="13" t="n">
        <f aca="false">SUM($D$2:D707)/SUM($D$2:$D$800)</f>
        <v>0.992586684639519</v>
      </c>
    </row>
    <row r="708" customFormat="false" ht="15" hidden="false" customHeight="false" outlineLevel="0" collapsed="false">
      <c r="A708" s="2" t="s">
        <v>2391</v>
      </c>
      <c r="B708" s="2" t="str">
        <f aca="false">INDEX(Clean_Data!$F$2:$F$2086,MATCH(A708,Clean_Data!$B$2:$B$2086,0))</f>
        <v>Consumer</v>
      </c>
      <c r="C708" s="2" t="n">
        <f aca="false">COUNTIFS(Clean_Data!$B$2:$B$2086,A708)</f>
        <v>1</v>
      </c>
      <c r="D708" s="11" t="n">
        <f aca="false">SUMIFS(Clean_Data!$M$2:$M$2086,Clean_Data!$B$2:$B$2086,A708)</f>
        <v>2400</v>
      </c>
      <c r="E708" s="11" t="n">
        <f aca="false">SUMIFS(Clean_Data!$N$2:$N$2086,Clean_Data!$B$2:$B$2086,A708)</f>
        <v>1200</v>
      </c>
      <c r="F708" s="2" t="str">
        <f aca="false">IF(C708&gt;1,"Repeat","One-time")</f>
        <v>One-time</v>
      </c>
      <c r="G708" s="13" t="n">
        <f aca="false">SUM($D$2:D708)/SUM($D$2:$D$800)</f>
        <v>0.992703349384053</v>
      </c>
    </row>
    <row r="709" customFormat="false" ht="15" hidden="false" customHeight="false" outlineLevel="0" collapsed="false">
      <c r="A709" s="2" t="s">
        <v>2131</v>
      </c>
      <c r="B709" s="2" t="str">
        <f aca="false">INDEX(Clean_Data!$F$2:$F$2086,MATCH(A709,Clean_Data!$B$2:$B$2086,0))</f>
        <v>Consumer</v>
      </c>
      <c r="C709" s="2" t="n">
        <f aca="false">COUNTIFS(Clean_Data!$B$2:$B$2086,A709)</f>
        <v>1</v>
      </c>
      <c r="D709" s="11" t="n">
        <f aca="false">SUMIFS(Clean_Data!$M$2:$M$2086,Clean_Data!$B$2:$B$2086,A709)</f>
        <v>2400</v>
      </c>
      <c r="E709" s="11" t="n">
        <f aca="false">SUMIFS(Clean_Data!$N$2:$N$2086,Clean_Data!$B$2:$B$2086,A709)</f>
        <v>1200</v>
      </c>
      <c r="F709" s="2" t="str">
        <f aca="false">IF(C709&gt;1,"Repeat","One-time")</f>
        <v>One-time</v>
      </c>
      <c r="G709" s="13" t="n">
        <f aca="false">SUM($D$2:D709)/SUM($D$2:$D$800)</f>
        <v>0.992820014128587</v>
      </c>
    </row>
    <row r="710" customFormat="false" ht="15" hidden="false" customHeight="false" outlineLevel="0" collapsed="false">
      <c r="A710" s="2" t="s">
        <v>1551</v>
      </c>
      <c r="B710" s="2" t="str">
        <f aca="false">INDEX(Clean_Data!$F$2:$F$2086,MATCH(A710,Clean_Data!$B$2:$B$2086,0))</f>
        <v>Consumer</v>
      </c>
      <c r="C710" s="2" t="n">
        <f aca="false">COUNTIFS(Clean_Data!$B$2:$B$2086,A710)</f>
        <v>1</v>
      </c>
      <c r="D710" s="11" t="n">
        <f aca="false">SUMIFS(Clean_Data!$M$2:$M$2086,Clean_Data!$B$2:$B$2086,A710)</f>
        <v>2400</v>
      </c>
      <c r="E710" s="11" t="n">
        <f aca="false">SUMIFS(Clean_Data!$N$2:$N$2086,Clean_Data!$B$2:$B$2086,A710)</f>
        <v>1200</v>
      </c>
      <c r="F710" s="2" t="str">
        <f aca="false">IF(C710&gt;1,"Repeat","One-time")</f>
        <v>One-time</v>
      </c>
      <c r="G710" s="13" t="n">
        <f aca="false">SUM($D$2:D710)/SUM($D$2:$D$800)</f>
        <v>0.992936678873121</v>
      </c>
    </row>
    <row r="711" customFormat="false" ht="15" hidden="false" customHeight="false" outlineLevel="0" collapsed="false">
      <c r="A711" s="2" t="s">
        <v>2578</v>
      </c>
      <c r="B711" s="2" t="str">
        <f aca="false">INDEX(Clean_Data!$F$2:$F$2086,MATCH(A711,Clean_Data!$B$2:$B$2086,0))</f>
        <v>Small Business</v>
      </c>
      <c r="C711" s="2" t="n">
        <f aca="false">COUNTIFS(Clean_Data!$B$2:$B$2086,A711)</f>
        <v>1</v>
      </c>
      <c r="D711" s="11" t="n">
        <f aca="false">SUMIFS(Clean_Data!$M$2:$M$2086,Clean_Data!$B$2:$B$2086,A711)</f>
        <v>2400</v>
      </c>
      <c r="E711" s="11" t="n">
        <f aca="false">SUMIFS(Clean_Data!$N$2:$N$2086,Clean_Data!$B$2:$B$2086,A711)</f>
        <v>1200</v>
      </c>
      <c r="F711" s="2" t="str">
        <f aca="false">IF(C711&gt;1,"Repeat","One-time")</f>
        <v>One-time</v>
      </c>
      <c r="G711" s="13" t="n">
        <f aca="false">SUM($D$2:D711)/SUM($D$2:$D$800)</f>
        <v>0.993053343617655</v>
      </c>
    </row>
    <row r="712" customFormat="false" ht="15" hidden="false" customHeight="false" outlineLevel="0" collapsed="false">
      <c r="A712" s="2" t="s">
        <v>860</v>
      </c>
      <c r="B712" s="2" t="str">
        <f aca="false">INDEX(Clean_Data!$F$2:$F$2086,MATCH(A712,Clean_Data!$B$2:$B$2086,0))</f>
        <v>Consumer</v>
      </c>
      <c r="C712" s="2" t="n">
        <f aca="false">COUNTIFS(Clean_Data!$B$2:$B$2086,A712)</f>
        <v>1</v>
      </c>
      <c r="D712" s="11" t="n">
        <f aca="false">SUMIFS(Clean_Data!$M$2:$M$2086,Clean_Data!$B$2:$B$2086,A712)</f>
        <v>2400</v>
      </c>
      <c r="E712" s="11" t="n">
        <f aca="false">SUMIFS(Clean_Data!$N$2:$N$2086,Clean_Data!$B$2:$B$2086,A712)</f>
        <v>1200</v>
      </c>
      <c r="F712" s="2" t="str">
        <f aca="false">IF(C712&gt;1,"Repeat","One-time")</f>
        <v>One-time</v>
      </c>
      <c r="G712" s="13" t="n">
        <f aca="false">SUM($D$2:D712)/SUM($D$2:$D$800)</f>
        <v>0.993170008362189</v>
      </c>
    </row>
    <row r="713" customFormat="false" ht="15" hidden="false" customHeight="false" outlineLevel="0" collapsed="false">
      <c r="A713" s="2" t="s">
        <v>2985</v>
      </c>
      <c r="B713" s="2" t="str">
        <f aca="false">INDEX(Clean_Data!$F$2:$F$2086,MATCH(A713,Clean_Data!$B$2:$B$2086,0))</f>
        <v>Small Business</v>
      </c>
      <c r="C713" s="2" t="n">
        <f aca="false">COUNTIFS(Clean_Data!$B$2:$B$2086,A713)</f>
        <v>1</v>
      </c>
      <c r="D713" s="11" t="n">
        <f aca="false">SUMIFS(Clean_Data!$M$2:$M$2086,Clean_Data!$B$2:$B$2086,A713)</f>
        <v>2380</v>
      </c>
      <c r="E713" s="11" t="n">
        <f aca="false">SUMIFS(Clean_Data!$N$2:$N$2086,Clean_Data!$B$2:$B$2086,A713)</f>
        <v>980</v>
      </c>
      <c r="F713" s="2" t="str">
        <f aca="false">IF(C713&gt;1,"Repeat","One-time")</f>
        <v>One-time</v>
      </c>
      <c r="G713" s="13" t="n">
        <f aca="false">SUM($D$2:D713)/SUM($D$2:$D$800)</f>
        <v>0.993285700900518</v>
      </c>
    </row>
    <row r="714" customFormat="false" ht="15" hidden="false" customHeight="false" outlineLevel="0" collapsed="false">
      <c r="A714" s="2" t="s">
        <v>2880</v>
      </c>
      <c r="B714" s="2" t="str">
        <f aca="false">INDEX(Clean_Data!$F$2:$F$2086,MATCH(A714,Clean_Data!$B$2:$B$2086,0))</f>
        <v>Consumer</v>
      </c>
      <c r="C714" s="2" t="n">
        <f aca="false">COUNTIFS(Clean_Data!$B$2:$B$2086,A714)</f>
        <v>1</v>
      </c>
      <c r="D714" s="11" t="n">
        <f aca="false">SUMIFS(Clean_Data!$M$2:$M$2086,Clean_Data!$B$2:$B$2086,A714)</f>
        <v>2380</v>
      </c>
      <c r="E714" s="11" t="n">
        <f aca="false">SUMIFS(Clean_Data!$N$2:$N$2086,Clean_Data!$B$2:$B$2086,A714)</f>
        <v>980</v>
      </c>
      <c r="F714" s="2" t="str">
        <f aca="false">IF(C714&gt;1,"Repeat","One-time")</f>
        <v>One-time</v>
      </c>
      <c r="G714" s="13" t="n">
        <f aca="false">SUM($D$2:D714)/SUM($D$2:$D$800)</f>
        <v>0.993401393438848</v>
      </c>
    </row>
    <row r="715" customFormat="false" ht="15" hidden="false" customHeight="false" outlineLevel="0" collapsed="false">
      <c r="A715" s="2" t="s">
        <v>1061</v>
      </c>
      <c r="B715" s="2" t="str">
        <f aca="false">INDEX(Clean_Data!$F$2:$F$2086,MATCH(A715,Clean_Data!$B$2:$B$2086,0))</f>
        <v>Consumer</v>
      </c>
      <c r="C715" s="2" t="n">
        <f aca="false">COUNTIFS(Clean_Data!$B$2:$B$2086,A715)</f>
        <v>1</v>
      </c>
      <c r="D715" s="11" t="n">
        <f aca="false">SUMIFS(Clean_Data!$M$2:$M$2086,Clean_Data!$B$2:$B$2086,A715)</f>
        <v>2375</v>
      </c>
      <c r="E715" s="11" t="n">
        <f aca="false">SUMIFS(Clean_Data!$N$2:$N$2086,Clean_Data!$B$2:$B$2086,A715)</f>
        <v>1125</v>
      </c>
      <c r="F715" s="2" t="str">
        <f aca="false">IF(C715&gt;1,"Repeat","One-time")</f>
        <v>One-time</v>
      </c>
      <c r="G715" s="13" t="n">
        <f aca="false">SUM($D$2:D715)/SUM($D$2:$D$800)</f>
        <v>0.993516842925626</v>
      </c>
    </row>
    <row r="716" customFormat="false" ht="15" hidden="false" customHeight="false" outlineLevel="0" collapsed="false">
      <c r="A716" s="2" t="s">
        <v>1282</v>
      </c>
      <c r="B716" s="2" t="str">
        <f aca="false">INDEX(Clean_Data!$F$2:$F$2086,MATCH(A716,Clean_Data!$B$2:$B$2086,0))</f>
        <v>Consumer</v>
      </c>
      <c r="C716" s="2" t="n">
        <f aca="false">COUNTIFS(Clean_Data!$B$2:$B$2086,A716)</f>
        <v>1</v>
      </c>
      <c r="D716" s="11" t="n">
        <f aca="false">SUMIFS(Clean_Data!$M$2:$M$2086,Clean_Data!$B$2:$B$2086,A716)</f>
        <v>2375</v>
      </c>
      <c r="E716" s="11" t="n">
        <f aca="false">SUMIFS(Clean_Data!$N$2:$N$2086,Clean_Data!$B$2:$B$2086,A716)</f>
        <v>775</v>
      </c>
      <c r="F716" s="2" t="str">
        <f aca="false">IF(C716&gt;1,"Repeat","One-time")</f>
        <v>One-time</v>
      </c>
      <c r="G716" s="13" t="n">
        <f aca="false">SUM($D$2:D716)/SUM($D$2:$D$800)</f>
        <v>0.993632292412405</v>
      </c>
    </row>
    <row r="717" customFormat="false" ht="15" hidden="false" customHeight="false" outlineLevel="0" collapsed="false">
      <c r="A717" s="2" t="s">
        <v>2424</v>
      </c>
      <c r="B717" s="2" t="str">
        <f aca="false">INDEX(Clean_Data!$F$2:$F$2086,MATCH(A717,Clean_Data!$B$2:$B$2086,0))</f>
        <v>Consumer</v>
      </c>
      <c r="C717" s="2" t="n">
        <f aca="false">COUNTIFS(Clean_Data!$B$2:$B$2086,A717)</f>
        <v>1</v>
      </c>
      <c r="D717" s="11" t="n">
        <f aca="false">SUMIFS(Clean_Data!$M$2:$M$2086,Clean_Data!$B$2:$B$2086,A717)</f>
        <v>2375</v>
      </c>
      <c r="E717" s="11" t="n">
        <f aca="false">SUMIFS(Clean_Data!$N$2:$N$2086,Clean_Data!$B$2:$B$2086,A717)</f>
        <v>1125</v>
      </c>
      <c r="F717" s="2" t="str">
        <f aca="false">IF(C717&gt;1,"Repeat","One-time")</f>
        <v>One-time</v>
      </c>
      <c r="G717" s="13" t="n">
        <f aca="false">SUM($D$2:D717)/SUM($D$2:$D$800)</f>
        <v>0.993747741899183</v>
      </c>
    </row>
    <row r="718" customFormat="false" ht="15" hidden="false" customHeight="false" outlineLevel="0" collapsed="false">
      <c r="A718" s="2" t="s">
        <v>1514</v>
      </c>
      <c r="B718" s="2" t="str">
        <f aca="false">INDEX(Clean_Data!$F$2:$F$2086,MATCH(A718,Clean_Data!$B$2:$B$2086,0))</f>
        <v>Consumer</v>
      </c>
      <c r="C718" s="2" t="n">
        <f aca="false">COUNTIFS(Clean_Data!$B$2:$B$2086,A718)</f>
        <v>1</v>
      </c>
      <c r="D718" s="11" t="n">
        <f aca="false">SUMIFS(Clean_Data!$M$2:$M$2086,Clean_Data!$B$2:$B$2086,A718)</f>
        <v>2375</v>
      </c>
      <c r="E718" s="11" t="n">
        <f aca="false">SUMIFS(Clean_Data!$N$2:$N$2086,Clean_Data!$B$2:$B$2086,A718)</f>
        <v>775</v>
      </c>
      <c r="F718" s="2" t="str">
        <f aca="false">IF(C718&gt;1,"Repeat","One-time")</f>
        <v>One-time</v>
      </c>
      <c r="G718" s="13" t="n">
        <f aca="false">SUM($D$2:D718)/SUM($D$2:$D$800)</f>
        <v>0.993863191385961</v>
      </c>
    </row>
    <row r="719" customFormat="false" ht="15" hidden="false" customHeight="false" outlineLevel="0" collapsed="false">
      <c r="A719" s="2" t="s">
        <v>2075</v>
      </c>
      <c r="B719" s="2" t="str">
        <f aca="false">INDEX(Clean_Data!$F$2:$F$2086,MATCH(A719,Clean_Data!$B$2:$B$2086,0))</f>
        <v>Consumer</v>
      </c>
      <c r="C719" s="2" t="n">
        <f aca="false">COUNTIFS(Clean_Data!$B$2:$B$2086,A719)</f>
        <v>1</v>
      </c>
      <c r="D719" s="11" t="n">
        <f aca="false">SUMIFS(Clean_Data!$M$2:$M$2086,Clean_Data!$B$2:$B$2086,A719)</f>
        <v>2375</v>
      </c>
      <c r="E719" s="11" t="n">
        <f aca="false">SUMIFS(Clean_Data!$N$2:$N$2086,Clean_Data!$B$2:$B$2086,A719)</f>
        <v>1125</v>
      </c>
      <c r="F719" s="2" t="str">
        <f aca="false">IF(C719&gt;1,"Repeat","One-time")</f>
        <v>One-time</v>
      </c>
      <c r="G719" s="13" t="n">
        <f aca="false">SUM($D$2:D719)/SUM($D$2:$D$800)</f>
        <v>0.99397864087274</v>
      </c>
    </row>
    <row r="720" customFormat="false" ht="15" hidden="false" customHeight="false" outlineLevel="0" collapsed="false">
      <c r="A720" s="2" t="s">
        <v>1308</v>
      </c>
      <c r="B720" s="2" t="str">
        <f aca="false">INDEX(Clean_Data!$F$2:$F$2086,MATCH(A720,Clean_Data!$B$2:$B$2086,0))</f>
        <v>Consumer</v>
      </c>
      <c r="C720" s="2" t="n">
        <f aca="false">COUNTIFS(Clean_Data!$B$2:$B$2086,A720)</f>
        <v>1</v>
      </c>
      <c r="D720" s="11" t="n">
        <f aca="false">SUMIFS(Clean_Data!$M$2:$M$2086,Clean_Data!$B$2:$B$2086,A720)</f>
        <v>2375</v>
      </c>
      <c r="E720" s="11" t="n">
        <f aca="false">SUMIFS(Clean_Data!$N$2:$N$2086,Clean_Data!$B$2:$B$2086,A720)</f>
        <v>775</v>
      </c>
      <c r="F720" s="2" t="str">
        <f aca="false">IF(C720&gt;1,"Repeat","One-time")</f>
        <v>One-time</v>
      </c>
      <c r="G720" s="13" t="n">
        <f aca="false">SUM($D$2:D720)/SUM($D$2:$D$800)</f>
        <v>0.994094090359518</v>
      </c>
    </row>
    <row r="721" customFormat="false" ht="15" hidden="false" customHeight="false" outlineLevel="0" collapsed="false">
      <c r="A721" s="2" t="s">
        <v>1317</v>
      </c>
      <c r="B721" s="2" t="str">
        <f aca="false">INDEX(Clean_Data!$F$2:$F$2086,MATCH(A721,Clean_Data!$B$2:$B$2086,0))</f>
        <v>Small Business</v>
      </c>
      <c r="C721" s="2" t="n">
        <f aca="false">COUNTIFS(Clean_Data!$B$2:$B$2086,A721)</f>
        <v>1</v>
      </c>
      <c r="D721" s="11" t="n">
        <f aca="false">SUMIFS(Clean_Data!$M$2:$M$2086,Clean_Data!$B$2:$B$2086,A721)</f>
        <v>2375</v>
      </c>
      <c r="E721" s="11" t="n">
        <f aca="false">SUMIFS(Clean_Data!$N$2:$N$2086,Clean_Data!$B$2:$B$2086,A721)</f>
        <v>775</v>
      </c>
      <c r="F721" s="2" t="str">
        <f aca="false">IF(C721&gt;1,"Repeat","One-time")</f>
        <v>One-time</v>
      </c>
      <c r="G721" s="13" t="n">
        <f aca="false">SUM($D$2:D721)/SUM($D$2:$D$800)</f>
        <v>0.994209539846297</v>
      </c>
    </row>
    <row r="722" customFormat="false" ht="15" hidden="false" customHeight="false" outlineLevel="0" collapsed="false">
      <c r="A722" s="2" t="s">
        <v>2262</v>
      </c>
      <c r="B722" s="2" t="str">
        <f aca="false">INDEX(Clean_Data!$F$2:$F$2086,MATCH(A722,Clean_Data!$B$2:$B$2086,0))</f>
        <v>Consumer</v>
      </c>
      <c r="C722" s="2" t="n">
        <f aca="false">COUNTIFS(Clean_Data!$B$2:$B$2086,A722)</f>
        <v>1</v>
      </c>
      <c r="D722" s="11" t="n">
        <f aca="false">SUMIFS(Clean_Data!$M$2:$M$2086,Clean_Data!$B$2:$B$2086,A722)</f>
        <v>2375</v>
      </c>
      <c r="E722" s="11" t="n">
        <f aca="false">SUMIFS(Clean_Data!$N$2:$N$2086,Clean_Data!$B$2:$B$2086,A722)</f>
        <v>1125</v>
      </c>
      <c r="F722" s="2" t="str">
        <f aca="false">IF(C722&gt;1,"Repeat","One-time")</f>
        <v>One-time</v>
      </c>
      <c r="G722" s="13" t="n">
        <f aca="false">SUM($D$2:D722)/SUM($D$2:$D$800)</f>
        <v>0.994324989333075</v>
      </c>
    </row>
    <row r="723" customFormat="false" ht="15" hidden="false" customHeight="false" outlineLevel="0" collapsed="false">
      <c r="A723" s="2" t="s">
        <v>2252</v>
      </c>
      <c r="B723" s="2" t="str">
        <f aca="false">INDEX(Clean_Data!$F$2:$F$2086,MATCH(A723,Clean_Data!$B$2:$B$2086,0))</f>
        <v>Small Business</v>
      </c>
      <c r="C723" s="2" t="n">
        <f aca="false">COUNTIFS(Clean_Data!$B$2:$B$2086,A723)</f>
        <v>1</v>
      </c>
      <c r="D723" s="11" t="n">
        <f aca="false">SUMIFS(Clean_Data!$M$2:$M$2086,Clean_Data!$B$2:$B$2086,A723)</f>
        <v>2280</v>
      </c>
      <c r="E723" s="11" t="n">
        <f aca="false">SUMIFS(Clean_Data!$N$2:$N$2086,Clean_Data!$B$2:$B$2086,A723)</f>
        <v>1080</v>
      </c>
      <c r="F723" s="2" t="str">
        <f aca="false">IF(C723&gt;1,"Repeat","One-time")</f>
        <v>One-time</v>
      </c>
      <c r="G723" s="13" t="n">
        <f aca="false">SUM($D$2:D723)/SUM($D$2:$D$800)</f>
        <v>0.994435820840382</v>
      </c>
    </row>
    <row r="724" customFormat="false" ht="15" hidden="false" customHeight="false" outlineLevel="0" collapsed="false">
      <c r="A724" s="2" t="s">
        <v>1039</v>
      </c>
      <c r="B724" s="2" t="str">
        <f aca="false">INDEX(Clean_Data!$F$2:$F$2086,MATCH(A724,Clean_Data!$B$2:$B$2086,0))</f>
        <v>Small Business</v>
      </c>
      <c r="C724" s="2" t="n">
        <f aca="false">COUNTIFS(Clean_Data!$B$2:$B$2086,A724)</f>
        <v>1</v>
      </c>
      <c r="D724" s="11" t="n">
        <f aca="false">SUMIFS(Clean_Data!$M$2:$M$2086,Clean_Data!$B$2:$B$2086,A724)</f>
        <v>2280</v>
      </c>
      <c r="E724" s="11" t="n">
        <f aca="false">SUMIFS(Clean_Data!$N$2:$N$2086,Clean_Data!$B$2:$B$2086,A724)</f>
        <v>1080</v>
      </c>
      <c r="F724" s="2" t="str">
        <f aca="false">IF(C724&gt;1,"Repeat","One-time")</f>
        <v>One-time</v>
      </c>
      <c r="G724" s="13" t="n">
        <f aca="false">SUM($D$2:D724)/SUM($D$2:$D$800)</f>
        <v>0.99454665234769</v>
      </c>
    </row>
    <row r="725" customFormat="false" ht="15" hidden="false" customHeight="false" outlineLevel="0" collapsed="false">
      <c r="A725" s="2" t="s">
        <v>1227</v>
      </c>
      <c r="B725" s="2" t="str">
        <f aca="false">INDEX(Clean_Data!$F$2:$F$2086,MATCH(A725,Clean_Data!$B$2:$B$2086,0))</f>
        <v>Small Business</v>
      </c>
      <c r="C725" s="2" t="n">
        <f aca="false">COUNTIFS(Clean_Data!$B$2:$B$2086,A725)</f>
        <v>1</v>
      </c>
      <c r="D725" s="11" t="n">
        <f aca="false">SUMIFS(Clean_Data!$M$2:$M$2086,Clean_Data!$B$2:$B$2086,A725)</f>
        <v>2280</v>
      </c>
      <c r="E725" s="11" t="n">
        <f aca="false">SUMIFS(Clean_Data!$N$2:$N$2086,Clean_Data!$B$2:$B$2086,A725)</f>
        <v>1080</v>
      </c>
      <c r="F725" s="2" t="str">
        <f aca="false">IF(C725&gt;1,"Repeat","One-time")</f>
        <v>One-time</v>
      </c>
      <c r="G725" s="13" t="n">
        <f aca="false">SUM($D$2:D725)/SUM($D$2:$D$800)</f>
        <v>0.994657483854997</v>
      </c>
    </row>
    <row r="726" customFormat="false" ht="15" hidden="false" customHeight="false" outlineLevel="0" collapsed="false">
      <c r="A726" s="2" t="s">
        <v>535</v>
      </c>
      <c r="B726" s="2" t="str">
        <f aca="false">INDEX(Clean_Data!$F$2:$F$2086,MATCH(A726,Clean_Data!$B$2:$B$2086,0))</f>
        <v>Consumer</v>
      </c>
      <c r="C726" s="2" t="n">
        <f aca="false">COUNTIFS(Clean_Data!$B$2:$B$2086,A726)</f>
        <v>2</v>
      </c>
      <c r="D726" s="11" t="n">
        <f aca="false">SUMIFS(Clean_Data!$M$2:$M$2086,Clean_Data!$B$2:$B$2086,A726)</f>
        <v>2250</v>
      </c>
      <c r="E726" s="11" t="n">
        <f aca="false">SUMIFS(Clean_Data!$N$2:$N$2086,Clean_Data!$B$2:$B$2086,A726)</f>
        <v>1150</v>
      </c>
      <c r="F726" s="2" t="str">
        <f aca="false">IF(C726&gt;1,"Repeat","One-time")</f>
        <v>Repeat</v>
      </c>
      <c r="G726" s="13" t="n">
        <f aca="false">SUM($D$2:D726)/SUM($D$2:$D$800)</f>
        <v>0.994766857052998</v>
      </c>
    </row>
    <row r="727" customFormat="false" ht="15" hidden="false" customHeight="false" outlineLevel="0" collapsed="false">
      <c r="A727" s="2" t="s">
        <v>582</v>
      </c>
      <c r="B727" s="2" t="str">
        <f aca="false">INDEX(Clean_Data!$F$2:$F$2086,MATCH(A727,Clean_Data!$B$2:$B$2086,0))</f>
        <v>Consumer</v>
      </c>
      <c r="C727" s="2" t="n">
        <f aca="false">COUNTIFS(Clean_Data!$B$2:$B$2086,A727)</f>
        <v>1</v>
      </c>
      <c r="D727" s="11" t="n">
        <f aca="false">SUMIFS(Clean_Data!$M$2:$M$2086,Clean_Data!$B$2:$B$2086,A727)</f>
        <v>2250</v>
      </c>
      <c r="E727" s="11" t="n">
        <f aca="false">SUMIFS(Clean_Data!$N$2:$N$2086,Clean_Data!$B$2:$B$2086,A727)</f>
        <v>650</v>
      </c>
      <c r="F727" s="2" t="str">
        <f aca="false">IF(C727&gt;1,"Repeat","One-time")</f>
        <v>One-time</v>
      </c>
      <c r="G727" s="13" t="n">
        <f aca="false">SUM($D$2:D727)/SUM($D$2:$D$800)</f>
        <v>0.994876230250998</v>
      </c>
    </row>
    <row r="728" customFormat="false" ht="15" hidden="false" customHeight="false" outlineLevel="0" collapsed="false">
      <c r="A728" s="2" t="s">
        <v>2728</v>
      </c>
      <c r="B728" s="2" t="str">
        <f aca="false">INDEX(Clean_Data!$F$2:$F$2086,MATCH(A728,Clean_Data!$B$2:$B$2086,0))</f>
        <v>Small Business</v>
      </c>
      <c r="C728" s="2" t="n">
        <f aca="false">COUNTIFS(Clean_Data!$B$2:$B$2086,A728)</f>
        <v>1</v>
      </c>
      <c r="D728" s="11" t="n">
        <f aca="false">SUMIFS(Clean_Data!$M$2:$M$2086,Clean_Data!$B$2:$B$2086,A728)</f>
        <v>2160</v>
      </c>
      <c r="E728" s="11" t="n">
        <f aca="false">SUMIFS(Clean_Data!$N$2:$N$2086,Clean_Data!$B$2:$B$2086,A728)</f>
        <v>960</v>
      </c>
      <c r="F728" s="2" t="str">
        <f aca="false">IF(C728&gt;1,"Repeat","One-time")</f>
        <v>One-time</v>
      </c>
      <c r="G728" s="13" t="n">
        <f aca="false">SUM($D$2:D728)/SUM($D$2:$D$800)</f>
        <v>0.994981228521079</v>
      </c>
    </row>
    <row r="729" customFormat="false" ht="15" hidden="false" customHeight="false" outlineLevel="0" collapsed="false">
      <c r="A729" s="2" t="s">
        <v>1241</v>
      </c>
      <c r="B729" s="2" t="str">
        <f aca="false">INDEX(Clean_Data!$F$2:$F$2086,MATCH(A729,Clean_Data!$B$2:$B$2086,0))</f>
        <v>Consumer</v>
      </c>
      <c r="C729" s="2" t="n">
        <f aca="false">COUNTIFS(Clean_Data!$B$2:$B$2086,A729)</f>
        <v>1</v>
      </c>
      <c r="D729" s="11" t="n">
        <f aca="false">SUMIFS(Clean_Data!$M$2:$M$2086,Clean_Data!$B$2:$B$2086,A729)</f>
        <v>2160</v>
      </c>
      <c r="E729" s="11" t="n">
        <f aca="false">SUMIFS(Clean_Data!$N$2:$N$2086,Clean_Data!$B$2:$B$2086,A729)</f>
        <v>960</v>
      </c>
      <c r="F729" s="2" t="str">
        <f aca="false">IF(C729&gt;1,"Repeat","One-time")</f>
        <v>One-time</v>
      </c>
      <c r="G729" s="13" t="n">
        <f aca="false">SUM($D$2:D729)/SUM($D$2:$D$800)</f>
        <v>0.995086226791159</v>
      </c>
    </row>
    <row r="730" customFormat="false" ht="15" hidden="false" customHeight="false" outlineLevel="0" collapsed="false">
      <c r="A730" s="2" t="s">
        <v>2658</v>
      </c>
      <c r="B730" s="2" t="str">
        <f aca="false">INDEX(Clean_Data!$F$2:$F$2086,MATCH(A730,Clean_Data!$B$2:$B$2086,0))</f>
        <v>Consumer</v>
      </c>
      <c r="C730" s="2" t="n">
        <f aca="false">COUNTIFS(Clean_Data!$B$2:$B$2086,A730)</f>
        <v>1</v>
      </c>
      <c r="D730" s="11" t="n">
        <f aca="false">SUMIFS(Clean_Data!$M$2:$M$2086,Clean_Data!$B$2:$B$2086,A730)</f>
        <v>2160</v>
      </c>
      <c r="E730" s="11" t="n">
        <f aca="false">SUMIFS(Clean_Data!$N$2:$N$2086,Clean_Data!$B$2:$B$2086,A730)</f>
        <v>960</v>
      </c>
      <c r="F730" s="2" t="str">
        <f aca="false">IF(C730&gt;1,"Repeat","One-time")</f>
        <v>One-time</v>
      </c>
      <c r="G730" s="13" t="n">
        <f aca="false">SUM($D$2:D730)/SUM($D$2:$D$800)</f>
        <v>0.99519122506124</v>
      </c>
    </row>
    <row r="731" customFormat="false" ht="15" hidden="false" customHeight="false" outlineLevel="0" collapsed="false">
      <c r="A731" s="2" t="s">
        <v>1918</v>
      </c>
      <c r="B731" s="2" t="str">
        <f aca="false">INDEX(Clean_Data!$F$2:$F$2086,MATCH(A731,Clean_Data!$B$2:$B$2086,0))</f>
        <v>Small Business</v>
      </c>
      <c r="C731" s="2" t="n">
        <f aca="false">COUNTIFS(Clean_Data!$B$2:$B$2086,A731)</f>
        <v>1</v>
      </c>
      <c r="D731" s="11" t="n">
        <f aca="false">SUMIFS(Clean_Data!$M$2:$M$2086,Clean_Data!$B$2:$B$2086,A731)</f>
        <v>2137.5</v>
      </c>
      <c r="E731" s="11" t="n">
        <f aca="false">SUMIFS(Clean_Data!$N$2:$N$2086,Clean_Data!$B$2:$B$2086,A731)</f>
        <v>1237.5</v>
      </c>
      <c r="F731" s="2" t="str">
        <f aca="false">IF(C731&gt;1,"Repeat","One-time")</f>
        <v>One-time</v>
      </c>
      <c r="G731" s="13" t="n">
        <f aca="false">SUM($D$2:D731)/SUM($D$2:$D$800)</f>
        <v>0.99529512959934</v>
      </c>
    </row>
    <row r="732" customFormat="false" ht="15" hidden="false" customHeight="false" outlineLevel="0" collapsed="false">
      <c r="A732" s="2" t="s">
        <v>629</v>
      </c>
      <c r="B732" s="2" t="str">
        <f aca="false">INDEX(Clean_Data!$F$2:$F$2086,MATCH(A732,Clean_Data!$B$2:$B$2086,0))</f>
        <v>Consumer</v>
      </c>
      <c r="C732" s="2" t="n">
        <f aca="false">COUNTIFS(Clean_Data!$B$2:$B$2086,A732)</f>
        <v>1</v>
      </c>
      <c r="D732" s="11" t="n">
        <f aca="false">SUMIFS(Clean_Data!$M$2:$M$2086,Clean_Data!$B$2:$B$2086,A732)</f>
        <v>2125</v>
      </c>
      <c r="E732" s="11" t="n">
        <f aca="false">SUMIFS(Clean_Data!$N$2:$N$2086,Clean_Data!$B$2:$B$2086,A732)</f>
        <v>525</v>
      </c>
      <c r="F732" s="2" t="str">
        <f aca="false">IF(C732&gt;1,"Repeat","One-time")</f>
        <v>One-time</v>
      </c>
      <c r="G732" s="13" t="n">
        <f aca="false">SUM($D$2:D732)/SUM($D$2:$D$800)</f>
        <v>0.995398426508563</v>
      </c>
    </row>
    <row r="733" customFormat="false" ht="15" hidden="false" customHeight="false" outlineLevel="0" collapsed="false">
      <c r="A733" s="2" t="s">
        <v>787</v>
      </c>
      <c r="B733" s="2" t="str">
        <f aca="false">INDEX(Clean_Data!$F$2:$F$2086,MATCH(A733,Clean_Data!$B$2:$B$2086,0))</f>
        <v>Small Business</v>
      </c>
      <c r="C733" s="2" t="n">
        <f aca="false">COUNTIFS(Clean_Data!$B$2:$B$2086,A733)</f>
        <v>1</v>
      </c>
      <c r="D733" s="11" t="n">
        <f aca="false">SUMIFS(Clean_Data!$M$2:$M$2086,Clean_Data!$B$2:$B$2086,A733)</f>
        <v>2125</v>
      </c>
      <c r="E733" s="11" t="n">
        <f aca="false">SUMIFS(Clean_Data!$N$2:$N$2086,Clean_Data!$B$2:$B$2086,A733)</f>
        <v>525</v>
      </c>
      <c r="F733" s="2" t="str">
        <f aca="false">IF(C733&gt;1,"Repeat","One-time")</f>
        <v>One-time</v>
      </c>
      <c r="G733" s="13" t="n">
        <f aca="false">SUM($D$2:D733)/SUM($D$2:$D$800)</f>
        <v>0.995501723417786</v>
      </c>
    </row>
    <row r="734" customFormat="false" ht="15" hidden="false" customHeight="false" outlineLevel="0" collapsed="false">
      <c r="A734" s="2" t="s">
        <v>1823</v>
      </c>
      <c r="B734" s="2" t="str">
        <f aca="false">INDEX(Clean_Data!$F$2:$F$2086,MATCH(A734,Clean_Data!$B$2:$B$2086,0))</f>
        <v>Consumer</v>
      </c>
      <c r="C734" s="2" t="n">
        <f aca="false">COUNTIFS(Clean_Data!$B$2:$B$2086,A734)</f>
        <v>2</v>
      </c>
      <c r="D734" s="11" t="n">
        <f aca="false">SUMIFS(Clean_Data!$M$2:$M$2086,Clean_Data!$B$2:$B$2086,A734)</f>
        <v>2100</v>
      </c>
      <c r="E734" s="11" t="n">
        <f aca="false">SUMIFS(Clean_Data!$N$2:$N$2086,Clean_Data!$B$2:$B$2086,A734)</f>
        <v>1100</v>
      </c>
      <c r="F734" s="2" t="str">
        <f aca="false">IF(C734&gt;1,"Repeat","One-time")</f>
        <v>Repeat</v>
      </c>
      <c r="G734" s="13" t="n">
        <f aca="false">SUM($D$2:D734)/SUM($D$2:$D$800)</f>
        <v>0.995603805069253</v>
      </c>
    </row>
    <row r="735" customFormat="false" ht="15" hidden="false" customHeight="false" outlineLevel="0" collapsed="false">
      <c r="A735" s="2" t="s">
        <v>2665</v>
      </c>
      <c r="B735" s="2" t="str">
        <f aca="false">INDEX(Clean_Data!$F$2:$F$2086,MATCH(A735,Clean_Data!$B$2:$B$2086,0))</f>
        <v>Consumer</v>
      </c>
      <c r="C735" s="2" t="n">
        <f aca="false">COUNTIFS(Clean_Data!$B$2:$B$2086,A735)</f>
        <v>1</v>
      </c>
      <c r="D735" s="11" t="n">
        <f aca="false">SUMIFS(Clean_Data!$M$2:$M$2086,Clean_Data!$B$2:$B$2086,A735)</f>
        <v>2040</v>
      </c>
      <c r="E735" s="11" t="n">
        <f aca="false">SUMIFS(Clean_Data!$N$2:$N$2086,Clean_Data!$B$2:$B$2086,A735)</f>
        <v>840</v>
      </c>
      <c r="F735" s="2" t="str">
        <f aca="false">IF(C735&gt;1,"Repeat","One-time")</f>
        <v>One-time</v>
      </c>
      <c r="G735" s="13" t="n">
        <f aca="false">SUM($D$2:D735)/SUM($D$2:$D$800)</f>
        <v>0.995702970102107</v>
      </c>
    </row>
    <row r="736" customFormat="false" ht="15" hidden="false" customHeight="false" outlineLevel="0" collapsed="false">
      <c r="A736" s="2" t="s">
        <v>76</v>
      </c>
      <c r="B736" s="2" t="str">
        <f aca="false">INDEX(Clean_Data!$F$2:$F$2086,MATCH(A736,Clean_Data!$B$2:$B$2086,0))</f>
        <v>Consumer</v>
      </c>
      <c r="C736" s="2" t="n">
        <f aca="false">COUNTIFS(Clean_Data!$B$2:$B$2086,A736)</f>
        <v>1</v>
      </c>
      <c r="D736" s="11" t="n">
        <f aca="false">SUMIFS(Clean_Data!$M$2:$M$2086,Clean_Data!$B$2:$B$2086,A736)</f>
        <v>2040</v>
      </c>
      <c r="E736" s="11" t="n">
        <f aca="false">SUMIFS(Clean_Data!$N$2:$N$2086,Clean_Data!$B$2:$B$2086,A736)</f>
        <v>840</v>
      </c>
      <c r="F736" s="2" t="str">
        <f aca="false">IF(C736&gt;1,"Repeat","One-time")</f>
        <v>One-time</v>
      </c>
      <c r="G736" s="13" t="n">
        <f aca="false">SUM($D$2:D736)/SUM($D$2:$D$800)</f>
        <v>0.995802135134961</v>
      </c>
    </row>
    <row r="737" customFormat="false" ht="15" hidden="false" customHeight="false" outlineLevel="0" collapsed="false">
      <c r="A737" s="2" t="s">
        <v>1776</v>
      </c>
      <c r="B737" s="2" t="str">
        <f aca="false">INDEX(Clean_Data!$F$2:$F$2086,MATCH(A737,Clean_Data!$B$2:$B$2086,0))</f>
        <v>Consumer</v>
      </c>
      <c r="C737" s="2" t="n">
        <f aca="false">COUNTIFS(Clean_Data!$B$2:$B$2086,A737)</f>
        <v>2</v>
      </c>
      <c r="D737" s="11" t="n">
        <f aca="false">SUMIFS(Clean_Data!$M$2:$M$2086,Clean_Data!$B$2:$B$2086,A737)</f>
        <v>2020</v>
      </c>
      <c r="E737" s="11" t="n">
        <f aca="false">SUMIFS(Clean_Data!$N$2:$N$2086,Clean_Data!$B$2:$B$2086,A737)</f>
        <v>920</v>
      </c>
      <c r="F737" s="2" t="str">
        <f aca="false">IF(C737&gt;1,"Repeat","One-time")</f>
        <v>Repeat</v>
      </c>
      <c r="G737" s="13" t="n">
        <f aca="false">SUM($D$2:D737)/SUM($D$2:$D$800)</f>
        <v>0.995900327961611</v>
      </c>
    </row>
    <row r="738" customFormat="false" ht="15" hidden="false" customHeight="false" outlineLevel="0" collapsed="false">
      <c r="A738" s="2" t="s">
        <v>995</v>
      </c>
      <c r="B738" s="2" t="str">
        <f aca="false">INDEX(Clean_Data!$F$2:$F$2086,MATCH(A738,Clean_Data!$B$2:$B$2086,0))</f>
        <v>Consumer</v>
      </c>
      <c r="C738" s="2" t="n">
        <f aca="false">COUNTIFS(Clean_Data!$B$2:$B$2086,A738)</f>
        <v>2</v>
      </c>
      <c r="D738" s="11" t="n">
        <f aca="false">SUMIFS(Clean_Data!$M$2:$M$2086,Clean_Data!$B$2:$B$2086,A738)</f>
        <v>2000</v>
      </c>
      <c r="E738" s="11" t="n">
        <f aca="false">SUMIFS(Clean_Data!$N$2:$N$2086,Clean_Data!$B$2:$B$2086,A738)</f>
        <v>1050</v>
      </c>
      <c r="F738" s="2" t="str">
        <f aca="false">IF(C738&gt;1,"Repeat","One-time")</f>
        <v>Repeat</v>
      </c>
      <c r="G738" s="13" t="n">
        <f aca="false">SUM($D$2:D738)/SUM($D$2:$D$800)</f>
        <v>0.995997548582056</v>
      </c>
    </row>
    <row r="739" customFormat="false" ht="15" hidden="false" customHeight="false" outlineLevel="0" collapsed="false">
      <c r="A739" s="2" t="s">
        <v>654</v>
      </c>
      <c r="B739" s="2" t="str">
        <f aca="false">INDEX(Clean_Data!$F$2:$F$2086,MATCH(A739,Clean_Data!$B$2:$B$2086,0))</f>
        <v>Consumer</v>
      </c>
      <c r="C739" s="2" t="n">
        <f aca="false">COUNTIFS(Clean_Data!$B$2:$B$2086,A739)</f>
        <v>1</v>
      </c>
      <c r="D739" s="11" t="n">
        <f aca="false">SUMIFS(Clean_Data!$M$2:$M$2086,Clean_Data!$B$2:$B$2086,A739)</f>
        <v>2000</v>
      </c>
      <c r="E739" s="11" t="n">
        <f aca="false">SUMIFS(Clean_Data!$N$2:$N$2086,Clean_Data!$B$2:$B$2086,A739)</f>
        <v>1200</v>
      </c>
      <c r="F739" s="2" t="str">
        <f aca="false">IF(C739&gt;1,"Repeat","One-time")</f>
        <v>One-time</v>
      </c>
      <c r="G739" s="13" t="n">
        <f aca="false">SUM($D$2:D739)/SUM($D$2:$D$800)</f>
        <v>0.996094769202501</v>
      </c>
    </row>
    <row r="740" customFormat="false" ht="15" hidden="false" customHeight="false" outlineLevel="0" collapsed="false">
      <c r="A740" s="2" t="s">
        <v>151</v>
      </c>
      <c r="B740" s="2" t="str">
        <f aca="false">INDEX(Clean_Data!$F$2:$F$2086,MATCH(A740,Clean_Data!$B$2:$B$2086,0))</f>
        <v>Consumer</v>
      </c>
      <c r="C740" s="2" t="n">
        <f aca="false">COUNTIFS(Clean_Data!$B$2:$B$2086,A740)</f>
        <v>1</v>
      </c>
      <c r="D740" s="11" t="n">
        <f aca="false">SUMIFS(Clean_Data!$M$2:$M$2086,Clean_Data!$B$2:$B$2086,A740)</f>
        <v>2000</v>
      </c>
      <c r="E740" s="11" t="n">
        <f aca="false">SUMIFS(Clean_Data!$N$2:$N$2086,Clean_Data!$B$2:$B$2086,A740)</f>
        <v>1000</v>
      </c>
      <c r="F740" s="2" t="str">
        <f aca="false">IF(C740&gt;1,"Repeat","One-time")</f>
        <v>One-time</v>
      </c>
      <c r="G740" s="13" t="n">
        <f aca="false">SUM($D$2:D740)/SUM($D$2:$D$800)</f>
        <v>0.996191989822945</v>
      </c>
    </row>
    <row r="741" customFormat="false" ht="15" hidden="false" customHeight="false" outlineLevel="0" collapsed="false">
      <c r="A741" s="2" t="s">
        <v>889</v>
      </c>
      <c r="B741" s="2" t="str">
        <f aca="false">INDEX(Clean_Data!$F$2:$F$2086,MATCH(A741,Clean_Data!$B$2:$B$2086,0))</f>
        <v>Consumer</v>
      </c>
      <c r="C741" s="2" t="n">
        <f aca="false">COUNTIFS(Clean_Data!$B$2:$B$2086,A741)</f>
        <v>1</v>
      </c>
      <c r="D741" s="11" t="n">
        <f aca="false">SUMIFS(Clean_Data!$M$2:$M$2086,Clean_Data!$B$2:$B$2086,A741)</f>
        <v>2000</v>
      </c>
      <c r="E741" s="11" t="n">
        <f aca="false">SUMIFS(Clean_Data!$N$2:$N$2086,Clean_Data!$B$2:$B$2086,A741)</f>
        <v>1000</v>
      </c>
      <c r="F741" s="2" t="str">
        <f aca="false">IF(C741&gt;1,"Repeat","One-time")</f>
        <v>One-time</v>
      </c>
      <c r="G741" s="13" t="n">
        <f aca="false">SUM($D$2:D741)/SUM($D$2:$D$800)</f>
        <v>0.996289210443391</v>
      </c>
    </row>
    <row r="742" customFormat="false" ht="15" hidden="false" customHeight="false" outlineLevel="0" collapsed="false">
      <c r="A742" s="2" t="s">
        <v>1174</v>
      </c>
      <c r="B742" s="2" t="str">
        <f aca="false">INDEX(Clean_Data!$F$2:$F$2086,MATCH(A742,Clean_Data!$B$2:$B$2086,0))</f>
        <v>Consumer</v>
      </c>
      <c r="C742" s="2" t="n">
        <f aca="false">COUNTIFS(Clean_Data!$B$2:$B$2086,A742)</f>
        <v>1</v>
      </c>
      <c r="D742" s="11" t="n">
        <f aca="false">SUMIFS(Clean_Data!$M$2:$M$2086,Clean_Data!$B$2:$B$2086,A742)</f>
        <v>2000</v>
      </c>
      <c r="E742" s="11" t="n">
        <f aca="false">SUMIFS(Clean_Data!$N$2:$N$2086,Clean_Data!$B$2:$B$2086,A742)</f>
        <v>1000</v>
      </c>
      <c r="F742" s="2" t="str">
        <f aca="false">IF(C742&gt;1,"Repeat","One-time")</f>
        <v>One-time</v>
      </c>
      <c r="G742" s="13" t="n">
        <f aca="false">SUM($D$2:D742)/SUM($D$2:$D$800)</f>
        <v>0.996386431063835</v>
      </c>
    </row>
    <row r="743" customFormat="false" ht="15" hidden="false" customHeight="false" outlineLevel="0" collapsed="false">
      <c r="A743" s="2" t="s">
        <v>1835</v>
      </c>
      <c r="B743" s="2" t="str">
        <f aca="false">INDEX(Clean_Data!$F$2:$F$2086,MATCH(A743,Clean_Data!$B$2:$B$2086,0))</f>
        <v>Consumer</v>
      </c>
      <c r="C743" s="2" t="n">
        <f aca="false">COUNTIFS(Clean_Data!$B$2:$B$2086,A743)</f>
        <v>1</v>
      </c>
      <c r="D743" s="11" t="n">
        <f aca="false">SUMIFS(Clean_Data!$M$2:$M$2086,Clean_Data!$B$2:$B$2086,A743)</f>
        <v>1900</v>
      </c>
      <c r="E743" s="11" t="n">
        <f aca="false">SUMIFS(Clean_Data!$N$2:$N$2086,Clean_Data!$B$2:$B$2086,A743)</f>
        <v>900</v>
      </c>
      <c r="F743" s="2" t="str">
        <f aca="false">IF(C743&gt;1,"Repeat","One-time")</f>
        <v>One-time</v>
      </c>
      <c r="G743" s="13" t="n">
        <f aca="false">SUM($D$2:D743)/SUM($D$2:$D$800)</f>
        <v>0.996478790653258</v>
      </c>
    </row>
    <row r="744" customFormat="false" ht="15" hidden="false" customHeight="false" outlineLevel="0" collapsed="false">
      <c r="A744" s="2" t="s">
        <v>279</v>
      </c>
      <c r="B744" s="2" t="str">
        <f aca="false">INDEX(Clean_Data!$F$2:$F$2086,MATCH(A744,Clean_Data!$B$2:$B$2086,0))</f>
        <v>Consumer</v>
      </c>
      <c r="C744" s="2" t="n">
        <f aca="false">COUNTIFS(Clean_Data!$B$2:$B$2086,A744)</f>
        <v>1</v>
      </c>
      <c r="D744" s="11" t="n">
        <f aca="false">SUMIFS(Clean_Data!$M$2:$M$2086,Clean_Data!$B$2:$B$2086,A744)</f>
        <v>1900</v>
      </c>
      <c r="E744" s="11" t="n">
        <f aca="false">SUMIFS(Clean_Data!$N$2:$N$2086,Clean_Data!$B$2:$B$2086,A744)</f>
        <v>900</v>
      </c>
      <c r="F744" s="2" t="str">
        <f aca="false">IF(C744&gt;1,"Repeat","One-time")</f>
        <v>One-time</v>
      </c>
      <c r="G744" s="13" t="n">
        <f aca="false">SUM($D$2:D744)/SUM($D$2:$D$800)</f>
        <v>0.996571150242681</v>
      </c>
    </row>
    <row r="745" customFormat="false" ht="15" hidden="false" customHeight="false" outlineLevel="0" collapsed="false">
      <c r="A745" s="2" t="s">
        <v>1680</v>
      </c>
      <c r="B745" s="2" t="str">
        <f aca="false">INDEX(Clean_Data!$F$2:$F$2086,MATCH(A745,Clean_Data!$B$2:$B$2086,0))</f>
        <v>Consumer</v>
      </c>
      <c r="C745" s="2" t="n">
        <f aca="false">COUNTIFS(Clean_Data!$B$2:$B$2086,A745)</f>
        <v>1</v>
      </c>
      <c r="D745" s="11" t="n">
        <f aca="false">SUMIFS(Clean_Data!$M$2:$M$2086,Clean_Data!$B$2:$B$2086,A745)</f>
        <v>1900</v>
      </c>
      <c r="E745" s="11" t="n">
        <f aca="false">SUMIFS(Clean_Data!$N$2:$N$2086,Clean_Data!$B$2:$B$2086,A745)</f>
        <v>900</v>
      </c>
      <c r="F745" s="2" t="str">
        <f aca="false">IF(C745&gt;1,"Repeat","One-time")</f>
        <v>One-time</v>
      </c>
      <c r="G745" s="13" t="n">
        <f aca="false">SUM($D$2:D745)/SUM($D$2:$D$800)</f>
        <v>0.996663509832104</v>
      </c>
    </row>
    <row r="746" customFormat="false" ht="15" hidden="false" customHeight="false" outlineLevel="0" collapsed="false">
      <c r="A746" s="2" t="s">
        <v>1237</v>
      </c>
      <c r="B746" s="2" t="str">
        <f aca="false">INDEX(Clean_Data!$F$2:$F$2086,MATCH(A746,Clean_Data!$B$2:$B$2086,0))</f>
        <v>Consumer</v>
      </c>
      <c r="C746" s="2" t="n">
        <f aca="false">COUNTIFS(Clean_Data!$B$2:$B$2086,A746)</f>
        <v>1</v>
      </c>
      <c r="D746" s="11" t="n">
        <f aca="false">SUMIFS(Clean_Data!$M$2:$M$2086,Clean_Data!$B$2:$B$2086,A746)</f>
        <v>1800</v>
      </c>
      <c r="E746" s="11" t="n">
        <f aca="false">SUMIFS(Clean_Data!$N$2:$N$2086,Clean_Data!$B$2:$B$2086,A746)</f>
        <v>800</v>
      </c>
      <c r="F746" s="2" t="str">
        <f aca="false">IF(C746&gt;1,"Repeat","One-time")</f>
        <v>One-time</v>
      </c>
      <c r="G746" s="13" t="n">
        <f aca="false">SUM($D$2:D746)/SUM($D$2:$D$800)</f>
        <v>0.996751008390504</v>
      </c>
    </row>
    <row r="747" customFormat="false" ht="15" hidden="false" customHeight="false" outlineLevel="0" collapsed="false">
      <c r="A747" s="2" t="s">
        <v>837</v>
      </c>
      <c r="B747" s="2" t="str">
        <f aca="false">INDEX(Clean_Data!$F$2:$F$2086,MATCH(A747,Clean_Data!$B$2:$B$2086,0))</f>
        <v>Consumer</v>
      </c>
      <c r="C747" s="2" t="n">
        <f aca="false">COUNTIFS(Clean_Data!$B$2:$B$2086,A747)</f>
        <v>1</v>
      </c>
      <c r="D747" s="11" t="n">
        <f aca="false">SUMIFS(Clean_Data!$M$2:$M$2086,Clean_Data!$B$2:$B$2086,A747)</f>
        <v>1800</v>
      </c>
      <c r="E747" s="11" t="n">
        <f aca="false">SUMIFS(Clean_Data!$N$2:$N$2086,Clean_Data!$B$2:$B$2086,A747)</f>
        <v>900</v>
      </c>
      <c r="F747" s="2" t="str">
        <f aca="false">IF(C747&gt;1,"Repeat","One-time")</f>
        <v>One-time</v>
      </c>
      <c r="G747" s="13" t="n">
        <f aca="false">SUM($D$2:D747)/SUM($D$2:$D$800)</f>
        <v>0.996838506948905</v>
      </c>
    </row>
    <row r="748" customFormat="false" ht="15" hidden="false" customHeight="false" outlineLevel="0" collapsed="false">
      <c r="A748" s="2" t="s">
        <v>1269</v>
      </c>
      <c r="B748" s="2" t="str">
        <f aca="false">INDEX(Clean_Data!$F$2:$F$2086,MATCH(A748,Clean_Data!$B$2:$B$2086,0))</f>
        <v>Consumer</v>
      </c>
      <c r="C748" s="2" t="n">
        <f aca="false">COUNTIFS(Clean_Data!$B$2:$B$2086,A748)</f>
        <v>1</v>
      </c>
      <c r="D748" s="11" t="n">
        <f aca="false">SUMIFS(Clean_Data!$M$2:$M$2086,Clean_Data!$B$2:$B$2086,A748)</f>
        <v>1800</v>
      </c>
      <c r="E748" s="11" t="n">
        <f aca="false">SUMIFS(Clean_Data!$N$2:$N$2086,Clean_Data!$B$2:$B$2086,A748)</f>
        <v>1000</v>
      </c>
      <c r="F748" s="2" t="str">
        <f aca="false">IF(C748&gt;1,"Repeat","One-time")</f>
        <v>One-time</v>
      </c>
      <c r="G748" s="13" t="n">
        <f aca="false">SUM($D$2:D748)/SUM($D$2:$D$800)</f>
        <v>0.996926005507305</v>
      </c>
    </row>
    <row r="749" customFormat="false" ht="15" hidden="false" customHeight="false" outlineLevel="0" collapsed="false">
      <c r="A749" s="2" t="s">
        <v>1295</v>
      </c>
      <c r="B749" s="2" t="str">
        <f aca="false">INDEX(Clean_Data!$F$2:$F$2086,MATCH(A749,Clean_Data!$B$2:$B$2086,0))</f>
        <v>Consumer</v>
      </c>
      <c r="C749" s="2" t="n">
        <f aca="false">COUNTIFS(Clean_Data!$B$2:$B$2086,A749)</f>
        <v>1</v>
      </c>
      <c r="D749" s="11" t="n">
        <f aca="false">SUMIFS(Clean_Data!$M$2:$M$2086,Clean_Data!$B$2:$B$2086,A749)</f>
        <v>1800</v>
      </c>
      <c r="E749" s="11" t="n">
        <f aca="false">SUMIFS(Clean_Data!$N$2:$N$2086,Clean_Data!$B$2:$B$2086,A749)</f>
        <v>800</v>
      </c>
      <c r="F749" s="2" t="str">
        <f aca="false">IF(C749&gt;1,"Repeat","One-time")</f>
        <v>One-time</v>
      </c>
      <c r="G749" s="13" t="n">
        <f aca="false">SUM($D$2:D749)/SUM($D$2:$D$800)</f>
        <v>0.997013504065706</v>
      </c>
    </row>
    <row r="750" customFormat="false" ht="15" hidden="false" customHeight="false" outlineLevel="0" collapsed="false">
      <c r="A750" s="2" t="s">
        <v>62</v>
      </c>
      <c r="B750" s="2" t="str">
        <f aca="false">INDEX(Clean_Data!$F$2:$F$2086,MATCH(A750,Clean_Data!$B$2:$B$2086,0))</f>
        <v>Consumer</v>
      </c>
      <c r="C750" s="2" t="n">
        <f aca="false">COUNTIFS(Clean_Data!$B$2:$B$2086,A750)</f>
        <v>1</v>
      </c>
      <c r="D750" s="11" t="n">
        <f aca="false">SUMIFS(Clean_Data!$M$2:$M$2086,Clean_Data!$B$2:$B$2086,A750)</f>
        <v>1800</v>
      </c>
      <c r="E750" s="11" t="n">
        <f aca="false">SUMIFS(Clean_Data!$N$2:$N$2086,Clean_Data!$B$2:$B$2086,A750)</f>
        <v>900</v>
      </c>
      <c r="F750" s="2" t="str">
        <f aca="false">IF(C750&gt;1,"Repeat","One-time")</f>
        <v>One-time</v>
      </c>
      <c r="G750" s="13" t="n">
        <f aca="false">SUM($D$2:D750)/SUM($D$2:$D$800)</f>
        <v>0.997101002624106</v>
      </c>
    </row>
    <row r="751" customFormat="false" ht="15" hidden="false" customHeight="false" outlineLevel="0" collapsed="false">
      <c r="A751" s="2" t="s">
        <v>891</v>
      </c>
      <c r="B751" s="2" t="str">
        <f aca="false">INDEX(Clean_Data!$F$2:$F$2086,MATCH(A751,Clean_Data!$B$2:$B$2086,0))</f>
        <v>Consumer</v>
      </c>
      <c r="C751" s="2" t="n">
        <f aca="false">COUNTIFS(Clean_Data!$B$2:$B$2086,A751)</f>
        <v>1</v>
      </c>
      <c r="D751" s="11" t="n">
        <f aca="false">SUMIFS(Clean_Data!$M$2:$M$2086,Clean_Data!$B$2:$B$2086,A751)</f>
        <v>1750</v>
      </c>
      <c r="E751" s="11" t="n">
        <f aca="false">SUMIFS(Clean_Data!$N$2:$N$2086,Clean_Data!$B$2:$B$2086,A751)</f>
        <v>1050</v>
      </c>
      <c r="F751" s="2" t="str">
        <f aca="false">IF(C751&gt;1,"Repeat","One-time")</f>
        <v>One-time</v>
      </c>
      <c r="G751" s="13" t="n">
        <f aca="false">SUM($D$2:D751)/SUM($D$2:$D$800)</f>
        <v>0.997186070666995</v>
      </c>
    </row>
    <row r="752" customFormat="false" ht="15" hidden="false" customHeight="false" outlineLevel="0" collapsed="false">
      <c r="A752" s="2" t="s">
        <v>191</v>
      </c>
      <c r="B752" s="2" t="str">
        <f aca="false">INDEX(Clean_Data!$F$2:$F$2086,MATCH(A752,Clean_Data!$B$2:$B$2086,0))</f>
        <v>Small Business</v>
      </c>
      <c r="C752" s="2" t="n">
        <f aca="false">COUNTIFS(Clean_Data!$B$2:$B$2086,A752)</f>
        <v>1</v>
      </c>
      <c r="D752" s="11" t="n">
        <f aca="false">SUMIFS(Clean_Data!$M$2:$M$2086,Clean_Data!$B$2:$B$2086,A752)</f>
        <v>1750</v>
      </c>
      <c r="E752" s="11" t="n">
        <f aca="false">SUMIFS(Clean_Data!$N$2:$N$2086,Clean_Data!$B$2:$B$2086,A752)</f>
        <v>1050</v>
      </c>
      <c r="F752" s="2" t="str">
        <f aca="false">IF(C752&gt;1,"Repeat","One-time")</f>
        <v>One-time</v>
      </c>
      <c r="G752" s="13" t="n">
        <f aca="false">SUM($D$2:D752)/SUM($D$2:$D$800)</f>
        <v>0.997271138709885</v>
      </c>
    </row>
    <row r="753" customFormat="false" ht="15" hidden="false" customHeight="false" outlineLevel="0" collapsed="false">
      <c r="A753" s="2" t="s">
        <v>544</v>
      </c>
      <c r="B753" s="2" t="str">
        <f aca="false">INDEX(Clean_Data!$F$2:$F$2086,MATCH(A753,Clean_Data!$B$2:$B$2086,0))</f>
        <v>Consumer</v>
      </c>
      <c r="C753" s="2" t="n">
        <f aca="false">COUNTIFS(Clean_Data!$B$2:$B$2086,A753)</f>
        <v>1</v>
      </c>
      <c r="D753" s="11" t="n">
        <f aca="false">SUMIFS(Clean_Data!$M$2:$M$2086,Clean_Data!$B$2:$B$2086,A753)</f>
        <v>1710</v>
      </c>
      <c r="E753" s="11" t="n">
        <f aca="false">SUMIFS(Clean_Data!$N$2:$N$2086,Clean_Data!$B$2:$B$2086,A753)</f>
        <v>810</v>
      </c>
      <c r="F753" s="2" t="str">
        <f aca="false">IF(C753&gt;1,"Repeat","One-time")</f>
        <v>One-time</v>
      </c>
      <c r="G753" s="13" t="n">
        <f aca="false">SUM($D$2:D753)/SUM($D$2:$D$800)</f>
        <v>0.997354262340365</v>
      </c>
    </row>
    <row r="754" customFormat="false" ht="15" hidden="false" customHeight="false" outlineLevel="0" collapsed="false">
      <c r="A754" s="2" t="s">
        <v>293</v>
      </c>
      <c r="B754" s="2" t="str">
        <f aca="false">INDEX(Clean_Data!$F$2:$F$2086,MATCH(A754,Clean_Data!$B$2:$B$2086,0))</f>
        <v>Consumer</v>
      </c>
      <c r="C754" s="2" t="n">
        <f aca="false">COUNTIFS(Clean_Data!$B$2:$B$2086,A754)</f>
        <v>1</v>
      </c>
      <c r="D754" s="11" t="n">
        <f aca="false">SUMIFS(Clean_Data!$M$2:$M$2086,Clean_Data!$B$2:$B$2086,A754)</f>
        <v>1710</v>
      </c>
      <c r="E754" s="11" t="n">
        <f aca="false">SUMIFS(Clean_Data!$N$2:$N$2086,Clean_Data!$B$2:$B$2086,A754)</f>
        <v>810</v>
      </c>
      <c r="F754" s="2" t="str">
        <f aca="false">IF(C754&gt;1,"Repeat","One-time")</f>
        <v>One-time</v>
      </c>
      <c r="G754" s="13" t="n">
        <f aca="false">SUM($D$2:D754)/SUM($D$2:$D$800)</f>
        <v>0.997437385970846</v>
      </c>
    </row>
    <row r="755" customFormat="false" ht="15" hidden="false" customHeight="false" outlineLevel="0" collapsed="false">
      <c r="A755" s="2" t="s">
        <v>2621</v>
      </c>
      <c r="B755" s="2" t="str">
        <f aca="false">INDEX(Clean_Data!$F$2:$F$2086,MATCH(A755,Clean_Data!$B$2:$B$2086,0))</f>
        <v>Small Business</v>
      </c>
      <c r="C755" s="2" t="n">
        <f aca="false">COUNTIFS(Clean_Data!$B$2:$B$2086,A755)</f>
        <v>1</v>
      </c>
      <c r="D755" s="11" t="n">
        <f aca="false">SUMIFS(Clean_Data!$M$2:$M$2086,Clean_Data!$B$2:$B$2086,A755)</f>
        <v>1700</v>
      </c>
      <c r="E755" s="11" t="n">
        <f aca="false">SUMIFS(Clean_Data!$N$2:$N$2086,Clean_Data!$B$2:$B$2086,A755)</f>
        <v>700</v>
      </c>
      <c r="F755" s="2" t="str">
        <f aca="false">IF(C755&gt;1,"Repeat","One-time")</f>
        <v>One-time</v>
      </c>
      <c r="G755" s="13" t="n">
        <f aca="false">SUM($D$2:D755)/SUM($D$2:$D$800)</f>
        <v>0.997520023498224</v>
      </c>
    </row>
    <row r="756" customFormat="false" ht="15" hidden="false" customHeight="false" outlineLevel="0" collapsed="false">
      <c r="A756" s="2" t="s">
        <v>2676</v>
      </c>
      <c r="B756" s="2" t="str">
        <f aca="false">INDEX(Clean_Data!$F$2:$F$2086,MATCH(A756,Clean_Data!$B$2:$B$2086,0))</f>
        <v>Consumer</v>
      </c>
      <c r="C756" s="2" t="n">
        <f aca="false">COUNTIFS(Clean_Data!$B$2:$B$2086,A756)</f>
        <v>1</v>
      </c>
      <c r="D756" s="11" t="n">
        <f aca="false">SUMIFS(Clean_Data!$M$2:$M$2086,Clean_Data!$B$2:$B$2086,A756)</f>
        <v>1662.5</v>
      </c>
      <c r="E756" s="11" t="n">
        <f aca="false">SUMIFS(Clean_Data!$N$2:$N$2086,Clean_Data!$B$2:$B$2086,A756)</f>
        <v>962.5</v>
      </c>
      <c r="F756" s="2" t="str">
        <f aca="false">IF(C756&gt;1,"Repeat","One-time")</f>
        <v>One-time</v>
      </c>
      <c r="G756" s="13" t="n">
        <f aca="false">SUM($D$2:D756)/SUM($D$2:$D$800)</f>
        <v>0.997600838138969</v>
      </c>
    </row>
    <row r="757" customFormat="false" ht="15" hidden="false" customHeight="false" outlineLevel="0" collapsed="false">
      <c r="A757" s="2" t="s">
        <v>982</v>
      </c>
      <c r="B757" s="2" t="str">
        <f aca="false">INDEX(Clean_Data!$F$2:$F$2086,MATCH(A757,Clean_Data!$B$2:$B$2086,0))</f>
        <v>Consumer</v>
      </c>
      <c r="C757" s="2" t="n">
        <f aca="false">COUNTIFS(Clean_Data!$B$2:$B$2086,A757)</f>
        <v>1</v>
      </c>
      <c r="D757" s="11" t="n">
        <f aca="false">SUMIFS(Clean_Data!$M$2:$M$2086,Clean_Data!$B$2:$B$2086,A757)</f>
        <v>1620</v>
      </c>
      <c r="E757" s="11" t="n">
        <f aca="false">SUMIFS(Clean_Data!$N$2:$N$2086,Clean_Data!$B$2:$B$2086,A757)</f>
        <v>720</v>
      </c>
      <c r="F757" s="2" t="str">
        <f aca="false">IF(C757&gt;1,"Repeat","One-time")</f>
        <v>One-time</v>
      </c>
      <c r="G757" s="13" t="n">
        <f aca="false">SUM($D$2:D757)/SUM($D$2:$D$800)</f>
        <v>0.997679586841529</v>
      </c>
    </row>
    <row r="758" customFormat="false" ht="15" hidden="false" customHeight="false" outlineLevel="0" collapsed="false">
      <c r="A758" s="2" t="s">
        <v>1943</v>
      </c>
      <c r="B758" s="2" t="str">
        <f aca="false">INDEX(Clean_Data!$F$2:$F$2086,MATCH(A758,Clean_Data!$B$2:$B$2086,0))</f>
        <v>Consumer</v>
      </c>
      <c r="C758" s="2" t="n">
        <f aca="false">COUNTIFS(Clean_Data!$B$2:$B$2086,A758)</f>
        <v>1</v>
      </c>
      <c r="D758" s="11" t="n">
        <f aca="false">SUMIFS(Clean_Data!$M$2:$M$2086,Clean_Data!$B$2:$B$2086,A758)</f>
        <v>1600</v>
      </c>
      <c r="E758" s="11" t="n">
        <f aca="false">SUMIFS(Clean_Data!$N$2:$N$2086,Clean_Data!$B$2:$B$2086,A758)</f>
        <v>800</v>
      </c>
      <c r="F758" s="2" t="str">
        <f aca="false">IF(C758&gt;1,"Repeat","One-time")</f>
        <v>One-time</v>
      </c>
      <c r="G758" s="13" t="n">
        <f aca="false">SUM($D$2:D758)/SUM($D$2:$D$800)</f>
        <v>0.997757363337885</v>
      </c>
    </row>
    <row r="759" customFormat="false" ht="15" hidden="false" customHeight="false" outlineLevel="0" collapsed="false">
      <c r="A759" s="2" t="s">
        <v>2196</v>
      </c>
      <c r="B759" s="2" t="str">
        <f aca="false">INDEX(Clean_Data!$F$2:$F$2086,MATCH(A759,Clean_Data!$B$2:$B$2086,0))</f>
        <v>Consumer</v>
      </c>
      <c r="C759" s="2" t="n">
        <f aca="false">COUNTIFS(Clean_Data!$B$2:$B$2086,A759)</f>
        <v>1</v>
      </c>
      <c r="D759" s="11" t="n">
        <f aca="false">SUMIFS(Clean_Data!$M$2:$M$2086,Clean_Data!$B$2:$B$2086,A759)</f>
        <v>1520</v>
      </c>
      <c r="E759" s="11" t="n">
        <f aca="false">SUMIFS(Clean_Data!$N$2:$N$2086,Clean_Data!$B$2:$B$2086,A759)</f>
        <v>720</v>
      </c>
      <c r="F759" s="2" t="str">
        <f aca="false">IF(C759&gt;1,"Repeat","One-time")</f>
        <v>One-time</v>
      </c>
      <c r="G759" s="13" t="n">
        <f aca="false">SUM($D$2:D759)/SUM($D$2:$D$800)</f>
        <v>0.997831251009424</v>
      </c>
    </row>
    <row r="760" customFormat="false" ht="15" hidden="false" customHeight="false" outlineLevel="0" collapsed="false">
      <c r="A760" s="2" t="s">
        <v>2841</v>
      </c>
      <c r="B760" s="2" t="str">
        <f aca="false">INDEX(Clean_Data!$F$2:$F$2086,MATCH(A760,Clean_Data!$B$2:$B$2086,0))</f>
        <v>Consumer</v>
      </c>
      <c r="C760" s="2" t="n">
        <f aca="false">COUNTIFS(Clean_Data!$B$2:$B$2086,A760)</f>
        <v>1</v>
      </c>
      <c r="D760" s="11" t="n">
        <f aca="false">SUMIFS(Clean_Data!$M$2:$M$2086,Clean_Data!$B$2:$B$2086,A760)</f>
        <v>1520</v>
      </c>
      <c r="E760" s="11" t="n">
        <f aca="false">SUMIFS(Clean_Data!$N$2:$N$2086,Clean_Data!$B$2:$B$2086,A760)</f>
        <v>720</v>
      </c>
      <c r="F760" s="2" t="str">
        <f aca="false">IF(C760&gt;1,"Repeat","One-time")</f>
        <v>One-time</v>
      </c>
      <c r="G760" s="13" t="n">
        <f aca="false">SUM($D$2:D760)/SUM($D$2:$D$800)</f>
        <v>0.997905138680962</v>
      </c>
    </row>
    <row r="761" customFormat="false" ht="15" hidden="false" customHeight="false" outlineLevel="0" collapsed="false">
      <c r="A761" s="2" t="s">
        <v>1839</v>
      </c>
      <c r="B761" s="2" t="str">
        <f aca="false">INDEX(Clean_Data!$F$2:$F$2086,MATCH(A761,Clean_Data!$B$2:$B$2086,0))</f>
        <v>Consumer</v>
      </c>
      <c r="C761" s="2" t="n">
        <f aca="false">COUNTIFS(Clean_Data!$B$2:$B$2086,A761)</f>
        <v>1</v>
      </c>
      <c r="D761" s="11" t="n">
        <f aca="false">SUMIFS(Clean_Data!$M$2:$M$2086,Clean_Data!$B$2:$B$2086,A761)</f>
        <v>1500</v>
      </c>
      <c r="E761" s="11" t="n">
        <f aca="false">SUMIFS(Clean_Data!$N$2:$N$2086,Clean_Data!$B$2:$B$2086,A761)</f>
        <v>900</v>
      </c>
      <c r="F761" s="2" t="str">
        <f aca="false">IF(C761&gt;1,"Repeat","One-time")</f>
        <v>One-time</v>
      </c>
      <c r="G761" s="13" t="n">
        <f aca="false">SUM($D$2:D761)/SUM($D$2:$D$800)</f>
        <v>0.997978054146295</v>
      </c>
    </row>
    <row r="762" customFormat="false" ht="15" hidden="false" customHeight="false" outlineLevel="0" collapsed="false">
      <c r="A762" s="2" t="s">
        <v>2257</v>
      </c>
      <c r="B762" s="2" t="str">
        <f aca="false">INDEX(Clean_Data!$F$2:$F$2086,MATCH(A762,Clean_Data!$B$2:$B$2086,0))</f>
        <v>Consumer</v>
      </c>
      <c r="C762" s="2" t="n">
        <f aca="false">COUNTIFS(Clean_Data!$B$2:$B$2086,A762)</f>
        <v>1</v>
      </c>
      <c r="D762" s="11" t="n">
        <f aca="false">SUMIFS(Clean_Data!$M$2:$M$2086,Clean_Data!$B$2:$B$2086,A762)</f>
        <v>1500</v>
      </c>
      <c r="E762" s="11" t="n">
        <f aca="false">SUMIFS(Clean_Data!$N$2:$N$2086,Clean_Data!$B$2:$B$2086,A762)</f>
        <v>750</v>
      </c>
      <c r="F762" s="2" t="str">
        <f aca="false">IF(C762&gt;1,"Repeat","One-time")</f>
        <v>One-time</v>
      </c>
      <c r="G762" s="13" t="n">
        <f aca="false">SUM($D$2:D762)/SUM($D$2:$D$800)</f>
        <v>0.998050969611629</v>
      </c>
    </row>
    <row r="763" customFormat="false" ht="15" hidden="false" customHeight="false" outlineLevel="0" collapsed="false">
      <c r="A763" s="2" t="s">
        <v>2063</v>
      </c>
      <c r="B763" s="2" t="str">
        <f aca="false">INDEX(Clean_Data!$F$2:$F$2086,MATCH(A763,Clean_Data!$B$2:$B$2086,0))</f>
        <v>Consumer</v>
      </c>
      <c r="C763" s="2" t="n">
        <f aca="false">COUNTIFS(Clean_Data!$B$2:$B$2086,A763)</f>
        <v>1</v>
      </c>
      <c r="D763" s="11" t="n">
        <f aca="false">SUMIFS(Clean_Data!$M$2:$M$2086,Clean_Data!$B$2:$B$2086,A763)</f>
        <v>1425</v>
      </c>
      <c r="E763" s="11" t="n">
        <f aca="false">SUMIFS(Clean_Data!$N$2:$N$2086,Clean_Data!$B$2:$B$2086,A763)</f>
        <v>675</v>
      </c>
      <c r="F763" s="2" t="str">
        <f aca="false">IF(C763&gt;1,"Repeat","One-time")</f>
        <v>One-time</v>
      </c>
      <c r="G763" s="13" t="n">
        <f aca="false">SUM($D$2:D763)/SUM($D$2:$D$800)</f>
        <v>0.998120239303696</v>
      </c>
    </row>
    <row r="764" customFormat="false" ht="15" hidden="false" customHeight="false" outlineLevel="0" collapsed="false">
      <c r="A764" s="2" t="s">
        <v>862</v>
      </c>
      <c r="B764" s="2" t="str">
        <f aca="false">INDEX(Clean_Data!$F$2:$F$2086,MATCH(A764,Clean_Data!$B$2:$B$2086,0))</f>
        <v>Consumer</v>
      </c>
      <c r="C764" s="2" t="n">
        <f aca="false">COUNTIFS(Clean_Data!$B$2:$B$2086,A764)</f>
        <v>1</v>
      </c>
      <c r="D764" s="11" t="n">
        <f aca="false">SUMIFS(Clean_Data!$M$2:$M$2086,Clean_Data!$B$2:$B$2086,A764)</f>
        <v>1425</v>
      </c>
      <c r="E764" s="11" t="n">
        <f aca="false">SUMIFS(Clean_Data!$N$2:$N$2086,Clean_Data!$B$2:$B$2086,A764)</f>
        <v>825</v>
      </c>
      <c r="F764" s="2" t="str">
        <f aca="false">IF(C764&gt;1,"Repeat","One-time")</f>
        <v>One-time</v>
      </c>
      <c r="G764" s="13" t="n">
        <f aca="false">SUM($D$2:D764)/SUM($D$2:$D$800)</f>
        <v>0.998189508995763</v>
      </c>
    </row>
    <row r="765" customFormat="false" ht="15" hidden="false" customHeight="false" outlineLevel="0" collapsed="false">
      <c r="A765" s="2" t="s">
        <v>2385</v>
      </c>
      <c r="B765" s="2" t="str">
        <f aca="false">INDEX(Clean_Data!$F$2:$F$2086,MATCH(A765,Clean_Data!$B$2:$B$2086,0))</f>
        <v>Consumer</v>
      </c>
      <c r="C765" s="2" t="n">
        <f aca="false">COUNTIFS(Clean_Data!$B$2:$B$2086,A765)</f>
        <v>1</v>
      </c>
      <c r="D765" s="11" t="n">
        <f aca="false">SUMIFS(Clean_Data!$M$2:$M$2086,Clean_Data!$B$2:$B$2086,A765)</f>
        <v>1425</v>
      </c>
      <c r="E765" s="11" t="n">
        <f aca="false">SUMIFS(Clean_Data!$N$2:$N$2086,Clean_Data!$B$2:$B$2086,A765)</f>
        <v>525</v>
      </c>
      <c r="F765" s="2" t="str">
        <f aca="false">IF(C765&gt;1,"Repeat","One-time")</f>
        <v>One-time</v>
      </c>
      <c r="G765" s="13" t="n">
        <f aca="false">SUM($D$2:D765)/SUM($D$2:$D$800)</f>
        <v>0.99825877868783</v>
      </c>
    </row>
    <row r="766" customFormat="false" ht="15" hidden="false" customHeight="false" outlineLevel="0" collapsed="false">
      <c r="A766" s="2" t="s">
        <v>606</v>
      </c>
      <c r="B766" s="2" t="str">
        <f aca="false">INDEX(Clean_Data!$F$2:$F$2086,MATCH(A766,Clean_Data!$B$2:$B$2086,0))</f>
        <v>Consumer</v>
      </c>
      <c r="C766" s="2" t="n">
        <f aca="false">COUNTIFS(Clean_Data!$B$2:$B$2086,A766)</f>
        <v>1</v>
      </c>
      <c r="D766" s="11" t="n">
        <f aca="false">SUMIFS(Clean_Data!$M$2:$M$2086,Clean_Data!$B$2:$B$2086,A766)</f>
        <v>1425</v>
      </c>
      <c r="E766" s="11" t="n">
        <f aca="false">SUMIFS(Clean_Data!$N$2:$N$2086,Clean_Data!$B$2:$B$2086,A766)</f>
        <v>675</v>
      </c>
      <c r="F766" s="2" t="str">
        <f aca="false">IF(C766&gt;1,"Repeat","One-time")</f>
        <v>One-time</v>
      </c>
      <c r="G766" s="13" t="n">
        <f aca="false">SUM($D$2:D766)/SUM($D$2:$D$800)</f>
        <v>0.998328048379897</v>
      </c>
    </row>
    <row r="767" customFormat="false" ht="15" hidden="false" customHeight="false" outlineLevel="0" collapsed="false">
      <c r="A767" s="2" t="s">
        <v>1598</v>
      </c>
      <c r="B767" s="2" t="str">
        <f aca="false">INDEX(Clean_Data!$F$2:$F$2086,MATCH(A767,Clean_Data!$B$2:$B$2086,0))</f>
        <v>Consumer</v>
      </c>
      <c r="C767" s="2" t="n">
        <f aca="false">COUNTIFS(Clean_Data!$B$2:$B$2086,A767)</f>
        <v>1</v>
      </c>
      <c r="D767" s="11" t="n">
        <f aca="false">SUMIFS(Clean_Data!$M$2:$M$2086,Clean_Data!$B$2:$B$2086,A767)</f>
        <v>1425</v>
      </c>
      <c r="E767" s="11" t="n">
        <f aca="false">SUMIFS(Clean_Data!$N$2:$N$2086,Clean_Data!$B$2:$B$2086,A767)</f>
        <v>825</v>
      </c>
      <c r="F767" s="2" t="str">
        <f aca="false">IF(C767&gt;1,"Repeat","One-time")</f>
        <v>One-time</v>
      </c>
      <c r="G767" s="13" t="n">
        <f aca="false">SUM($D$2:D767)/SUM($D$2:$D$800)</f>
        <v>0.998397318071964</v>
      </c>
    </row>
    <row r="768" customFormat="false" ht="15" hidden="false" customHeight="false" outlineLevel="0" collapsed="false">
      <c r="A768" s="2" t="s">
        <v>1703</v>
      </c>
      <c r="B768" s="2" t="str">
        <f aca="false">INDEX(Clean_Data!$F$2:$F$2086,MATCH(A768,Clean_Data!$B$2:$B$2086,0))</f>
        <v>Consumer</v>
      </c>
      <c r="C768" s="2" t="n">
        <f aca="false">COUNTIFS(Clean_Data!$B$2:$B$2086,A768)</f>
        <v>1</v>
      </c>
      <c r="D768" s="11" t="n">
        <f aca="false">SUMIFS(Clean_Data!$M$2:$M$2086,Clean_Data!$B$2:$B$2086,A768)</f>
        <v>1425</v>
      </c>
      <c r="E768" s="11" t="n">
        <f aca="false">SUMIFS(Clean_Data!$N$2:$N$2086,Clean_Data!$B$2:$B$2086,A768)</f>
        <v>825</v>
      </c>
      <c r="F768" s="2" t="str">
        <f aca="false">IF(C768&gt;1,"Repeat","One-time")</f>
        <v>One-time</v>
      </c>
      <c r="G768" s="13" t="n">
        <f aca="false">SUM($D$2:D768)/SUM($D$2:$D$800)</f>
        <v>0.998466587764031</v>
      </c>
    </row>
    <row r="769" customFormat="false" ht="15" hidden="false" customHeight="false" outlineLevel="0" collapsed="false">
      <c r="A769" s="2" t="s">
        <v>1395</v>
      </c>
      <c r="B769" s="2" t="str">
        <f aca="false">INDEX(Clean_Data!$F$2:$F$2086,MATCH(A769,Clean_Data!$B$2:$B$2086,0))</f>
        <v>Consumer</v>
      </c>
      <c r="C769" s="2" t="n">
        <f aca="false">COUNTIFS(Clean_Data!$B$2:$B$2086,A769)</f>
        <v>1</v>
      </c>
      <c r="D769" s="11" t="n">
        <f aca="false">SUMIFS(Clean_Data!$M$2:$M$2086,Clean_Data!$B$2:$B$2086,A769)</f>
        <v>1425</v>
      </c>
      <c r="E769" s="11" t="n">
        <f aca="false">SUMIFS(Clean_Data!$N$2:$N$2086,Clean_Data!$B$2:$B$2086,A769)</f>
        <v>675</v>
      </c>
      <c r="F769" s="2" t="str">
        <f aca="false">IF(C769&gt;1,"Repeat","One-time")</f>
        <v>One-time</v>
      </c>
      <c r="G769" s="13" t="n">
        <f aca="false">SUM($D$2:D769)/SUM($D$2:$D$800)</f>
        <v>0.998535857456099</v>
      </c>
    </row>
    <row r="770" customFormat="false" ht="15" hidden="false" customHeight="false" outlineLevel="0" collapsed="false">
      <c r="A770" s="2" t="s">
        <v>922</v>
      </c>
      <c r="B770" s="2" t="str">
        <f aca="false">INDEX(Clean_Data!$F$2:$F$2086,MATCH(A770,Clean_Data!$B$2:$B$2086,0))</f>
        <v>Consumer</v>
      </c>
      <c r="C770" s="2" t="n">
        <f aca="false">COUNTIFS(Clean_Data!$B$2:$B$2086,A770)</f>
        <v>1</v>
      </c>
      <c r="D770" s="11" t="n">
        <f aca="false">SUMIFS(Clean_Data!$M$2:$M$2086,Clean_Data!$B$2:$B$2086,A770)</f>
        <v>1360</v>
      </c>
      <c r="E770" s="11" t="n">
        <f aca="false">SUMIFS(Clean_Data!$N$2:$N$2086,Clean_Data!$B$2:$B$2086,A770)</f>
        <v>560</v>
      </c>
      <c r="F770" s="2" t="str">
        <f aca="false">IF(C770&gt;1,"Repeat","One-time")</f>
        <v>One-time</v>
      </c>
      <c r="G770" s="13" t="n">
        <f aca="false">SUM($D$2:D770)/SUM($D$2:$D$800)</f>
        <v>0.998601967478001</v>
      </c>
    </row>
    <row r="771" customFormat="false" ht="15" hidden="false" customHeight="false" outlineLevel="0" collapsed="false">
      <c r="A771" s="2" t="s">
        <v>2730</v>
      </c>
      <c r="B771" s="2" t="str">
        <f aca="false">INDEX(Clean_Data!$F$2:$F$2086,MATCH(A771,Clean_Data!$B$2:$B$2086,0))</f>
        <v>Consumer</v>
      </c>
      <c r="C771" s="2" t="n">
        <f aca="false">COUNTIFS(Clean_Data!$B$2:$B$2086,A771)</f>
        <v>1</v>
      </c>
      <c r="D771" s="11" t="n">
        <f aca="false">SUMIFS(Clean_Data!$M$2:$M$2086,Clean_Data!$B$2:$B$2086,A771)</f>
        <v>1360</v>
      </c>
      <c r="E771" s="11" t="n">
        <f aca="false">SUMIFS(Clean_Data!$N$2:$N$2086,Clean_Data!$B$2:$B$2086,A771)</f>
        <v>560</v>
      </c>
      <c r="F771" s="2" t="str">
        <f aca="false">IF(C771&gt;1,"Repeat","One-time")</f>
        <v>One-time</v>
      </c>
      <c r="G771" s="13" t="n">
        <f aca="false">SUM($D$2:D771)/SUM($D$2:$D$800)</f>
        <v>0.998668077499904</v>
      </c>
    </row>
    <row r="772" customFormat="false" ht="15" hidden="false" customHeight="false" outlineLevel="0" collapsed="false">
      <c r="A772" s="2" t="s">
        <v>551</v>
      </c>
      <c r="B772" s="2" t="str">
        <f aca="false">INDEX(Clean_Data!$F$2:$F$2086,MATCH(A772,Clean_Data!$B$2:$B$2086,0))</f>
        <v>Consumer</v>
      </c>
      <c r="C772" s="2" t="n">
        <f aca="false">COUNTIFS(Clean_Data!$B$2:$B$2086,A772)</f>
        <v>1</v>
      </c>
      <c r="D772" s="11" t="n">
        <f aca="false">SUMIFS(Clean_Data!$M$2:$M$2086,Clean_Data!$B$2:$B$2086,A772)</f>
        <v>1350</v>
      </c>
      <c r="E772" s="11" t="n">
        <f aca="false">SUMIFS(Clean_Data!$N$2:$N$2086,Clean_Data!$B$2:$B$2086,A772)</f>
        <v>600</v>
      </c>
      <c r="F772" s="2" t="str">
        <f aca="false">IF(C772&gt;1,"Repeat","One-time")</f>
        <v>One-time</v>
      </c>
      <c r="G772" s="13" t="n">
        <f aca="false">SUM($D$2:D772)/SUM($D$2:$D$800)</f>
        <v>0.998733701418704</v>
      </c>
    </row>
    <row r="773" customFormat="false" ht="15" hidden="false" customHeight="false" outlineLevel="0" collapsed="false">
      <c r="A773" s="2" t="s">
        <v>374</v>
      </c>
      <c r="B773" s="2" t="str">
        <f aca="false">INDEX(Clean_Data!$F$2:$F$2086,MATCH(A773,Clean_Data!$B$2:$B$2086,0))</f>
        <v>Consumer</v>
      </c>
      <c r="C773" s="2" t="n">
        <f aca="false">COUNTIFS(Clean_Data!$B$2:$B$2086,A773)</f>
        <v>1</v>
      </c>
      <c r="D773" s="11" t="n">
        <f aca="false">SUMIFS(Clean_Data!$M$2:$M$2086,Clean_Data!$B$2:$B$2086,A773)</f>
        <v>1350</v>
      </c>
      <c r="E773" s="11" t="n">
        <f aca="false">SUMIFS(Clean_Data!$N$2:$N$2086,Clean_Data!$B$2:$B$2086,A773)</f>
        <v>450</v>
      </c>
      <c r="F773" s="2" t="str">
        <f aca="false">IF(C773&gt;1,"Repeat","One-time")</f>
        <v>One-time</v>
      </c>
      <c r="G773" s="13" t="n">
        <f aca="false">SUM($D$2:D773)/SUM($D$2:$D$800)</f>
        <v>0.998799325337504</v>
      </c>
    </row>
    <row r="774" customFormat="false" ht="15" hidden="false" customHeight="false" outlineLevel="0" collapsed="false">
      <c r="A774" s="2" t="s">
        <v>1605</v>
      </c>
      <c r="B774" s="2" t="str">
        <f aca="false">INDEX(Clean_Data!$F$2:$F$2086,MATCH(A774,Clean_Data!$B$2:$B$2086,0))</f>
        <v>Consumer</v>
      </c>
      <c r="C774" s="2" t="n">
        <f aca="false">COUNTIFS(Clean_Data!$B$2:$B$2086,A774)</f>
        <v>1</v>
      </c>
      <c r="D774" s="11" t="n">
        <f aca="false">SUMIFS(Clean_Data!$M$2:$M$2086,Clean_Data!$B$2:$B$2086,A774)</f>
        <v>1275</v>
      </c>
      <c r="E774" s="11" t="n">
        <f aca="false">SUMIFS(Clean_Data!$N$2:$N$2086,Clean_Data!$B$2:$B$2086,A774)</f>
        <v>375</v>
      </c>
      <c r="F774" s="2" t="str">
        <f aca="false">IF(C774&gt;1,"Repeat","One-time")</f>
        <v>One-time</v>
      </c>
      <c r="G774" s="13" t="n">
        <f aca="false">SUM($D$2:D774)/SUM($D$2:$D$800)</f>
        <v>0.998861303483038</v>
      </c>
    </row>
    <row r="775" customFormat="false" ht="15" hidden="false" customHeight="false" outlineLevel="0" collapsed="false">
      <c r="A775" s="2" t="s">
        <v>1247</v>
      </c>
      <c r="B775" s="2" t="str">
        <f aca="false">INDEX(Clean_Data!$F$2:$F$2086,MATCH(A775,Clean_Data!$B$2:$B$2086,0))</f>
        <v>Consumer</v>
      </c>
      <c r="C775" s="2" t="n">
        <f aca="false">COUNTIFS(Clean_Data!$B$2:$B$2086,A775)</f>
        <v>1</v>
      </c>
      <c r="D775" s="11" t="n">
        <f aca="false">SUMIFS(Clean_Data!$M$2:$M$2086,Clean_Data!$B$2:$B$2086,A775)</f>
        <v>1200</v>
      </c>
      <c r="E775" s="11" t="n">
        <f aca="false">SUMIFS(Clean_Data!$N$2:$N$2086,Clean_Data!$B$2:$B$2086,A775)</f>
        <v>600</v>
      </c>
      <c r="F775" s="2" t="str">
        <f aca="false">IF(C775&gt;1,"Repeat","One-time")</f>
        <v>One-time</v>
      </c>
      <c r="G775" s="13" t="n">
        <f aca="false">SUM($D$2:D775)/SUM($D$2:$D$800)</f>
        <v>0.998919635855305</v>
      </c>
    </row>
    <row r="776" customFormat="false" ht="15" hidden="false" customHeight="false" outlineLevel="0" collapsed="false">
      <c r="A776" s="2" t="s">
        <v>2822</v>
      </c>
      <c r="B776" s="2" t="str">
        <f aca="false">INDEX(Clean_Data!$F$2:$F$2086,MATCH(A776,Clean_Data!$B$2:$B$2086,0))</f>
        <v>Consumer</v>
      </c>
      <c r="C776" s="2" t="n">
        <f aca="false">COUNTIFS(Clean_Data!$B$2:$B$2086,A776)</f>
        <v>1</v>
      </c>
      <c r="D776" s="11" t="n">
        <f aca="false">SUMIFS(Clean_Data!$M$2:$M$2086,Clean_Data!$B$2:$B$2086,A776)</f>
        <v>1200</v>
      </c>
      <c r="E776" s="11" t="n">
        <f aca="false">SUMIFS(Clean_Data!$N$2:$N$2086,Clean_Data!$B$2:$B$2086,A776)</f>
        <v>600</v>
      </c>
      <c r="F776" s="2" t="str">
        <f aca="false">IF(C776&gt;1,"Repeat","One-time")</f>
        <v>One-time</v>
      </c>
      <c r="G776" s="13" t="n">
        <f aca="false">SUM($D$2:D776)/SUM($D$2:$D$800)</f>
        <v>0.998977968227572</v>
      </c>
    </row>
    <row r="777" customFormat="false" ht="15" hidden="false" customHeight="false" outlineLevel="0" collapsed="false">
      <c r="A777" s="2" t="s">
        <v>1781</v>
      </c>
      <c r="B777" s="2" t="str">
        <f aca="false">INDEX(Clean_Data!$F$2:$F$2086,MATCH(A777,Clean_Data!$B$2:$B$2086,0))</f>
        <v>Consumer</v>
      </c>
      <c r="C777" s="2" t="n">
        <f aca="false">COUNTIFS(Clean_Data!$B$2:$B$2086,A777)</f>
        <v>1</v>
      </c>
      <c r="D777" s="11" t="n">
        <f aca="false">SUMIFS(Clean_Data!$M$2:$M$2086,Clean_Data!$B$2:$B$2086,A777)</f>
        <v>1200</v>
      </c>
      <c r="E777" s="11" t="n">
        <f aca="false">SUMIFS(Clean_Data!$N$2:$N$2086,Clean_Data!$B$2:$B$2086,A777)</f>
        <v>600</v>
      </c>
      <c r="F777" s="2" t="str">
        <f aca="false">IF(C777&gt;1,"Repeat","One-time")</f>
        <v>One-time</v>
      </c>
      <c r="G777" s="13" t="n">
        <f aca="false">SUM($D$2:D777)/SUM($D$2:$D$800)</f>
        <v>0.999036300599839</v>
      </c>
    </row>
    <row r="778" customFormat="false" ht="15" hidden="false" customHeight="false" outlineLevel="0" collapsed="false">
      <c r="A778" s="2" t="s">
        <v>719</v>
      </c>
      <c r="B778" s="2" t="str">
        <f aca="false">INDEX(Clean_Data!$F$2:$F$2086,MATCH(A778,Clean_Data!$B$2:$B$2086,0))</f>
        <v>Consumer</v>
      </c>
      <c r="C778" s="2" t="n">
        <f aca="false">COUNTIFS(Clean_Data!$B$2:$B$2086,A778)</f>
        <v>1</v>
      </c>
      <c r="D778" s="11" t="n">
        <f aca="false">SUMIFS(Clean_Data!$M$2:$M$2086,Clean_Data!$B$2:$B$2086,A778)</f>
        <v>1187.5</v>
      </c>
      <c r="E778" s="11" t="n">
        <f aca="false">SUMIFS(Clean_Data!$N$2:$N$2086,Clean_Data!$B$2:$B$2086,A778)</f>
        <v>687.5</v>
      </c>
      <c r="F778" s="2" t="str">
        <f aca="false">IF(C778&gt;1,"Repeat","One-time")</f>
        <v>One-time</v>
      </c>
      <c r="G778" s="13" t="n">
        <f aca="false">SUM($D$2:D778)/SUM($D$2:$D$800)</f>
        <v>0.999094025343228</v>
      </c>
    </row>
    <row r="779" customFormat="false" ht="15" hidden="false" customHeight="false" outlineLevel="0" collapsed="false">
      <c r="A779" s="2" t="s">
        <v>323</v>
      </c>
      <c r="B779" s="2" t="str">
        <f aca="false">INDEX(Clean_Data!$F$2:$F$2086,MATCH(A779,Clean_Data!$B$2:$B$2086,0))</f>
        <v>Consumer</v>
      </c>
      <c r="C779" s="2" t="n">
        <f aca="false">COUNTIFS(Clean_Data!$B$2:$B$2086,A779)</f>
        <v>1</v>
      </c>
      <c r="D779" s="11" t="n">
        <f aca="false">SUMIFS(Clean_Data!$M$2:$M$2086,Clean_Data!$B$2:$B$2086,A779)</f>
        <v>1140</v>
      </c>
      <c r="E779" s="11" t="n">
        <f aca="false">SUMIFS(Clean_Data!$N$2:$N$2086,Clean_Data!$B$2:$B$2086,A779)</f>
        <v>540</v>
      </c>
      <c r="F779" s="2" t="str">
        <f aca="false">IF(C779&gt;1,"Repeat","One-time")</f>
        <v>One-time</v>
      </c>
      <c r="G779" s="13" t="n">
        <f aca="false">SUM($D$2:D779)/SUM($D$2:$D$800)</f>
        <v>0.999149441096882</v>
      </c>
    </row>
    <row r="780" customFormat="false" ht="15" hidden="false" customHeight="false" outlineLevel="0" collapsed="false">
      <c r="A780" s="2" t="s">
        <v>638</v>
      </c>
      <c r="B780" s="2" t="str">
        <f aca="false">INDEX(Clean_Data!$F$2:$F$2086,MATCH(A780,Clean_Data!$B$2:$B$2086,0))</f>
        <v>Consumer</v>
      </c>
      <c r="C780" s="2" t="n">
        <f aca="false">COUNTIFS(Clean_Data!$B$2:$B$2086,A780)</f>
        <v>1</v>
      </c>
      <c r="D780" s="11" t="n">
        <f aca="false">SUMIFS(Clean_Data!$M$2:$M$2086,Clean_Data!$B$2:$B$2086,A780)</f>
        <v>1140</v>
      </c>
      <c r="E780" s="11" t="n">
        <f aca="false">SUMIFS(Clean_Data!$N$2:$N$2086,Clean_Data!$B$2:$B$2086,A780)</f>
        <v>540</v>
      </c>
      <c r="F780" s="2" t="str">
        <f aca="false">IF(C780&gt;1,"Repeat","One-time")</f>
        <v>One-time</v>
      </c>
      <c r="G780" s="13" t="n">
        <f aca="false">SUM($D$2:D780)/SUM($D$2:$D$800)</f>
        <v>0.999204856850536</v>
      </c>
    </row>
    <row r="781" customFormat="false" ht="15" hidden="false" customHeight="false" outlineLevel="0" collapsed="false">
      <c r="A781" s="2" t="s">
        <v>99</v>
      </c>
      <c r="B781" s="2" t="str">
        <f aca="false">INDEX(Clean_Data!$F$2:$F$2086,MATCH(A781,Clean_Data!$B$2:$B$2086,0))</f>
        <v>Consumer</v>
      </c>
      <c r="C781" s="2" t="n">
        <f aca="false">COUNTIFS(Clean_Data!$B$2:$B$2086,A781)</f>
        <v>1</v>
      </c>
      <c r="D781" s="11" t="n">
        <f aca="false">SUMIFS(Clean_Data!$M$2:$M$2086,Clean_Data!$B$2:$B$2086,A781)</f>
        <v>1140</v>
      </c>
      <c r="E781" s="11" t="n">
        <f aca="false">SUMIFS(Clean_Data!$N$2:$N$2086,Clean_Data!$B$2:$B$2086,A781)</f>
        <v>540</v>
      </c>
      <c r="F781" s="2" t="str">
        <f aca="false">IF(C781&gt;1,"Repeat","One-time")</f>
        <v>One-time</v>
      </c>
      <c r="G781" s="13" t="n">
        <f aca="false">SUM($D$2:D781)/SUM($D$2:$D$800)</f>
        <v>0.999260272604189</v>
      </c>
    </row>
    <row r="782" customFormat="false" ht="15" hidden="false" customHeight="false" outlineLevel="0" collapsed="false">
      <c r="A782" s="2" t="s">
        <v>2108</v>
      </c>
      <c r="B782" s="2" t="str">
        <f aca="false">INDEX(Clean_Data!$F$2:$F$2086,MATCH(A782,Clean_Data!$B$2:$B$2086,0))</f>
        <v>Consumer</v>
      </c>
      <c r="C782" s="2" t="n">
        <f aca="false">COUNTIFS(Clean_Data!$B$2:$B$2086,A782)</f>
        <v>1</v>
      </c>
      <c r="D782" s="11" t="n">
        <f aca="false">SUMIFS(Clean_Data!$M$2:$M$2086,Clean_Data!$B$2:$B$2086,A782)</f>
        <v>1140</v>
      </c>
      <c r="E782" s="11" t="n">
        <f aca="false">SUMIFS(Clean_Data!$N$2:$N$2086,Clean_Data!$B$2:$B$2086,A782)</f>
        <v>540</v>
      </c>
      <c r="F782" s="2" t="str">
        <f aca="false">IF(C782&gt;1,"Repeat","One-time")</f>
        <v>One-time</v>
      </c>
      <c r="G782" s="13" t="n">
        <f aca="false">SUM($D$2:D782)/SUM($D$2:$D$800)</f>
        <v>0.999315688357843</v>
      </c>
    </row>
    <row r="783" customFormat="false" ht="15" hidden="false" customHeight="false" outlineLevel="0" collapsed="false">
      <c r="A783" s="2" t="s">
        <v>2518</v>
      </c>
      <c r="B783" s="2" t="str">
        <f aca="false">INDEX(Clean_Data!$F$2:$F$2086,MATCH(A783,Clean_Data!$B$2:$B$2086,0))</f>
        <v>Consumer</v>
      </c>
      <c r="C783" s="2" t="n">
        <f aca="false">COUNTIFS(Clean_Data!$B$2:$B$2086,A783)</f>
        <v>1</v>
      </c>
      <c r="D783" s="11" t="n">
        <f aca="false">SUMIFS(Clean_Data!$M$2:$M$2086,Clean_Data!$B$2:$B$2086,A783)</f>
        <v>1140</v>
      </c>
      <c r="E783" s="11" t="n">
        <f aca="false">SUMIFS(Clean_Data!$N$2:$N$2086,Clean_Data!$B$2:$B$2086,A783)</f>
        <v>540</v>
      </c>
      <c r="F783" s="2" t="str">
        <f aca="false">IF(C783&gt;1,"Repeat","One-time")</f>
        <v>One-time</v>
      </c>
      <c r="G783" s="13" t="n">
        <f aca="false">SUM($D$2:D783)/SUM($D$2:$D$800)</f>
        <v>0.999371104111497</v>
      </c>
    </row>
    <row r="784" customFormat="false" ht="15" hidden="false" customHeight="false" outlineLevel="0" collapsed="false">
      <c r="A784" s="2" t="s">
        <v>2266</v>
      </c>
      <c r="B784" s="2" t="str">
        <f aca="false">INDEX(Clean_Data!$F$2:$F$2086,MATCH(A784,Clean_Data!$B$2:$B$2086,0))</f>
        <v>Small Business</v>
      </c>
      <c r="C784" s="2" t="n">
        <f aca="false">COUNTIFS(Clean_Data!$B$2:$B$2086,A784)</f>
        <v>1</v>
      </c>
      <c r="D784" s="11" t="n">
        <f aca="false">SUMIFS(Clean_Data!$M$2:$M$2086,Clean_Data!$B$2:$B$2086,A784)</f>
        <v>1140</v>
      </c>
      <c r="E784" s="11" t="n">
        <f aca="false">SUMIFS(Clean_Data!$N$2:$N$2086,Clean_Data!$B$2:$B$2086,A784)</f>
        <v>540</v>
      </c>
      <c r="F784" s="2" t="str">
        <f aca="false">IF(C784&gt;1,"Repeat","One-time")</f>
        <v>One-time</v>
      </c>
      <c r="G784" s="13" t="n">
        <f aca="false">SUM($D$2:D784)/SUM($D$2:$D$800)</f>
        <v>0.99942651986515</v>
      </c>
    </row>
    <row r="785" customFormat="false" ht="15" hidden="false" customHeight="false" outlineLevel="0" collapsed="false">
      <c r="A785" s="2" t="s">
        <v>1960</v>
      </c>
      <c r="B785" s="2" t="str">
        <f aca="false">INDEX(Clean_Data!$F$2:$F$2086,MATCH(A785,Clean_Data!$B$2:$B$2086,0))</f>
        <v>Consumer</v>
      </c>
      <c r="C785" s="2" t="n">
        <f aca="false">COUNTIFS(Clean_Data!$B$2:$B$2086,A785)</f>
        <v>1</v>
      </c>
      <c r="D785" s="11" t="n">
        <f aca="false">SUMIFS(Clean_Data!$M$2:$M$2086,Clean_Data!$B$2:$B$2086,A785)</f>
        <v>1000</v>
      </c>
      <c r="E785" s="11" t="n">
        <f aca="false">SUMIFS(Clean_Data!$N$2:$N$2086,Clean_Data!$B$2:$B$2086,A785)</f>
        <v>600</v>
      </c>
      <c r="F785" s="2" t="str">
        <f aca="false">IF(C785&gt;1,"Repeat","One-time")</f>
        <v>One-time</v>
      </c>
      <c r="G785" s="13" t="n">
        <f aca="false">SUM($D$2:D785)/SUM($D$2:$D$800)</f>
        <v>0.999475130175373</v>
      </c>
    </row>
    <row r="786" customFormat="false" ht="15" hidden="false" customHeight="false" outlineLevel="0" collapsed="false">
      <c r="A786" s="2" t="s">
        <v>2444</v>
      </c>
      <c r="B786" s="2" t="str">
        <f aca="false">INDEX(Clean_Data!$F$2:$F$2086,MATCH(A786,Clean_Data!$B$2:$B$2086,0))</f>
        <v>Consumer</v>
      </c>
      <c r="C786" s="2" t="n">
        <f aca="false">COUNTIFS(Clean_Data!$B$2:$B$2086,A786)</f>
        <v>1</v>
      </c>
      <c r="D786" s="11" t="n">
        <f aca="false">SUMIFS(Clean_Data!$M$2:$M$2086,Clean_Data!$B$2:$B$2086,A786)</f>
        <v>1000</v>
      </c>
      <c r="E786" s="11" t="n">
        <f aca="false">SUMIFS(Clean_Data!$N$2:$N$2086,Clean_Data!$B$2:$B$2086,A786)</f>
        <v>500</v>
      </c>
      <c r="F786" s="2" t="str">
        <f aca="false">IF(C786&gt;1,"Repeat","One-time")</f>
        <v>One-time</v>
      </c>
      <c r="G786" s="13" t="n">
        <f aca="false">SUM($D$2:D786)/SUM($D$2:$D$800)</f>
        <v>0.999523740485595</v>
      </c>
    </row>
    <row r="787" customFormat="false" ht="15" hidden="false" customHeight="false" outlineLevel="0" collapsed="false">
      <c r="A787" s="2" t="s">
        <v>2463</v>
      </c>
      <c r="B787" s="2" t="str">
        <f aca="false">INDEX(Clean_Data!$F$2:$F$2086,MATCH(A787,Clean_Data!$B$2:$B$2086,0))</f>
        <v>Consumer</v>
      </c>
      <c r="C787" s="2" t="n">
        <f aca="false">COUNTIFS(Clean_Data!$B$2:$B$2086,A787)</f>
        <v>1</v>
      </c>
      <c r="D787" s="11" t="n">
        <f aca="false">SUMIFS(Clean_Data!$M$2:$M$2086,Clean_Data!$B$2:$B$2086,A787)</f>
        <v>1000</v>
      </c>
      <c r="E787" s="11" t="n">
        <f aca="false">SUMIFS(Clean_Data!$N$2:$N$2086,Clean_Data!$B$2:$B$2086,A787)</f>
        <v>500</v>
      </c>
      <c r="F787" s="2" t="str">
        <f aca="false">IF(C787&gt;1,"Repeat","One-time")</f>
        <v>One-time</v>
      </c>
      <c r="G787" s="13" t="n">
        <f aca="false">SUM($D$2:D787)/SUM($D$2:$D$800)</f>
        <v>0.999572350795818</v>
      </c>
    </row>
    <row r="788" customFormat="false" ht="15" hidden="false" customHeight="false" outlineLevel="0" collapsed="false">
      <c r="A788" s="2" t="s">
        <v>631</v>
      </c>
      <c r="B788" s="2" t="str">
        <f aca="false">INDEX(Clean_Data!$F$2:$F$2086,MATCH(A788,Clean_Data!$B$2:$B$2086,0))</f>
        <v>Consumer</v>
      </c>
      <c r="C788" s="2" t="n">
        <f aca="false">COUNTIFS(Clean_Data!$B$2:$B$2086,A788)</f>
        <v>1</v>
      </c>
      <c r="D788" s="11" t="n">
        <f aca="false">SUMIFS(Clean_Data!$M$2:$M$2086,Clean_Data!$B$2:$B$2086,A788)</f>
        <v>950</v>
      </c>
      <c r="E788" s="11" t="n">
        <f aca="false">SUMIFS(Clean_Data!$N$2:$N$2086,Clean_Data!$B$2:$B$2086,A788)</f>
        <v>550</v>
      </c>
      <c r="F788" s="2" t="str">
        <f aca="false">IF(C788&gt;1,"Repeat","One-time")</f>
        <v>One-time</v>
      </c>
      <c r="G788" s="13" t="n">
        <f aca="false">SUM($D$2:D788)/SUM($D$2:$D$800)</f>
        <v>0.999618530590529</v>
      </c>
    </row>
    <row r="789" customFormat="false" ht="15" hidden="false" customHeight="false" outlineLevel="0" collapsed="false">
      <c r="A789" s="2" t="s">
        <v>795</v>
      </c>
      <c r="B789" s="2" t="str">
        <f aca="false">INDEX(Clean_Data!$F$2:$F$2086,MATCH(A789,Clean_Data!$B$2:$B$2086,0))</f>
        <v>Consumer</v>
      </c>
      <c r="C789" s="2" t="n">
        <f aca="false">COUNTIFS(Clean_Data!$B$2:$B$2086,A789)</f>
        <v>1</v>
      </c>
      <c r="D789" s="11" t="n">
        <f aca="false">SUMIFS(Clean_Data!$M$2:$M$2086,Clean_Data!$B$2:$B$2086,A789)</f>
        <v>950</v>
      </c>
      <c r="E789" s="11" t="n">
        <f aca="false">SUMIFS(Clean_Data!$N$2:$N$2086,Clean_Data!$B$2:$B$2086,A789)</f>
        <v>450</v>
      </c>
      <c r="F789" s="2" t="str">
        <f aca="false">IF(C789&gt;1,"Repeat","One-time")</f>
        <v>One-time</v>
      </c>
      <c r="G789" s="13" t="n">
        <f aca="false">SUM($D$2:D789)/SUM($D$2:$D$800)</f>
        <v>0.99966471038524</v>
      </c>
    </row>
    <row r="790" customFormat="false" ht="15" hidden="false" customHeight="false" outlineLevel="0" collapsed="false">
      <c r="A790" s="2" t="s">
        <v>2457</v>
      </c>
      <c r="B790" s="2" t="str">
        <f aca="false">INDEX(Clean_Data!$F$2:$F$2086,MATCH(A790,Clean_Data!$B$2:$B$2086,0))</f>
        <v>Consumer</v>
      </c>
      <c r="C790" s="2" t="n">
        <f aca="false">COUNTIFS(Clean_Data!$B$2:$B$2086,A790)</f>
        <v>1</v>
      </c>
      <c r="D790" s="11" t="n">
        <f aca="false">SUMIFS(Clean_Data!$M$2:$M$2086,Clean_Data!$B$2:$B$2086,A790)</f>
        <v>950</v>
      </c>
      <c r="E790" s="11" t="n">
        <f aca="false">SUMIFS(Clean_Data!$N$2:$N$2086,Clean_Data!$B$2:$B$2086,A790)</f>
        <v>450</v>
      </c>
      <c r="F790" s="2" t="str">
        <f aca="false">IF(C790&gt;1,"Repeat","One-time")</f>
        <v>One-time</v>
      </c>
      <c r="G790" s="13" t="n">
        <f aca="false">SUM($D$2:D790)/SUM($D$2:$D$800)</f>
        <v>0.999710890179952</v>
      </c>
    </row>
    <row r="791" customFormat="false" ht="15" hidden="false" customHeight="false" outlineLevel="0" collapsed="false">
      <c r="A791" s="2" t="s">
        <v>2399</v>
      </c>
      <c r="B791" s="2" t="str">
        <f aca="false">INDEX(Clean_Data!$F$2:$F$2086,MATCH(A791,Clean_Data!$B$2:$B$2086,0))</f>
        <v>Consumer</v>
      </c>
      <c r="C791" s="2" t="n">
        <f aca="false">COUNTIFS(Clean_Data!$B$2:$B$2086,A791)</f>
        <v>1</v>
      </c>
      <c r="D791" s="11" t="n">
        <f aca="false">SUMIFS(Clean_Data!$M$2:$M$2086,Clean_Data!$B$2:$B$2086,A791)</f>
        <v>800</v>
      </c>
      <c r="E791" s="11" t="n">
        <f aca="false">SUMIFS(Clean_Data!$N$2:$N$2086,Clean_Data!$B$2:$B$2086,A791)</f>
        <v>400</v>
      </c>
      <c r="F791" s="2" t="str">
        <f aca="false">IF(C791&gt;1,"Repeat","One-time")</f>
        <v>One-time</v>
      </c>
      <c r="G791" s="13" t="n">
        <f aca="false">SUM($D$2:D791)/SUM($D$2:$D$800)</f>
        <v>0.99974977842813</v>
      </c>
    </row>
    <row r="792" customFormat="false" ht="15" hidden="false" customHeight="false" outlineLevel="0" collapsed="false">
      <c r="A792" s="2" t="s">
        <v>1841</v>
      </c>
      <c r="B792" s="2" t="str">
        <f aca="false">INDEX(Clean_Data!$F$2:$F$2086,MATCH(A792,Clean_Data!$B$2:$B$2086,0))</f>
        <v>Consumer</v>
      </c>
      <c r="C792" s="2" t="n">
        <f aca="false">COUNTIFS(Clean_Data!$B$2:$B$2086,A792)</f>
        <v>1</v>
      </c>
      <c r="D792" s="11" t="n">
        <f aca="false">SUMIFS(Clean_Data!$M$2:$M$2086,Clean_Data!$B$2:$B$2086,A792)</f>
        <v>760</v>
      </c>
      <c r="E792" s="11" t="n">
        <f aca="false">SUMIFS(Clean_Data!$N$2:$N$2086,Clean_Data!$B$2:$B$2086,A792)</f>
        <v>360</v>
      </c>
      <c r="F792" s="2" t="str">
        <f aca="false">IF(C792&gt;1,"Repeat","One-time")</f>
        <v>One-time</v>
      </c>
      <c r="G792" s="13" t="n">
        <f aca="false">SUM($D$2:D792)/SUM($D$2:$D$800)</f>
        <v>0.999786722263899</v>
      </c>
    </row>
    <row r="793" customFormat="false" ht="15" hidden="false" customHeight="false" outlineLevel="0" collapsed="false">
      <c r="A793" s="2" t="s">
        <v>644</v>
      </c>
      <c r="B793" s="2" t="str">
        <f aca="false">INDEX(Clean_Data!$F$2:$F$2086,MATCH(A793,Clean_Data!$B$2:$B$2086,0))</f>
        <v>Consumer</v>
      </c>
      <c r="C793" s="2" t="n">
        <f aca="false">COUNTIFS(Clean_Data!$B$2:$B$2086,A793)</f>
        <v>1</v>
      </c>
      <c r="D793" s="11" t="n">
        <f aca="false">SUMIFS(Clean_Data!$M$2:$M$2086,Clean_Data!$B$2:$B$2086,A793)</f>
        <v>712.5</v>
      </c>
      <c r="E793" s="11" t="n">
        <f aca="false">SUMIFS(Clean_Data!$N$2:$N$2086,Clean_Data!$B$2:$B$2086,A793)</f>
        <v>412.5</v>
      </c>
      <c r="F793" s="2" t="str">
        <f aca="false">IF(C793&gt;1,"Repeat","One-time")</f>
        <v>One-time</v>
      </c>
      <c r="G793" s="13" t="n">
        <f aca="false">SUM($D$2:D793)/SUM($D$2:$D$800)</f>
        <v>0.999821357109932</v>
      </c>
    </row>
    <row r="794" customFormat="false" ht="15" hidden="false" customHeight="false" outlineLevel="0" collapsed="false">
      <c r="A794" s="2" t="s">
        <v>2943</v>
      </c>
      <c r="B794" s="2" t="str">
        <f aca="false">INDEX(Clean_Data!$F$2:$F$2086,MATCH(A794,Clean_Data!$B$2:$B$2086,0))</f>
        <v>Consumer</v>
      </c>
      <c r="C794" s="2" t="n">
        <f aca="false">COUNTIFS(Clean_Data!$B$2:$B$2086,A794)</f>
        <v>1</v>
      </c>
      <c r="D794" s="11" t="n">
        <f aca="false">SUMIFS(Clean_Data!$M$2:$M$2086,Clean_Data!$B$2:$B$2086,A794)</f>
        <v>712.5</v>
      </c>
      <c r="E794" s="11" t="n">
        <f aca="false">SUMIFS(Clean_Data!$N$2:$N$2086,Clean_Data!$B$2:$B$2086,A794)</f>
        <v>412.5</v>
      </c>
      <c r="F794" s="2" t="str">
        <f aca="false">IF(C794&gt;1,"Repeat","One-time")</f>
        <v>One-time</v>
      </c>
      <c r="G794" s="13" t="n">
        <f aca="false">SUM($D$2:D794)/SUM($D$2:$D$800)</f>
        <v>0.999855991955966</v>
      </c>
    </row>
    <row r="795" customFormat="false" ht="15" hidden="false" customHeight="false" outlineLevel="0" collapsed="false">
      <c r="A795" s="2" t="s">
        <v>265</v>
      </c>
      <c r="B795" s="2" t="str">
        <f aca="false">INDEX(Clean_Data!$F$2:$F$2086,MATCH(A795,Clean_Data!$B$2:$B$2086,0))</f>
        <v>Consumer</v>
      </c>
      <c r="C795" s="2" t="n">
        <f aca="false">COUNTIFS(Clean_Data!$B$2:$B$2086,A795)</f>
        <v>1</v>
      </c>
      <c r="D795" s="11" t="n">
        <f aca="false">SUMIFS(Clean_Data!$M$2:$M$2086,Clean_Data!$B$2:$B$2086,A795)</f>
        <v>712.5</v>
      </c>
      <c r="E795" s="11" t="n">
        <f aca="false">SUMIFS(Clean_Data!$N$2:$N$2086,Clean_Data!$B$2:$B$2086,A795)</f>
        <v>412.5</v>
      </c>
      <c r="F795" s="2" t="str">
        <f aca="false">IF(C795&gt;1,"Repeat","One-time")</f>
        <v>One-time</v>
      </c>
      <c r="G795" s="13" t="n">
        <f aca="false">SUM($D$2:D795)/SUM($D$2:$D$800)</f>
        <v>0.999890626801999</v>
      </c>
    </row>
    <row r="796" customFormat="false" ht="15" hidden="false" customHeight="false" outlineLevel="0" collapsed="false">
      <c r="A796" s="2" t="s">
        <v>2422</v>
      </c>
      <c r="B796" s="2" t="str">
        <f aca="false">INDEX(Clean_Data!$F$2:$F$2086,MATCH(A796,Clean_Data!$B$2:$B$2086,0))</f>
        <v>Consumer</v>
      </c>
      <c r="C796" s="2" t="n">
        <f aca="false">COUNTIFS(Clean_Data!$B$2:$B$2086,A796)</f>
        <v>1</v>
      </c>
      <c r="D796" s="11" t="n">
        <f aca="false">SUMIFS(Clean_Data!$M$2:$M$2086,Clean_Data!$B$2:$B$2086,A796)</f>
        <v>475</v>
      </c>
      <c r="E796" s="11" t="n">
        <f aca="false">SUMIFS(Clean_Data!$N$2:$N$2086,Clean_Data!$B$2:$B$2086,A796)</f>
        <v>275</v>
      </c>
      <c r="F796" s="2" t="str">
        <f aca="false">IF(C796&gt;1,"Repeat","One-time")</f>
        <v>One-time</v>
      </c>
      <c r="G796" s="13" t="n">
        <f aca="false">SUM($D$2:D796)/SUM($D$2:$D$800)</f>
        <v>0.999913716699355</v>
      </c>
    </row>
    <row r="797" customFormat="false" ht="15" hidden="false" customHeight="false" outlineLevel="0" collapsed="false">
      <c r="A797" s="2" t="s">
        <v>1130</v>
      </c>
      <c r="B797" s="2" t="str">
        <f aca="false">INDEX(Clean_Data!$F$2:$F$2086,MATCH(A797,Clean_Data!$B$2:$B$2086,0))</f>
        <v>Consumer</v>
      </c>
      <c r="C797" s="2" t="n">
        <f aca="false">COUNTIFS(Clean_Data!$B$2:$B$2086,A797)</f>
        <v>1</v>
      </c>
      <c r="D797" s="11" t="n">
        <f aca="false">SUMIFS(Clean_Data!$M$2:$M$2086,Clean_Data!$B$2:$B$2086,A797)</f>
        <v>475</v>
      </c>
      <c r="E797" s="11" t="n">
        <f aca="false">SUMIFS(Clean_Data!$N$2:$N$2086,Clean_Data!$B$2:$B$2086,A797)</f>
        <v>275</v>
      </c>
      <c r="F797" s="2" t="str">
        <f aca="false">IF(C797&gt;1,"Repeat","One-time")</f>
        <v>One-time</v>
      </c>
      <c r="G797" s="13" t="n">
        <f aca="false">SUM($D$2:D797)/SUM($D$2:$D$800)</f>
        <v>0.999936806596711</v>
      </c>
    </row>
    <row r="798" customFormat="false" ht="15" hidden="false" customHeight="false" outlineLevel="0" collapsed="false">
      <c r="A798" s="2" t="s">
        <v>697</v>
      </c>
      <c r="B798" s="2" t="str">
        <f aca="false">INDEX(Clean_Data!$F$2:$F$2086,MATCH(A798,Clean_Data!$B$2:$B$2086,0))</f>
        <v>Consumer</v>
      </c>
      <c r="C798" s="2" t="n">
        <f aca="false">COUNTIFS(Clean_Data!$B$2:$B$2086,A798)</f>
        <v>1</v>
      </c>
      <c r="D798" s="11" t="n">
        <f aca="false">SUMIFS(Clean_Data!$M$2:$M$2086,Clean_Data!$B$2:$B$2086,A798)</f>
        <v>450</v>
      </c>
      <c r="E798" s="11" t="n">
        <f aca="false">SUMIFS(Clean_Data!$N$2:$N$2086,Clean_Data!$B$2:$B$2086,A798)</f>
        <v>250</v>
      </c>
      <c r="F798" s="2" t="str">
        <f aca="false">IF(C798&gt;1,"Repeat","One-time")</f>
        <v>One-time</v>
      </c>
      <c r="G798" s="13" t="n">
        <f aca="false">SUM($D$2:D798)/SUM($D$2:$D$800)</f>
        <v>0.999958681236311</v>
      </c>
    </row>
    <row r="799" customFormat="false" ht="15" hidden="false" customHeight="false" outlineLevel="0" collapsed="false">
      <c r="A799" s="2" t="s">
        <v>2573</v>
      </c>
      <c r="B799" s="2" t="str">
        <f aca="false">INDEX(Clean_Data!$F$2:$F$2086,MATCH(A799,Clean_Data!$B$2:$B$2086,0))</f>
        <v>Consumer</v>
      </c>
      <c r="C799" s="2" t="n">
        <f aca="false">COUNTIFS(Clean_Data!$B$2:$B$2086,A799)</f>
        <v>1</v>
      </c>
      <c r="D799" s="11" t="n">
        <f aca="false">SUMIFS(Clean_Data!$M$2:$M$2086,Clean_Data!$B$2:$B$2086,A799)</f>
        <v>425</v>
      </c>
      <c r="E799" s="11" t="n">
        <f aca="false">SUMIFS(Clean_Data!$N$2:$N$2086,Clean_Data!$B$2:$B$2086,A799)</f>
        <v>225</v>
      </c>
      <c r="F799" s="2" t="str">
        <f aca="false">IF(C799&gt;1,"Repeat","One-time")</f>
        <v>One-time</v>
      </c>
      <c r="G799" s="13" t="n">
        <f aca="false">SUM($D$2:D799)/SUM($D$2:$D$800)</f>
        <v>0.999979340618155</v>
      </c>
    </row>
    <row r="800" customFormat="false" ht="15" hidden="false" customHeight="false" outlineLevel="0" collapsed="false">
      <c r="A800" s="2" t="s">
        <v>965</v>
      </c>
      <c r="B800" s="2" t="str">
        <f aca="false">INDEX(Clean_Data!$F$2:$F$2086,MATCH(A800,Clean_Data!$B$2:$B$2086,0))</f>
        <v>Consumer</v>
      </c>
      <c r="C800" s="2" t="n">
        <f aca="false">COUNTIFS(Clean_Data!$B$2:$B$2086,A800)</f>
        <v>1</v>
      </c>
      <c r="D800" s="11" t="n">
        <f aca="false">SUMIFS(Clean_Data!$M$2:$M$2086,Clean_Data!$B$2:$B$2086,A800)</f>
        <v>425</v>
      </c>
      <c r="E800" s="11" t="n">
        <f aca="false">SUMIFS(Clean_Data!$N$2:$N$2086,Clean_Data!$B$2:$B$2086,A800)</f>
        <v>225</v>
      </c>
      <c r="F800" s="2" t="str">
        <f aca="false">IF(C800&gt;1,"Repeat","One-time")</f>
        <v>One-time</v>
      </c>
      <c r="G800" s="13" t="n">
        <f aca="false">SUM($D$2:D800)/SUM($D$2:$D$800)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22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3"/>
    <col collapsed="false" customWidth="true" hidden="false" outlineLevel="0" max="15" min="15" style="0" width="30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3" t="s">
        <v>3023</v>
      </c>
    </row>
    <row r="3" customFormat="false" ht="128.35" hidden="false" customHeight="false" outlineLevel="0" collapsed="false">
      <c r="A3" s="9" t="s">
        <v>3024</v>
      </c>
      <c r="B3" s="9" t="s">
        <v>3016</v>
      </c>
      <c r="C3" s="9" t="s">
        <v>3017</v>
      </c>
      <c r="D3" s="9" t="s">
        <v>3018</v>
      </c>
      <c r="E3" s="9" t="s">
        <v>3020</v>
      </c>
      <c r="F3" s="9" t="s">
        <v>3025</v>
      </c>
      <c r="G3" s="9" t="s">
        <v>3026</v>
      </c>
      <c r="I3" s="9" t="s">
        <v>3027</v>
      </c>
      <c r="J3" s="9" t="s">
        <v>24</v>
      </c>
      <c r="K3" s="9" t="s">
        <v>3028</v>
      </c>
      <c r="L3" s="9" t="s">
        <v>3017</v>
      </c>
      <c r="M3" s="9" t="s">
        <v>3029</v>
      </c>
      <c r="O3" s="9" t="s">
        <v>3030</v>
      </c>
      <c r="P3" s="9" t="s">
        <v>3031</v>
      </c>
    </row>
    <row r="4" customFormat="false" ht="15" hidden="false" customHeight="false" outlineLevel="0" collapsed="false">
      <c r="A4" s="2" t="n">
        <v>1</v>
      </c>
      <c r="B4" s="2" t="s">
        <v>3032</v>
      </c>
      <c r="C4" s="11" t="n">
        <f aca="false">SUMIFS(Clean_Data!$M$2:$M$2086,Clean_Data!$D$2:$D$2086,A4)</f>
        <v>1484130</v>
      </c>
      <c r="D4" s="11" t="n">
        <f aca="false">SUMIFS(Clean_Data!$N$2:$N$2086,Clean_Data!$D$2:$D$2086,A4)</f>
        <v>472880</v>
      </c>
      <c r="E4" s="2" t="n">
        <f aca="false">COUNTIFS(Clean_Data!$D$2:$D$2086,A4)</f>
        <v>147</v>
      </c>
      <c r="G4" s="14" t="n">
        <f aca="false">C4/AVERAGE($C$4:$C$15)</f>
        <v>0.865728236526103</v>
      </c>
      <c r="I4" s="2" t="s">
        <v>3033</v>
      </c>
      <c r="J4" s="2" t="n">
        <f aca="false">COUNTIFS(Customers!$C$2:$C$800,1)</f>
        <v>334</v>
      </c>
      <c r="K4" s="13" t="n">
        <f aca="false">J4/$J$9</f>
        <v>0.4180225281602</v>
      </c>
      <c r="L4" s="11" t="n">
        <f aca="false">SUMIFS(Customers!$D$2:$D$800,Customers!$C$2:$C$800,1)</f>
        <v>2413890</v>
      </c>
      <c r="M4" s="13" t="n">
        <f aca="false">L4/$L$9</f>
        <v>0.117339941742974</v>
      </c>
      <c r="O4" s="2" t="s">
        <v>3034</v>
      </c>
      <c r="P4" s="11" t="n">
        <f aca="false">COUNTA(Customers!$A$2:$A$800)</f>
        <v>799</v>
      </c>
    </row>
    <row r="5" customFormat="false" ht="15" hidden="false" customHeight="false" outlineLevel="0" collapsed="false">
      <c r="A5" s="2" t="n">
        <v>2</v>
      </c>
      <c r="B5" s="2" t="s">
        <v>3035</v>
      </c>
      <c r="C5" s="11" t="n">
        <f aca="false">SUMIFS(Clean_Data!$M$2:$M$2086,Clean_Data!$D$2:$D$2086,A5)</f>
        <v>1500235</v>
      </c>
      <c r="D5" s="11" t="n">
        <f aca="false">SUMIFS(Clean_Data!$N$2:$N$2086,Clean_Data!$D$2:$D$2086,A5)</f>
        <v>466735</v>
      </c>
      <c r="E5" s="2" t="n">
        <f aca="false">COUNTIFS(Clean_Data!$D$2:$D$2086,A5)</f>
        <v>157</v>
      </c>
      <c r="F5" s="13" t="n">
        <f aca="false">IF(C4=0,0,C5/C4-1)</f>
        <v>0.010851475275077</v>
      </c>
      <c r="G5" s="14" t="n">
        <f aca="false">C5/AVERAGE($C$4:$C$15)</f>
        <v>0.875122665079702</v>
      </c>
      <c r="I5" s="2" t="s">
        <v>3036</v>
      </c>
      <c r="J5" s="2" t="n">
        <f aca="false">COUNTIFS(Customers!$C$2:$C$800,2)</f>
        <v>169</v>
      </c>
      <c r="K5" s="13" t="n">
        <f aca="false">J5/$J$9</f>
        <v>0.211514392991239</v>
      </c>
      <c r="L5" s="11" t="n">
        <f aca="false">SUMIFS(Customers!$D$2:$D$800,Customers!$C$2:$C$800,2)</f>
        <v>2913377.5</v>
      </c>
      <c r="M5" s="13" t="n">
        <f aca="false">L5/$L$9</f>
        <v>0.141620184070231</v>
      </c>
      <c r="O5" s="2" t="s">
        <v>3037</v>
      </c>
      <c r="P5" s="11" t="n">
        <f aca="false">COUNTIF(Customers!$F$2:$F$800,"Repeat")</f>
        <v>465</v>
      </c>
    </row>
    <row r="6" customFormat="false" ht="15" hidden="false" customHeight="false" outlineLevel="0" collapsed="false">
      <c r="A6" s="2" t="n">
        <v>3</v>
      </c>
      <c r="B6" s="2" t="s">
        <v>3038</v>
      </c>
      <c r="C6" s="11" t="n">
        <f aca="false">SUMIFS(Clean_Data!$M$2:$M$2086,Clean_Data!$D$2:$D$2086,A6)</f>
        <v>1587085</v>
      </c>
      <c r="D6" s="11" t="n">
        <f aca="false">SUMIFS(Clean_Data!$N$2:$N$2086,Clean_Data!$D$2:$D$2086,A6)</f>
        <v>505435</v>
      </c>
      <c r="E6" s="2" t="n">
        <f aca="false">COUNTIFS(Clean_Data!$D$2:$D$2086,A6)</f>
        <v>153</v>
      </c>
      <c r="F6" s="13" t="n">
        <f aca="false">IF(C5=0,0,C6/C5-1)</f>
        <v>0.0578909304209008</v>
      </c>
      <c r="G6" s="14" t="n">
        <f aca="false">C6/AVERAGE($C$4:$C$15)</f>
        <v>0.925784330393584</v>
      </c>
      <c r="I6" s="2" t="s">
        <v>3039</v>
      </c>
      <c r="J6" s="2" t="n">
        <f aca="false">COUNTIFS(Customers!$C$2:$C$800,3)</f>
        <v>109</v>
      </c>
      <c r="K6" s="13" t="n">
        <f aca="false">J6/$J$9</f>
        <v>0.136420525657071</v>
      </c>
      <c r="L6" s="11" t="n">
        <f aca="false">SUMIFS(Customers!$D$2:$D$800,Customers!$C$2:$C$800,3)</f>
        <v>3469285</v>
      </c>
      <c r="M6" s="13" t="n">
        <f aca="false">L6/$L$9</f>
        <v>0.168643020100242</v>
      </c>
      <c r="O6" s="2" t="s">
        <v>3040</v>
      </c>
      <c r="P6" s="13" t="n">
        <f aca="false">P5/P4</f>
        <v>0.5819774718398</v>
      </c>
    </row>
    <row r="7" customFormat="false" ht="15" hidden="false" customHeight="false" outlineLevel="0" collapsed="false">
      <c r="A7" s="2" t="n">
        <v>4</v>
      </c>
      <c r="B7" s="2" t="s">
        <v>3041</v>
      </c>
      <c r="C7" s="11" t="n">
        <f aca="false">SUMIFS(Clean_Data!$M$2:$M$2086,Clean_Data!$D$2:$D$2086,A7)</f>
        <v>1742470</v>
      </c>
      <c r="D7" s="11" t="n">
        <f aca="false">SUMIFS(Clean_Data!$N$2:$N$2086,Clean_Data!$D$2:$D$2086,A7)</f>
        <v>540320</v>
      </c>
      <c r="E7" s="2" t="n">
        <f aca="false">COUNTIFS(Clean_Data!$D$2:$D$2086,A7)</f>
        <v>159</v>
      </c>
      <c r="F7" s="13" t="n">
        <f aca="false">IF(C6=0,0,C7/C6-1)</f>
        <v>0.0979059092613188</v>
      </c>
      <c r="G7" s="14" t="n">
        <f aca="false">C7/AVERAGE($C$4:$C$15)</f>
        <v>1.01642408704065</v>
      </c>
      <c r="I7" s="2" t="s">
        <v>3042</v>
      </c>
      <c r="J7" s="2" t="n">
        <f aca="false">COUNTIFS(Customers!$C$2:$C$800,"&gt;=4",Customers!$C$2:$C$800,"&lt;=5")</f>
        <v>114</v>
      </c>
      <c r="K7" s="13" t="n">
        <f aca="false">J7/$J$9</f>
        <v>0.142678347934919</v>
      </c>
      <c r="L7" s="11" t="n">
        <f aca="false">SUMIFS(Customers!$D$2:$D$800,Customers!$C$2:$C$800,"&gt;=4",Customers!$C$2:$C$800,"&lt;=5")</f>
        <v>5933232.5</v>
      </c>
      <c r="M7" s="13" t="n">
        <f aca="false">L7/$L$9</f>
        <v>0.288416272447178</v>
      </c>
      <c r="O7" s="2" t="s">
        <v>3043</v>
      </c>
      <c r="P7" s="11" t="n">
        <f aca="false">SUMIFS(Customers!$D$2:$D$800,Customers!$F$2:$F$800,"Repeat")</f>
        <v>18157877.5</v>
      </c>
    </row>
    <row r="8" customFormat="false" ht="15" hidden="false" customHeight="false" outlineLevel="0" collapsed="false">
      <c r="A8" s="2" t="n">
        <v>5</v>
      </c>
      <c r="B8" s="2" t="s">
        <v>3044</v>
      </c>
      <c r="C8" s="11" t="n">
        <f aca="false">SUMIFS(Clean_Data!$M$2:$M$2086,Clean_Data!$D$2:$D$2086,A8)</f>
        <v>2009810</v>
      </c>
      <c r="D8" s="11" t="n">
        <f aca="false">SUMIFS(Clean_Data!$N$2:$N$2086,Clean_Data!$D$2:$D$2086,A8)</f>
        <v>629460</v>
      </c>
      <c r="E8" s="2" t="n">
        <f aca="false">COUNTIFS(Clean_Data!$D$2:$D$2086,A8)</f>
        <v>177</v>
      </c>
      <c r="F8" s="13" t="n">
        <f aca="false">IF(C7=0,0,C8/C7-1)</f>
        <v>0.153425883946352</v>
      </c>
      <c r="G8" s="14" t="n">
        <f aca="false">C8/AVERAGE($C$4:$C$15)</f>
        <v>1.17236985105922</v>
      </c>
      <c r="I8" s="2" t="s">
        <v>3045</v>
      </c>
      <c r="J8" s="2" t="n">
        <f aca="false">COUNTIFS(Customers!$C$2:$C$800,"&gt;=6")</f>
        <v>73</v>
      </c>
      <c r="K8" s="13" t="n">
        <f aca="false">J8/$J$9</f>
        <v>0.0913642052565707</v>
      </c>
      <c r="L8" s="11" t="n">
        <f aca="false">SUMIFS(Customers!$D$2:$D$800,Customers!$C$2:$C$800,"&gt;=6")</f>
        <v>5841982.5</v>
      </c>
      <c r="M8" s="13" t="n">
        <f aca="false">L8/$L$9</f>
        <v>0.283980581639375</v>
      </c>
      <c r="O8" s="2" t="s">
        <v>3046</v>
      </c>
      <c r="P8" s="13" t="n">
        <f aca="false">P7/Analysis!C16</f>
        <v>0.882660058257026</v>
      </c>
    </row>
    <row r="9" customFormat="false" ht="15" hidden="false" customHeight="false" outlineLevel="0" collapsed="false">
      <c r="A9" s="3" t="n">
        <v>6</v>
      </c>
      <c r="B9" s="3" t="s">
        <v>3047</v>
      </c>
      <c r="C9" s="15" t="n">
        <f aca="false">SUMIFS(Clean_Data!$M$2:$M$2086,Clean_Data!$D$2:$D$2086,A9)</f>
        <v>1484227.5</v>
      </c>
      <c r="D9" s="15" t="n">
        <f aca="false">SUMIFS(Clean_Data!$N$2:$N$2086,Clean_Data!$D$2:$D$2086,A9)</f>
        <v>439777.5</v>
      </c>
      <c r="E9" s="3" t="n">
        <f aca="false">COUNTIFS(Clean_Data!$D$2:$D$2086,A9)</f>
        <v>154</v>
      </c>
      <c r="F9" s="16" t="n">
        <f aca="false">IF(C8=0,0,C9/C8-1)</f>
        <v>-0.261508550559506</v>
      </c>
      <c r="G9" s="17" t="n">
        <f aca="false">C9/AVERAGE($C$4:$C$15)</f>
        <v>0.865785110589063</v>
      </c>
      <c r="I9" s="3" t="s">
        <v>3048</v>
      </c>
      <c r="J9" s="3" t="n">
        <f aca="false">SUM(J4:J8)</f>
        <v>799</v>
      </c>
      <c r="K9" s="16" t="n">
        <f aca="false">SUM(K4:K8)</f>
        <v>1</v>
      </c>
      <c r="L9" s="15" t="n">
        <f aca="false">SUM(L4:L8)</f>
        <v>20571767.5</v>
      </c>
      <c r="M9" s="16" t="n">
        <f aca="false">SUM(M4:M8)</f>
        <v>1</v>
      </c>
      <c r="O9" s="3" t="s">
        <v>3049</v>
      </c>
      <c r="P9" s="15" t="n">
        <f aca="false">SUM(Customers!$D$2:$D$81)</f>
        <v>8729015</v>
      </c>
    </row>
    <row r="10" customFormat="false" ht="15" hidden="false" customHeight="false" outlineLevel="0" collapsed="false">
      <c r="A10" s="2" t="n">
        <v>7</v>
      </c>
      <c r="B10" s="2" t="s">
        <v>3050</v>
      </c>
      <c r="C10" s="11" t="n">
        <f aca="false">SUMIFS(Clean_Data!$M$2:$M$2086,Clean_Data!$D$2:$D$2086,A10)</f>
        <v>1237125</v>
      </c>
      <c r="D10" s="11" t="n">
        <f aca="false">SUMIFS(Clean_Data!$N$2:$N$2086,Clean_Data!$D$2:$D$2086,A10)</f>
        <v>389325</v>
      </c>
      <c r="E10" s="2" t="n">
        <f aca="false">COUNTIFS(Clean_Data!$D$2:$D$2086,A10)</f>
        <v>128</v>
      </c>
      <c r="F10" s="13" t="n">
        <f aca="false">IF(C9=0,0,C10/C9-1)</f>
        <v>-0.166485596042386</v>
      </c>
      <c r="G10" s="14" t="n">
        <f aca="false">C10/AVERAGE($C$4:$C$15)</f>
        <v>0.72164436040802</v>
      </c>
      <c r="O10" s="2" t="s">
        <v>3051</v>
      </c>
      <c r="P10" s="13" t="n">
        <f aca="false">P9/Analysis!C16</f>
        <v>0.424320127086795</v>
      </c>
    </row>
    <row r="11" customFormat="false" ht="15" hidden="false" customHeight="false" outlineLevel="0" collapsed="false">
      <c r="A11" s="2" t="n">
        <v>8</v>
      </c>
      <c r="B11" s="2" t="s">
        <v>3052</v>
      </c>
      <c r="C11" s="11" t="n">
        <f aca="false">SUMIFS(Clean_Data!$M$2:$M$2086,Clean_Data!$D$2:$D$2086,A11)</f>
        <v>1856082.5</v>
      </c>
      <c r="D11" s="11" t="n">
        <f aca="false">SUMIFS(Clean_Data!$N$2:$N$2086,Clean_Data!$D$2:$D$2086,A11)</f>
        <v>551032.5</v>
      </c>
      <c r="E11" s="2" t="n">
        <f aca="false">COUNTIFS(Clean_Data!$D$2:$D$2086,A11)</f>
        <v>154</v>
      </c>
      <c r="F11" s="13" t="n">
        <f aca="false">IF(C10=0,0,C11/C10-1)</f>
        <v>0.500319288673335</v>
      </c>
      <c r="G11" s="14" t="n">
        <f aca="false">C11/AVERAGE($C$4:$C$15)</f>
        <v>1.08269695348249</v>
      </c>
      <c r="O11" s="2" t="s">
        <v>3053</v>
      </c>
      <c r="P11" s="11" t="n">
        <f aca="false">SUM(Customers!$D$2:$D$161)</f>
        <v>12806742.5</v>
      </c>
    </row>
    <row r="12" customFormat="false" ht="102.95" hidden="false" customHeight="false" outlineLevel="0" collapsed="false">
      <c r="A12" s="2" t="n">
        <v>9</v>
      </c>
      <c r="B12" s="2" t="s">
        <v>3054</v>
      </c>
      <c r="C12" s="11" t="n">
        <f aca="false">SUMIFS(Clean_Data!$M$2:$M$2086,Clean_Data!$D$2:$D$2086,A12)</f>
        <v>1774650</v>
      </c>
      <c r="D12" s="11" t="n">
        <f aca="false">SUMIFS(Clean_Data!$N$2:$N$2086,Clean_Data!$D$2:$D$2086,A12)</f>
        <v>562350</v>
      </c>
      <c r="E12" s="2" t="n">
        <f aca="false">COUNTIFS(Clean_Data!$D$2:$D$2086,A12)</f>
        <v>182</v>
      </c>
      <c r="F12" s="13" t="n">
        <f aca="false">IF(C11=0,0,C12/C11-1)</f>
        <v>-0.0438733192086019</v>
      </c>
      <c r="G12" s="14" t="n">
        <f aca="false">C12/AVERAGE($C$4:$C$15)</f>
        <v>1.03519544443617</v>
      </c>
      <c r="I12" s="9" t="s">
        <v>3055</v>
      </c>
      <c r="J12" s="9" t="s">
        <v>24</v>
      </c>
      <c r="K12" s="9" t="s">
        <v>3017</v>
      </c>
      <c r="L12" s="9" t="s">
        <v>3029</v>
      </c>
      <c r="O12" s="2" t="s">
        <v>3056</v>
      </c>
      <c r="P12" s="13" t="n">
        <f aca="false">P11/Analysis!C16</f>
        <v>0.622539725864586</v>
      </c>
    </row>
    <row r="13" customFormat="false" ht="15" hidden="false" customHeight="false" outlineLevel="0" collapsed="false">
      <c r="A13" s="2" t="n">
        <v>10</v>
      </c>
      <c r="B13" s="2" t="s">
        <v>3057</v>
      </c>
      <c r="C13" s="11" t="n">
        <f aca="false">SUMIFS(Clean_Data!$M$2:$M$2086,Clean_Data!$D$2:$D$2086,A13)</f>
        <v>1724992.5</v>
      </c>
      <c r="D13" s="11" t="n">
        <f aca="false">SUMIFS(Clean_Data!$N$2:$N$2086,Clean_Data!$D$2:$D$2086,A13)</f>
        <v>478242.5</v>
      </c>
      <c r="E13" s="2" t="n">
        <f aca="false">COUNTIFS(Clean_Data!$D$2:$D$2086,A13)</f>
        <v>198</v>
      </c>
      <c r="F13" s="13" t="n">
        <f aca="false">IF(C12=0,0,C13/C12-1)</f>
        <v>-0.0279815738314597</v>
      </c>
      <c r="G13" s="14" t="n">
        <f aca="false">C13/AVERAGE($C$4:$C$15)</f>
        <v>1.00622904667769</v>
      </c>
      <c r="I13" s="2" t="s">
        <v>3058</v>
      </c>
      <c r="J13" s="2" t="n">
        <f aca="false">ROWS(Customers!$D$2:$D$81)</f>
        <v>80</v>
      </c>
      <c r="K13" s="11" t="n">
        <f aca="false">SUM(Customers!$D$2:$D$81)</f>
        <v>8729015</v>
      </c>
      <c r="L13" s="13" t="n">
        <f aca="false">K13/$K$23</f>
        <v>0.424320127086795</v>
      </c>
      <c r="O13" s="2" t="s">
        <v>3059</v>
      </c>
      <c r="P13" s="11" t="n">
        <f aca="false">Analysis!C16/P4</f>
        <v>25746.8929912391</v>
      </c>
    </row>
    <row r="14" customFormat="false" ht="15" hidden="false" customHeight="false" outlineLevel="0" collapsed="false">
      <c r="A14" s="2" t="n">
        <v>11</v>
      </c>
      <c r="B14" s="2" t="s">
        <v>3060</v>
      </c>
      <c r="C14" s="11" t="n">
        <f aca="false">SUMIFS(Clean_Data!$M$2:$M$2086,Clean_Data!$D$2:$D$2086,A14)</f>
        <v>2073995</v>
      </c>
      <c r="D14" s="11" t="n">
        <f aca="false">SUMIFS(Clean_Data!$N$2:$N$2086,Clean_Data!$D$2:$D$2086,A14)</f>
        <v>618895</v>
      </c>
      <c r="E14" s="2" t="n">
        <f aca="false">COUNTIFS(Clean_Data!$D$2:$D$2086,A14)</f>
        <v>262</v>
      </c>
      <c r="F14" s="13" t="n">
        <f aca="false">IF(C13=0,0,C14/C13-1)</f>
        <v>0.202321169512331</v>
      </c>
      <c r="G14" s="14" t="n">
        <f aca="false">C14/AVERAGE($C$4:$C$15)</f>
        <v>1.20981048419879</v>
      </c>
      <c r="I14" s="2" t="s">
        <v>3061</v>
      </c>
      <c r="J14" s="2" t="n">
        <f aca="false">ROWS(Customers!$D$82:$D$161)</f>
        <v>80</v>
      </c>
      <c r="K14" s="11" t="n">
        <f aca="false">SUM(Customers!$D$82:$D$161)</f>
        <v>4077727.5</v>
      </c>
      <c r="L14" s="13" t="n">
        <f aca="false">K14/$K$23</f>
        <v>0.198219598777791</v>
      </c>
      <c r="O14" s="2" t="s">
        <v>3062</v>
      </c>
      <c r="P14" s="11" t="n">
        <f aca="false">Analysis!C16/Analysis!E16</f>
        <v>9866.5551558753</v>
      </c>
    </row>
    <row r="15" customFormat="false" ht="15" hidden="false" customHeight="false" outlineLevel="0" collapsed="false">
      <c r="A15" s="2" t="n">
        <v>12</v>
      </c>
      <c r="B15" s="2" t="s">
        <v>3063</v>
      </c>
      <c r="C15" s="11" t="n">
        <f aca="false">SUMIFS(Clean_Data!$M$2:$M$2086,Clean_Data!$D$2:$D$2086,A15)</f>
        <v>2096965</v>
      </c>
      <c r="D15" s="11" t="n">
        <f aca="false">SUMIFS(Clean_Data!$N$2:$N$2086,Clean_Data!$D$2:$D$2086,A15)</f>
        <v>593715</v>
      </c>
      <c r="E15" s="2" t="n">
        <f aca="false">COUNTIFS(Clean_Data!$D$2:$D$2086,A15)</f>
        <v>214</v>
      </c>
      <c r="F15" s="13" t="n">
        <f aca="false">IF(C14=0,0,C15/C14-1)</f>
        <v>0.0110752436722363</v>
      </c>
      <c r="G15" s="14" t="n">
        <f aca="false">C15/AVERAGE($C$4:$C$15)</f>
        <v>1.22320943010852</v>
      </c>
      <c r="I15" s="2" t="s">
        <v>3064</v>
      </c>
      <c r="J15" s="2" t="n">
        <f aca="false">ROWS(Customers!$D$162:$D$241)</f>
        <v>80</v>
      </c>
      <c r="K15" s="11" t="n">
        <f aca="false">SUM(Customers!$D$162:$D$241)</f>
        <v>2618492.5</v>
      </c>
      <c r="L15" s="13" t="n">
        <f aca="false">K15/$K$23</f>
        <v>0.127285732740271</v>
      </c>
    </row>
    <row r="16" customFormat="false" ht="15" hidden="false" customHeight="false" outlineLevel="0" collapsed="false">
      <c r="B16" s="3" t="s">
        <v>3048</v>
      </c>
      <c r="C16" s="15" t="n">
        <f aca="false">SUM(C4:C15)</f>
        <v>20571767.5</v>
      </c>
      <c r="D16" s="15" t="n">
        <f aca="false">SUM(D4:D15)</f>
        <v>6248167.5</v>
      </c>
      <c r="E16" s="3" t="n">
        <f aca="false">SUM(E4:E15)</f>
        <v>2085</v>
      </c>
      <c r="I16" s="3" t="s">
        <v>3065</v>
      </c>
      <c r="J16" s="3" t="n">
        <f aca="false">ROWS(Customers!$D$242:$D$321)</f>
        <v>80</v>
      </c>
      <c r="K16" s="15" t="n">
        <f aca="false">SUM(Customers!$D$242:$D$321)</f>
        <v>1818160</v>
      </c>
      <c r="L16" s="16" t="n">
        <f aca="false">K16/$K$23</f>
        <v>0.0883813216341279</v>
      </c>
    </row>
    <row r="17" customFormat="false" ht="15" hidden="false" customHeight="false" outlineLevel="0" collapsed="false">
      <c r="I17" s="2" t="s">
        <v>3066</v>
      </c>
      <c r="J17" s="2" t="n">
        <f aca="false">ROWS(Customers!$D$322:$D$401)</f>
        <v>80</v>
      </c>
      <c r="K17" s="11" t="n">
        <f aca="false">SUM(Customers!$D$322:$D$401)</f>
        <v>1249615</v>
      </c>
      <c r="L17" s="13" t="n">
        <f aca="false">K17/$K$23</f>
        <v>0.0607441728086806</v>
      </c>
    </row>
    <row r="18" customFormat="false" ht="15" hidden="false" customHeight="false" outlineLevel="0" collapsed="false">
      <c r="I18" s="2" t="s">
        <v>3067</v>
      </c>
      <c r="J18" s="2" t="n">
        <f aca="false">ROWS(Customers!$D$402:$D$481)</f>
        <v>80</v>
      </c>
      <c r="K18" s="11" t="n">
        <f aca="false">SUM(Customers!$D$402:$D$481)</f>
        <v>808775</v>
      </c>
      <c r="L18" s="13" t="n">
        <f aca="false">K18/$K$23</f>
        <v>0.0393148036501968</v>
      </c>
    </row>
    <row r="19" customFormat="false" ht="15" hidden="false" customHeight="false" outlineLevel="0" collapsed="false">
      <c r="I19" s="2" t="s">
        <v>3068</v>
      </c>
      <c r="J19" s="2" t="n">
        <f aca="false">ROWS(Customers!$D$482:$D$561)</f>
        <v>80</v>
      </c>
      <c r="K19" s="11" t="n">
        <f aca="false">SUM(Customers!$D$482:$D$561)</f>
        <v>558697.5</v>
      </c>
      <c r="L19" s="13" t="n">
        <f aca="false">K19/$K$23</f>
        <v>0.0271584587955313</v>
      </c>
    </row>
    <row r="20" customFormat="false" ht="15" hidden="false" customHeight="false" outlineLevel="0" collapsed="false">
      <c r="I20" s="2" t="s">
        <v>3069</v>
      </c>
      <c r="J20" s="2" t="n">
        <f aca="false">ROWS(Customers!$D$562:$D$641)</f>
        <v>80</v>
      </c>
      <c r="K20" s="11" t="n">
        <f aca="false">SUM(Customers!$D$562:$D$641)</f>
        <v>359550</v>
      </c>
      <c r="L20" s="13" t="n">
        <f aca="false">K20/$K$23</f>
        <v>0.0174778370404974</v>
      </c>
    </row>
    <row r="21" customFormat="false" ht="15" hidden="false" customHeight="false" outlineLevel="0" collapsed="false">
      <c r="I21" s="2" t="s">
        <v>3070</v>
      </c>
      <c r="J21" s="2" t="n">
        <f aca="false">ROWS(Customers!$D$642:$D$721)</f>
        <v>80</v>
      </c>
      <c r="K21" s="11" t="n">
        <f aca="false">SUM(Customers!$D$642:$D$721)</f>
        <v>232615</v>
      </c>
      <c r="L21" s="13" t="n">
        <f aca="false">K21/$K$23</f>
        <v>0.0113074873124052</v>
      </c>
    </row>
    <row r="22" customFormat="false" ht="15" hidden="false" customHeight="false" outlineLevel="0" collapsed="false">
      <c r="I22" s="2" t="s">
        <v>3071</v>
      </c>
      <c r="J22" s="2" t="n">
        <f aca="false">ROWS(Customers!$D$722:$D$800)</f>
        <v>79</v>
      </c>
      <c r="K22" s="11" t="n">
        <f aca="false">SUM(Customers!$D$722:$D$800)</f>
        <v>119120</v>
      </c>
      <c r="L22" s="13" t="n">
        <f aca="false">K22/$K$23</f>
        <v>0.00579046015370337</v>
      </c>
    </row>
    <row r="23" customFormat="false" ht="15" hidden="false" customHeight="false" outlineLevel="0" collapsed="false">
      <c r="I23" s="3" t="s">
        <v>3048</v>
      </c>
      <c r="J23" s="3" t="n">
        <f aca="false">SUM(J13:J22)</f>
        <v>799</v>
      </c>
      <c r="K23" s="15" t="n">
        <f aca="false">SUM(K13:K22)</f>
        <v>20571767.5</v>
      </c>
      <c r="L23" s="16" t="n">
        <f aca="false">SUM(L13:L22)</f>
        <v>1</v>
      </c>
    </row>
    <row r="24" customFormat="false" ht="15" hidden="false" customHeight="false" outlineLevel="0" collapsed="false">
      <c r="I24" s="18" t="s">
        <v>3072</v>
      </c>
    </row>
    <row r="27" customFormat="false" ht="26.85" hidden="false" customHeight="false" outlineLevel="0" collapsed="false">
      <c r="A27" s="9" t="s">
        <v>54</v>
      </c>
      <c r="B27" s="9" t="s">
        <v>24</v>
      </c>
      <c r="C27" s="9" t="s">
        <v>3020</v>
      </c>
      <c r="D27" s="9" t="s">
        <v>3017</v>
      </c>
      <c r="E27" s="9" t="s">
        <v>3018</v>
      </c>
      <c r="F27" s="9" t="s">
        <v>3073</v>
      </c>
      <c r="G27" s="9" t="s">
        <v>3074</v>
      </c>
      <c r="H27" s="9" t="s">
        <v>3075</v>
      </c>
    </row>
    <row r="28" customFormat="false" ht="15" hidden="false" customHeight="false" outlineLevel="0" collapsed="false">
      <c r="A28" s="2" t="s">
        <v>64</v>
      </c>
      <c r="B28" s="2" t="n">
        <f aca="false">COUNTIFS(Customers!$B$2:$B$800,A28)</f>
        <v>486</v>
      </c>
      <c r="C28" s="2" t="n">
        <f aca="false">COUNTIFS(Clean_Data!$F$2:$F$2086,A28)</f>
        <v>1194</v>
      </c>
      <c r="D28" s="11" t="n">
        <f aca="false">SUMIFS(Clean_Data!$M$2:$M$2086,Clean_Data!$F$2:$F$2086,A28)</f>
        <v>6629660</v>
      </c>
      <c r="E28" s="11" t="n">
        <f aca="false">SUMIFS(Clean_Data!$N$2:$N$2086,Clean_Data!$F$2:$F$2086,A28)</f>
        <v>2136860</v>
      </c>
      <c r="F28" s="13" t="n">
        <f aca="false">E28/D28</f>
        <v>0.322318188263048</v>
      </c>
      <c r="G28" s="11" t="n">
        <f aca="false">D28/B28</f>
        <v>13641.2757201646</v>
      </c>
      <c r="H28" s="11" t="n">
        <f aca="false">D28/C28</f>
        <v>5552.47906197655</v>
      </c>
    </row>
    <row r="29" customFormat="false" ht="15" hidden="false" customHeight="false" outlineLevel="0" collapsed="false">
      <c r="A29" s="2" t="s">
        <v>69</v>
      </c>
      <c r="B29" s="2" t="n">
        <f aca="false">COUNTIFS(Customers!$B$2:$B$800,A29)</f>
        <v>214</v>
      </c>
      <c r="C29" s="2" t="n">
        <f aca="false">COUNTIFS(Clean_Data!$F$2:$F$2086,A29)</f>
        <v>474</v>
      </c>
      <c r="D29" s="11" t="n">
        <f aca="false">SUMIFS(Clean_Data!$M$2:$M$2086,Clean_Data!$F$2:$F$2086,A29)</f>
        <v>5374527.5</v>
      </c>
      <c r="E29" s="11" t="n">
        <f aca="false">SUMIFS(Clean_Data!$N$2:$N$2086,Clean_Data!$F$2:$F$2086,A29)</f>
        <v>1732027.5</v>
      </c>
      <c r="F29" s="13" t="n">
        <f aca="false">E29/D29</f>
        <v>0.32226600384871</v>
      </c>
      <c r="G29" s="11" t="n">
        <f aca="false">D29/B29</f>
        <v>25114.6144859813</v>
      </c>
      <c r="H29" s="11" t="n">
        <f aca="false">D29/C29</f>
        <v>11338.6656118143</v>
      </c>
    </row>
    <row r="30" customFormat="false" ht="15" hidden="false" customHeight="false" outlineLevel="0" collapsed="false">
      <c r="A30" s="2" t="s">
        <v>92</v>
      </c>
      <c r="B30" s="2" t="n">
        <f aca="false">COUNTIFS(Customers!$B$2:$B$800,A30)</f>
        <v>99</v>
      </c>
      <c r="C30" s="2" t="n">
        <f aca="false">COUNTIFS(Clean_Data!$F$2:$F$2086,A30)</f>
        <v>417</v>
      </c>
      <c r="D30" s="11" t="n">
        <f aca="false">SUMIFS(Clean_Data!$M$2:$M$2086,Clean_Data!$F$2:$F$2086,A30)</f>
        <v>8567580</v>
      </c>
      <c r="E30" s="11" t="n">
        <f aca="false">SUMIFS(Clean_Data!$N$2:$N$2086,Clean_Data!$F$2:$F$2086,A30)</f>
        <v>2379280</v>
      </c>
      <c r="F30" s="13" t="n">
        <f aca="false">E30/D30</f>
        <v>0.277707357270081</v>
      </c>
      <c r="G30" s="11" t="n">
        <f aca="false">D30/B30</f>
        <v>86541.2121212121</v>
      </c>
      <c r="H30" s="11" t="n">
        <f aca="false">D30/C30</f>
        <v>20545.7553956835</v>
      </c>
    </row>
    <row r="31" customFormat="false" ht="15" hidden="false" customHeight="false" outlineLevel="0" collapsed="false">
      <c r="A31" s="3" t="s">
        <v>3048</v>
      </c>
      <c r="B31" s="3" t="n">
        <f aca="false">SUM(B28:B30)</f>
        <v>799</v>
      </c>
      <c r="C31" s="3" t="n">
        <f aca="false">SUM(C28:C30)</f>
        <v>2085</v>
      </c>
      <c r="D31" s="15" t="n">
        <f aca="false">SUM(D28:D30)</f>
        <v>20571767.5</v>
      </c>
      <c r="E31" s="15" t="n">
        <f aca="false">SUM(E28:E30)</f>
        <v>6248167.5</v>
      </c>
      <c r="F31" s="16" t="n">
        <f aca="false">E31/D31</f>
        <v>0.303725360497099</v>
      </c>
      <c r="G31" s="15" t="n">
        <f aca="false">D31/B31</f>
        <v>25746.8929912391</v>
      </c>
      <c r="H31" s="15" t="n">
        <f aca="false">D31/C31</f>
        <v>9866.5551558753</v>
      </c>
    </row>
    <row r="34" customFormat="false" ht="26.85" hidden="false" customHeight="false" outlineLevel="0" collapsed="false">
      <c r="A34" s="9" t="s">
        <v>55</v>
      </c>
      <c r="B34" s="9" t="s">
        <v>3017</v>
      </c>
      <c r="C34" s="9" t="s">
        <v>3018</v>
      </c>
      <c r="D34" s="9" t="s">
        <v>3073</v>
      </c>
      <c r="E34" s="9" t="s">
        <v>3029</v>
      </c>
    </row>
    <row r="35" customFormat="false" ht="15" hidden="false" customHeight="false" outlineLevel="0" collapsed="false">
      <c r="A35" s="2" t="s">
        <v>70</v>
      </c>
      <c r="B35" s="11" t="n">
        <f aca="false">SUMIFS(Clean_Data!$M$2:$M$2086,Clean_Data!$G$2:$G$2086,A35)</f>
        <v>5209825</v>
      </c>
      <c r="C35" s="11" t="n">
        <f aca="false">SUMIFS(Clean_Data!$N$2:$N$2086,Clean_Data!$G$2:$G$2086,A35)</f>
        <v>1448125</v>
      </c>
      <c r="D35" s="13" t="n">
        <f aca="false">C35/B35</f>
        <v>0.27796039214369</v>
      </c>
      <c r="E35" s="13" t="n">
        <f aca="false">B35/$B$38</f>
        <v>0.2532512094549</v>
      </c>
    </row>
    <row r="36" customFormat="false" ht="15" hidden="false" customHeight="false" outlineLevel="0" collapsed="false">
      <c r="A36" s="2" t="s">
        <v>73</v>
      </c>
      <c r="B36" s="11" t="n">
        <f aca="false">SUMIFS(Clean_Data!$M$2:$M$2086,Clean_Data!$G$2:$G$2086,A36)</f>
        <v>13243540</v>
      </c>
      <c r="C36" s="11" t="n">
        <f aca="false">SUMIFS(Clean_Data!$N$2:$N$2086,Clean_Data!$G$2:$G$2086,A36)</f>
        <v>3768740</v>
      </c>
      <c r="D36" s="13" t="n">
        <f aca="false">C36/B36</f>
        <v>0.284571949795901</v>
      </c>
      <c r="E36" s="13" t="n">
        <f aca="false">B36/$B$38</f>
        <v>0.643772587843995</v>
      </c>
    </row>
    <row r="37" customFormat="false" ht="15" hidden="false" customHeight="false" outlineLevel="0" collapsed="false">
      <c r="A37" s="2" t="s">
        <v>65</v>
      </c>
      <c r="B37" s="11" t="n">
        <f aca="false">SUMIFS(Clean_Data!$M$2:$M$2086,Clean_Data!$G$2:$G$2086,A37)</f>
        <v>2118402.5</v>
      </c>
      <c r="C37" s="11" t="n">
        <f aca="false">SUMIFS(Clean_Data!$N$2:$N$2086,Clean_Data!$G$2:$G$2086,A37)</f>
        <v>1031302.5</v>
      </c>
      <c r="D37" s="13" t="n">
        <f aca="false">C37/B37</f>
        <v>0.486830288389482</v>
      </c>
      <c r="E37" s="13" t="n">
        <f aca="false">B37/$B$38</f>
        <v>0.102976202701105</v>
      </c>
    </row>
    <row r="38" customFormat="false" ht="15" hidden="false" customHeight="false" outlineLevel="0" collapsed="false">
      <c r="A38" s="3" t="s">
        <v>3048</v>
      </c>
      <c r="B38" s="15" t="n">
        <f aca="false">SUM(B35:B37)</f>
        <v>20571767.5</v>
      </c>
      <c r="C38" s="15" t="n">
        <f aca="false">SUM(C35:C37)</f>
        <v>6248167.5</v>
      </c>
      <c r="D38" s="16" t="n">
        <f aca="false">C38/B38</f>
        <v>0.303725360497099</v>
      </c>
      <c r="E38" s="16" t="n">
        <f aca="false">SUM(E35:E37)</f>
        <v>1</v>
      </c>
    </row>
    <row r="41" customFormat="false" ht="26.85" hidden="false" customHeight="false" outlineLevel="0" collapsed="false">
      <c r="A41" s="9" t="s">
        <v>53</v>
      </c>
      <c r="B41" s="9" t="s">
        <v>3017</v>
      </c>
      <c r="C41" s="9" t="s">
        <v>3018</v>
      </c>
      <c r="D41" s="9" t="s">
        <v>3020</v>
      </c>
      <c r="E41" s="9" t="s">
        <v>3029</v>
      </c>
    </row>
    <row r="42" customFormat="false" ht="15" hidden="false" customHeight="false" outlineLevel="0" collapsed="false">
      <c r="A42" s="2" t="s">
        <v>63</v>
      </c>
      <c r="B42" s="11" t="n">
        <f aca="false">SUMIFS(Clean_Data!$M$2:$M$2086,Clean_Data!$E$2:$E$2086,A42)</f>
        <v>5301452.5</v>
      </c>
      <c r="C42" s="11" t="n">
        <f aca="false">SUMIFS(Clean_Data!$N$2:$N$2086,Clean_Data!$E$2:$E$2086,A42)</f>
        <v>1631502.5</v>
      </c>
      <c r="D42" s="2" t="n">
        <f aca="false">COUNTIFS(Clean_Data!$E$2:$E$2086,A42)</f>
        <v>560</v>
      </c>
      <c r="E42" s="13" t="n">
        <f aca="false">B42/$B$47</f>
        <v>0.257705250654811</v>
      </c>
    </row>
    <row r="43" customFormat="false" ht="15" hidden="false" customHeight="false" outlineLevel="0" collapsed="false">
      <c r="A43" s="2" t="s">
        <v>77</v>
      </c>
      <c r="B43" s="11" t="n">
        <f aca="false">SUMIFS(Clean_Data!$M$2:$M$2086,Clean_Data!$E$2:$E$2086,A43)</f>
        <v>6853002.5</v>
      </c>
      <c r="C43" s="11" t="n">
        <f aca="false">SUMIFS(Clean_Data!$N$2:$N$2086,Clean_Data!$E$2:$E$2086,A43)</f>
        <v>2095152.5</v>
      </c>
      <c r="D43" s="2" t="n">
        <f aca="false">COUNTIFS(Clean_Data!$E$2:$E$2086,A43)</f>
        <v>719</v>
      </c>
      <c r="E43" s="13" t="n">
        <f aca="false">B43/$B$47</f>
        <v>0.33312657748052</v>
      </c>
    </row>
    <row r="44" customFormat="false" ht="15" hidden="false" customHeight="false" outlineLevel="0" collapsed="false">
      <c r="A44" s="2" t="s">
        <v>81</v>
      </c>
      <c r="B44" s="11" t="n">
        <f aca="false">SUMIFS(Clean_Data!$M$2:$M$2086,Clean_Data!$E$2:$E$2086,A44)</f>
        <v>4380590</v>
      </c>
      <c r="C44" s="11" t="n">
        <f aca="false">SUMIFS(Clean_Data!$N$2:$N$2086,Clean_Data!$E$2:$E$2086,A44)</f>
        <v>1312040</v>
      </c>
      <c r="D44" s="2" t="n">
        <f aca="false">COUNTIFS(Clean_Data!$E$2:$E$2086,A44)</f>
        <v>403</v>
      </c>
      <c r="E44" s="13" t="n">
        <f aca="false">B44/$B$47</f>
        <v>0.212941838857551</v>
      </c>
    </row>
    <row r="45" customFormat="false" ht="15" hidden="false" customHeight="false" outlineLevel="0" collapsed="false">
      <c r="A45" s="2" t="s">
        <v>91</v>
      </c>
      <c r="B45" s="11" t="n">
        <f aca="false">SUMIFS(Clean_Data!$M$2:$M$2086,Clean_Data!$E$2:$E$2086,A45)</f>
        <v>3901537.5</v>
      </c>
      <c r="C45" s="11" t="n">
        <f aca="false">SUMIFS(Clean_Data!$N$2:$N$2086,Clean_Data!$E$2:$E$2086,A45)</f>
        <v>1169187.5</v>
      </c>
      <c r="D45" s="2" t="n">
        <f aca="false">COUNTIFS(Clean_Data!$E$2:$E$2086,A45)</f>
        <v>393</v>
      </c>
      <c r="E45" s="13" t="n">
        <f aca="false">B45/$B$47</f>
        <v>0.18965494821969</v>
      </c>
    </row>
    <row r="46" customFormat="false" ht="15" hidden="false" customHeight="false" outlineLevel="0" collapsed="false">
      <c r="A46" s="2" t="s">
        <v>3019</v>
      </c>
      <c r="B46" s="11" t="n">
        <f aca="false">SUMIFS(Clean_Data!$M$2:$M$2086,Clean_Data!$E$2:$E$2086,A46)</f>
        <v>135185</v>
      </c>
      <c r="C46" s="11" t="n">
        <f aca="false">SUMIFS(Clean_Data!$N$2:$N$2086,Clean_Data!$E$2:$E$2086,A46)</f>
        <v>40285</v>
      </c>
      <c r="D46" s="2" t="n">
        <f aca="false">COUNTIFS(Clean_Data!$E$2:$E$2086,A46)</f>
        <v>10</v>
      </c>
      <c r="E46" s="13" t="n">
        <f aca="false">B46/$B$47</f>
        <v>0.00657138478742772</v>
      </c>
    </row>
    <row r="47" customFormat="false" ht="15" hidden="false" customHeight="false" outlineLevel="0" collapsed="false">
      <c r="A47" s="3" t="s">
        <v>3048</v>
      </c>
      <c r="B47" s="15" t="n">
        <f aca="false">SUM(B42:B46)</f>
        <v>20571767.5</v>
      </c>
      <c r="C47" s="15" t="n">
        <f aca="false">SUM(C42:C46)</f>
        <v>6248167.5</v>
      </c>
      <c r="D47" s="3" t="n">
        <f aca="false">SUM(D42:D46)</f>
        <v>2085</v>
      </c>
      <c r="E47" s="16" t="n">
        <f aca="false">SUM(E42:E46)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2026-10-02T06:25:26Z</dcterms:created>
  <dc:creator>openpyxl</dc:creator>
  <dc:description/>
  <dc:language>en-US</dc:language>
  <cp:lastModifiedBy/>
  <dcterms:modified xsi:type="dcterms:W3CDTF">2026-10-02T06:25:28Z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